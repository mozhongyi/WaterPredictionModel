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746" activeTab="3"/>
  </bookViews>
  <sheets>
    <sheet name="SBZK 670-118-1" sheetId="1" r:id="rId1"/>
    <sheet name="SBZK670-110-1" sheetId="2" r:id="rId2"/>
    <sheet name="ZK001" sheetId="3" r:id="rId3"/>
    <sheet name="DK06" sheetId="10" r:id="rId4"/>
    <sheet name="BK01" sheetId="11" r:id="rId5"/>
    <sheet name="BK11" sheetId="12" r:id="rId6"/>
    <sheet name="SK01" sheetId="13" r:id="rId7"/>
    <sheet name="SK02" sheetId="14" r:id="rId8"/>
    <sheet name="SK03" sheetId="15" r:id="rId9"/>
    <sheet name="SK04" sheetId="16" r:id="rId10"/>
    <sheet name="SK05" sheetId="17" r:id="rId11"/>
    <sheet name="SK06" sheetId="18" r:id="rId12"/>
    <sheet name="SK07" sheetId="19" r:id="rId13"/>
    <sheet name="SK08" sheetId="20" r:id="rId14"/>
    <sheet name="SK09" sheetId="21" r:id="rId15"/>
    <sheet name="SK14" sheetId="22" r:id="rId16"/>
    <sheet name="SK15" sheetId="23" r:id="rId17"/>
    <sheet name="SK16" sheetId="24" r:id="rId18"/>
    <sheet name="SK21" sheetId="25" r:id="rId19"/>
    <sheet name="SK22" sheetId="26" r:id="rId20"/>
    <sheet name="SK23" sheetId="27" r:id="rId21"/>
    <sheet name="SK24" sheetId="28" r:id="rId22"/>
    <sheet name="SK29" sheetId="29" r:id="rId23"/>
    <sheet name="SK30" sheetId="30" r:id="rId24"/>
    <sheet name="G1" sheetId="31" r:id="rId25"/>
    <sheet name="G2" sheetId="32" r:id="rId26"/>
    <sheet name="G3" sheetId="33" r:id="rId27"/>
    <sheet name="G4" sheetId="34" r:id="rId28"/>
    <sheet name="G5" sheetId="35" r:id="rId29"/>
    <sheet name="G6" sheetId="36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<sst xmlns="http://schemas.openxmlformats.org/spreadsheetml/2006/main" count="5156" uniqueCount="3071">
  <si>
    <r>
      <rPr>
        <sz val="11"/>
        <color theme="1"/>
        <rFont val="等线"/>
        <charset val="134"/>
      </rPr>
      <t>位置点</t>
    </r>
  </si>
  <si>
    <r>
      <rPr>
        <sz val="11"/>
        <color theme="1"/>
        <rFont val="等线"/>
        <charset val="134"/>
      </rPr>
      <t>时间是具体时间点</t>
    </r>
  </si>
  <si>
    <r>
      <rPr>
        <sz val="11"/>
        <color theme="1"/>
        <rFont val="等线"/>
        <charset val="134"/>
      </rPr>
      <t>横坐标（经纬度）</t>
    </r>
  </si>
  <si>
    <r>
      <rPr>
        <sz val="11"/>
        <color theme="1"/>
        <rFont val="等线"/>
        <charset val="134"/>
      </rPr>
      <t>纵坐标</t>
    </r>
  </si>
  <si>
    <r>
      <rPr>
        <sz val="11"/>
        <color theme="1"/>
        <rFont val="等线"/>
        <charset val="134"/>
      </rPr>
      <t>高程（终孔，井底）</t>
    </r>
  </si>
  <si>
    <r>
      <rPr>
        <sz val="11"/>
        <color theme="1"/>
        <rFont val="等线"/>
        <charset val="134"/>
      </rPr>
      <t>案例</t>
    </r>
  </si>
  <si>
    <r>
      <rPr>
        <sz val="11"/>
        <color theme="1"/>
        <rFont val="等线"/>
        <charset val="134"/>
      </rPr>
      <t>水位（</t>
    </r>
    <r>
      <rPr>
        <sz val="11"/>
        <color theme="1"/>
        <rFont val="Times New Roman"/>
        <charset val="134"/>
      </rPr>
      <t>m)</t>
    </r>
  </si>
  <si>
    <t>2021/1/1</t>
  </si>
  <si>
    <t>2021/1/2</t>
  </si>
  <si>
    <t>2021/1/3</t>
  </si>
  <si>
    <t>2021/1/4</t>
  </si>
  <si>
    <t>2021/1/5</t>
  </si>
  <si>
    <t>2021/1/6</t>
  </si>
  <si>
    <t>2021/1/7</t>
  </si>
  <si>
    <t>2021/1/8</t>
  </si>
  <si>
    <t>2021/1/9</t>
  </si>
  <si>
    <t>2021/1/10</t>
  </si>
  <si>
    <t>2021/1/11</t>
  </si>
  <si>
    <t>2021/1/12</t>
  </si>
  <si>
    <t>2021/1/13</t>
  </si>
  <si>
    <t>2021/1/14</t>
  </si>
  <si>
    <t>2021/1/15</t>
  </si>
  <si>
    <t>2021/1/16</t>
  </si>
  <si>
    <t>2021/1/17</t>
  </si>
  <si>
    <t>2021/1/18</t>
  </si>
  <si>
    <t>2021/1/19</t>
  </si>
  <si>
    <t>2021/1/20</t>
  </si>
  <si>
    <t>2021/1/21</t>
  </si>
  <si>
    <t>2021/1/22</t>
  </si>
  <si>
    <t>2021/1/23</t>
  </si>
  <si>
    <t>2021/1/24</t>
  </si>
  <si>
    <t>2021/1/25</t>
  </si>
  <si>
    <t>2021/1/26</t>
  </si>
  <si>
    <t>2021/1/27</t>
  </si>
  <si>
    <t>2021/1/28</t>
  </si>
  <si>
    <t>2021/1/29</t>
  </si>
  <si>
    <t>2021/1/30</t>
  </si>
  <si>
    <t>2021/1/31</t>
  </si>
  <si>
    <t>2021/2/1</t>
  </si>
  <si>
    <t>2021/2/2</t>
  </si>
  <si>
    <t>2021/2/3</t>
  </si>
  <si>
    <t>2021/2/4</t>
  </si>
  <si>
    <t>2021/2/5</t>
  </si>
  <si>
    <t>2021/2/6</t>
  </si>
  <si>
    <t>2021/2/7</t>
  </si>
  <si>
    <t>2021/2/8</t>
  </si>
  <si>
    <t>2021/2/9</t>
  </si>
  <si>
    <t>2021/2/10</t>
  </si>
  <si>
    <t>2021/2/11</t>
  </si>
  <si>
    <t>2021/2/12</t>
  </si>
  <si>
    <t>2021/2/13</t>
  </si>
  <si>
    <t>2021/2/14</t>
  </si>
  <si>
    <t>2021/2/15</t>
  </si>
  <si>
    <t>2021/2/16</t>
  </si>
  <si>
    <t>2021/2/17</t>
  </si>
  <si>
    <t>2021/2/18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</si>
  <si>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</si>
  <si>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</si>
  <si>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</si>
  <si>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</si>
  <si>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</si>
  <si>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</si>
  <si>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</si>
  <si>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</si>
  <si>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>2021/2/27</t>
  </si>
  <si>
    <t>2021/2/28</t>
  </si>
  <si>
    <t>2021/3/1</t>
  </si>
  <si>
    <t>2021/3/2</t>
  </si>
  <si>
    <t>2021/3/3</t>
  </si>
  <si>
    <t>2021/3/4</t>
  </si>
  <si>
    <t>2021/3/5</t>
  </si>
  <si>
    <t>2021/3/6</t>
  </si>
  <si>
    <t>2021/3/7</t>
  </si>
  <si>
    <t>2021/3/8</t>
  </si>
  <si>
    <t>2021/3/9</t>
  </si>
  <si>
    <t>2021/3/10</t>
  </si>
  <si>
    <t>2021/3/11</t>
  </si>
  <si>
    <t>2021/3/12</t>
  </si>
  <si>
    <t>2021/3/13</t>
  </si>
  <si>
    <t>2021/3/14</t>
  </si>
  <si>
    <t>2021/3/15</t>
  </si>
  <si>
    <t>2021/3/16</t>
  </si>
  <si>
    <t>2021/3/17</t>
  </si>
  <si>
    <t>2021/3/18</t>
  </si>
  <si>
    <t>2021/3/19</t>
  </si>
  <si>
    <t>2021/3/20</t>
  </si>
  <si>
    <t>2021/3/21</t>
  </si>
  <si>
    <t>2021/3/22</t>
  </si>
  <si>
    <t>2021/3/23</t>
  </si>
  <si>
    <t>2021/3/24</t>
  </si>
  <si>
    <t>2021/3/25</t>
  </si>
  <si>
    <t>2021/3/26</t>
  </si>
  <si>
    <t>2021/3/27</t>
  </si>
  <si>
    <t>2021/3/28</t>
  </si>
  <si>
    <t>2021/3/29</t>
  </si>
  <si>
    <t>2021/3/30</t>
  </si>
  <si>
    <t>2021/3/31</t>
  </si>
  <si>
    <t>2021/4/1</t>
  </si>
  <si>
    <t>2021/4/2</t>
  </si>
  <si>
    <t>2021/4/3</t>
  </si>
  <si>
    <t>2021/4/4</t>
  </si>
  <si>
    <t>2021/4/5</t>
  </si>
  <si>
    <t>2021/4/6</t>
  </si>
  <si>
    <t>2021/4/7</t>
  </si>
  <si>
    <t>2021/4/8</t>
  </si>
  <si>
    <t>2021/4/9</t>
  </si>
  <si>
    <t>2021/4/10</t>
  </si>
  <si>
    <t>2021/4/11</t>
  </si>
  <si>
    <t>2021/4/12</t>
  </si>
  <si>
    <t>2021/4/13</t>
  </si>
  <si>
    <t>2021/4/14</t>
  </si>
  <si>
    <t>2021/4/15</t>
  </si>
  <si>
    <t>2021/4/16</t>
  </si>
  <si>
    <t>2021/4/17</t>
  </si>
  <si>
    <t>2021/4/18</t>
  </si>
  <si>
    <t>2021/4/19</t>
  </si>
  <si>
    <t>2021/4/20</t>
  </si>
  <si>
    <t>2021/4/21</t>
  </si>
  <si>
    <t>2021/4/22</t>
  </si>
  <si>
    <t>2021/4/23</t>
  </si>
  <si>
    <t>2021/4/24</t>
  </si>
  <si>
    <t>2021/4/25</t>
  </si>
  <si>
    <t>2021/4/26</t>
  </si>
  <si>
    <t>2021/4/27</t>
  </si>
  <si>
    <t>2021/4/28</t>
  </si>
  <si>
    <t>2021/4/29</t>
  </si>
  <si>
    <t>2021/4/30</t>
  </si>
  <si>
    <t>2021/5/1</t>
  </si>
  <si>
    <t>2021/5/2</t>
  </si>
  <si>
    <t>2021/5/3</t>
  </si>
  <si>
    <t>2021/5/4</t>
  </si>
  <si>
    <t>2021/5/5</t>
  </si>
  <si>
    <t>2021/5/6</t>
  </si>
  <si>
    <t>2021/5/7</t>
  </si>
  <si>
    <t>2021/5/8</t>
  </si>
  <si>
    <t>2021/5/9</t>
  </si>
  <si>
    <t>2021/5/10</t>
  </si>
  <si>
    <t>2021/5/11</t>
  </si>
  <si>
    <t>2021/5/12</t>
  </si>
  <si>
    <t>2021/5/13</t>
  </si>
  <si>
    <t>2021/5/14</t>
  </si>
  <si>
    <t>2021/5/15</t>
  </si>
  <si>
    <t>2021/5/16</t>
  </si>
  <si>
    <t>2021/5/17</t>
  </si>
  <si>
    <t>2021/5/18</t>
  </si>
  <si>
    <t>2021/5/19</t>
  </si>
  <si>
    <t>2021/5/20</t>
  </si>
  <si>
    <t>2021/5/21</t>
  </si>
  <si>
    <t>2021/5/22</t>
  </si>
  <si>
    <t>2021/5/23</t>
  </si>
  <si>
    <t>2021/5/24</t>
  </si>
  <si>
    <t>2021/5/25</t>
  </si>
  <si>
    <t>2021/5/26</t>
  </si>
  <si>
    <t>2021/5/27</t>
  </si>
  <si>
    <t>2021/5/28</t>
  </si>
  <si>
    <t>2021/5/29</t>
  </si>
  <si>
    <t>2021/5/30</t>
  </si>
  <si>
    <t>2021/5/31</t>
  </si>
  <si>
    <t>2021/6/1</t>
  </si>
  <si>
    <t>2021/6/2</t>
  </si>
  <si>
    <t>2021/6/3</t>
  </si>
  <si>
    <t>2021/6/4</t>
  </si>
  <si>
    <t>2021/6/5</t>
  </si>
  <si>
    <t>2021/6/6</t>
  </si>
  <si>
    <t>2021/6/7</t>
  </si>
  <si>
    <t>2021/6/8</t>
  </si>
  <si>
    <t>2021/6/9</t>
  </si>
  <si>
    <t>2021/6/10</t>
  </si>
  <si>
    <t>2021/6/11</t>
  </si>
  <si>
    <t>2021/6/12</t>
  </si>
  <si>
    <t>2021/6/13</t>
  </si>
  <si>
    <t>2021/6/14</t>
  </si>
  <si>
    <t>2021/6/15</t>
  </si>
  <si>
    <t>2021/6/16</t>
  </si>
  <si>
    <t>2021/6/17</t>
  </si>
  <si>
    <t>2021/6/18</t>
  </si>
  <si>
    <t>2021/6/19</t>
  </si>
  <si>
    <t>2021/6/20</t>
  </si>
  <si>
    <t>2021/6/21</t>
  </si>
  <si>
    <t>2021/6/22</t>
  </si>
  <si>
    <t>2021/6/23</t>
  </si>
  <si>
    <t>2021/6/24</t>
  </si>
  <si>
    <t>2021/6/25</t>
  </si>
  <si>
    <t>2021/6/26</t>
  </si>
  <si>
    <t>2021/6/27</t>
  </si>
  <si>
    <t>2021/6/28</t>
  </si>
  <si>
    <t>2021/6/29</t>
  </si>
  <si>
    <t>2021/6/30</t>
  </si>
  <si>
    <t>2021/7/1</t>
  </si>
  <si>
    <t>2021/7/2</t>
  </si>
  <si>
    <t>2021/7/3</t>
  </si>
  <si>
    <t>2021/7/4</t>
  </si>
  <si>
    <t>2021/7/5</t>
  </si>
  <si>
    <t>2021/7/6</t>
  </si>
  <si>
    <t>2021/7/7</t>
  </si>
  <si>
    <t>2021/7/8</t>
  </si>
  <si>
    <t>2021/7/9</t>
  </si>
  <si>
    <t>2021/7/10</t>
  </si>
  <si>
    <t>2021/7/11</t>
  </si>
  <si>
    <t>2021/7/12</t>
  </si>
  <si>
    <t>2021/7/13</t>
  </si>
  <si>
    <t>2021/7/14</t>
  </si>
  <si>
    <t>2021/7/15</t>
  </si>
  <si>
    <t>2021/7/16</t>
  </si>
  <si>
    <t>2021/7/17</t>
  </si>
  <si>
    <t>2021/7/18</t>
  </si>
  <si>
    <t>2021/7/19</t>
  </si>
  <si>
    <t>2021/7/20</t>
  </si>
  <si>
    <t>2021/7/21</t>
  </si>
  <si>
    <t>2021/7/22</t>
  </si>
  <si>
    <t>2021/7/23</t>
  </si>
  <si>
    <t>2021/7/24</t>
  </si>
  <si>
    <t>2021/7/25</t>
  </si>
  <si>
    <t>2021/7/26</t>
  </si>
  <si>
    <t>2021/7/27</t>
  </si>
  <si>
    <t>2021/7/28</t>
  </si>
  <si>
    <t>2021/7/29</t>
  </si>
  <si>
    <t>2021/7/30</t>
  </si>
  <si>
    <t>2021/7/31</t>
  </si>
  <si>
    <t>2021/8/1</t>
  </si>
  <si>
    <t>2021/8/2</t>
  </si>
  <si>
    <t>2021/8/3</t>
  </si>
  <si>
    <t>2021/8/4</t>
  </si>
  <si>
    <t>2021/8/5</t>
  </si>
  <si>
    <t>2021/8/6</t>
  </si>
  <si>
    <t>2021/8/7</t>
  </si>
  <si>
    <t>2021/8/8</t>
  </si>
  <si>
    <t>2021/8/9</t>
  </si>
  <si>
    <t>2021/8/10</t>
  </si>
  <si>
    <t>2021/8/11</t>
  </si>
  <si>
    <t>2021/8/12</t>
  </si>
  <si>
    <t>2021/8/13</t>
  </si>
  <si>
    <t>2021/8/14</t>
  </si>
  <si>
    <t>2021/8/15</t>
  </si>
  <si>
    <t>2021/8/16</t>
  </si>
  <si>
    <t>2021/8/17</t>
  </si>
  <si>
    <t>2021/8/18</t>
  </si>
  <si>
    <t>2021/8/19</t>
  </si>
  <si>
    <t>2021/8/20</t>
  </si>
  <si>
    <t>2021/8/21</t>
  </si>
  <si>
    <t>2021/8/22</t>
  </si>
  <si>
    <t>2021/8/23</t>
  </si>
  <si>
    <t>2021/8/24</t>
  </si>
  <si>
    <t>2021/8/25</t>
  </si>
  <si>
    <t>2021/8/26</t>
  </si>
  <si>
    <t>2021/8/27</t>
  </si>
  <si>
    <t>2021/8/28</t>
  </si>
  <si>
    <t>2021/8/29</t>
  </si>
  <si>
    <t>2021/8/30</t>
  </si>
  <si>
    <t>2021/8/31</t>
  </si>
  <si>
    <t>2021/9/1</t>
  </si>
  <si>
    <t>2021/9/2</t>
  </si>
  <si>
    <t>2021/9/3</t>
  </si>
  <si>
    <t>2021/9/4</t>
  </si>
  <si>
    <t>2021/9/5</t>
  </si>
  <si>
    <t>2021/9/6</t>
  </si>
  <si>
    <t>2021/9/7</t>
  </si>
  <si>
    <t>2021/9/8</t>
  </si>
  <si>
    <t>2021/9/9</t>
  </si>
  <si>
    <t>2021/9/10</t>
  </si>
  <si>
    <t>2021/9/11</t>
  </si>
  <si>
    <t>2021/9/12</t>
  </si>
  <si>
    <t>2021/9/13</t>
  </si>
  <si>
    <t>2021/9/14</t>
  </si>
  <si>
    <t>2021/9/15</t>
  </si>
  <si>
    <t>2021/9/16</t>
  </si>
  <si>
    <t>2021/9/17</t>
  </si>
  <si>
    <t>2021/9/18</t>
  </si>
  <si>
    <t>2021/9/19</t>
  </si>
  <si>
    <t>2021/9/20</t>
  </si>
  <si>
    <t>2021/9/21</t>
  </si>
  <si>
    <t>2021/9/22</t>
  </si>
  <si>
    <t>2021/9/23</t>
  </si>
  <si>
    <t>2021/9/24</t>
  </si>
  <si>
    <t>2021/9/25</t>
  </si>
  <si>
    <t>2021/9/26</t>
  </si>
  <si>
    <t>2021/9/27</t>
  </si>
  <si>
    <t>2021/9/28</t>
  </si>
  <si>
    <t>2021/9/29</t>
  </si>
  <si>
    <t>2021/9/30</t>
  </si>
  <si>
    <t>2021/10/1</t>
  </si>
  <si>
    <t>2021/10/2</t>
  </si>
  <si>
    <t>2021/10/3</t>
  </si>
  <si>
    <t>2021/10/4</t>
  </si>
  <si>
    <t>2021/10/5</t>
  </si>
  <si>
    <t>2021/10/6</t>
  </si>
  <si>
    <t>2021/10/7</t>
  </si>
  <si>
    <t>2021/10/8</t>
  </si>
  <si>
    <t>2021/10/9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</si>
  <si>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</si>
  <si>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</si>
  <si>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</si>
  <si>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</si>
  <si>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</si>
  <si>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</si>
  <si>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</si>
  <si>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</si>
  <si>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</si>
  <si>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</si>
  <si>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</si>
  <si>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</si>
  <si>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</si>
  <si>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</si>
  <si>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</si>
  <si>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</si>
  <si>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</si>
  <si>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</si>
  <si>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</si>
  <si>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</si>
  <si>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</si>
  <si>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</si>
  <si>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2021/11/1</t>
  </si>
  <si>
    <t>2021/11/2</t>
  </si>
  <si>
    <t>2021/11/3</t>
  </si>
  <si>
    <t>2021/11/4</t>
  </si>
  <si>
    <t>2021/11/5</t>
  </si>
  <si>
    <t>2021/11/6</t>
  </si>
  <si>
    <t>2021/11/7</t>
  </si>
  <si>
    <t>2021/11/8</t>
  </si>
  <si>
    <t>2021/11/9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</si>
  <si>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</si>
  <si>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</si>
  <si>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</si>
  <si>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</si>
  <si>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</si>
  <si>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</si>
  <si>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</si>
  <si>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</si>
  <si>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</si>
  <si>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</si>
  <si>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</si>
  <si>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</si>
  <si>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</si>
  <si>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</si>
  <si>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</si>
  <si>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</si>
  <si>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</si>
  <si>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</si>
  <si>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</si>
  <si>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</si>
  <si>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</si>
  <si>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2021/12/1</t>
  </si>
  <si>
    <t>2021/12/2</t>
  </si>
  <si>
    <t>2021/12/3</t>
  </si>
  <si>
    <t>2021/12/4</t>
  </si>
  <si>
    <t>2021/12/5</t>
  </si>
  <si>
    <t>2021/12/6</t>
  </si>
  <si>
    <t>2021/12/7</t>
  </si>
  <si>
    <t>2021/12/8</t>
  </si>
  <si>
    <t>2021/12/9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</si>
  <si>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</si>
  <si>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</si>
  <si>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</si>
  <si>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</si>
  <si>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</si>
  <si>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</si>
  <si>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</si>
  <si>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</si>
  <si>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</si>
  <si>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</si>
  <si>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</si>
  <si>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</si>
  <si>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</si>
  <si>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</si>
  <si>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</si>
  <si>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</si>
  <si>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</si>
  <si>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</si>
  <si>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</si>
  <si>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</si>
  <si>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</si>
  <si>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</si>
  <si>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2022/1/1</t>
  </si>
  <si>
    <t>2022/1/2</t>
  </si>
  <si>
    <t>2022/1/3</t>
  </si>
  <si>
    <t>2022/1/4</t>
  </si>
  <si>
    <t>2022/1/5</t>
  </si>
  <si>
    <t>2022/1/6</t>
  </si>
  <si>
    <t>2022/1/7</t>
  </si>
  <si>
    <t>2022/1/8</t>
  </si>
  <si>
    <t>2022/1/9</t>
  </si>
  <si>
    <t>2022/1/10</t>
  </si>
  <si>
    <t>2022/1/11</t>
  </si>
  <si>
    <t>2022/1/12</t>
  </si>
  <si>
    <t>2022/1/13</t>
  </si>
  <si>
    <t>2022/1/14</t>
  </si>
  <si>
    <t>2022/1/15</t>
  </si>
  <si>
    <t>2022/1/16</t>
  </si>
  <si>
    <t>2022/1/17</t>
  </si>
  <si>
    <t>2022/1/18</t>
  </si>
  <si>
    <t>2022/1/19</t>
  </si>
  <si>
    <t>2022/1/20</t>
  </si>
  <si>
    <t>2022/1/21</t>
  </si>
  <si>
    <t>2022/1/22</t>
  </si>
  <si>
    <t>2022/1/23</t>
  </si>
  <si>
    <t>2022/1/24</t>
  </si>
  <si>
    <t>2022/1/25</t>
  </si>
  <si>
    <t>2022/1/26</t>
  </si>
  <si>
    <t>2022/1/27</t>
  </si>
  <si>
    <t>2022/1/28</t>
  </si>
  <si>
    <t>2022/1/29</t>
  </si>
  <si>
    <t>2022/1/30</t>
  </si>
  <si>
    <t>2022/1/31</t>
  </si>
  <si>
    <t>2022/2/1</t>
  </si>
  <si>
    <t>2022/2/2</t>
  </si>
  <si>
    <t>2022/2/3</t>
  </si>
  <si>
    <t>2022/2/4</t>
  </si>
  <si>
    <t>2022/2/5</t>
  </si>
  <si>
    <t>2022/2/6</t>
  </si>
  <si>
    <t>2022/2/7</t>
  </si>
  <si>
    <t>2022/2/8</t>
  </si>
  <si>
    <t>2022/2/9</t>
  </si>
  <si>
    <t>2022/2/10</t>
  </si>
  <si>
    <t>2022/2/11</t>
  </si>
  <si>
    <t>2022/2/12</t>
  </si>
  <si>
    <t>2022/2/13</t>
  </si>
  <si>
    <t>2022/2/14</t>
  </si>
  <si>
    <t>2022/2/15</t>
  </si>
  <si>
    <t>2022/2/16</t>
  </si>
  <si>
    <t>2022/2/17</t>
  </si>
  <si>
    <t>2022/2/18</t>
  </si>
  <si>
    <t>2022/2/19</t>
  </si>
  <si>
    <t>2022/2/20</t>
  </si>
  <si>
    <t>2022/2/21</t>
  </si>
  <si>
    <t>2022/2/22</t>
  </si>
  <si>
    <t>2022/2/23</t>
  </si>
  <si>
    <t>2022/2/24</t>
  </si>
  <si>
    <t>2022/2/25</t>
  </si>
  <si>
    <t>2022/2/26</t>
  </si>
  <si>
    <t>2022/2/27</t>
  </si>
  <si>
    <t>2022/2/28</t>
  </si>
  <si>
    <t>2022/3/1</t>
  </si>
  <si>
    <t>2022/3/2</t>
  </si>
  <si>
    <t>2022/3/3</t>
  </si>
  <si>
    <t>2022/3/4</t>
  </si>
  <si>
    <t>2022/3/5</t>
  </si>
  <si>
    <t>2022/3/6</t>
  </si>
  <si>
    <t>2022/3/7</t>
  </si>
  <si>
    <t>2022/3/8</t>
  </si>
  <si>
    <t>2022/3/9</t>
  </si>
  <si>
    <t>2022/3/10</t>
  </si>
  <si>
    <t>2022/3/11</t>
  </si>
  <si>
    <t>2022/3/12</t>
  </si>
  <si>
    <t>2022/3/13</t>
  </si>
  <si>
    <t>2022/3/14</t>
  </si>
  <si>
    <t>2022/3/15</t>
  </si>
  <si>
    <t>2022/3/16</t>
  </si>
  <si>
    <t>2022/3/17</t>
  </si>
  <si>
    <t>2022/3/18</t>
  </si>
  <si>
    <t>2022/3/19</t>
  </si>
  <si>
    <t>2022/3/20</t>
  </si>
  <si>
    <t>2022/3/21</t>
  </si>
  <si>
    <t>2022/3/22</t>
  </si>
  <si>
    <t>2022/3/23</t>
  </si>
  <si>
    <t>2022/3/24</t>
  </si>
  <si>
    <t>2022/3/25</t>
  </si>
  <si>
    <t>2022/3/26</t>
  </si>
  <si>
    <t>2022/3/27</t>
  </si>
  <si>
    <t>2022/3/28</t>
  </si>
  <si>
    <t>2022/3/29</t>
  </si>
  <si>
    <t>2022/3/30</t>
  </si>
  <si>
    <t>2022/3/31</t>
  </si>
  <si>
    <t>2022/4/1</t>
  </si>
  <si>
    <t>2022/4/2</t>
  </si>
  <si>
    <t>2022/4/3</t>
  </si>
  <si>
    <t>2022/4/4</t>
  </si>
  <si>
    <t>2022/4/5</t>
  </si>
  <si>
    <t>2022/4/6</t>
  </si>
  <si>
    <t>2022/4/7</t>
  </si>
  <si>
    <t>2022/4/8</t>
  </si>
  <si>
    <t>2022/4/9</t>
  </si>
  <si>
    <t>2022/4/10</t>
  </si>
  <si>
    <t>2022/4/11</t>
  </si>
  <si>
    <t>2022/4/12</t>
  </si>
  <si>
    <t>2022/4/13</t>
  </si>
  <si>
    <t>2022/4/14</t>
  </si>
  <si>
    <t>2022/4/15</t>
  </si>
  <si>
    <t>2022/4/16</t>
  </si>
  <si>
    <t>2022/4/17</t>
  </si>
  <si>
    <t>2022/4/18</t>
  </si>
  <si>
    <t>2022/4/19</t>
  </si>
  <si>
    <t>2022/4/20</t>
  </si>
  <si>
    <t>2022/4/21</t>
  </si>
  <si>
    <t>2022/4/22</t>
  </si>
  <si>
    <t>2022/4/23</t>
  </si>
  <si>
    <t>2022/4/24</t>
  </si>
  <si>
    <t>2022/4/25</t>
  </si>
  <si>
    <t>2022/4/26</t>
  </si>
  <si>
    <t>2022/4/27</t>
  </si>
  <si>
    <t>2022/4/28</t>
  </si>
  <si>
    <t>2022/4/29</t>
  </si>
  <si>
    <t>2022/4/30</t>
  </si>
  <si>
    <t>横坐标</t>
  </si>
  <si>
    <t>备注</t>
  </si>
  <si>
    <t>数据从2023年开始记录</t>
  </si>
  <si>
    <t>2021年未测水位</t>
  </si>
  <si>
    <t>30456 19.868</t>
  </si>
  <si>
    <t>水位数据于2023年10月开始记录</t>
  </si>
  <si>
    <t>30457 19.868</t>
  </si>
  <si>
    <t>30458 19.868</t>
  </si>
  <si>
    <t>30459 19.868</t>
  </si>
  <si>
    <t>30460 19.868</t>
  </si>
  <si>
    <t>30461 19.868</t>
  </si>
  <si>
    <t>30462 19.868</t>
  </si>
  <si>
    <t>30463 19.868</t>
  </si>
  <si>
    <t>30464 19.868</t>
  </si>
  <si>
    <t>30465 19.868</t>
  </si>
  <si>
    <t>30466 19.868</t>
  </si>
  <si>
    <t>30467 19.868</t>
  </si>
  <si>
    <t>30468 19.868</t>
  </si>
  <si>
    <t>30469 19.868</t>
  </si>
  <si>
    <t>30470 19.868</t>
  </si>
  <si>
    <t>30471 19.868</t>
  </si>
  <si>
    <t>30472 19.868</t>
  </si>
  <si>
    <t>30473 19.868</t>
  </si>
  <si>
    <t>30474 19.868</t>
  </si>
  <si>
    <t>30475 19.868</t>
  </si>
  <si>
    <t>30476 19.868</t>
  </si>
  <si>
    <t>30477 19.868</t>
  </si>
  <si>
    <t>30478 19.868</t>
  </si>
  <si>
    <t>30479 19.868</t>
  </si>
  <si>
    <t>30480 19.868</t>
  </si>
  <si>
    <t>30481 19.868</t>
  </si>
  <si>
    <t>30482 19.868</t>
  </si>
  <si>
    <t>30483 19.868</t>
  </si>
  <si>
    <t>30484 19.868</t>
  </si>
  <si>
    <t>30485 19.868</t>
  </si>
  <si>
    <t>30486 19.868</t>
  </si>
  <si>
    <t>30487 19.868</t>
  </si>
  <si>
    <t>30488 19.868</t>
  </si>
  <si>
    <t>30489 19.868</t>
  </si>
  <si>
    <t>30490 19.868</t>
  </si>
  <si>
    <t>30491 19.868</t>
  </si>
  <si>
    <t>30492 19.868</t>
  </si>
  <si>
    <t>30493 19.868</t>
  </si>
  <si>
    <t>30494 19.868</t>
  </si>
  <si>
    <t>30495 19.868</t>
  </si>
  <si>
    <t>30496 19.868</t>
  </si>
  <si>
    <t>30497 19.868</t>
  </si>
  <si>
    <t>30498 19.868</t>
  </si>
  <si>
    <t>30499 19.868</t>
  </si>
  <si>
    <t>30500 19.868</t>
  </si>
  <si>
    <t>30501 19.868</t>
  </si>
  <si>
    <t>30502 19.868</t>
  </si>
  <si>
    <t>30503 19.868</t>
  </si>
  <si>
    <t>30504 19.868</t>
  </si>
  <si>
    <t>30505 19.868</t>
  </si>
  <si>
    <t>30506 19.868</t>
  </si>
  <si>
    <t>30507 19.868</t>
  </si>
  <si>
    <t>30508 19.868</t>
  </si>
  <si>
    <t>30509 19.868</t>
  </si>
  <si>
    <t>30510 19.868</t>
  </si>
  <si>
    <t>30511 19.868</t>
  </si>
  <si>
    <t>30512 19.868</t>
  </si>
  <si>
    <t>30513 19.868</t>
  </si>
  <si>
    <t>30514 19.868</t>
  </si>
  <si>
    <t>30515 19.868</t>
  </si>
  <si>
    <t>30516 19.868</t>
  </si>
  <si>
    <t>30517 19.868</t>
  </si>
  <si>
    <t>30518 19.868</t>
  </si>
  <si>
    <t>30519 19.868</t>
  </si>
  <si>
    <t>30520 19.868</t>
  </si>
  <si>
    <t>30521 19.868</t>
  </si>
  <si>
    <t>30522 19.868</t>
  </si>
  <si>
    <t>30523 19.868</t>
  </si>
  <si>
    <t>30524 19.868</t>
  </si>
  <si>
    <t>30525 19.868</t>
  </si>
  <si>
    <t>30526 19.868</t>
  </si>
  <si>
    <t>30527 19.868</t>
  </si>
  <si>
    <t>30528 19.868</t>
  </si>
  <si>
    <t>30529 19.868</t>
  </si>
  <si>
    <t>30530 19.868</t>
  </si>
  <si>
    <t>30531 19.868</t>
  </si>
  <si>
    <t>30532 19.868</t>
  </si>
  <si>
    <t>30533 19.868</t>
  </si>
  <si>
    <t>30534 19.868</t>
  </si>
  <si>
    <t>30535 19.868</t>
  </si>
  <si>
    <t>30536 19.868</t>
  </si>
  <si>
    <t>30537 19.868</t>
  </si>
  <si>
    <t>30538 19.868</t>
  </si>
  <si>
    <t>30539 19.868</t>
  </si>
  <si>
    <t>30540 19.868</t>
  </si>
  <si>
    <t>30541 19.868</t>
  </si>
  <si>
    <t>30542 19.868</t>
  </si>
  <si>
    <t>30543 19.868</t>
  </si>
  <si>
    <t>30544 19.868</t>
  </si>
  <si>
    <t>30545 19.868</t>
  </si>
  <si>
    <t>30546 19.868</t>
  </si>
  <si>
    <t>30547 19.868</t>
  </si>
  <si>
    <t>30548 19.868</t>
  </si>
  <si>
    <t>30549 19.868</t>
  </si>
  <si>
    <t>30550 19.868</t>
  </si>
  <si>
    <t>30551 19.868</t>
  </si>
  <si>
    <t>30552 19.868</t>
  </si>
  <si>
    <t>30553 19.868</t>
  </si>
  <si>
    <t>30554 19.868</t>
  </si>
  <si>
    <t>30555 19.868</t>
  </si>
  <si>
    <t>30556 19.868</t>
  </si>
  <si>
    <t>30557 19.868</t>
  </si>
  <si>
    <t>30558 19.868</t>
  </si>
  <si>
    <t>30559 19.868</t>
  </si>
  <si>
    <t>30560 19.868</t>
  </si>
  <si>
    <t>30561 19.868</t>
  </si>
  <si>
    <t>30562 19.868</t>
  </si>
  <si>
    <t>30563 19.868</t>
  </si>
  <si>
    <t>30564 19.868</t>
  </si>
  <si>
    <t>30565 19.868</t>
  </si>
  <si>
    <t>30566 19.868</t>
  </si>
  <si>
    <t>30567 19.868</t>
  </si>
  <si>
    <t>30568 19.868</t>
  </si>
  <si>
    <t>30569 19.868</t>
  </si>
  <si>
    <t>30570 19.868</t>
  </si>
  <si>
    <t>30571 19.868</t>
  </si>
  <si>
    <t>30572 19.868</t>
  </si>
  <si>
    <t>30573 19.868</t>
  </si>
  <si>
    <t>30574 19.868</t>
  </si>
  <si>
    <t>30575 19.868</t>
  </si>
  <si>
    <t>30576 19.868</t>
  </si>
  <si>
    <t>30577 19.868</t>
  </si>
  <si>
    <t>30578 19.868</t>
  </si>
  <si>
    <t>30579 19.868</t>
  </si>
  <si>
    <t>30580 19.868</t>
  </si>
  <si>
    <t>30581 19.868</t>
  </si>
  <si>
    <t>30582 19.868</t>
  </si>
  <si>
    <t>30583 19.868</t>
  </si>
  <si>
    <t>30584 19.868</t>
  </si>
  <si>
    <t>30585 19.868</t>
  </si>
  <si>
    <t>30586 19.868</t>
  </si>
  <si>
    <t>30587 19.868</t>
  </si>
  <si>
    <t>30588 19.868</t>
  </si>
  <si>
    <t>30589 19.868</t>
  </si>
  <si>
    <t>30590 19.868</t>
  </si>
  <si>
    <t>30591 19.868</t>
  </si>
  <si>
    <t>30592 19.868</t>
  </si>
  <si>
    <t>30593 19.868</t>
  </si>
  <si>
    <t>30594 19.868</t>
  </si>
  <si>
    <t>30595 19.868</t>
  </si>
  <si>
    <t>30596 19.868</t>
  </si>
  <si>
    <t>30597 19.868</t>
  </si>
  <si>
    <t>30598 19.868</t>
  </si>
  <si>
    <t>30599 19.868</t>
  </si>
  <si>
    <t>30600 19.868</t>
  </si>
  <si>
    <t>30601 19.868</t>
  </si>
  <si>
    <t>30602 19.868</t>
  </si>
  <si>
    <t>30603 19.868</t>
  </si>
  <si>
    <t>30604 19.868</t>
  </si>
  <si>
    <t>30605 19.868</t>
  </si>
  <si>
    <t>30606 19.868</t>
  </si>
  <si>
    <t>30607 19.868</t>
  </si>
  <si>
    <t>30608 19.868</t>
  </si>
  <si>
    <t>30609 19.868</t>
  </si>
  <si>
    <t>30610 19.868</t>
  </si>
  <si>
    <t>30611 19.868</t>
  </si>
  <si>
    <t>30612 19.868</t>
  </si>
  <si>
    <t>30613 19.868</t>
  </si>
  <si>
    <t>30614 19.868</t>
  </si>
  <si>
    <t>30615 19.868</t>
  </si>
  <si>
    <t>30616 19.868</t>
  </si>
  <si>
    <t>30617 19.868</t>
  </si>
  <si>
    <t>30618 19.868</t>
  </si>
  <si>
    <t>30619 19.868</t>
  </si>
  <si>
    <t>30620 19.868</t>
  </si>
  <si>
    <t>30621 19.868</t>
  </si>
  <si>
    <t>30622 19.868</t>
  </si>
  <si>
    <t>30623 19.868</t>
  </si>
  <si>
    <t>30624 19.868</t>
  </si>
  <si>
    <t>30625 19.868</t>
  </si>
  <si>
    <t>30626 19.868</t>
  </si>
  <si>
    <t>30627 19.868</t>
  </si>
  <si>
    <t>30628 19.868</t>
  </si>
  <si>
    <t>30629 19.868</t>
  </si>
  <si>
    <t>30630 19.868</t>
  </si>
  <si>
    <t>30631 19.868</t>
  </si>
  <si>
    <t>30632 19.868</t>
  </si>
  <si>
    <t>30633 19.868</t>
  </si>
  <si>
    <t>30634 19.868</t>
  </si>
  <si>
    <t>30635 19.868</t>
  </si>
  <si>
    <t>30636 19.868</t>
  </si>
  <si>
    <t>30637 19.868</t>
  </si>
  <si>
    <t>30638 19.868</t>
  </si>
  <si>
    <t>30639 19.868</t>
  </si>
  <si>
    <t>30640 19.868</t>
  </si>
  <si>
    <t>30641 19.868</t>
  </si>
  <si>
    <t>30642 19.868</t>
  </si>
  <si>
    <t>30643 19.868</t>
  </si>
  <si>
    <t>30644 19.868</t>
  </si>
  <si>
    <t>30645 19.868</t>
  </si>
  <si>
    <t>30646 19.868</t>
  </si>
  <si>
    <t>30647 19.868</t>
  </si>
  <si>
    <t>30648 19.868</t>
  </si>
  <si>
    <t>30649 19.868</t>
  </si>
  <si>
    <t>30650 19.868</t>
  </si>
  <si>
    <t>30651 19.868</t>
  </si>
  <si>
    <t>30652 19.868</t>
  </si>
  <si>
    <t>30653 19.868</t>
  </si>
  <si>
    <t>30654 19.868</t>
  </si>
  <si>
    <t>30655 19.868</t>
  </si>
  <si>
    <t>30656 19.868</t>
  </si>
  <si>
    <t>30657 19.868</t>
  </si>
  <si>
    <t>30658 19.868</t>
  </si>
  <si>
    <t>30659 19.868</t>
  </si>
  <si>
    <t>30660 19.868</t>
  </si>
  <si>
    <t>30661 19.868</t>
  </si>
  <si>
    <t>30662 19.868</t>
  </si>
  <si>
    <t>30663 19.868</t>
  </si>
  <si>
    <t>30664 19.868</t>
  </si>
  <si>
    <t>30665 19.868</t>
  </si>
  <si>
    <t>30666 19.868</t>
  </si>
  <si>
    <t>30667 19.868</t>
  </si>
  <si>
    <t>30668 19.868</t>
  </si>
  <si>
    <t>30669 19.868</t>
  </si>
  <si>
    <t>30670 19.868</t>
  </si>
  <si>
    <t>30671 19.868</t>
  </si>
  <si>
    <t>30672 19.868</t>
  </si>
  <si>
    <t>30673 19.868</t>
  </si>
  <si>
    <t>30674 19.868</t>
  </si>
  <si>
    <t>30675 19.868</t>
  </si>
  <si>
    <t>30676 19.868</t>
  </si>
  <si>
    <t>30677 19.868</t>
  </si>
  <si>
    <t>30678 19.868</t>
  </si>
  <si>
    <t>30679 19.868</t>
  </si>
  <si>
    <t>30680 19.868</t>
  </si>
  <si>
    <t>30681 19.868</t>
  </si>
  <si>
    <t>30682 19.868</t>
  </si>
  <si>
    <t>30683 19.868</t>
  </si>
  <si>
    <t>30684 19.868</t>
  </si>
  <si>
    <t>30685 19.868</t>
  </si>
  <si>
    <t>30686 19.868</t>
  </si>
  <si>
    <t>30687 19.868</t>
  </si>
  <si>
    <t>30688 19.868</t>
  </si>
  <si>
    <t>30689 19.868</t>
  </si>
  <si>
    <t>30690 19.868</t>
  </si>
  <si>
    <t>30691 19.868</t>
  </si>
  <si>
    <t>30692 19.868</t>
  </si>
  <si>
    <t>30693 19.868</t>
  </si>
  <si>
    <t>30694 19.868</t>
  </si>
  <si>
    <t>30695 19.868</t>
  </si>
  <si>
    <t>30696 19.868</t>
  </si>
  <si>
    <t>30697 19.868</t>
  </si>
  <si>
    <t>30698 19.868</t>
  </si>
  <si>
    <t>30699 19.868</t>
  </si>
  <si>
    <t>30700 19.868</t>
  </si>
  <si>
    <t>30701 19.868</t>
  </si>
  <si>
    <t>30702 19.868</t>
  </si>
  <si>
    <t>30703 19.868</t>
  </si>
  <si>
    <t>30704 19.868</t>
  </si>
  <si>
    <t>30705 19.868</t>
  </si>
  <si>
    <t>30706 19.868</t>
  </si>
  <si>
    <t>30707 19.868</t>
  </si>
  <si>
    <t>30708 19.868</t>
  </si>
  <si>
    <t>30709 19.868</t>
  </si>
  <si>
    <t>30710 19.868</t>
  </si>
  <si>
    <t>30711 19.868</t>
  </si>
  <si>
    <t>30712 19.868</t>
  </si>
  <si>
    <t>30713 19.868</t>
  </si>
  <si>
    <t>30714 19.868</t>
  </si>
  <si>
    <t>30715 19.868</t>
  </si>
  <si>
    <t>30716 19.868</t>
  </si>
  <si>
    <t>30717 19.868</t>
  </si>
  <si>
    <t>30718 19.868</t>
  </si>
  <si>
    <t>30719 19.868</t>
  </si>
  <si>
    <t>30720 19.868</t>
  </si>
  <si>
    <t>30721 19.868</t>
  </si>
  <si>
    <t>30722 19.868</t>
  </si>
  <si>
    <t>30723 19.868</t>
  </si>
  <si>
    <t>30724 19.868</t>
  </si>
  <si>
    <t>30725 19.868</t>
  </si>
  <si>
    <t>30726 19.868</t>
  </si>
  <si>
    <t>30727 19.868</t>
  </si>
  <si>
    <t>30728 19.868</t>
  </si>
  <si>
    <t>30729 19.868</t>
  </si>
  <si>
    <t>30730 19.868</t>
  </si>
  <si>
    <t>30731 19.868</t>
  </si>
  <si>
    <t>30732 19.868</t>
  </si>
  <si>
    <t>30733 19.868</t>
  </si>
  <si>
    <t>30734 19.868</t>
  </si>
  <si>
    <t>30735 19.868</t>
  </si>
  <si>
    <t>30736 19.868</t>
  </si>
  <si>
    <t>30737 19.868</t>
  </si>
  <si>
    <t>30738 19.868</t>
  </si>
  <si>
    <t>30739 19.868</t>
  </si>
  <si>
    <t>30740 19.868</t>
  </si>
  <si>
    <t>30741 19.868</t>
  </si>
  <si>
    <t>30742 19.868</t>
  </si>
  <si>
    <t>30743 19.868</t>
  </si>
  <si>
    <t>30744 19.868</t>
  </si>
  <si>
    <t>30745 19.868</t>
  </si>
  <si>
    <t>30746 19.868</t>
  </si>
  <si>
    <t>30747 19.868</t>
  </si>
  <si>
    <t>30748 19.868</t>
  </si>
  <si>
    <t>30749 19.868</t>
  </si>
  <si>
    <t>30750 19.868</t>
  </si>
  <si>
    <t>30751 19.868</t>
  </si>
  <si>
    <t>30752 19.868</t>
  </si>
  <si>
    <t>30753 19.868</t>
  </si>
  <si>
    <t>30754 19.868</t>
  </si>
  <si>
    <t>30755 19.868</t>
  </si>
  <si>
    <t>30756 19.868</t>
  </si>
  <si>
    <t>30757 19.868</t>
  </si>
  <si>
    <t>30758 19.868</t>
  </si>
  <si>
    <t>30759 19.868</t>
  </si>
  <si>
    <t>30760 19.868</t>
  </si>
  <si>
    <t>30761 19.868</t>
  </si>
  <si>
    <t>30762 19.868</t>
  </si>
  <si>
    <t>30763 19.868</t>
  </si>
  <si>
    <t>30764 19.868</t>
  </si>
  <si>
    <t>30765 19.868</t>
  </si>
  <si>
    <t>30766 19.868</t>
  </si>
  <si>
    <t>30767 19.868</t>
  </si>
  <si>
    <t>30768 19.868</t>
  </si>
  <si>
    <t>30769 19.868</t>
  </si>
  <si>
    <t>30770 19.868</t>
  </si>
  <si>
    <t>30771 19.868</t>
  </si>
  <si>
    <t>30772 19.868</t>
  </si>
  <si>
    <t>30773 19.868</t>
  </si>
  <si>
    <t>30774 19.868</t>
  </si>
  <si>
    <t>30775 19.868</t>
  </si>
  <si>
    <t>30776 19.868</t>
  </si>
  <si>
    <t>30777 19.868</t>
  </si>
  <si>
    <t>30778 19.868</t>
  </si>
  <si>
    <t>30779 19.868</t>
  </si>
  <si>
    <t>30780 19.868</t>
  </si>
  <si>
    <t>30781 19.868</t>
  </si>
  <si>
    <t>30782 19.868</t>
  </si>
  <si>
    <t>30783 19.868</t>
  </si>
  <si>
    <t>30784 19.868</t>
  </si>
  <si>
    <t>30785 19.868</t>
  </si>
  <si>
    <t>30786 19.868</t>
  </si>
  <si>
    <t>30787 19.868</t>
  </si>
  <si>
    <t>30788 19.868</t>
  </si>
  <si>
    <t>30789 19.868</t>
  </si>
  <si>
    <t>30790 19.868</t>
  </si>
  <si>
    <t>30791 19.868</t>
  </si>
  <si>
    <t>30792 19.868</t>
  </si>
  <si>
    <t>30793 19.868</t>
  </si>
  <si>
    <t>30794 19.868</t>
  </si>
  <si>
    <t>30795 19.868</t>
  </si>
  <si>
    <t>30796 19.868</t>
  </si>
  <si>
    <t>30797 19.868</t>
  </si>
  <si>
    <t>30798 19.868</t>
  </si>
  <si>
    <t>30799 19.868</t>
  </si>
  <si>
    <t>30800 19.868</t>
  </si>
  <si>
    <t>30801 19.868</t>
  </si>
  <si>
    <t>30802 19.868</t>
  </si>
  <si>
    <t>30803 19.868</t>
  </si>
  <si>
    <t>30804 19.868</t>
  </si>
  <si>
    <t>30805 19.868</t>
  </si>
  <si>
    <t>30806 19.868</t>
  </si>
  <si>
    <t>30807 19.868</t>
  </si>
  <si>
    <t>30808 19.868</t>
  </si>
  <si>
    <t>30809 19.868</t>
  </si>
  <si>
    <t>30810 19.868</t>
  </si>
  <si>
    <t>30811 19.868</t>
  </si>
  <si>
    <t>30812 19.868</t>
  </si>
  <si>
    <t>30813 19.868</t>
  </si>
  <si>
    <t>30814 19.868</t>
  </si>
  <si>
    <t>30815 19.868</t>
  </si>
  <si>
    <t>30816 19.868</t>
  </si>
  <si>
    <t>30817 19.868</t>
  </si>
  <si>
    <t>30818 19.868</t>
  </si>
  <si>
    <t>30819 19.868</t>
  </si>
  <si>
    <t>30820 19.868</t>
  </si>
  <si>
    <t>30821 19.868</t>
  </si>
  <si>
    <t>30822 19.868</t>
  </si>
  <si>
    <t>30823 19.868</t>
  </si>
  <si>
    <t>30824 19.868</t>
  </si>
  <si>
    <t>30825 19.868</t>
  </si>
  <si>
    <t>30826 19.868</t>
  </si>
  <si>
    <t>30827 19.868</t>
  </si>
  <si>
    <t>30828 19.868</t>
  </si>
  <si>
    <t>30829 19.868</t>
  </si>
  <si>
    <t>30830 19.868</t>
  </si>
  <si>
    <t>30831 19.868</t>
  </si>
  <si>
    <t>30832 19.868</t>
  </si>
  <si>
    <t>30833 19.868</t>
  </si>
  <si>
    <t>30834 19.868</t>
  </si>
  <si>
    <t>30835 19.868</t>
  </si>
  <si>
    <t>30836 19.868</t>
  </si>
  <si>
    <t>30837 19.868</t>
  </si>
  <si>
    <t>30838 19.868</t>
  </si>
  <si>
    <t>30839 19.868</t>
  </si>
  <si>
    <t>30840 19.868</t>
  </si>
  <si>
    <t>30841 19.868</t>
  </si>
  <si>
    <t>30842 19.868</t>
  </si>
  <si>
    <t>30843 19.868</t>
  </si>
  <si>
    <t>30844 19.868</t>
  </si>
  <si>
    <t>30845 19.868</t>
  </si>
  <si>
    <t>30846 19.868</t>
  </si>
  <si>
    <t>30847 19.868</t>
  </si>
  <si>
    <t>30848 19.868</t>
  </si>
  <si>
    <t>30849 19.868</t>
  </si>
  <si>
    <t>30850 19.868</t>
  </si>
  <si>
    <t>30851 19.868</t>
  </si>
  <si>
    <t>30852 19.868</t>
  </si>
  <si>
    <t>30853 19.868</t>
  </si>
  <si>
    <t>30854 19.868</t>
  </si>
  <si>
    <t>30855 19.868</t>
  </si>
  <si>
    <t>30856 19.868</t>
  </si>
  <si>
    <t>30857 19.868</t>
  </si>
  <si>
    <t>30858 19.868</t>
  </si>
  <si>
    <t>30859 19.868</t>
  </si>
  <si>
    <t>30860 19.868</t>
  </si>
  <si>
    <t>30861 19.868</t>
  </si>
  <si>
    <t>30862 19.868</t>
  </si>
  <si>
    <t>30863 19.868</t>
  </si>
  <si>
    <t>30864 19.868</t>
  </si>
  <si>
    <t>30865 19.868</t>
  </si>
  <si>
    <t>30866 19.868</t>
  </si>
  <si>
    <t>30867 19.868</t>
  </si>
  <si>
    <t>30868 19.868</t>
  </si>
  <si>
    <t>30869 19.868</t>
  </si>
  <si>
    <t>30870 19.868</t>
  </si>
  <si>
    <t>30871 19.868</t>
  </si>
  <si>
    <t>30872 19.868</t>
  </si>
  <si>
    <t>30873 19.868</t>
  </si>
  <si>
    <t>30874 19.868</t>
  </si>
  <si>
    <t>30875 19.868</t>
  </si>
  <si>
    <t>30876 19.868</t>
  </si>
  <si>
    <t>30877 19.868</t>
  </si>
  <si>
    <t>30878 19.868</t>
  </si>
  <si>
    <t>30879 19.868</t>
  </si>
  <si>
    <t>30880 19.868</t>
  </si>
  <si>
    <t>30881 19.868</t>
  </si>
  <si>
    <t>30882 19.868</t>
  </si>
  <si>
    <t>30883 19.868</t>
  </si>
  <si>
    <t>30884 19.868</t>
  </si>
  <si>
    <t>30885 19.868</t>
  </si>
  <si>
    <t>30886 19.868</t>
  </si>
  <si>
    <t>30887 19.868</t>
  </si>
  <si>
    <t>30888 19.868</t>
  </si>
  <si>
    <t>30889 19.868</t>
  </si>
  <si>
    <t>30890 19.868</t>
  </si>
  <si>
    <t>30891 19.868</t>
  </si>
  <si>
    <t>30892 19.868</t>
  </si>
  <si>
    <t>30893 19.868</t>
  </si>
  <si>
    <t>30894 19.868</t>
  </si>
  <si>
    <t>30895 19.868</t>
  </si>
  <si>
    <t>30896 19.868</t>
  </si>
  <si>
    <t>30897 19.868</t>
  </si>
  <si>
    <t>30898 19.868</t>
  </si>
  <si>
    <t>30899 19.868</t>
  </si>
  <si>
    <t>30900 19.868</t>
  </si>
  <si>
    <t>30901 19.868</t>
  </si>
  <si>
    <t>30902 19.868</t>
  </si>
  <si>
    <t>30903 19.868</t>
  </si>
  <si>
    <t>30904 19.868</t>
  </si>
  <si>
    <t>30905 19.868</t>
  </si>
  <si>
    <t>30906 19.868</t>
  </si>
  <si>
    <t>30907 19.868</t>
  </si>
  <si>
    <t>30908 19.868</t>
  </si>
  <si>
    <t>30909 19.868</t>
  </si>
  <si>
    <t>30910 19.868</t>
  </si>
  <si>
    <t>30911 19.868</t>
  </si>
  <si>
    <t>30912 19.868</t>
  </si>
  <si>
    <t>30913 19.868</t>
  </si>
  <si>
    <t>30914 19.868</t>
  </si>
  <si>
    <t>30915 19.868</t>
  </si>
  <si>
    <t>30916 19.868</t>
  </si>
  <si>
    <t>30917 19.868</t>
  </si>
  <si>
    <t>30918 19.868</t>
  </si>
  <si>
    <t>30919 19.868</t>
  </si>
  <si>
    <t>30920 19.868</t>
  </si>
  <si>
    <t>30921 19.868</t>
  </si>
  <si>
    <t>30922 19.868</t>
  </si>
  <si>
    <t>30923 19.868</t>
  </si>
  <si>
    <t>30924 19.868</t>
  </si>
  <si>
    <t>30925 19.868</t>
  </si>
  <si>
    <t>30926 19.868</t>
  </si>
  <si>
    <t>30927 19.868</t>
  </si>
  <si>
    <t>30928 19.868</t>
  </si>
  <si>
    <t>30929 19.868</t>
  </si>
  <si>
    <t>30930 19.868</t>
  </si>
  <si>
    <t>30931 19.868</t>
  </si>
  <si>
    <t>30932 19.868</t>
  </si>
  <si>
    <t>30933 19.868</t>
  </si>
  <si>
    <t>30934 19.868</t>
  </si>
  <si>
    <t>30935 19.868</t>
  </si>
  <si>
    <t>30936 19.868</t>
  </si>
  <si>
    <t>30937 19.868</t>
  </si>
  <si>
    <t>30938 19.868</t>
  </si>
  <si>
    <t>30939 19.868</t>
  </si>
  <si>
    <t>30940 19.868</t>
  </si>
  <si>
    <t>30941 19.868</t>
  </si>
  <si>
    <t>30942 19.868</t>
  </si>
  <si>
    <t>30943 19.868</t>
  </si>
  <si>
    <t>30944 19.868</t>
  </si>
  <si>
    <t>30945 19.868</t>
  </si>
  <si>
    <t>30946 19.868</t>
  </si>
  <si>
    <t>30947 19.868</t>
  </si>
  <si>
    <t>30948 19.868</t>
  </si>
  <si>
    <t>30949 19.868</t>
  </si>
  <si>
    <t>30950 19.868</t>
  </si>
  <si>
    <t>30951 19.868</t>
  </si>
  <si>
    <t>30952 19.868</t>
  </si>
  <si>
    <t>水位数据于2023年4月开始记录</t>
  </si>
  <si>
    <t>400313. .556</t>
  </si>
  <si>
    <t>从2023年4月开始记录</t>
  </si>
  <si>
    <t>400313. .557</t>
  </si>
  <si>
    <t>400313. .558</t>
  </si>
  <si>
    <t>400313. .559</t>
  </si>
  <si>
    <t>400313. .560</t>
  </si>
  <si>
    <t>400313. .561</t>
  </si>
  <si>
    <t>400313. .562</t>
  </si>
  <si>
    <t>400313. .563</t>
  </si>
  <si>
    <t>400313. .564</t>
  </si>
  <si>
    <t>400313. .565</t>
  </si>
  <si>
    <t>400313. .566</t>
  </si>
  <si>
    <t>400313. .567</t>
  </si>
  <si>
    <t>400313. .568</t>
  </si>
  <si>
    <t>400313. .569</t>
  </si>
  <si>
    <t>400313. .570</t>
  </si>
  <si>
    <t>400313. .571</t>
  </si>
  <si>
    <t>400313. .572</t>
  </si>
  <si>
    <t>400313. .573</t>
  </si>
  <si>
    <t>400313. .574</t>
  </si>
  <si>
    <t>400313. .575</t>
  </si>
  <si>
    <t>400313. .576</t>
  </si>
  <si>
    <t>400313. .577</t>
  </si>
  <si>
    <t>400313. .578</t>
  </si>
  <si>
    <t>400313. .579</t>
  </si>
  <si>
    <t>400313. .580</t>
  </si>
  <si>
    <t>400313. .581</t>
  </si>
  <si>
    <t>400313. .582</t>
  </si>
  <si>
    <t>400313. .583</t>
  </si>
  <si>
    <t>400313. .584</t>
  </si>
  <si>
    <t>400313. .585</t>
  </si>
  <si>
    <t>400313. .586</t>
  </si>
  <si>
    <t>400313. .587</t>
  </si>
  <si>
    <t>400313. .588</t>
  </si>
  <si>
    <t>400313. .589</t>
  </si>
  <si>
    <t>400313. .590</t>
  </si>
  <si>
    <t>400313. .591</t>
  </si>
  <si>
    <t>400313. .592</t>
  </si>
  <si>
    <t>400313. .593</t>
  </si>
  <si>
    <t>400313. .594</t>
  </si>
  <si>
    <t>400313. .595</t>
  </si>
  <si>
    <t>400313. .596</t>
  </si>
  <si>
    <t>400313. .597</t>
  </si>
  <si>
    <t>400313. .598</t>
  </si>
  <si>
    <t>400313. .599</t>
  </si>
  <si>
    <t>400313. .600</t>
  </si>
  <si>
    <t>400313. .601</t>
  </si>
  <si>
    <t>400313. .602</t>
  </si>
  <si>
    <t>400313. .603</t>
  </si>
  <si>
    <t>400313. .604</t>
  </si>
  <si>
    <t>400313. .605</t>
  </si>
  <si>
    <t>400313. .606</t>
  </si>
  <si>
    <t>400313. .607</t>
  </si>
  <si>
    <t>400313. .608</t>
  </si>
  <si>
    <t>400313. .609</t>
  </si>
  <si>
    <t>400313. .610</t>
  </si>
  <si>
    <t>400313. .611</t>
  </si>
  <si>
    <t>400313. .612</t>
  </si>
  <si>
    <t>400313. .613</t>
  </si>
  <si>
    <t>400313. .614</t>
  </si>
  <si>
    <t>400313. .615</t>
  </si>
  <si>
    <t>400313. .616</t>
  </si>
  <si>
    <t>400313. .617</t>
  </si>
  <si>
    <t>400313. .618</t>
  </si>
  <si>
    <t>400313. .619</t>
  </si>
  <si>
    <t>400313. .620</t>
  </si>
  <si>
    <t>400313. .621</t>
  </si>
  <si>
    <t>400313. .622</t>
  </si>
  <si>
    <t>400313. .623</t>
  </si>
  <si>
    <t>400313. .624</t>
  </si>
  <si>
    <t>400313. .625</t>
  </si>
  <si>
    <t>400313. .626</t>
  </si>
  <si>
    <t>400313. .627</t>
  </si>
  <si>
    <t>400313. .628</t>
  </si>
  <si>
    <t>400313. .629</t>
  </si>
  <si>
    <t>400313. .630</t>
  </si>
  <si>
    <t>400313. .631</t>
  </si>
  <si>
    <t>400313. .632</t>
  </si>
  <si>
    <t>400313. .633</t>
  </si>
  <si>
    <t>400313. .634</t>
  </si>
  <si>
    <t>400313. .635</t>
  </si>
  <si>
    <t>400313. .636</t>
  </si>
  <si>
    <t>400313. .637</t>
  </si>
  <si>
    <t>400313. .638</t>
  </si>
  <si>
    <t>400313. .639</t>
  </si>
  <si>
    <t>400313. .640</t>
  </si>
  <si>
    <t>400313. .641</t>
  </si>
  <si>
    <t>400313. .642</t>
  </si>
  <si>
    <t>400313. .643</t>
  </si>
  <si>
    <t>400313. .644</t>
  </si>
  <si>
    <t>400313. .645</t>
  </si>
  <si>
    <t>400313. .646</t>
  </si>
  <si>
    <t>400313. .647</t>
  </si>
  <si>
    <t>400313. .648</t>
  </si>
  <si>
    <t>400313. .649</t>
  </si>
  <si>
    <t>400313. .650</t>
  </si>
  <si>
    <t>400313. .651</t>
  </si>
  <si>
    <t>400313. .652</t>
  </si>
  <si>
    <t>400313. .653</t>
  </si>
  <si>
    <t>400313. .654</t>
  </si>
  <si>
    <t>400313. .655</t>
  </si>
  <si>
    <t>400313. .656</t>
  </si>
  <si>
    <t>400313. .657</t>
  </si>
  <si>
    <t>400313. .658</t>
  </si>
  <si>
    <t>400313. .659</t>
  </si>
  <si>
    <t>400313. .660</t>
  </si>
  <si>
    <t>400313. .661</t>
  </si>
  <si>
    <t>400313. .662</t>
  </si>
  <si>
    <t>400313. .663</t>
  </si>
  <si>
    <t>400313. .664</t>
  </si>
  <si>
    <t>400313. .665</t>
  </si>
  <si>
    <t>400313. .666</t>
  </si>
  <si>
    <t>400313. .667</t>
  </si>
  <si>
    <t>400313. .668</t>
  </si>
  <si>
    <t>400313. .669</t>
  </si>
  <si>
    <t>400313. .670</t>
  </si>
  <si>
    <t>400313. .671</t>
  </si>
  <si>
    <t>400313. .672</t>
  </si>
  <si>
    <t>400313. .673</t>
  </si>
  <si>
    <t>400313. .674</t>
  </si>
  <si>
    <t>400313. .675</t>
  </si>
  <si>
    <t>400313. .676</t>
  </si>
  <si>
    <t>400313. .677</t>
  </si>
  <si>
    <t>400313. .678</t>
  </si>
  <si>
    <t>400313. .679</t>
  </si>
  <si>
    <t>400313. .680</t>
  </si>
  <si>
    <t>400313. .681</t>
  </si>
  <si>
    <t>400313. .682</t>
  </si>
  <si>
    <t>400313. .683</t>
  </si>
  <si>
    <t>400313. .684</t>
  </si>
  <si>
    <t>400313. .685</t>
  </si>
  <si>
    <t>400313. .686</t>
  </si>
  <si>
    <t>400313. .687</t>
  </si>
  <si>
    <t>400313. .688</t>
  </si>
  <si>
    <t>400313. .689</t>
  </si>
  <si>
    <t>400313. .690</t>
  </si>
  <si>
    <t>400313. .691</t>
  </si>
  <si>
    <t>400313. .692</t>
  </si>
  <si>
    <t>400313. .693</t>
  </si>
  <si>
    <t>400313. .694</t>
  </si>
  <si>
    <t>400313. .695</t>
  </si>
  <si>
    <t>400313. .696</t>
  </si>
  <si>
    <t>400313. .697</t>
  </si>
  <si>
    <t>400313. .698</t>
  </si>
  <si>
    <t>400313. .699</t>
  </si>
  <si>
    <t>400313. .700</t>
  </si>
  <si>
    <t>400313. .701</t>
  </si>
  <si>
    <t>400313. .702</t>
  </si>
  <si>
    <t>400313. .703</t>
  </si>
  <si>
    <t>400313. .704</t>
  </si>
  <si>
    <t>400313. .705</t>
  </si>
  <si>
    <t>400313. .706</t>
  </si>
  <si>
    <t>400313. .707</t>
  </si>
  <si>
    <t>400313. .708</t>
  </si>
  <si>
    <t>400313. .709</t>
  </si>
  <si>
    <t>400313. .710</t>
  </si>
  <si>
    <t>400313. .711</t>
  </si>
  <si>
    <t>400313. .712</t>
  </si>
  <si>
    <t>400313. .713</t>
  </si>
  <si>
    <t>400313. .714</t>
  </si>
  <si>
    <t>400313. .715</t>
  </si>
  <si>
    <t>400313. .716</t>
  </si>
  <si>
    <t>400313. .717</t>
  </si>
  <si>
    <t>400313. .718</t>
  </si>
  <si>
    <t>400313. .719</t>
  </si>
  <si>
    <t>400313. .720</t>
  </si>
  <si>
    <t>400313. .721</t>
  </si>
  <si>
    <t>400313. .722</t>
  </si>
  <si>
    <t>400313. .723</t>
  </si>
  <si>
    <t>400313. .724</t>
  </si>
  <si>
    <t>400313. .725</t>
  </si>
  <si>
    <t>400313. .726</t>
  </si>
  <si>
    <t>400313. .727</t>
  </si>
  <si>
    <t>400313. .728</t>
  </si>
  <si>
    <t>400313. .729</t>
  </si>
  <si>
    <t>400313. .730</t>
  </si>
  <si>
    <t>400313. .731</t>
  </si>
  <si>
    <t>400313. .732</t>
  </si>
  <si>
    <t>400313. .733</t>
  </si>
  <si>
    <t>400313. .734</t>
  </si>
  <si>
    <t>400313. .735</t>
  </si>
  <si>
    <t>400313. .736</t>
  </si>
  <si>
    <t>400313. .737</t>
  </si>
  <si>
    <t>400313. .738</t>
  </si>
  <si>
    <t>400313. .739</t>
  </si>
  <si>
    <t>400313. .740</t>
  </si>
  <si>
    <t>400313. .741</t>
  </si>
  <si>
    <t>400313. .742</t>
  </si>
  <si>
    <t>400313. .743</t>
  </si>
  <si>
    <t>400313. .744</t>
  </si>
  <si>
    <t>400313. .745</t>
  </si>
  <si>
    <t>400313. .746</t>
  </si>
  <si>
    <t>400313. .747</t>
  </si>
  <si>
    <t>400313. .748</t>
  </si>
  <si>
    <t>400313. .749</t>
  </si>
  <si>
    <t>400313. .750</t>
  </si>
  <si>
    <t>400313. .751</t>
  </si>
  <si>
    <t>400313. .752</t>
  </si>
  <si>
    <t>400313. .753</t>
  </si>
  <si>
    <t>400313. .754</t>
  </si>
  <si>
    <t>400313. .755</t>
  </si>
  <si>
    <t>400313. .756</t>
  </si>
  <si>
    <t>400313. .757</t>
  </si>
  <si>
    <t>400313. .758</t>
  </si>
  <si>
    <t>400313. .759</t>
  </si>
  <si>
    <t>400313. .760</t>
  </si>
  <si>
    <t>400313. .761</t>
  </si>
  <si>
    <t>400313. .762</t>
  </si>
  <si>
    <t>400313. .763</t>
  </si>
  <si>
    <t>400313. .764</t>
  </si>
  <si>
    <t>400313. .765</t>
  </si>
  <si>
    <t>400313. .766</t>
  </si>
  <si>
    <t>400313. .767</t>
  </si>
  <si>
    <t>400313. .768</t>
  </si>
  <si>
    <t>400313. .769</t>
  </si>
  <si>
    <t>400313. .770</t>
  </si>
  <si>
    <t>400313. .771</t>
  </si>
  <si>
    <t>400313. .772</t>
  </si>
  <si>
    <t>400313. .773</t>
  </si>
  <si>
    <t>400313. .774</t>
  </si>
  <si>
    <t>400313. .775</t>
  </si>
  <si>
    <t>400313. .776</t>
  </si>
  <si>
    <t>400313. .777</t>
  </si>
  <si>
    <t>400313. .778</t>
  </si>
  <si>
    <t>400313. .779</t>
  </si>
  <si>
    <t>400313. .780</t>
  </si>
  <si>
    <t>400313. .781</t>
  </si>
  <si>
    <t>400313. .782</t>
  </si>
  <si>
    <t>400313. .783</t>
  </si>
  <si>
    <t>400313. .784</t>
  </si>
  <si>
    <t>400313. .785</t>
  </si>
  <si>
    <t>400313. .786</t>
  </si>
  <si>
    <t>400313. .787</t>
  </si>
  <si>
    <t>400313. .788</t>
  </si>
  <si>
    <t>400313. .789</t>
  </si>
  <si>
    <t>400313. .790</t>
  </si>
  <si>
    <t>400313. .791</t>
  </si>
  <si>
    <t>400313. .792</t>
  </si>
  <si>
    <t>400313. .793</t>
  </si>
  <si>
    <t>400313. .794</t>
  </si>
  <si>
    <t>400313. .795</t>
  </si>
  <si>
    <t>400313. .796</t>
  </si>
  <si>
    <t>400313. .797</t>
  </si>
  <si>
    <t>400313. .798</t>
  </si>
  <si>
    <t>400313. .799</t>
  </si>
  <si>
    <t>400313. .800</t>
  </si>
  <si>
    <t>400313. .801</t>
  </si>
  <si>
    <t>400313. .802</t>
  </si>
  <si>
    <t>400313. .803</t>
  </si>
  <si>
    <t>400313. .804</t>
  </si>
  <si>
    <t>400313. .805</t>
  </si>
  <si>
    <t>400313. .806</t>
  </si>
  <si>
    <t>400313. .807</t>
  </si>
  <si>
    <t>400313. .808</t>
  </si>
  <si>
    <t>400313. .809</t>
  </si>
  <si>
    <t>400313. .810</t>
  </si>
  <si>
    <t>400313. .811</t>
  </si>
  <si>
    <t>400313. .812</t>
  </si>
  <si>
    <t>400313. .813</t>
  </si>
  <si>
    <t>400313. .814</t>
  </si>
  <si>
    <t>400313. .815</t>
  </si>
  <si>
    <t>400313. .816</t>
  </si>
  <si>
    <t>400313. .817</t>
  </si>
  <si>
    <t>400313. .818</t>
  </si>
  <si>
    <t>400313. .819</t>
  </si>
  <si>
    <t>400313. .820</t>
  </si>
  <si>
    <t>400313. .821</t>
  </si>
  <si>
    <t>400313. .822</t>
  </si>
  <si>
    <t>400313. .823</t>
  </si>
  <si>
    <t>400313. .824</t>
  </si>
  <si>
    <t>400313. .825</t>
  </si>
  <si>
    <t>400313. .826</t>
  </si>
  <si>
    <t>400313. .827</t>
  </si>
  <si>
    <t>400313. .828</t>
  </si>
  <si>
    <t>400313. .829</t>
  </si>
  <si>
    <t>400313. .830</t>
  </si>
  <si>
    <t>400313. .831</t>
  </si>
  <si>
    <t>400313. .832</t>
  </si>
  <si>
    <t>400313. .833</t>
  </si>
  <si>
    <t>400313. .834</t>
  </si>
  <si>
    <t>400313. .835</t>
  </si>
  <si>
    <t>400313. .836</t>
  </si>
  <si>
    <t>400313. .837</t>
  </si>
  <si>
    <t>400313. .838</t>
  </si>
  <si>
    <t>400313. .839</t>
  </si>
  <si>
    <t>400313. .840</t>
  </si>
  <si>
    <t>400313. .841</t>
  </si>
  <si>
    <t>400313. .842</t>
  </si>
  <si>
    <t>400313. .843</t>
  </si>
  <si>
    <t>400313. .844</t>
  </si>
  <si>
    <t>400313. .845</t>
  </si>
  <si>
    <t>400313. .846</t>
  </si>
  <si>
    <t>400313. .847</t>
  </si>
  <si>
    <t>400313. .848</t>
  </si>
  <si>
    <t>400313. .849</t>
  </si>
  <si>
    <t>400313. .850</t>
  </si>
  <si>
    <t>400313. .851</t>
  </si>
  <si>
    <t>400313. .852</t>
  </si>
  <si>
    <t>400313. .853</t>
  </si>
  <si>
    <t>400313. .854</t>
  </si>
  <si>
    <t>400313. .855</t>
  </si>
  <si>
    <t>400313. .856</t>
  </si>
  <si>
    <t>400313. .857</t>
  </si>
  <si>
    <t>400313. .858</t>
  </si>
  <si>
    <t>400313. .859</t>
  </si>
  <si>
    <t>400313. .860</t>
  </si>
  <si>
    <t>400313. .861</t>
  </si>
  <si>
    <t>400313. .862</t>
  </si>
  <si>
    <t>400313. .863</t>
  </si>
  <si>
    <t>400313. .864</t>
  </si>
  <si>
    <t>400313. .865</t>
  </si>
  <si>
    <t>400313. .866</t>
  </si>
  <si>
    <t>400313. .867</t>
  </si>
  <si>
    <t>400313. .868</t>
  </si>
  <si>
    <t>400313. .869</t>
  </si>
  <si>
    <t>400313. .870</t>
  </si>
  <si>
    <t>400313. .871</t>
  </si>
  <si>
    <t>400313. .872</t>
  </si>
  <si>
    <t>400313. .873</t>
  </si>
  <si>
    <t>400313. .874</t>
  </si>
  <si>
    <t>400313. .875</t>
  </si>
  <si>
    <t>400313. .876</t>
  </si>
  <si>
    <t>400313. .877</t>
  </si>
  <si>
    <t>400313. .878</t>
  </si>
  <si>
    <t>400313. .879</t>
  </si>
  <si>
    <t>400313. .880</t>
  </si>
  <si>
    <t>400313. .881</t>
  </si>
  <si>
    <t>400313. .882</t>
  </si>
  <si>
    <t>400313. .883</t>
  </si>
  <si>
    <t>400313. .884</t>
  </si>
  <si>
    <t>400313. .885</t>
  </si>
  <si>
    <t>400313. .886</t>
  </si>
  <si>
    <t>400313. .887</t>
  </si>
  <si>
    <t>400313. .888</t>
  </si>
  <si>
    <t>400313. .889</t>
  </si>
  <si>
    <t>400313. .890</t>
  </si>
  <si>
    <t>400313. .891</t>
  </si>
  <si>
    <t>400313. .892</t>
  </si>
  <si>
    <t>400313. .893</t>
  </si>
  <si>
    <t>400313. .894</t>
  </si>
  <si>
    <t>400313. .895</t>
  </si>
  <si>
    <t>400313. .896</t>
  </si>
  <si>
    <t>400313. .897</t>
  </si>
  <si>
    <t>400313. .898</t>
  </si>
  <si>
    <t>400313. .899</t>
  </si>
  <si>
    <t>400313. .900</t>
  </si>
  <si>
    <t>400313. .901</t>
  </si>
  <si>
    <t>400313. .902</t>
  </si>
  <si>
    <t>400313. .903</t>
  </si>
  <si>
    <t>400313. .904</t>
  </si>
  <si>
    <t>400313. .905</t>
  </si>
  <si>
    <t>400313. .906</t>
  </si>
  <si>
    <t>400313. .907</t>
  </si>
  <si>
    <t>400313. .908</t>
  </si>
  <si>
    <t>400313. .909</t>
  </si>
  <si>
    <t>400313. .910</t>
  </si>
  <si>
    <t>400313. .911</t>
  </si>
  <si>
    <t>400313. .912</t>
  </si>
  <si>
    <t>400313. .913</t>
  </si>
  <si>
    <t>400313. .914</t>
  </si>
  <si>
    <t>400313. .915</t>
  </si>
  <si>
    <t>400313. .916</t>
  </si>
  <si>
    <t>400313. .917</t>
  </si>
  <si>
    <t>400313. .918</t>
  </si>
  <si>
    <t>400313. .919</t>
  </si>
  <si>
    <t>400313. .920</t>
  </si>
  <si>
    <t>400313. .921</t>
  </si>
  <si>
    <t>400313. .922</t>
  </si>
  <si>
    <t>400313. .923</t>
  </si>
  <si>
    <t>400313. .924</t>
  </si>
  <si>
    <t>400313. .925</t>
  </si>
  <si>
    <t>400313. .926</t>
  </si>
  <si>
    <t>400313. .927</t>
  </si>
  <si>
    <t>400313. .928</t>
  </si>
  <si>
    <t>400313. .929</t>
  </si>
  <si>
    <t>400313. .930</t>
  </si>
  <si>
    <t>400313. .931</t>
  </si>
  <si>
    <t>400313. .932</t>
  </si>
  <si>
    <t>400313. .933</t>
  </si>
  <si>
    <t>400313. .934</t>
  </si>
  <si>
    <t>400313. .935</t>
  </si>
  <si>
    <t>400313. .936</t>
  </si>
  <si>
    <t>400313. .937</t>
  </si>
  <si>
    <t>400313. .938</t>
  </si>
  <si>
    <t>400313. .939</t>
  </si>
  <si>
    <t>400313. .940</t>
  </si>
  <si>
    <t>400313. .941</t>
  </si>
  <si>
    <t>400313. .942</t>
  </si>
  <si>
    <t>400313. .943</t>
  </si>
  <si>
    <t>400313. .944</t>
  </si>
  <si>
    <t>400313. .945</t>
  </si>
  <si>
    <t>400313. .946</t>
  </si>
  <si>
    <t>400313. .947</t>
  </si>
  <si>
    <t>400313. .948</t>
  </si>
  <si>
    <t>400313. .949</t>
  </si>
  <si>
    <t>400313. .950</t>
  </si>
  <si>
    <t>400313. .951</t>
  </si>
  <si>
    <t>400313. .952</t>
  </si>
  <si>
    <t>400313. .953</t>
  </si>
  <si>
    <t>400313. .954</t>
  </si>
  <si>
    <t>400313. .955</t>
  </si>
  <si>
    <t>400313. .956</t>
  </si>
  <si>
    <t>400313. .957</t>
  </si>
  <si>
    <t>400313. .958</t>
  </si>
  <si>
    <t>400313. .959</t>
  </si>
  <si>
    <t>400313. .960</t>
  </si>
  <si>
    <t>400313. .961</t>
  </si>
  <si>
    <t>400313. .962</t>
  </si>
  <si>
    <t>400313. .963</t>
  </si>
  <si>
    <t>400313. .964</t>
  </si>
  <si>
    <t>400313. .965</t>
  </si>
  <si>
    <t>400313. .966</t>
  </si>
  <si>
    <t>400313. .967</t>
  </si>
  <si>
    <t>400313. .968</t>
  </si>
  <si>
    <t>400313. .969</t>
  </si>
  <si>
    <t>400313. .970</t>
  </si>
  <si>
    <t>400313. .971</t>
  </si>
  <si>
    <t>400313. .972</t>
  </si>
  <si>
    <t>400313. .973</t>
  </si>
  <si>
    <t>400313. .974</t>
  </si>
  <si>
    <t>400313. .975</t>
  </si>
  <si>
    <t>400313. .976</t>
  </si>
  <si>
    <t>400313. .977</t>
  </si>
  <si>
    <t>400313. .978</t>
  </si>
  <si>
    <t>400313. .979</t>
  </si>
  <si>
    <t>400313. .980</t>
  </si>
  <si>
    <t>400313. .981</t>
  </si>
  <si>
    <t>400313. .982</t>
  </si>
  <si>
    <t>400313. .983</t>
  </si>
  <si>
    <t>400313. .984</t>
  </si>
  <si>
    <t>400313. .985</t>
  </si>
  <si>
    <t>400313. .986</t>
  </si>
  <si>
    <t>400313. .987</t>
  </si>
  <si>
    <t>400313. .988</t>
  </si>
  <si>
    <t>400313. .989</t>
  </si>
  <si>
    <t>400313. .990</t>
  </si>
  <si>
    <t>400313. .991</t>
  </si>
  <si>
    <t>400313. .992</t>
  </si>
  <si>
    <t>400313. .993</t>
  </si>
  <si>
    <t>400313. .994</t>
  </si>
  <si>
    <t>400313. .995</t>
  </si>
  <si>
    <t>400313. .996</t>
  </si>
  <si>
    <t>400313. .997</t>
  </si>
  <si>
    <t>400313. .998</t>
  </si>
  <si>
    <t>400313. .999</t>
  </si>
  <si>
    <t>400313. .1000</t>
  </si>
  <si>
    <t>400313. .1001</t>
  </si>
  <si>
    <t>400313. .1002</t>
  </si>
  <si>
    <t>400313. .1003</t>
  </si>
  <si>
    <t>400313. .1004</t>
  </si>
  <si>
    <t>400313. .1005</t>
  </si>
  <si>
    <t>400313. .1006</t>
  </si>
  <si>
    <t>400313. .1007</t>
  </si>
  <si>
    <t>400313. .1008</t>
  </si>
  <si>
    <t>400313. .1009</t>
  </si>
  <si>
    <t>400313. .1010</t>
  </si>
  <si>
    <t>400313. .1011</t>
  </si>
  <si>
    <t>400313. .1012</t>
  </si>
  <si>
    <t>400313. .1013</t>
  </si>
  <si>
    <t>400313. .1014</t>
  </si>
  <si>
    <t>400313. .1015</t>
  </si>
  <si>
    <t>400313. .1016</t>
  </si>
  <si>
    <t>400313. .1017</t>
  </si>
  <si>
    <t>400313. .1018</t>
  </si>
  <si>
    <t>400313. .1019</t>
  </si>
  <si>
    <t>400313. .1020</t>
  </si>
  <si>
    <t>400313. .1021</t>
  </si>
  <si>
    <t>400313. .1022</t>
  </si>
  <si>
    <t>400313. .1023</t>
  </si>
  <si>
    <t>400313. .1024</t>
  </si>
  <si>
    <t>400313. .1025</t>
  </si>
  <si>
    <t>400313. .1026</t>
  </si>
  <si>
    <t>400313. .1027</t>
  </si>
  <si>
    <t>400313. .1028</t>
  </si>
  <si>
    <t>400313. .1029</t>
  </si>
  <si>
    <t>400313. .1030</t>
  </si>
  <si>
    <t>400313. .1031</t>
  </si>
  <si>
    <t>400313. .1032</t>
  </si>
  <si>
    <t>400313. .1033</t>
  </si>
  <si>
    <t>400313. .1034</t>
  </si>
  <si>
    <t>400313. .1035</t>
  </si>
  <si>
    <t>400313. .1036</t>
  </si>
  <si>
    <t>400313. .1037</t>
  </si>
  <si>
    <t>400313. .1038</t>
  </si>
  <si>
    <t>400313. .1039</t>
  </si>
  <si>
    <t>400313. .1040</t>
  </si>
  <si>
    <t>400313. .1041</t>
  </si>
  <si>
    <t>400313. .1042</t>
  </si>
  <si>
    <t>400313. .1043</t>
  </si>
  <si>
    <t>400313. .1044</t>
  </si>
  <si>
    <t>400313. .1045</t>
  </si>
  <si>
    <t>400313. .1046</t>
  </si>
  <si>
    <t>400313. .1047</t>
  </si>
  <si>
    <t>400313. .1048</t>
  </si>
  <si>
    <t>400313. .1049</t>
  </si>
  <si>
    <t>400313. .1050</t>
  </si>
  <si>
    <t>400313. .1051</t>
  </si>
  <si>
    <t>400313. .1052</t>
  </si>
  <si>
    <t>3045804 467</t>
  </si>
  <si>
    <r>
      <rPr>
        <sz val="11"/>
        <color theme="1"/>
        <rFont val="宋体"/>
        <charset val="134"/>
      </rPr>
      <t>水位从</t>
    </r>
    <r>
      <rPr>
        <sz val="11"/>
        <color theme="1"/>
        <rFont val="Times New Roman"/>
        <charset val="134"/>
      </rPr>
      <t>2022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>7</t>
    </r>
    <r>
      <rPr>
        <sz val="11"/>
        <color theme="1"/>
        <rFont val="宋体"/>
        <charset val="134"/>
      </rPr>
      <t>月开始记录</t>
    </r>
  </si>
  <si>
    <t>3045804 468</t>
  </si>
  <si>
    <t>3045804 469</t>
  </si>
  <si>
    <t>3045804 470</t>
  </si>
  <si>
    <t>3045804 471</t>
  </si>
  <si>
    <t>3045804 472</t>
  </si>
  <si>
    <t>3045804 473</t>
  </si>
  <si>
    <t>3045804 474</t>
  </si>
  <si>
    <t>3045804 475</t>
  </si>
  <si>
    <t>3045804 476</t>
  </si>
  <si>
    <t>3045804 477</t>
  </si>
  <si>
    <t>3045804 478</t>
  </si>
  <si>
    <t>3045804 479</t>
  </si>
  <si>
    <t>3045804 480</t>
  </si>
  <si>
    <t>3045804 481</t>
  </si>
  <si>
    <t>3045804 482</t>
  </si>
  <si>
    <t>3045804 483</t>
  </si>
  <si>
    <t>3045804 484</t>
  </si>
  <si>
    <t>3045804 485</t>
  </si>
  <si>
    <t>3045804 486</t>
  </si>
  <si>
    <t>3045804 487</t>
  </si>
  <si>
    <t>3045804 488</t>
  </si>
  <si>
    <t>3045804 489</t>
  </si>
  <si>
    <t>3045804 490</t>
  </si>
  <si>
    <t>3045804 491</t>
  </si>
  <si>
    <t>3045804 492</t>
  </si>
  <si>
    <t>3045804 493</t>
  </si>
  <si>
    <t>3045804 494</t>
  </si>
  <si>
    <t>3045804 495</t>
  </si>
  <si>
    <t>3045804 496</t>
  </si>
  <si>
    <t>3045804 497</t>
  </si>
  <si>
    <t>3045804 498</t>
  </si>
  <si>
    <t>3045804 499</t>
  </si>
  <si>
    <t>3045804 500</t>
  </si>
  <si>
    <t>3045804 501</t>
  </si>
  <si>
    <t>3045804 502</t>
  </si>
  <si>
    <t>3045804 503</t>
  </si>
  <si>
    <t>3045804 504</t>
  </si>
  <si>
    <t>3045804 505</t>
  </si>
  <si>
    <t>3045804 506</t>
  </si>
  <si>
    <t>3045804 507</t>
  </si>
  <si>
    <t>3045804 508</t>
  </si>
  <si>
    <t>3045804 509</t>
  </si>
  <si>
    <t>3045804 510</t>
  </si>
  <si>
    <t>3045804 511</t>
  </si>
  <si>
    <t>3045804 512</t>
  </si>
  <si>
    <t>3045804 513</t>
  </si>
  <si>
    <t>3045804 514</t>
  </si>
  <si>
    <t>3045804 515</t>
  </si>
  <si>
    <t>3045804 516</t>
  </si>
  <si>
    <t>3045804 517</t>
  </si>
  <si>
    <t>3045804 518</t>
  </si>
  <si>
    <t>3045804 519</t>
  </si>
  <si>
    <t>3045804 520</t>
  </si>
  <si>
    <t>3045804 521</t>
  </si>
  <si>
    <t>3045804 522</t>
  </si>
  <si>
    <t>3045804 523</t>
  </si>
  <si>
    <t>3045804 524</t>
  </si>
  <si>
    <t>3045804 525</t>
  </si>
  <si>
    <t>3045804 526</t>
  </si>
  <si>
    <t>3045804 527</t>
  </si>
  <si>
    <t>3045804 528</t>
  </si>
  <si>
    <t>3045804 529</t>
  </si>
  <si>
    <t>3045804 530</t>
  </si>
  <si>
    <t>3045804 531</t>
  </si>
  <si>
    <t>3045804 532</t>
  </si>
  <si>
    <t>3045804 533</t>
  </si>
  <si>
    <t>3045804 534</t>
  </si>
  <si>
    <t>3045804 535</t>
  </si>
  <si>
    <t>3045804 536</t>
  </si>
  <si>
    <t>3045804 537</t>
  </si>
  <si>
    <t>3045804 538</t>
  </si>
  <si>
    <t>3045804 539</t>
  </si>
  <si>
    <t>3045804 540</t>
  </si>
  <si>
    <t>3045804 541</t>
  </si>
  <si>
    <t>3045804 542</t>
  </si>
  <si>
    <t>3045804 543</t>
  </si>
  <si>
    <t>3045804 544</t>
  </si>
  <si>
    <t>3045804 545</t>
  </si>
  <si>
    <t>3045804 546</t>
  </si>
  <si>
    <t>3045804 547</t>
  </si>
  <si>
    <t>3045804 548</t>
  </si>
  <si>
    <t>3045804 549</t>
  </si>
  <si>
    <t>3045804 550</t>
  </si>
  <si>
    <t>3045804 551</t>
  </si>
  <si>
    <t>3045804 552</t>
  </si>
  <si>
    <t>3045804 553</t>
  </si>
  <si>
    <t>3045804 554</t>
  </si>
  <si>
    <t>3045804 555</t>
  </si>
  <si>
    <t>3045804 556</t>
  </si>
  <si>
    <t>3045804 557</t>
  </si>
  <si>
    <t>3045804 558</t>
  </si>
  <si>
    <t>3045804 559</t>
  </si>
  <si>
    <t>3045804 560</t>
  </si>
  <si>
    <t>3045804 561</t>
  </si>
  <si>
    <t>3045804 562</t>
  </si>
  <si>
    <t>3045804 563</t>
  </si>
  <si>
    <t>3045804 564</t>
  </si>
  <si>
    <t>3045804 565</t>
  </si>
  <si>
    <t>3045804 566</t>
  </si>
  <si>
    <t>3045804 567</t>
  </si>
  <si>
    <t>3045804 568</t>
  </si>
  <si>
    <t>3045804 569</t>
  </si>
  <si>
    <t>3045804 570</t>
  </si>
  <si>
    <t>3045804 571</t>
  </si>
  <si>
    <t>3045804 572</t>
  </si>
  <si>
    <t>3045804 573</t>
  </si>
  <si>
    <t>3045804 574</t>
  </si>
  <si>
    <t>3045804 575</t>
  </si>
  <si>
    <t>3045804 576</t>
  </si>
  <si>
    <t>3045804 577</t>
  </si>
  <si>
    <t>3045804 578</t>
  </si>
  <si>
    <t>3045804 579</t>
  </si>
  <si>
    <t>3045804 580</t>
  </si>
  <si>
    <t>3045804 581</t>
  </si>
  <si>
    <t>3045804 582</t>
  </si>
  <si>
    <t>3045804 583</t>
  </si>
  <si>
    <t>3045804 584</t>
  </si>
  <si>
    <t>3045804 585</t>
  </si>
  <si>
    <t>3045804 586</t>
  </si>
  <si>
    <t>3045804 587</t>
  </si>
  <si>
    <t>3045804 588</t>
  </si>
  <si>
    <t>3045804 589</t>
  </si>
  <si>
    <t>3045804 590</t>
  </si>
  <si>
    <t>3045804 591</t>
  </si>
  <si>
    <t>3045804 592</t>
  </si>
  <si>
    <t>3045804 593</t>
  </si>
  <si>
    <t>3045804 594</t>
  </si>
  <si>
    <t>3045804 595</t>
  </si>
  <si>
    <t>3045804 596</t>
  </si>
  <si>
    <t>3045804 597</t>
  </si>
  <si>
    <t>3045804 598</t>
  </si>
  <si>
    <t>3045804 599</t>
  </si>
  <si>
    <t>3045804 600</t>
  </si>
  <si>
    <t>3045804 601</t>
  </si>
  <si>
    <t>3045804 602</t>
  </si>
  <si>
    <t>3045804 603</t>
  </si>
  <si>
    <t>3045804 604</t>
  </si>
  <si>
    <t>3045804 605</t>
  </si>
  <si>
    <t>3045804 606</t>
  </si>
  <si>
    <t>3045804 607</t>
  </si>
  <si>
    <t>3045804 608</t>
  </si>
  <si>
    <t>3045804 609</t>
  </si>
  <si>
    <t>3045804 610</t>
  </si>
  <si>
    <t>3045804 611</t>
  </si>
  <si>
    <t>3045804 612</t>
  </si>
  <si>
    <t>3045804 613</t>
  </si>
  <si>
    <t>3045804 614</t>
  </si>
  <si>
    <t>3045804 615</t>
  </si>
  <si>
    <t>3045804 616</t>
  </si>
  <si>
    <t>3045804 617</t>
  </si>
  <si>
    <t>3045804 618</t>
  </si>
  <si>
    <t>3045804 619</t>
  </si>
  <si>
    <t>3045804 620</t>
  </si>
  <si>
    <t>3045804 621</t>
  </si>
  <si>
    <t>3045804 622</t>
  </si>
  <si>
    <t>3045804 623</t>
  </si>
  <si>
    <t>3045804 624</t>
  </si>
  <si>
    <t>3045804 625</t>
  </si>
  <si>
    <t>3045804 626</t>
  </si>
  <si>
    <t>3045804 627</t>
  </si>
  <si>
    <t>3045804 628</t>
  </si>
  <si>
    <t>3045804 629</t>
  </si>
  <si>
    <t>3045804 630</t>
  </si>
  <si>
    <t>3045804 631</t>
  </si>
  <si>
    <t>3045804 632</t>
  </si>
  <si>
    <t>3045804 633</t>
  </si>
  <si>
    <t>3045804 634</t>
  </si>
  <si>
    <t>3045804 635</t>
  </si>
  <si>
    <t>3045804 636</t>
  </si>
  <si>
    <t>3045804 637</t>
  </si>
  <si>
    <t>3045804 638</t>
  </si>
  <si>
    <t>3045804 639</t>
  </si>
  <si>
    <t>3045804 640</t>
  </si>
  <si>
    <t>3045804 641</t>
  </si>
  <si>
    <t>3045804 642</t>
  </si>
  <si>
    <t>3045804 643</t>
  </si>
  <si>
    <t>3045804 644</t>
  </si>
  <si>
    <t>3045804 645</t>
  </si>
  <si>
    <t>3045804 646</t>
  </si>
  <si>
    <t>3045804 647</t>
  </si>
  <si>
    <t>3045804 648</t>
  </si>
  <si>
    <t>3045804 649</t>
  </si>
  <si>
    <t>3045804 650</t>
  </si>
  <si>
    <t>3045804 651</t>
  </si>
  <si>
    <t>3045804 652</t>
  </si>
  <si>
    <t>3045804 653</t>
  </si>
  <si>
    <t>3045804 654</t>
  </si>
  <si>
    <t>3045804 655</t>
  </si>
  <si>
    <t>3045804 656</t>
  </si>
  <si>
    <t>3045804 657</t>
  </si>
  <si>
    <t>3045804 658</t>
  </si>
  <si>
    <t>3045804 659</t>
  </si>
  <si>
    <t>3045804 660</t>
  </si>
  <si>
    <t>3045804 661</t>
  </si>
  <si>
    <t>3045804 662</t>
  </si>
  <si>
    <t>3045804 663</t>
  </si>
  <si>
    <t>3045804 664</t>
  </si>
  <si>
    <t>3045804 665</t>
  </si>
  <si>
    <t>3045804 666</t>
  </si>
  <si>
    <t>3045804 667</t>
  </si>
  <si>
    <t>3045804 668</t>
  </si>
  <si>
    <t>3045804 669</t>
  </si>
  <si>
    <t>3045804 670</t>
  </si>
  <si>
    <t>3045804 671</t>
  </si>
  <si>
    <t>3045804 672</t>
  </si>
  <si>
    <t>3045804 673</t>
  </si>
  <si>
    <t>3045804 674</t>
  </si>
  <si>
    <t>3045804 675</t>
  </si>
  <si>
    <t>3045804 676</t>
  </si>
  <si>
    <t>3045804 677</t>
  </si>
  <si>
    <t>3045804 678</t>
  </si>
  <si>
    <t>3045804 679</t>
  </si>
  <si>
    <t>3045804 680</t>
  </si>
  <si>
    <t>3045804 681</t>
  </si>
  <si>
    <t>3045804 682</t>
  </si>
  <si>
    <t>3045804 683</t>
  </si>
  <si>
    <t>3045804 684</t>
  </si>
  <si>
    <t>3045804 685</t>
  </si>
  <si>
    <t>3045804 686</t>
  </si>
  <si>
    <t>3045804 687</t>
  </si>
  <si>
    <t>3045804 688</t>
  </si>
  <si>
    <t>3045804 689</t>
  </si>
  <si>
    <t>3045804 690</t>
  </si>
  <si>
    <t>3045804 691</t>
  </si>
  <si>
    <t>3045804 692</t>
  </si>
  <si>
    <t>3045804 693</t>
  </si>
  <si>
    <t>3045804 694</t>
  </si>
  <si>
    <t>3045804 695</t>
  </si>
  <si>
    <t>3045804 696</t>
  </si>
  <si>
    <t>3045804 697</t>
  </si>
  <si>
    <t>3045804 698</t>
  </si>
  <si>
    <t>3045804 699</t>
  </si>
  <si>
    <t>3045804 700</t>
  </si>
  <si>
    <t>3045804 701</t>
  </si>
  <si>
    <t>3045804 702</t>
  </si>
  <si>
    <t>3045804 703</t>
  </si>
  <si>
    <t>3045804 704</t>
  </si>
  <si>
    <t>3045804 705</t>
  </si>
  <si>
    <t>3045804 706</t>
  </si>
  <si>
    <t>3045804 707</t>
  </si>
  <si>
    <t>3045804 708</t>
  </si>
  <si>
    <t>3045804 709</t>
  </si>
  <si>
    <t>3045804 710</t>
  </si>
  <si>
    <t>3045804 711</t>
  </si>
  <si>
    <t>3045804 712</t>
  </si>
  <si>
    <t>3045804 713</t>
  </si>
  <si>
    <t>3045804 714</t>
  </si>
  <si>
    <t>3045804 715</t>
  </si>
  <si>
    <t>3045804 716</t>
  </si>
  <si>
    <t>3045804 717</t>
  </si>
  <si>
    <t>3045804 718</t>
  </si>
  <si>
    <t>3045804 719</t>
  </si>
  <si>
    <t>3045804 720</t>
  </si>
  <si>
    <t>3045804 721</t>
  </si>
  <si>
    <t>3045804 722</t>
  </si>
  <si>
    <t>3045804 723</t>
  </si>
  <si>
    <t>3045804 724</t>
  </si>
  <si>
    <t>3045804 725</t>
  </si>
  <si>
    <t>3045804 726</t>
  </si>
  <si>
    <t>3045804 727</t>
  </si>
  <si>
    <t>3045804 728</t>
  </si>
  <si>
    <t>3045804 729</t>
  </si>
  <si>
    <t>3045804 730</t>
  </si>
  <si>
    <t>3045804 731</t>
  </si>
  <si>
    <t>3045804 732</t>
  </si>
  <si>
    <t>3045804 733</t>
  </si>
  <si>
    <t>3045804 734</t>
  </si>
  <si>
    <t>3045804 735</t>
  </si>
  <si>
    <t>3045804 736</t>
  </si>
  <si>
    <t>3045804 737</t>
  </si>
  <si>
    <t>3045804 738</t>
  </si>
  <si>
    <t>3045804 739</t>
  </si>
  <si>
    <t>3045804 740</t>
  </si>
  <si>
    <t>3045804 741</t>
  </si>
  <si>
    <t>3045804 742</t>
  </si>
  <si>
    <t>3045804 743</t>
  </si>
  <si>
    <t>3045804 744</t>
  </si>
  <si>
    <t>3045804 745</t>
  </si>
  <si>
    <t>3045804 746</t>
  </si>
  <si>
    <t>3045804 747</t>
  </si>
  <si>
    <t>3045804 748</t>
  </si>
  <si>
    <t>3045804 749</t>
  </si>
  <si>
    <t>3045804 750</t>
  </si>
  <si>
    <t>3045804 751</t>
  </si>
  <si>
    <t>3045804 752</t>
  </si>
  <si>
    <t>3045804 753</t>
  </si>
  <si>
    <t>3045804 754</t>
  </si>
  <si>
    <t>3045804 755</t>
  </si>
  <si>
    <t>3045804 756</t>
  </si>
  <si>
    <t>3045804 757</t>
  </si>
  <si>
    <t>3045804 758</t>
  </si>
  <si>
    <t>3045804 759</t>
  </si>
  <si>
    <t>3045804 760</t>
  </si>
  <si>
    <t>3045804 761</t>
  </si>
  <si>
    <t>3045804 762</t>
  </si>
  <si>
    <t>3045804 763</t>
  </si>
  <si>
    <t>3045804 764</t>
  </si>
  <si>
    <t>3045804 765</t>
  </si>
  <si>
    <t>3045804 766</t>
  </si>
  <si>
    <t>3045804 767</t>
  </si>
  <si>
    <t>3045804 768</t>
  </si>
  <si>
    <t>3045804 769</t>
  </si>
  <si>
    <t>3045804 770</t>
  </si>
  <si>
    <t>3045804 771</t>
  </si>
  <si>
    <t>3045804 772</t>
  </si>
  <si>
    <t>3045804 773</t>
  </si>
  <si>
    <t>3045804 774</t>
  </si>
  <si>
    <t>3045804 775</t>
  </si>
  <si>
    <t>3045804 776</t>
  </si>
  <si>
    <t>3045804 777</t>
  </si>
  <si>
    <t>3045804 778</t>
  </si>
  <si>
    <t>3045804 779</t>
  </si>
  <si>
    <t>3045804 780</t>
  </si>
  <si>
    <t>3045804 781</t>
  </si>
  <si>
    <t>3045804 782</t>
  </si>
  <si>
    <t>3045804 783</t>
  </si>
  <si>
    <t>3045804 784</t>
  </si>
  <si>
    <t>3045804 785</t>
  </si>
  <si>
    <t>3045804 786</t>
  </si>
  <si>
    <t>3045804 787</t>
  </si>
  <si>
    <t>3045804 788</t>
  </si>
  <si>
    <t>3045804 789</t>
  </si>
  <si>
    <t>3045804 790</t>
  </si>
  <si>
    <t>3045804 791</t>
  </si>
  <si>
    <t>3045804 792</t>
  </si>
  <si>
    <t>3045804 793</t>
  </si>
  <si>
    <t>3045804 794</t>
  </si>
  <si>
    <t>3045804 795</t>
  </si>
  <si>
    <t>3045804 796</t>
  </si>
  <si>
    <t>3045804 797</t>
  </si>
  <si>
    <t>3045804 798</t>
  </si>
  <si>
    <t>3045804 799</t>
  </si>
  <si>
    <t>3045804 800</t>
  </si>
  <si>
    <t>3045804 801</t>
  </si>
  <si>
    <t>3045804 802</t>
  </si>
  <si>
    <t>3045804 803</t>
  </si>
  <si>
    <t>3045804 804</t>
  </si>
  <si>
    <t>3045804 805</t>
  </si>
  <si>
    <t>3045804 806</t>
  </si>
  <si>
    <t>3045804 807</t>
  </si>
  <si>
    <t>3045804 808</t>
  </si>
  <si>
    <t>3045804 809</t>
  </si>
  <si>
    <t>3045804 810</t>
  </si>
  <si>
    <t>3045804 811</t>
  </si>
  <si>
    <t>3045804 812</t>
  </si>
  <si>
    <t>3045804 813</t>
  </si>
  <si>
    <t>3045804 814</t>
  </si>
  <si>
    <t>3045804 815</t>
  </si>
  <si>
    <t>3045804 816</t>
  </si>
  <si>
    <t>3045804 817</t>
  </si>
  <si>
    <t>3045804 818</t>
  </si>
  <si>
    <t>3045804 819</t>
  </si>
  <si>
    <t>3045804 820</t>
  </si>
  <si>
    <t>3045804 821</t>
  </si>
  <si>
    <t>3045804 822</t>
  </si>
  <si>
    <t>3045804 823</t>
  </si>
  <si>
    <t>3045804 824</t>
  </si>
  <si>
    <t>3045804 825</t>
  </si>
  <si>
    <t>3045804 826</t>
  </si>
  <si>
    <t>3045804 827</t>
  </si>
  <si>
    <t>3045804 828</t>
  </si>
  <si>
    <t>3045804 829</t>
  </si>
  <si>
    <t>3045804 830</t>
  </si>
  <si>
    <t>3045804 831</t>
  </si>
  <si>
    <t>3045804 832</t>
  </si>
  <si>
    <t>3045804 833</t>
  </si>
  <si>
    <t>3045804 834</t>
  </si>
  <si>
    <t>3045804 835</t>
  </si>
  <si>
    <t>3045804 836</t>
  </si>
  <si>
    <t>3045804 837</t>
  </si>
  <si>
    <t>3045804 838</t>
  </si>
  <si>
    <t>3045804 839</t>
  </si>
  <si>
    <t>3045804 840</t>
  </si>
  <si>
    <t>3045804 841</t>
  </si>
  <si>
    <t>3045804 842</t>
  </si>
  <si>
    <t>3045804 843</t>
  </si>
  <si>
    <t>3045804 844</t>
  </si>
  <si>
    <t>3045804 845</t>
  </si>
  <si>
    <t>3045804 846</t>
  </si>
  <si>
    <t>3045804 847</t>
  </si>
  <si>
    <t>3045804 848</t>
  </si>
  <si>
    <t>3045804 849</t>
  </si>
  <si>
    <t>3045804 850</t>
  </si>
  <si>
    <t>3045804 851</t>
  </si>
  <si>
    <t>3045804 852</t>
  </si>
  <si>
    <t>3045804 853</t>
  </si>
  <si>
    <t>3045804 854</t>
  </si>
  <si>
    <t>3045804 855</t>
  </si>
  <si>
    <t>3045804 856</t>
  </si>
  <si>
    <t>3045804 857</t>
  </si>
  <si>
    <t>3045804 858</t>
  </si>
  <si>
    <t>3045804 859</t>
  </si>
  <si>
    <t>3045804 860</t>
  </si>
  <si>
    <t>3045804 861</t>
  </si>
  <si>
    <t>3045804 862</t>
  </si>
  <si>
    <t>3045804 863</t>
  </si>
  <si>
    <t>3045804 864</t>
  </si>
  <si>
    <t>3045804 865</t>
  </si>
  <si>
    <t>3045804 866</t>
  </si>
  <si>
    <t>3045804 867</t>
  </si>
  <si>
    <t>3045804 868</t>
  </si>
  <si>
    <t>3045804 869</t>
  </si>
  <si>
    <t>3045804 870</t>
  </si>
  <si>
    <t>3045804 871</t>
  </si>
  <si>
    <t>3045804 872</t>
  </si>
  <si>
    <t>3045804 873</t>
  </si>
  <si>
    <t>3045804 874</t>
  </si>
  <si>
    <t>3045804 875</t>
  </si>
  <si>
    <t>3045804 876</t>
  </si>
  <si>
    <t>3045804 877</t>
  </si>
  <si>
    <t>3045804 878</t>
  </si>
  <si>
    <t>3045804 879</t>
  </si>
  <si>
    <t>3045804 880</t>
  </si>
  <si>
    <t>3045804 881</t>
  </si>
  <si>
    <t>3045804 882</t>
  </si>
  <si>
    <t>3045804 883</t>
  </si>
  <si>
    <t>3045804 884</t>
  </si>
  <si>
    <t>3045804 885</t>
  </si>
  <si>
    <t>3045804 886</t>
  </si>
  <si>
    <t>3045804 887</t>
  </si>
  <si>
    <t>3045804 888</t>
  </si>
  <si>
    <t>3045804 889</t>
  </si>
  <si>
    <t>3045804 890</t>
  </si>
  <si>
    <t>3045804 891</t>
  </si>
  <si>
    <t>3045804 892</t>
  </si>
  <si>
    <t>3045804 893</t>
  </si>
  <si>
    <t>3045804 894</t>
  </si>
  <si>
    <t>3045804 895</t>
  </si>
  <si>
    <t>3045804 896</t>
  </si>
  <si>
    <t>3045804 897</t>
  </si>
  <si>
    <t>3045804 898</t>
  </si>
  <si>
    <t>3045804 899</t>
  </si>
  <si>
    <t>3045804 900</t>
  </si>
  <si>
    <t>3045804 901</t>
  </si>
  <si>
    <t>3045804 902</t>
  </si>
  <si>
    <t>3045804 903</t>
  </si>
  <si>
    <t>3045804 904</t>
  </si>
  <si>
    <t>3045804 905</t>
  </si>
  <si>
    <t>3045804 906</t>
  </si>
  <si>
    <t>3045804 907</t>
  </si>
  <si>
    <t>3045804 908</t>
  </si>
  <si>
    <t>3045804 909</t>
  </si>
  <si>
    <t>3045804 910</t>
  </si>
  <si>
    <t>3045804 911</t>
  </si>
  <si>
    <t>3045804 912</t>
  </si>
  <si>
    <t>3045804 913</t>
  </si>
  <si>
    <t>3045804 914</t>
  </si>
  <si>
    <t>3045804 915</t>
  </si>
  <si>
    <t>3045804 916</t>
  </si>
  <si>
    <t>3045804 917</t>
  </si>
  <si>
    <t>3045804 918</t>
  </si>
  <si>
    <t>3045804 919</t>
  </si>
  <si>
    <t>3045804 920</t>
  </si>
  <si>
    <t>3045804 921</t>
  </si>
  <si>
    <t>3045804 922</t>
  </si>
  <si>
    <t>3045804 923</t>
  </si>
  <si>
    <t>3045804 924</t>
  </si>
  <si>
    <t>3045804 925</t>
  </si>
  <si>
    <t>3045804 926</t>
  </si>
  <si>
    <t>3045804 927</t>
  </si>
  <si>
    <t>3045804 928</t>
  </si>
  <si>
    <t>3045804 929</t>
  </si>
  <si>
    <t>3045804 930</t>
  </si>
  <si>
    <t>3045804 931</t>
  </si>
  <si>
    <t>3045804 932</t>
  </si>
  <si>
    <t>3045804 933</t>
  </si>
  <si>
    <t>3045804 934</t>
  </si>
  <si>
    <t>3045804 935</t>
  </si>
  <si>
    <t>3045804 936</t>
  </si>
  <si>
    <t>3045804 937</t>
  </si>
  <si>
    <t>3045804 938</t>
  </si>
  <si>
    <t>3045804 939</t>
  </si>
  <si>
    <t>3045804 940</t>
  </si>
  <si>
    <t>3045804 941</t>
  </si>
  <si>
    <t>3045804 942</t>
  </si>
  <si>
    <t>3045804 943</t>
  </si>
  <si>
    <t>3045804 944</t>
  </si>
  <si>
    <t>3045804 945</t>
  </si>
  <si>
    <t>3045804 946</t>
  </si>
  <si>
    <t>3045804 947</t>
  </si>
  <si>
    <t>3045804 948</t>
  </si>
  <si>
    <t>3045804 949</t>
  </si>
  <si>
    <t>3045804 950</t>
  </si>
  <si>
    <t>3045804 951</t>
  </si>
  <si>
    <t>3045804 952</t>
  </si>
  <si>
    <t>3045804 953</t>
  </si>
  <si>
    <t>3045804 954</t>
  </si>
  <si>
    <t>3045804 955</t>
  </si>
  <si>
    <t>3045804 956</t>
  </si>
  <si>
    <t>3045804 957</t>
  </si>
  <si>
    <t>3045804 958</t>
  </si>
  <si>
    <t>3045804 959</t>
  </si>
  <si>
    <t>3045804 960</t>
  </si>
  <si>
    <t>3045804 961</t>
  </si>
  <si>
    <t>3045804 962</t>
  </si>
  <si>
    <t>3045804 963</t>
  </si>
  <si>
    <t>3045804 964</t>
  </si>
  <si>
    <t>3045804 965</t>
  </si>
  <si>
    <t>3045804 966</t>
  </si>
  <si>
    <t>3045804 967</t>
  </si>
  <si>
    <t>3045804 968</t>
  </si>
  <si>
    <t>3045804 969</t>
  </si>
  <si>
    <t>3045804 970</t>
  </si>
  <si>
    <t>3045804 971</t>
  </si>
  <si>
    <t>3045804 972</t>
  </si>
  <si>
    <t>3045804 973</t>
  </si>
  <si>
    <t>3045804 974</t>
  </si>
  <si>
    <t>3045804 975</t>
  </si>
  <si>
    <t>3045804 976</t>
  </si>
  <si>
    <t>3045804 977</t>
  </si>
  <si>
    <t>3045804 978</t>
  </si>
  <si>
    <t>3045804 979</t>
  </si>
  <si>
    <t>3045804 980</t>
  </si>
  <si>
    <t>3045804 981</t>
  </si>
  <si>
    <t>3045804 982</t>
  </si>
  <si>
    <t>3045804 983</t>
  </si>
  <si>
    <t>3045804 984</t>
  </si>
  <si>
    <t>3045804 985</t>
  </si>
  <si>
    <t>3045804 986</t>
  </si>
  <si>
    <t>3045804 987</t>
  </si>
  <si>
    <t>3045804 988</t>
  </si>
  <si>
    <t>3046212 296</t>
  </si>
  <si>
    <t>926. .20</t>
  </si>
  <si>
    <t>水位于2022年12月开始记录</t>
  </si>
  <si>
    <t>3046212 297</t>
  </si>
  <si>
    <t>926. .21</t>
  </si>
  <si>
    <t>3046212 298</t>
  </si>
  <si>
    <t>926. .22</t>
  </si>
  <si>
    <t>3046212 299</t>
  </si>
  <si>
    <t>926. .23</t>
  </si>
  <si>
    <t>3046212 300</t>
  </si>
  <si>
    <t>926. .24</t>
  </si>
  <si>
    <t>3046212 301</t>
  </si>
  <si>
    <t>926. .25</t>
  </si>
  <si>
    <t>3046212 302</t>
  </si>
  <si>
    <t>926. .26</t>
  </si>
  <si>
    <t>3046212 303</t>
  </si>
  <si>
    <t>926. .27</t>
  </si>
  <si>
    <t>3046212 304</t>
  </si>
  <si>
    <t>926. .28</t>
  </si>
  <si>
    <t>3046212 305</t>
  </si>
  <si>
    <t>926. .29</t>
  </si>
  <si>
    <t>3046212 306</t>
  </si>
  <si>
    <t>926. .30</t>
  </si>
  <si>
    <t>3046212 307</t>
  </si>
  <si>
    <t>926. .31</t>
  </si>
  <si>
    <t>3046212 308</t>
  </si>
  <si>
    <t>926. .32</t>
  </si>
  <si>
    <t>3046212 309</t>
  </si>
  <si>
    <t>926. .33</t>
  </si>
  <si>
    <t>3046212 310</t>
  </si>
  <si>
    <t>926. .34</t>
  </si>
  <si>
    <t>3046212 311</t>
  </si>
  <si>
    <t>926. .35</t>
  </si>
  <si>
    <t>3046212 312</t>
  </si>
  <si>
    <t>926. .36</t>
  </si>
  <si>
    <t>3046212 313</t>
  </si>
  <si>
    <t>926. .37</t>
  </si>
  <si>
    <t>3046212 314</t>
  </si>
  <si>
    <t>926. .38</t>
  </si>
  <si>
    <t>3046212 315</t>
  </si>
  <si>
    <t>926. .39</t>
  </si>
  <si>
    <t>3046212 316</t>
  </si>
  <si>
    <t>926. .40</t>
  </si>
  <si>
    <t>3046212 317</t>
  </si>
  <si>
    <t>926. .41</t>
  </si>
  <si>
    <t>3046212 318</t>
  </si>
  <si>
    <t>926. .42</t>
  </si>
  <si>
    <t>3046212 319</t>
  </si>
  <si>
    <t>926. .43</t>
  </si>
  <si>
    <t>3046212 320</t>
  </si>
  <si>
    <t>926. .44</t>
  </si>
  <si>
    <t>3046212 321</t>
  </si>
  <si>
    <t>926. .45</t>
  </si>
  <si>
    <t>3046212 322</t>
  </si>
  <si>
    <t>926. .46</t>
  </si>
  <si>
    <t>3046212 323</t>
  </si>
  <si>
    <t>926. .47</t>
  </si>
  <si>
    <t>3046212 324</t>
  </si>
  <si>
    <t>926. .48</t>
  </si>
  <si>
    <t>3046212 325</t>
  </si>
  <si>
    <t>926. .49</t>
  </si>
  <si>
    <t>3046212 326</t>
  </si>
  <si>
    <t>926. .50</t>
  </si>
  <si>
    <t>3046212 327</t>
  </si>
  <si>
    <t>926. .51</t>
  </si>
  <si>
    <t>3046212 328</t>
  </si>
  <si>
    <t>926. .52</t>
  </si>
  <si>
    <t>3046212 329</t>
  </si>
  <si>
    <t>926. .53</t>
  </si>
  <si>
    <t>3046212 330</t>
  </si>
  <si>
    <t>926. .54</t>
  </si>
  <si>
    <t>3046212 331</t>
  </si>
  <si>
    <t>926. .55</t>
  </si>
  <si>
    <t>3046212 332</t>
  </si>
  <si>
    <t>926. .56</t>
  </si>
  <si>
    <t>3046212 333</t>
  </si>
  <si>
    <t>926. .57</t>
  </si>
  <si>
    <t>3046212 334</t>
  </si>
  <si>
    <t>926. .58</t>
  </si>
  <si>
    <t>3046212 335</t>
  </si>
  <si>
    <t>926. .59</t>
  </si>
  <si>
    <t>3046212 336</t>
  </si>
  <si>
    <t>926. .60</t>
  </si>
  <si>
    <t>3046212 337</t>
  </si>
  <si>
    <t>926. .61</t>
  </si>
  <si>
    <t>3046212 338</t>
  </si>
  <si>
    <t>926. .62</t>
  </si>
  <si>
    <t>3046212 339</t>
  </si>
  <si>
    <t>926. .63</t>
  </si>
  <si>
    <t>3046212 340</t>
  </si>
  <si>
    <t>926. .64</t>
  </si>
  <si>
    <t>3046212 341</t>
  </si>
  <si>
    <t>926. .65</t>
  </si>
  <si>
    <t>3046212 342</t>
  </si>
  <si>
    <t>926. .66</t>
  </si>
  <si>
    <t>3046212 343</t>
  </si>
  <si>
    <t>926. .67</t>
  </si>
  <si>
    <t>3046212 344</t>
  </si>
  <si>
    <t>926. .68</t>
  </si>
  <si>
    <t>3046212 345</t>
  </si>
  <si>
    <t>926. .69</t>
  </si>
  <si>
    <t>3046212 346</t>
  </si>
  <si>
    <t>926. .70</t>
  </si>
  <si>
    <t>3046212 347</t>
  </si>
  <si>
    <t>926. .71</t>
  </si>
  <si>
    <t>3046212 348</t>
  </si>
  <si>
    <t>926. .72</t>
  </si>
  <si>
    <t>3046212 349</t>
  </si>
  <si>
    <t>926. .73</t>
  </si>
  <si>
    <t>3046212 350</t>
  </si>
  <si>
    <t>926. .74</t>
  </si>
  <si>
    <t>3046212 351</t>
  </si>
  <si>
    <t>926. .75</t>
  </si>
  <si>
    <t>3046212 352</t>
  </si>
  <si>
    <t>926. .76</t>
  </si>
  <si>
    <t>3046212 353</t>
  </si>
  <si>
    <t>926. .77</t>
  </si>
  <si>
    <t>3046212 354</t>
  </si>
  <si>
    <t>926. .78</t>
  </si>
  <si>
    <t>3046212 355</t>
  </si>
  <si>
    <t>926. .79</t>
  </si>
  <si>
    <t>3046212 356</t>
  </si>
  <si>
    <t>926. .80</t>
  </si>
  <si>
    <t>3046212 357</t>
  </si>
  <si>
    <t>926. .81</t>
  </si>
  <si>
    <t>3046212 358</t>
  </si>
  <si>
    <t>926. .82</t>
  </si>
  <si>
    <t>3046212 359</t>
  </si>
  <si>
    <t>926. .83</t>
  </si>
  <si>
    <t>3046212 360</t>
  </si>
  <si>
    <t>926. .84</t>
  </si>
  <si>
    <t>3046212 361</t>
  </si>
  <si>
    <t>926. .85</t>
  </si>
  <si>
    <t>3046212 362</t>
  </si>
  <si>
    <t>926. .86</t>
  </si>
  <si>
    <t>3046212 363</t>
  </si>
  <si>
    <t>926. .87</t>
  </si>
  <si>
    <t>3046212 364</t>
  </si>
  <si>
    <t>926. .88</t>
  </si>
  <si>
    <t>3046212 365</t>
  </si>
  <si>
    <t>926. .89</t>
  </si>
  <si>
    <t>3046212 366</t>
  </si>
  <si>
    <t>926. .90</t>
  </si>
  <si>
    <t>3046212 367</t>
  </si>
  <si>
    <t>926. .91</t>
  </si>
  <si>
    <t>3046212 368</t>
  </si>
  <si>
    <t>926. .92</t>
  </si>
  <si>
    <t>3046212 369</t>
  </si>
  <si>
    <t>926. .93</t>
  </si>
  <si>
    <t>3046212 370</t>
  </si>
  <si>
    <t>926. .94</t>
  </si>
  <si>
    <t>3046212 371</t>
  </si>
  <si>
    <t>926. .95</t>
  </si>
  <si>
    <t>3046212 372</t>
  </si>
  <si>
    <t>926. .96</t>
  </si>
  <si>
    <t>3046212 373</t>
  </si>
  <si>
    <t>926. .97</t>
  </si>
  <si>
    <t>3046212 374</t>
  </si>
  <si>
    <t>926. .98</t>
  </si>
  <si>
    <t>3046212 375</t>
  </si>
  <si>
    <t>926. .99</t>
  </si>
  <si>
    <t>3046212 376</t>
  </si>
  <si>
    <t>926. .100</t>
  </si>
  <si>
    <t>3046212 377</t>
  </si>
  <si>
    <t>926. .101</t>
  </si>
  <si>
    <t>3046212 378</t>
  </si>
  <si>
    <t>926. .102</t>
  </si>
  <si>
    <t>3046212 379</t>
  </si>
  <si>
    <t>926. .103</t>
  </si>
  <si>
    <t>3046212 380</t>
  </si>
  <si>
    <t>926. .104</t>
  </si>
  <si>
    <t>3046212 381</t>
  </si>
  <si>
    <t>926. .105</t>
  </si>
  <si>
    <t>3046212 382</t>
  </si>
  <si>
    <t>926. .106</t>
  </si>
  <si>
    <t>3046212 383</t>
  </si>
  <si>
    <t>926. .107</t>
  </si>
  <si>
    <t>3046212 384</t>
  </si>
  <si>
    <t>926. .108</t>
  </si>
  <si>
    <t>3046212 385</t>
  </si>
  <si>
    <t>926. .109</t>
  </si>
  <si>
    <t>3046212 386</t>
  </si>
  <si>
    <t>926. .110</t>
  </si>
  <si>
    <t>3046212 387</t>
  </si>
  <si>
    <t>926. .111</t>
  </si>
  <si>
    <t>3046212 388</t>
  </si>
  <si>
    <t>926. .112</t>
  </si>
  <si>
    <t>3046212 389</t>
  </si>
  <si>
    <t>926. .113</t>
  </si>
  <si>
    <t>3046212 390</t>
  </si>
  <si>
    <t>926. .114</t>
  </si>
  <si>
    <t>3046212 391</t>
  </si>
  <si>
    <t>926. .115</t>
  </si>
  <si>
    <t>3046212 392</t>
  </si>
  <si>
    <t>926. .116</t>
  </si>
  <si>
    <t>3046212 393</t>
  </si>
  <si>
    <t>926. .117</t>
  </si>
  <si>
    <t>3046212 394</t>
  </si>
  <si>
    <t>926. .118</t>
  </si>
  <si>
    <t>3046212 395</t>
  </si>
  <si>
    <t>926. .119</t>
  </si>
  <si>
    <t>3046212 396</t>
  </si>
  <si>
    <t>926. .120</t>
  </si>
  <si>
    <t>3046212 397</t>
  </si>
  <si>
    <t>926. .121</t>
  </si>
  <si>
    <t>3046212 398</t>
  </si>
  <si>
    <t>926. .122</t>
  </si>
  <si>
    <t>3046212 399</t>
  </si>
  <si>
    <t>926. .123</t>
  </si>
  <si>
    <t>3046212 400</t>
  </si>
  <si>
    <t>926. .124</t>
  </si>
  <si>
    <t>3046212 401</t>
  </si>
  <si>
    <t>926. .125</t>
  </si>
  <si>
    <t>3046212 402</t>
  </si>
  <si>
    <t>926. .126</t>
  </si>
  <si>
    <t>3046212 403</t>
  </si>
  <si>
    <t>926. .127</t>
  </si>
  <si>
    <t>3046212 404</t>
  </si>
  <si>
    <t>926. .128</t>
  </si>
  <si>
    <t>3046212 405</t>
  </si>
  <si>
    <t>926. .129</t>
  </si>
  <si>
    <t>3046212 406</t>
  </si>
  <si>
    <t>926. .130</t>
  </si>
  <si>
    <t>3046212 407</t>
  </si>
  <si>
    <t>926. .131</t>
  </si>
  <si>
    <t>3046212 408</t>
  </si>
  <si>
    <t>926. .132</t>
  </si>
  <si>
    <t>3046212 409</t>
  </si>
  <si>
    <t>926. .133</t>
  </si>
  <si>
    <t>3046212 410</t>
  </si>
  <si>
    <t>926. .134</t>
  </si>
  <si>
    <t>3046212 411</t>
  </si>
  <si>
    <t>926. .135</t>
  </si>
  <si>
    <t>3046212 412</t>
  </si>
  <si>
    <t>926. .136</t>
  </si>
  <si>
    <t>3046212 413</t>
  </si>
  <si>
    <t>926. .137</t>
  </si>
  <si>
    <t>3046212 414</t>
  </si>
  <si>
    <t>926. .138</t>
  </si>
  <si>
    <t>3046212 415</t>
  </si>
  <si>
    <t>926. .139</t>
  </si>
  <si>
    <t>3046212 416</t>
  </si>
  <si>
    <t>926. .140</t>
  </si>
  <si>
    <t>3046212 417</t>
  </si>
  <si>
    <t>926. .141</t>
  </si>
  <si>
    <t>3046212 418</t>
  </si>
  <si>
    <t>926. .142</t>
  </si>
  <si>
    <t>3046212 419</t>
  </si>
  <si>
    <t>926. .143</t>
  </si>
  <si>
    <t>3046212 420</t>
  </si>
  <si>
    <t>926. .144</t>
  </si>
  <si>
    <t>3046212 421</t>
  </si>
  <si>
    <t>926. .145</t>
  </si>
  <si>
    <t>3046212 422</t>
  </si>
  <si>
    <t>926. .146</t>
  </si>
  <si>
    <t>3046212 423</t>
  </si>
  <si>
    <t>926. .147</t>
  </si>
  <si>
    <t>3046212 424</t>
  </si>
  <si>
    <t>926. .148</t>
  </si>
  <si>
    <t>3046212 425</t>
  </si>
  <si>
    <t>926. .149</t>
  </si>
  <si>
    <t>3046212 426</t>
  </si>
  <si>
    <t>926. .150</t>
  </si>
  <si>
    <t>3046212 427</t>
  </si>
  <si>
    <t>926. .151</t>
  </si>
  <si>
    <t>3046212 428</t>
  </si>
  <si>
    <t>926. .152</t>
  </si>
  <si>
    <t>3046212 429</t>
  </si>
  <si>
    <t>926. .153</t>
  </si>
  <si>
    <t>3046212 430</t>
  </si>
  <si>
    <t>926. .154</t>
  </si>
  <si>
    <t>3046212 431</t>
  </si>
  <si>
    <t>926. .155</t>
  </si>
  <si>
    <t>3046212 432</t>
  </si>
  <si>
    <t>926. .156</t>
  </si>
  <si>
    <t>3046212 433</t>
  </si>
  <si>
    <t>926. .157</t>
  </si>
  <si>
    <t>3046212 434</t>
  </si>
  <si>
    <t>926. .158</t>
  </si>
  <si>
    <t>3046212 435</t>
  </si>
  <si>
    <t>926. .159</t>
  </si>
  <si>
    <t>3046212 436</t>
  </si>
  <si>
    <t>926. .160</t>
  </si>
  <si>
    <t>3046212 437</t>
  </si>
  <si>
    <t>926. .161</t>
  </si>
  <si>
    <t>3046212 438</t>
  </si>
  <si>
    <t>926. .162</t>
  </si>
  <si>
    <t>3046212 439</t>
  </si>
  <si>
    <t>926. .163</t>
  </si>
  <si>
    <t>3046212 440</t>
  </si>
  <si>
    <t>926. .164</t>
  </si>
  <si>
    <t>3046212 441</t>
  </si>
  <si>
    <t>926. .165</t>
  </si>
  <si>
    <t>3046212 442</t>
  </si>
  <si>
    <t>926. .166</t>
  </si>
  <si>
    <t>3046212 443</t>
  </si>
  <si>
    <t>926. .167</t>
  </si>
  <si>
    <t>3046212 444</t>
  </si>
  <si>
    <t>926. .168</t>
  </si>
  <si>
    <t>3046212 445</t>
  </si>
  <si>
    <t>926. .169</t>
  </si>
  <si>
    <t>3046212 446</t>
  </si>
  <si>
    <t>926. .170</t>
  </si>
  <si>
    <t>3046212 447</t>
  </si>
  <si>
    <t>926. .171</t>
  </si>
  <si>
    <t>3046212 448</t>
  </si>
  <si>
    <t>926. .172</t>
  </si>
  <si>
    <t>3046212 449</t>
  </si>
  <si>
    <t>926. .173</t>
  </si>
  <si>
    <t>3046212 450</t>
  </si>
  <si>
    <t>926. .174</t>
  </si>
  <si>
    <t>3046212 451</t>
  </si>
  <si>
    <t>926. .175</t>
  </si>
  <si>
    <t>3046212 452</t>
  </si>
  <si>
    <t>926. .176</t>
  </si>
  <si>
    <t>3046212 453</t>
  </si>
  <si>
    <t>926. .177</t>
  </si>
  <si>
    <t>3046212 454</t>
  </si>
  <si>
    <t>926. .178</t>
  </si>
  <si>
    <t>3046212 455</t>
  </si>
  <si>
    <t>926. .179</t>
  </si>
  <si>
    <t>3046212 456</t>
  </si>
  <si>
    <t>926. .180</t>
  </si>
  <si>
    <t>3046212 457</t>
  </si>
  <si>
    <t>926. .181</t>
  </si>
  <si>
    <t>3046212 458</t>
  </si>
  <si>
    <t>926. .182</t>
  </si>
  <si>
    <t>3046212 459</t>
  </si>
  <si>
    <t>926. .183</t>
  </si>
  <si>
    <t>3046212 460</t>
  </si>
  <si>
    <t>926. .184</t>
  </si>
  <si>
    <t>3046212 461</t>
  </si>
  <si>
    <t>926. .185</t>
  </si>
  <si>
    <t>3046212 462</t>
  </si>
  <si>
    <t>926. .186</t>
  </si>
  <si>
    <t>3046212 463</t>
  </si>
  <si>
    <t>926. .187</t>
  </si>
  <si>
    <t>3046212 464</t>
  </si>
  <si>
    <t>926. .188</t>
  </si>
  <si>
    <t>3046212 465</t>
  </si>
  <si>
    <t>926. .189</t>
  </si>
  <si>
    <t>3046212 466</t>
  </si>
  <si>
    <t>926. .190</t>
  </si>
  <si>
    <t>3046212 467</t>
  </si>
  <si>
    <t>926. .191</t>
  </si>
  <si>
    <t>3046212 468</t>
  </si>
  <si>
    <t>926. .192</t>
  </si>
  <si>
    <t>3046212 469</t>
  </si>
  <si>
    <t>926. .193</t>
  </si>
  <si>
    <t>3046212 470</t>
  </si>
  <si>
    <t>926. .194</t>
  </si>
  <si>
    <t>3046212 471</t>
  </si>
  <si>
    <t>926. .195</t>
  </si>
  <si>
    <t>3046212 472</t>
  </si>
  <si>
    <t>926. .196</t>
  </si>
  <si>
    <t>3046212 473</t>
  </si>
  <si>
    <t>926. .197</t>
  </si>
  <si>
    <t>3046212 474</t>
  </si>
  <si>
    <t>926. .198</t>
  </si>
  <si>
    <t>3046212 475</t>
  </si>
  <si>
    <t>926. .199</t>
  </si>
  <si>
    <t>3046212 476</t>
  </si>
  <si>
    <t>926. .200</t>
  </si>
  <si>
    <t>3046212 477</t>
  </si>
  <si>
    <t>926. .201</t>
  </si>
  <si>
    <t>3046212 478</t>
  </si>
  <si>
    <t>926. .202</t>
  </si>
  <si>
    <t>3046212 479</t>
  </si>
  <si>
    <t>926. .203</t>
  </si>
  <si>
    <t>3046212 480</t>
  </si>
  <si>
    <t>926. .204</t>
  </si>
  <si>
    <t>3046212 481</t>
  </si>
  <si>
    <t>926. .205</t>
  </si>
  <si>
    <t>3046212 482</t>
  </si>
  <si>
    <t>926. .206</t>
  </si>
  <si>
    <t>3046212 483</t>
  </si>
  <si>
    <t>926. .207</t>
  </si>
  <si>
    <t>3046212 484</t>
  </si>
  <si>
    <t>926. .208</t>
  </si>
  <si>
    <t>3046212 485</t>
  </si>
  <si>
    <t>926. .209</t>
  </si>
  <si>
    <t>3046212 486</t>
  </si>
  <si>
    <t>926. .210</t>
  </si>
  <si>
    <t>3046212 487</t>
  </si>
  <si>
    <t>926. .211</t>
  </si>
  <si>
    <t>3046212 488</t>
  </si>
  <si>
    <t>926. .212</t>
  </si>
  <si>
    <t>3046212 489</t>
  </si>
  <si>
    <t>926. .213</t>
  </si>
  <si>
    <t>3046212 490</t>
  </si>
  <si>
    <t>926. .214</t>
  </si>
  <si>
    <t>3046212 491</t>
  </si>
  <si>
    <t>926. .215</t>
  </si>
  <si>
    <t>3046212 492</t>
  </si>
  <si>
    <t>926. .216</t>
  </si>
  <si>
    <t>3046212 493</t>
  </si>
  <si>
    <t>926. .217</t>
  </si>
  <si>
    <t>3046212 494</t>
  </si>
  <si>
    <t>926. .218</t>
  </si>
  <si>
    <t>3046212 495</t>
  </si>
  <si>
    <t>926. .219</t>
  </si>
  <si>
    <t>3046212 496</t>
  </si>
  <si>
    <t>926. .220</t>
  </si>
  <si>
    <t>3046212 497</t>
  </si>
  <si>
    <t>926. .221</t>
  </si>
  <si>
    <t>3046212 498</t>
  </si>
  <si>
    <t>926. .222</t>
  </si>
  <si>
    <t>3046212 499</t>
  </si>
  <si>
    <t>926. .223</t>
  </si>
  <si>
    <t>3046212 500</t>
  </si>
  <si>
    <t>926. .224</t>
  </si>
  <si>
    <t>3046212 501</t>
  </si>
  <si>
    <t>926. .225</t>
  </si>
  <si>
    <t>3046212 502</t>
  </si>
  <si>
    <t>926. .226</t>
  </si>
  <si>
    <t>3046212 503</t>
  </si>
  <si>
    <t>926. .227</t>
  </si>
  <si>
    <t>3046212 504</t>
  </si>
  <si>
    <t>926. .228</t>
  </si>
  <si>
    <t>3046212 505</t>
  </si>
  <si>
    <t>926. .229</t>
  </si>
  <si>
    <t>3046212 506</t>
  </si>
  <si>
    <t>926. .230</t>
  </si>
  <si>
    <t>3046212 507</t>
  </si>
  <si>
    <t>926. .231</t>
  </si>
  <si>
    <t>3046212 508</t>
  </si>
  <si>
    <t>926. .232</t>
  </si>
  <si>
    <t>3046212 509</t>
  </si>
  <si>
    <t>926. .233</t>
  </si>
  <si>
    <t>3046212 510</t>
  </si>
  <si>
    <t>926. .234</t>
  </si>
  <si>
    <t>3046212 511</t>
  </si>
  <si>
    <t>926. .235</t>
  </si>
  <si>
    <t>3046212 512</t>
  </si>
  <si>
    <t>926. .236</t>
  </si>
  <si>
    <t>3046212 513</t>
  </si>
  <si>
    <t>926. .237</t>
  </si>
  <si>
    <t>3046212 514</t>
  </si>
  <si>
    <t>926. .238</t>
  </si>
  <si>
    <t>3046212 515</t>
  </si>
  <si>
    <t>926. .239</t>
  </si>
  <si>
    <t>3046212 516</t>
  </si>
  <si>
    <t>926. .240</t>
  </si>
  <si>
    <t>3046212 517</t>
  </si>
  <si>
    <t>926. .241</t>
  </si>
  <si>
    <t>3046212 518</t>
  </si>
  <si>
    <t>926. .242</t>
  </si>
  <si>
    <t>3046212 519</t>
  </si>
  <si>
    <t>926. .243</t>
  </si>
  <si>
    <t>3046212 520</t>
  </si>
  <si>
    <t>926. .244</t>
  </si>
  <si>
    <t>3046212 521</t>
  </si>
  <si>
    <t>926. .245</t>
  </si>
  <si>
    <t>3046212 522</t>
  </si>
  <si>
    <t>926. .246</t>
  </si>
  <si>
    <t>3046212 523</t>
  </si>
  <si>
    <t>926. .247</t>
  </si>
  <si>
    <t>3046212 524</t>
  </si>
  <si>
    <t>926. .248</t>
  </si>
  <si>
    <t>3046212 525</t>
  </si>
  <si>
    <t>926. .249</t>
  </si>
  <si>
    <t>3046212 526</t>
  </si>
  <si>
    <t>926. .250</t>
  </si>
  <si>
    <t>3046212 527</t>
  </si>
  <si>
    <t>926. .251</t>
  </si>
  <si>
    <t>3046212 528</t>
  </si>
  <si>
    <t>926. .252</t>
  </si>
  <si>
    <t>3046212 529</t>
  </si>
  <si>
    <t>926. .253</t>
  </si>
  <si>
    <t>3046212 530</t>
  </si>
  <si>
    <t>926. .254</t>
  </si>
  <si>
    <t>3046212 531</t>
  </si>
  <si>
    <t>926. .255</t>
  </si>
  <si>
    <t>3046212 532</t>
  </si>
  <si>
    <t>926. .256</t>
  </si>
  <si>
    <t>3046212 533</t>
  </si>
  <si>
    <t>926. .257</t>
  </si>
  <si>
    <t>3046212 534</t>
  </si>
  <si>
    <t>926. .258</t>
  </si>
  <si>
    <t>3046212 535</t>
  </si>
  <si>
    <t>926. .259</t>
  </si>
  <si>
    <t>3046212 536</t>
  </si>
  <si>
    <t>926. .260</t>
  </si>
  <si>
    <t>3046212 537</t>
  </si>
  <si>
    <t>926. .261</t>
  </si>
  <si>
    <t>3046212 538</t>
  </si>
  <si>
    <t>926. .262</t>
  </si>
  <si>
    <t>3046212 539</t>
  </si>
  <si>
    <t>926. .263</t>
  </si>
  <si>
    <t>3046212 540</t>
  </si>
  <si>
    <t>926. .264</t>
  </si>
  <si>
    <t>3046212 541</t>
  </si>
  <si>
    <t>926. .265</t>
  </si>
  <si>
    <t>3046212 542</t>
  </si>
  <si>
    <t>926. .266</t>
  </si>
  <si>
    <t>3046212 543</t>
  </si>
  <si>
    <t>926. .267</t>
  </si>
  <si>
    <t>3046212 544</t>
  </si>
  <si>
    <t>926. .268</t>
  </si>
  <si>
    <t>3046212 545</t>
  </si>
  <si>
    <t>926. .269</t>
  </si>
  <si>
    <t>3046212 546</t>
  </si>
  <si>
    <t>926. .270</t>
  </si>
  <si>
    <t>3046212 547</t>
  </si>
  <si>
    <t>926. .271</t>
  </si>
  <si>
    <t>3046212 548</t>
  </si>
  <si>
    <t>926. .272</t>
  </si>
  <si>
    <t>3046212 549</t>
  </si>
  <si>
    <t>926. .273</t>
  </si>
  <si>
    <t>3046212 550</t>
  </si>
  <si>
    <t>926. .274</t>
  </si>
  <si>
    <t>3046212 551</t>
  </si>
  <si>
    <t>926. .275</t>
  </si>
  <si>
    <t>3046212 552</t>
  </si>
  <si>
    <t>926. .276</t>
  </si>
  <si>
    <t>3046212 553</t>
  </si>
  <si>
    <t>926. .277</t>
  </si>
  <si>
    <t>3046212 554</t>
  </si>
  <si>
    <t>926. .278</t>
  </si>
  <si>
    <t>3046212 555</t>
  </si>
  <si>
    <t>926. .279</t>
  </si>
  <si>
    <t>3046212 556</t>
  </si>
  <si>
    <t>926. .280</t>
  </si>
  <si>
    <t>3046212 557</t>
  </si>
  <si>
    <t>926. .281</t>
  </si>
  <si>
    <t>3046212 558</t>
  </si>
  <si>
    <t>926. .282</t>
  </si>
  <si>
    <t>3046212 559</t>
  </si>
  <si>
    <t>926. .283</t>
  </si>
  <si>
    <t>3046212 560</t>
  </si>
  <si>
    <t>926. .284</t>
  </si>
  <si>
    <t>3046212 561</t>
  </si>
  <si>
    <t>926. .285</t>
  </si>
  <si>
    <t>3046212 562</t>
  </si>
  <si>
    <t>926. .286</t>
  </si>
  <si>
    <t>3046212 563</t>
  </si>
  <si>
    <t>926. .287</t>
  </si>
  <si>
    <t>3046212 564</t>
  </si>
  <si>
    <t>926. .288</t>
  </si>
  <si>
    <t>3046212 565</t>
  </si>
  <si>
    <t>926. .289</t>
  </si>
  <si>
    <t>3046212 566</t>
  </si>
  <si>
    <t>926. .290</t>
  </si>
  <si>
    <t>3046212 567</t>
  </si>
  <si>
    <t>926. .291</t>
  </si>
  <si>
    <t>3046212 568</t>
  </si>
  <si>
    <t>926. .292</t>
  </si>
  <si>
    <t>3046212 569</t>
  </si>
  <si>
    <t>926. .293</t>
  </si>
  <si>
    <t>3046212 570</t>
  </si>
  <si>
    <t>926. .294</t>
  </si>
  <si>
    <t>3046212 571</t>
  </si>
  <si>
    <t>926. .295</t>
  </si>
  <si>
    <t>3046212 572</t>
  </si>
  <si>
    <t>926. .296</t>
  </si>
  <si>
    <t>3046212 573</t>
  </si>
  <si>
    <t>926. .297</t>
  </si>
  <si>
    <t>3046212 574</t>
  </si>
  <si>
    <t>926. .298</t>
  </si>
  <si>
    <t>3046212 575</t>
  </si>
  <si>
    <t>926. .299</t>
  </si>
  <si>
    <t>3046212 576</t>
  </si>
  <si>
    <t>926. .300</t>
  </si>
  <si>
    <t>3046212 577</t>
  </si>
  <si>
    <t>926. .301</t>
  </si>
  <si>
    <t>3046212 578</t>
  </si>
  <si>
    <t>926. .302</t>
  </si>
  <si>
    <t>3046212 579</t>
  </si>
  <si>
    <t>926. .303</t>
  </si>
  <si>
    <t>3046212 580</t>
  </si>
  <si>
    <t>926. .304</t>
  </si>
  <si>
    <t>3046212 581</t>
  </si>
  <si>
    <t>926. .305</t>
  </si>
  <si>
    <t>3046212 582</t>
  </si>
  <si>
    <t>926. .306</t>
  </si>
  <si>
    <t>3046212 583</t>
  </si>
  <si>
    <t>926. .307</t>
  </si>
  <si>
    <t>3046212 584</t>
  </si>
  <si>
    <t>926. .308</t>
  </si>
  <si>
    <t>3046212 585</t>
  </si>
  <si>
    <t>926. .309</t>
  </si>
  <si>
    <t>3046212 586</t>
  </si>
  <si>
    <t>926. .310</t>
  </si>
  <si>
    <t>3046212 587</t>
  </si>
  <si>
    <t>926. .311</t>
  </si>
  <si>
    <t>3046212 588</t>
  </si>
  <si>
    <t>926. .312</t>
  </si>
  <si>
    <t>3046212 589</t>
  </si>
  <si>
    <t>926. .313</t>
  </si>
  <si>
    <t>3046212 590</t>
  </si>
  <si>
    <t>926. .314</t>
  </si>
  <si>
    <t>3046212 591</t>
  </si>
  <si>
    <t>926. .315</t>
  </si>
  <si>
    <t>3046212 592</t>
  </si>
  <si>
    <t>926. .316</t>
  </si>
  <si>
    <t>3046212 593</t>
  </si>
  <si>
    <t>926. .317</t>
  </si>
  <si>
    <t>3046212 594</t>
  </si>
  <si>
    <t>926. .318</t>
  </si>
  <si>
    <t>3046212 595</t>
  </si>
  <si>
    <t>926. .319</t>
  </si>
  <si>
    <t>3046212 596</t>
  </si>
  <si>
    <t>926. .320</t>
  </si>
  <si>
    <t>3046212 597</t>
  </si>
  <si>
    <t>926. .321</t>
  </si>
  <si>
    <t>3046212 598</t>
  </si>
  <si>
    <t>926. .322</t>
  </si>
  <si>
    <t>3046212 599</t>
  </si>
  <si>
    <t>926. .323</t>
  </si>
  <si>
    <t>3046212 600</t>
  </si>
  <si>
    <t>926. .324</t>
  </si>
  <si>
    <t>3046212 601</t>
  </si>
  <si>
    <t>926. .325</t>
  </si>
  <si>
    <t>3046212 602</t>
  </si>
  <si>
    <t>926. .326</t>
  </si>
  <si>
    <t>3046212 603</t>
  </si>
  <si>
    <t>926. .327</t>
  </si>
  <si>
    <t>3046212 604</t>
  </si>
  <si>
    <t>926. .328</t>
  </si>
  <si>
    <t>3046212 605</t>
  </si>
  <si>
    <t>926. .329</t>
  </si>
  <si>
    <t>3046212 606</t>
  </si>
  <si>
    <t>926. .330</t>
  </si>
  <si>
    <t>3046212 607</t>
  </si>
  <si>
    <t>926. .331</t>
  </si>
  <si>
    <t>3046212 608</t>
  </si>
  <si>
    <t>926. .332</t>
  </si>
  <si>
    <t>3046212 609</t>
  </si>
  <si>
    <t>926. .333</t>
  </si>
  <si>
    <t>3046212 610</t>
  </si>
  <si>
    <t>926. .334</t>
  </si>
  <si>
    <t>3046212 611</t>
  </si>
  <si>
    <t>926. .335</t>
  </si>
  <si>
    <t>3046212 612</t>
  </si>
  <si>
    <t>926. .336</t>
  </si>
  <si>
    <t>3046212 613</t>
  </si>
  <si>
    <t>926. .337</t>
  </si>
  <si>
    <t>3046212 614</t>
  </si>
  <si>
    <t>926. .338</t>
  </si>
  <si>
    <t>3046212 615</t>
  </si>
  <si>
    <t>926. .339</t>
  </si>
  <si>
    <t>3046212 616</t>
  </si>
  <si>
    <t>926. .340</t>
  </si>
  <si>
    <t>3046212 617</t>
  </si>
  <si>
    <t>926. .341</t>
  </si>
  <si>
    <t>3046212 618</t>
  </si>
  <si>
    <t>926. .342</t>
  </si>
  <si>
    <t>3046212 619</t>
  </si>
  <si>
    <t>926. .343</t>
  </si>
  <si>
    <t>3046212 620</t>
  </si>
  <si>
    <t>926. .344</t>
  </si>
  <si>
    <t>3046212 621</t>
  </si>
  <si>
    <t>926. .345</t>
  </si>
  <si>
    <t>3046212 622</t>
  </si>
  <si>
    <t>926. .346</t>
  </si>
  <si>
    <t>3046212 623</t>
  </si>
  <si>
    <t>926. .347</t>
  </si>
  <si>
    <t>3046212 624</t>
  </si>
  <si>
    <t>926. .348</t>
  </si>
  <si>
    <t>3046212 625</t>
  </si>
  <si>
    <t>926. .349</t>
  </si>
  <si>
    <t>3046212 626</t>
  </si>
  <si>
    <t>926. .350</t>
  </si>
  <si>
    <t>3046212 627</t>
  </si>
  <si>
    <t>926. .351</t>
  </si>
  <si>
    <t>3046212 628</t>
  </si>
  <si>
    <t>926. .352</t>
  </si>
  <si>
    <t>3046212 629</t>
  </si>
  <si>
    <t>926. .353</t>
  </si>
  <si>
    <t>3046212 630</t>
  </si>
  <si>
    <t>926. .354</t>
  </si>
  <si>
    <t>3046212 631</t>
  </si>
  <si>
    <t>926. .355</t>
  </si>
  <si>
    <t>3046212 632</t>
  </si>
  <si>
    <t>926. .356</t>
  </si>
  <si>
    <t>3046212 633</t>
  </si>
  <si>
    <t>926. .357</t>
  </si>
  <si>
    <t>3046212 634</t>
  </si>
  <si>
    <t>926. .358</t>
  </si>
  <si>
    <t>3046212 635</t>
  </si>
  <si>
    <t>926. .359</t>
  </si>
  <si>
    <t>3046212 636</t>
  </si>
  <si>
    <t>926. .360</t>
  </si>
  <si>
    <t>3046212 637</t>
  </si>
  <si>
    <t>926. .361</t>
  </si>
  <si>
    <t>3046212 638</t>
  </si>
  <si>
    <t>926. .362</t>
  </si>
  <si>
    <t>3046212 639</t>
  </si>
  <si>
    <t>926. .363</t>
  </si>
  <si>
    <t>3046212 640</t>
  </si>
  <si>
    <t>926. .364</t>
  </si>
  <si>
    <t>3046212 641</t>
  </si>
  <si>
    <t>926. .365</t>
  </si>
  <si>
    <t>3046212 642</t>
  </si>
  <si>
    <t>926. .366</t>
  </si>
  <si>
    <t>3046212 643</t>
  </si>
  <si>
    <t>926. .367</t>
  </si>
  <si>
    <t>3046212 644</t>
  </si>
  <si>
    <t>926. .368</t>
  </si>
  <si>
    <t>3046212 645</t>
  </si>
  <si>
    <t>926. .369</t>
  </si>
  <si>
    <t>3046212 646</t>
  </si>
  <si>
    <t>926. .370</t>
  </si>
  <si>
    <t>3046212 647</t>
  </si>
  <si>
    <t>926. .371</t>
  </si>
  <si>
    <t>3046212 648</t>
  </si>
  <si>
    <t>926. .372</t>
  </si>
  <si>
    <t>3046212 649</t>
  </si>
  <si>
    <t>926. .373</t>
  </si>
  <si>
    <t>3046212 650</t>
  </si>
  <si>
    <t>926. .374</t>
  </si>
  <si>
    <t>3046212 651</t>
  </si>
  <si>
    <t>926. .375</t>
  </si>
  <si>
    <t>3046212 652</t>
  </si>
  <si>
    <t>926. .376</t>
  </si>
  <si>
    <t>3046212 653</t>
  </si>
  <si>
    <t>926. .377</t>
  </si>
  <si>
    <t>3046212 654</t>
  </si>
  <si>
    <t>926. .378</t>
  </si>
  <si>
    <t>3046212 655</t>
  </si>
  <si>
    <t>926. .379</t>
  </si>
  <si>
    <t>3046212 656</t>
  </si>
  <si>
    <t>926. .380</t>
  </si>
  <si>
    <t>3046212 657</t>
  </si>
  <si>
    <t>926. .381</t>
  </si>
  <si>
    <t>3046212 658</t>
  </si>
  <si>
    <t>926. .382</t>
  </si>
  <si>
    <t>3046212 659</t>
  </si>
  <si>
    <t>926. .383</t>
  </si>
  <si>
    <t>3046212 660</t>
  </si>
  <si>
    <t>926. .384</t>
  </si>
  <si>
    <t>3046212 661</t>
  </si>
  <si>
    <t>926. .385</t>
  </si>
  <si>
    <t>3046212 662</t>
  </si>
  <si>
    <t>926. .386</t>
  </si>
  <si>
    <t>3046212 663</t>
  </si>
  <si>
    <t>926. .387</t>
  </si>
  <si>
    <t>3046212 664</t>
  </si>
  <si>
    <t>926. .388</t>
  </si>
  <si>
    <t>3046212 665</t>
  </si>
  <si>
    <t>926. .389</t>
  </si>
  <si>
    <t>3046212 666</t>
  </si>
  <si>
    <t>926. .390</t>
  </si>
  <si>
    <t>3046212 667</t>
  </si>
  <si>
    <t>926. .391</t>
  </si>
  <si>
    <t>3046212 668</t>
  </si>
  <si>
    <t>926. .392</t>
  </si>
  <si>
    <t>3046212 669</t>
  </si>
  <si>
    <t>926. .393</t>
  </si>
  <si>
    <t>3046212 670</t>
  </si>
  <si>
    <t>926. .394</t>
  </si>
  <si>
    <t>3046212 671</t>
  </si>
  <si>
    <t>926. .395</t>
  </si>
  <si>
    <t>3046212 672</t>
  </si>
  <si>
    <t>926. .396</t>
  </si>
  <si>
    <t>3046212 673</t>
  </si>
  <si>
    <t>926. .397</t>
  </si>
  <si>
    <t>3046212 674</t>
  </si>
  <si>
    <t>926. .398</t>
  </si>
  <si>
    <t>3046212 675</t>
  </si>
  <si>
    <t>926. .399</t>
  </si>
  <si>
    <t>3046212 676</t>
  </si>
  <si>
    <t>926. .400</t>
  </si>
  <si>
    <t>3046212 677</t>
  </si>
  <si>
    <t>926. .401</t>
  </si>
  <si>
    <t>3046212 678</t>
  </si>
  <si>
    <t>926. .402</t>
  </si>
  <si>
    <t>3046212 679</t>
  </si>
  <si>
    <t>926. .403</t>
  </si>
  <si>
    <t>3046212 680</t>
  </si>
  <si>
    <t>926. .404</t>
  </si>
  <si>
    <t>3046212 681</t>
  </si>
  <si>
    <t>926. .405</t>
  </si>
  <si>
    <t>3046212 682</t>
  </si>
  <si>
    <t>926. .406</t>
  </si>
  <si>
    <t>3046212 683</t>
  </si>
  <si>
    <t>926. .407</t>
  </si>
  <si>
    <t>3046212 684</t>
  </si>
  <si>
    <t>926. .408</t>
  </si>
  <si>
    <t>3046212 685</t>
  </si>
  <si>
    <t>926. .409</t>
  </si>
  <si>
    <t>3046212 686</t>
  </si>
  <si>
    <t>926. .410</t>
  </si>
  <si>
    <t>3046212 687</t>
  </si>
  <si>
    <t>926. .411</t>
  </si>
  <si>
    <t>3046212 688</t>
  </si>
  <si>
    <t>926. .412</t>
  </si>
  <si>
    <t>3046212 689</t>
  </si>
  <si>
    <t>926. .413</t>
  </si>
  <si>
    <t>3046212 690</t>
  </si>
  <si>
    <t>926. .414</t>
  </si>
  <si>
    <t>3046212 691</t>
  </si>
  <si>
    <t>926. .415</t>
  </si>
  <si>
    <t>3046212 692</t>
  </si>
  <si>
    <t>926. .416</t>
  </si>
  <si>
    <t>3046212 693</t>
  </si>
  <si>
    <t>926. .417</t>
  </si>
  <si>
    <t>3046212 694</t>
  </si>
  <si>
    <t>926. .418</t>
  </si>
  <si>
    <t>3046212 695</t>
  </si>
  <si>
    <t>926. .419</t>
  </si>
  <si>
    <t>3046212 696</t>
  </si>
  <si>
    <t>926. .420</t>
  </si>
  <si>
    <t>3046212 697</t>
  </si>
  <si>
    <t>926. .421</t>
  </si>
  <si>
    <t>3046212 698</t>
  </si>
  <si>
    <t>926. .422</t>
  </si>
  <si>
    <t>3046212 699</t>
  </si>
  <si>
    <t>926. .423</t>
  </si>
  <si>
    <t>3046212 700</t>
  </si>
  <si>
    <t>926. .424</t>
  </si>
  <si>
    <t>3046212 701</t>
  </si>
  <si>
    <t>926. .425</t>
  </si>
  <si>
    <t>3046212 702</t>
  </si>
  <si>
    <t>926. .426</t>
  </si>
  <si>
    <t>3046212 703</t>
  </si>
  <si>
    <t>926. .427</t>
  </si>
  <si>
    <t>3046212 704</t>
  </si>
  <si>
    <t>926. .428</t>
  </si>
  <si>
    <t>3046212 705</t>
  </si>
  <si>
    <t>926. .429</t>
  </si>
  <si>
    <t>3046212 706</t>
  </si>
  <si>
    <t>926. .430</t>
  </si>
  <si>
    <t>3046212 707</t>
  </si>
  <si>
    <t>926. .431</t>
  </si>
  <si>
    <t>3046212 708</t>
  </si>
  <si>
    <t>926. .432</t>
  </si>
  <si>
    <t>3046212 709</t>
  </si>
  <si>
    <t>926. .433</t>
  </si>
  <si>
    <t>3046212 710</t>
  </si>
  <si>
    <t>926. .434</t>
  </si>
  <si>
    <t>3046212 711</t>
  </si>
  <si>
    <t>926. .435</t>
  </si>
  <si>
    <t>3046212 712</t>
  </si>
  <si>
    <t>926. .436</t>
  </si>
  <si>
    <t>3046212 713</t>
  </si>
  <si>
    <t>926. .437</t>
  </si>
  <si>
    <t>3046212 714</t>
  </si>
  <si>
    <t>926. .438</t>
  </si>
  <si>
    <t>3046212 715</t>
  </si>
  <si>
    <t>926. .439</t>
  </si>
  <si>
    <t>3046212 716</t>
  </si>
  <si>
    <t>926. .440</t>
  </si>
  <si>
    <t>3046212 717</t>
  </si>
  <si>
    <t>926. .441</t>
  </si>
  <si>
    <t>3046212 718</t>
  </si>
  <si>
    <t>926. .442</t>
  </si>
  <si>
    <t>3046212 719</t>
  </si>
  <si>
    <t>926. .443</t>
  </si>
  <si>
    <t>3046212 720</t>
  </si>
  <si>
    <t>926. .444</t>
  </si>
  <si>
    <t>3046212 721</t>
  </si>
  <si>
    <t>926. .445</t>
  </si>
  <si>
    <t>3046212 722</t>
  </si>
  <si>
    <t>926. .446</t>
  </si>
  <si>
    <t>3046212 723</t>
  </si>
  <si>
    <t>926. .447</t>
  </si>
  <si>
    <t>3046212 724</t>
  </si>
  <si>
    <t>926. .448</t>
  </si>
  <si>
    <t>3046212 725</t>
  </si>
  <si>
    <t>926. .449</t>
  </si>
  <si>
    <t>3046212 726</t>
  </si>
  <si>
    <t>926. .450</t>
  </si>
  <si>
    <t>3046212 727</t>
  </si>
  <si>
    <t>926. .451</t>
  </si>
  <si>
    <t>3046212 728</t>
  </si>
  <si>
    <t>926. .452</t>
  </si>
  <si>
    <t>3046212 729</t>
  </si>
  <si>
    <t>926. .453</t>
  </si>
  <si>
    <t>3046212 730</t>
  </si>
  <si>
    <t>926. .454</t>
  </si>
  <si>
    <t>3046212 731</t>
  </si>
  <si>
    <t>926. .455</t>
  </si>
  <si>
    <t>3046212 732</t>
  </si>
  <si>
    <t>926. .456</t>
  </si>
  <si>
    <t>3046212 733</t>
  </si>
  <si>
    <t>926. .457</t>
  </si>
  <si>
    <t>3046212 734</t>
  </si>
  <si>
    <t>926. .458</t>
  </si>
  <si>
    <t>3046212 735</t>
  </si>
  <si>
    <t>926. .459</t>
  </si>
  <si>
    <t>3046212 736</t>
  </si>
  <si>
    <t>926. .460</t>
  </si>
  <si>
    <t>3046212 737</t>
  </si>
  <si>
    <t>926. .461</t>
  </si>
  <si>
    <t>3046212 738</t>
  </si>
  <si>
    <t>926. .462</t>
  </si>
  <si>
    <t>3046212 739</t>
  </si>
  <si>
    <t>926. .463</t>
  </si>
  <si>
    <t>3046212 740</t>
  </si>
  <si>
    <t>926. .464</t>
  </si>
  <si>
    <t>3046212 741</t>
  </si>
  <si>
    <t>926. .465</t>
  </si>
  <si>
    <t>3046212 742</t>
  </si>
  <si>
    <t>926. .466</t>
  </si>
  <si>
    <t>3046212 743</t>
  </si>
  <si>
    <t>926. .467</t>
  </si>
  <si>
    <t>3046212 744</t>
  </si>
  <si>
    <t>926. .468</t>
  </si>
  <si>
    <t>3046212 745</t>
  </si>
  <si>
    <t>926. .469</t>
  </si>
  <si>
    <t>3046212 746</t>
  </si>
  <si>
    <t>926. .470</t>
  </si>
  <si>
    <t>3046212 747</t>
  </si>
  <si>
    <t>926. .471</t>
  </si>
  <si>
    <t>3046212 748</t>
  </si>
  <si>
    <t>926. .472</t>
  </si>
  <si>
    <t>3046212 749</t>
  </si>
  <si>
    <t>926. .473</t>
  </si>
  <si>
    <t>3046212 750</t>
  </si>
  <si>
    <t>926. .474</t>
  </si>
  <si>
    <t>3046212 751</t>
  </si>
  <si>
    <t>926. .475</t>
  </si>
  <si>
    <t>3046212 752</t>
  </si>
  <si>
    <t>926. .476</t>
  </si>
  <si>
    <t>3046212 753</t>
  </si>
  <si>
    <t>926. .477</t>
  </si>
  <si>
    <t>3046212 754</t>
  </si>
  <si>
    <t>926. .478</t>
  </si>
  <si>
    <t>3046212 755</t>
  </si>
  <si>
    <t>926. .479</t>
  </si>
  <si>
    <t>3046212 756</t>
  </si>
  <si>
    <t>926. .480</t>
  </si>
  <si>
    <t>3046212 757</t>
  </si>
  <si>
    <t>926. .481</t>
  </si>
  <si>
    <t>3046212 758</t>
  </si>
  <si>
    <t>926. .482</t>
  </si>
  <si>
    <t>3046212 759</t>
  </si>
  <si>
    <t>926. .483</t>
  </si>
  <si>
    <t>3046212 760</t>
  </si>
  <si>
    <t>926. .484</t>
  </si>
  <si>
    <t>3046212 761</t>
  </si>
  <si>
    <t>926. .485</t>
  </si>
  <si>
    <t>3046212 762</t>
  </si>
  <si>
    <t>926. .486</t>
  </si>
  <si>
    <t>3046212 763</t>
  </si>
  <si>
    <t>926. .487</t>
  </si>
  <si>
    <t>3046212 764</t>
  </si>
  <si>
    <t>926. .488</t>
  </si>
  <si>
    <t>3046212 765</t>
  </si>
  <si>
    <t>926. .489</t>
  </si>
  <si>
    <t>3046212 766</t>
  </si>
  <si>
    <t>926. .490</t>
  </si>
  <si>
    <t>3046212 767</t>
  </si>
  <si>
    <t>926. .491</t>
  </si>
  <si>
    <t>3046212 768</t>
  </si>
  <si>
    <t>926. .492</t>
  </si>
  <si>
    <t>3046212 769</t>
  </si>
  <si>
    <t>926. .493</t>
  </si>
  <si>
    <t>3046212 770</t>
  </si>
  <si>
    <t>926. .494</t>
  </si>
  <si>
    <t>3046212 771</t>
  </si>
  <si>
    <t>926. .495</t>
  </si>
  <si>
    <t>3046212 772</t>
  </si>
  <si>
    <t>926. .496</t>
  </si>
  <si>
    <t>3046212 773</t>
  </si>
  <si>
    <t>926. .497</t>
  </si>
  <si>
    <t>3046212 774</t>
  </si>
  <si>
    <t>926. .498</t>
  </si>
  <si>
    <t>3046212 775</t>
  </si>
  <si>
    <t>926. .499</t>
  </si>
  <si>
    <t>3046212 776</t>
  </si>
  <si>
    <t>926. .500</t>
  </si>
  <si>
    <t>3046212 777</t>
  </si>
  <si>
    <t>926. .501</t>
  </si>
  <si>
    <t>3046212 778</t>
  </si>
  <si>
    <t>926. .502</t>
  </si>
  <si>
    <t>3046212 779</t>
  </si>
  <si>
    <t>926. .503</t>
  </si>
  <si>
    <t>3046212 780</t>
  </si>
  <si>
    <t>926. .504</t>
  </si>
  <si>
    <t>3046212 781</t>
  </si>
  <si>
    <t>926. .505</t>
  </si>
  <si>
    <t>3046212 782</t>
  </si>
  <si>
    <t>926. .506</t>
  </si>
  <si>
    <t>3046212 783</t>
  </si>
  <si>
    <t>926. .507</t>
  </si>
  <si>
    <t>3046212 784</t>
  </si>
  <si>
    <t>926. .508</t>
  </si>
  <si>
    <t>3046212 785</t>
  </si>
  <si>
    <t>926. .509</t>
  </si>
  <si>
    <t>3046212 786</t>
  </si>
  <si>
    <t>926. .510</t>
  </si>
  <si>
    <t>3046212 787</t>
  </si>
  <si>
    <t>926. .511</t>
  </si>
  <si>
    <t>3046212 788</t>
  </si>
  <si>
    <t>926. .512</t>
  </si>
  <si>
    <t>3046212 789</t>
  </si>
  <si>
    <t>926. .513</t>
  </si>
  <si>
    <t>3046212 790</t>
  </si>
  <si>
    <t>926. .514</t>
  </si>
  <si>
    <t>3046212 791</t>
  </si>
  <si>
    <t>926. .515</t>
  </si>
  <si>
    <t>3046212 792</t>
  </si>
  <si>
    <t>926. .516</t>
  </si>
  <si>
    <t>3046212 793</t>
  </si>
  <si>
    <t>926. .517</t>
  </si>
  <si>
    <t>3046212 794</t>
  </si>
  <si>
    <t>926. .518</t>
  </si>
  <si>
    <t>3046212 795</t>
  </si>
  <si>
    <t>926. .519</t>
  </si>
  <si>
    <t>3046212 796</t>
  </si>
  <si>
    <t>926. .520</t>
  </si>
  <si>
    <t>3046212 797</t>
  </si>
  <si>
    <t>926. .521</t>
  </si>
  <si>
    <t>3046212 798</t>
  </si>
  <si>
    <t>926. .522</t>
  </si>
  <si>
    <t>3046212 799</t>
  </si>
  <si>
    <t>926. .523</t>
  </si>
  <si>
    <t>3046212 800</t>
  </si>
  <si>
    <t>926. .524</t>
  </si>
  <si>
    <t>3046212 801</t>
  </si>
  <si>
    <t>926. .525</t>
  </si>
  <si>
    <t>3046212 802</t>
  </si>
  <si>
    <t>926. .526</t>
  </si>
  <si>
    <t>3046212 803</t>
  </si>
  <si>
    <t>926. .527</t>
  </si>
  <si>
    <t>3046212 804</t>
  </si>
  <si>
    <t>926. .528</t>
  </si>
  <si>
    <t>3046212 805</t>
  </si>
  <si>
    <t>926. .529</t>
  </si>
  <si>
    <t>3046212 806</t>
  </si>
  <si>
    <t>926. .530</t>
  </si>
  <si>
    <t>3046212 807</t>
  </si>
  <si>
    <t>926. .531</t>
  </si>
  <si>
    <t>3046212 808</t>
  </si>
  <si>
    <t>926. .532</t>
  </si>
  <si>
    <t>3046212 809</t>
  </si>
  <si>
    <t>926. .533</t>
  </si>
  <si>
    <t>3046212 810</t>
  </si>
  <si>
    <t>926. .534</t>
  </si>
  <si>
    <t>3046212 811</t>
  </si>
  <si>
    <t>926. .535</t>
  </si>
  <si>
    <t>3046212 812</t>
  </si>
  <si>
    <t>926. .536</t>
  </si>
  <si>
    <t>3046212 813</t>
  </si>
  <si>
    <t>926. .537</t>
  </si>
  <si>
    <t>3046212 814</t>
  </si>
  <si>
    <t>926. .538</t>
  </si>
  <si>
    <t>3046212 815</t>
  </si>
  <si>
    <t>926. .539</t>
  </si>
  <si>
    <t>3046212 816</t>
  </si>
  <si>
    <t>926. .540</t>
  </si>
  <si>
    <t>3046212 817</t>
  </si>
  <si>
    <t>926. .541</t>
  </si>
  <si>
    <t>水位于2023年开始记录</t>
  </si>
  <si>
    <t>水位于2023年6月开始记录</t>
  </si>
  <si>
    <t>放水</t>
  </si>
  <si>
    <t>水位于2023年12月开始记录</t>
  </si>
  <si>
    <t>水位于2023年2月开始记录</t>
  </si>
  <si>
    <t>水位于2023年10月开始记录</t>
  </si>
  <si>
    <t>水位于2023年4月开始记录</t>
  </si>
  <si>
    <t>水位于2021年11月开始记录</t>
  </si>
  <si>
    <t>水位于2022年1月开始记录</t>
  </si>
  <si>
    <t>水位于2022年3月开始记录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</si>
</sst>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.00000000_);[Red]\(0.00000000\)"/>
    <numFmt numFmtId="178" formatCode="0.00_ "/>
    <numFmt numFmtId="179" formatCode="0.000_ "/>
    <numFmt numFmtId="180" formatCode="yyyy/m/d;@"/>
    <numFmt numFmtId="181" formatCode="0.0000_);[Red]\(0.0000\)"/>
    <numFmt numFmtId="182" formatCode="0_ "/>
    <numFmt numFmtId="183" formatCode="0.0_ "/>
  </numFmts>
  <fonts count="33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rgb="FF000000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FF0000"/>
      <name val="Times New Roman"/>
      <charset val="134"/>
    </font>
    <font>
      <sz val="10.5"/>
      <color theme="1"/>
      <name val="Times New Roman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b/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177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vertical="center"/>
    </xf>
    <xf numFmtId="14" fontId="5" fillId="0" borderId="3" xfId="0" applyNumberFormat="1" applyFont="1" applyBorder="1" applyAlignment="1">
      <alignment horizontal="center" vertical="center"/>
    </xf>
    <xf numFmtId="178" fontId="5" fillId="2" borderId="4" xfId="0" applyNumberFormat="1" applyFont="1" applyFill="1" applyBorder="1" applyAlignment="1">
      <alignment horizontal="center" vertical="center"/>
    </xf>
    <xf numFmtId="178" fontId="5" fillId="2" borderId="4" xfId="0" applyNumberFormat="1" applyFont="1" applyFill="1" applyBorder="1" applyAlignment="1">
      <alignment vertical="center"/>
    </xf>
    <xf numFmtId="178" fontId="5" fillId="2" borderId="0" xfId="0" applyNumberFormat="1" applyFont="1" applyFill="1" applyAlignment="1">
      <alignment vertical="center"/>
    </xf>
    <xf numFmtId="178" fontId="5" fillId="2" borderId="5" xfId="0" applyNumberFormat="1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/>
    </xf>
    <xf numFmtId="178" fontId="6" fillId="2" borderId="4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vertical="center"/>
    </xf>
    <xf numFmtId="178" fontId="5" fillId="3" borderId="4" xfId="0" applyNumberFormat="1" applyFont="1" applyFill="1" applyBorder="1" applyAlignment="1">
      <alignment horizontal="center" vertical="center"/>
    </xf>
    <xf numFmtId="178" fontId="5" fillId="3" borderId="0" xfId="0" applyNumberFormat="1" applyFont="1" applyFill="1" applyAlignment="1">
      <alignment vertical="center"/>
    </xf>
    <xf numFmtId="178" fontId="5" fillId="3" borderId="5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178" fontId="7" fillId="3" borderId="1" xfId="0" applyNumberFormat="1" applyFont="1" applyFill="1" applyBorder="1" applyAlignment="1">
      <alignment horizontal="center" vertical="center"/>
    </xf>
    <xf numFmtId="178" fontId="6" fillId="3" borderId="4" xfId="0" applyNumberFormat="1" applyFont="1" applyFill="1" applyBorder="1" applyAlignment="1">
      <alignment horizontal="center" vertical="center"/>
    </xf>
    <xf numFmtId="178" fontId="5" fillId="3" borderId="4" xfId="0" applyNumberFormat="1" applyFont="1" applyFill="1" applyBorder="1" applyAlignment="1">
      <alignment vertical="center"/>
    </xf>
    <xf numFmtId="179" fontId="3" fillId="0" borderId="2" xfId="0" applyNumberFormat="1" applyFont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8" fontId="5" fillId="3" borderId="0" xfId="0" applyNumberFormat="1" applyFont="1" applyFill="1" applyAlignment="1">
      <alignment horizontal="center" vertical="center"/>
    </xf>
    <xf numFmtId="178" fontId="5" fillId="5" borderId="1" xfId="0" applyNumberFormat="1" applyFont="1" applyFill="1" applyBorder="1" applyAlignment="1">
      <alignment vertical="center"/>
    </xf>
    <xf numFmtId="178" fontId="5" fillId="5" borderId="4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5" borderId="0" xfId="0" applyNumberFormat="1" applyFont="1" applyFill="1" applyAlignment="1">
      <alignment vertical="center"/>
    </xf>
    <xf numFmtId="178" fontId="5" fillId="5" borderId="0" xfId="0" applyNumberFormat="1" applyFont="1" applyFill="1" applyAlignment="1">
      <alignment horizontal="center" vertical="center"/>
    </xf>
    <xf numFmtId="178" fontId="5" fillId="5" borderId="5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5" borderId="4" xfId="0" applyNumberFormat="1" applyFont="1" applyFill="1" applyBorder="1" applyAlignment="1">
      <alignment horizontal="center" vertical="center"/>
    </xf>
    <xf numFmtId="176" fontId="8" fillId="0" borderId="0" xfId="0" applyNumberFormat="1" applyFont="1"/>
    <xf numFmtId="0" fontId="8" fillId="0" borderId="0" xfId="0" applyFont="1"/>
    <xf numFmtId="181" fontId="0" fillId="0" borderId="0" xfId="0" applyNumberFormat="1"/>
    <xf numFmtId="181" fontId="2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181" fontId="8" fillId="0" borderId="6" xfId="0" applyNumberFormat="1" applyFont="1" applyBorder="1" applyAlignment="1">
      <alignment horizontal="center" vertical="center" wrapText="1"/>
    </xf>
    <xf numFmtId="181" fontId="8" fillId="0" borderId="7" xfId="0" applyNumberFormat="1" applyFont="1" applyBorder="1" applyAlignment="1">
      <alignment horizontal="center" vertical="center" wrapText="1"/>
    </xf>
    <xf numFmtId="178" fontId="5" fillId="6" borderId="0" xfId="0" applyNumberFormat="1" applyFont="1" applyFill="1" applyAlignment="1">
      <alignment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vertical="center"/>
    </xf>
    <xf numFmtId="178" fontId="5" fillId="6" borderId="4" xfId="0" applyNumberFormat="1" applyFont="1" applyFill="1" applyBorder="1" applyAlignment="1">
      <alignment horizontal="center" vertical="center"/>
    </xf>
    <xf numFmtId="178" fontId="7" fillId="6" borderId="1" xfId="0" applyNumberFormat="1" applyFont="1" applyFill="1" applyBorder="1" applyAlignment="1">
      <alignment horizontal="center" vertical="center"/>
    </xf>
    <xf numFmtId="178" fontId="5" fillId="6" borderId="5" xfId="0" applyNumberFormat="1" applyFont="1" applyFill="1" applyBorder="1" applyAlignment="1">
      <alignment horizontal="center" vertical="center"/>
    </xf>
    <xf numFmtId="178" fontId="5" fillId="6" borderId="0" xfId="0" applyNumberFormat="1" applyFont="1" applyFill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6" fillId="6" borderId="4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8" fillId="0" borderId="0" xfId="0" applyNumberFormat="1" applyFont="1" applyAlignment="1">
      <alignment horizontal="center"/>
    </xf>
    <xf numFmtId="178" fontId="9" fillId="6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7" borderId="0" xfId="0" applyNumberFormat="1" applyFont="1" applyFill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6" fillId="7" borderId="4" xfId="0" applyNumberFormat="1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 wrapText="1"/>
    </xf>
    <xf numFmtId="182" fontId="1" fillId="0" borderId="0" xfId="0" applyNumberFormat="1" applyFont="1" applyAlignment="1">
      <alignment horizontal="center"/>
    </xf>
    <xf numFmtId="178" fontId="10" fillId="2" borderId="0" xfId="0" applyNumberFormat="1" applyFont="1" applyFill="1" applyAlignment="1">
      <alignment horizontal="center" vertical="center"/>
    </xf>
    <xf numFmtId="178" fontId="5" fillId="8" borderId="1" xfId="0" applyNumberFormat="1" applyFont="1" applyFill="1" applyBorder="1" applyAlignment="1">
      <alignment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8" borderId="3" xfId="0" applyNumberFormat="1" applyFont="1" applyFill="1" applyBorder="1" applyAlignment="1">
      <alignment horizontal="center" vertical="center"/>
    </xf>
    <xf numFmtId="178" fontId="5" fillId="8" borderId="5" xfId="0" applyNumberFormat="1" applyFont="1" applyFill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6" fillId="8" borderId="4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/>
    </xf>
    <xf numFmtId="178" fontId="5" fillId="8" borderId="0" xfId="0" applyNumberFormat="1" applyFont="1" applyFill="1" applyAlignment="1">
      <alignment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5" fillId="9" borderId="1" xfId="0" applyNumberFormat="1" applyFont="1" applyFill="1" applyBorder="1" applyAlignment="1">
      <alignment vertical="center"/>
    </xf>
    <xf numFmtId="178" fontId="5" fillId="9" borderId="1" xfId="0" applyNumberFormat="1" applyFont="1" applyFill="1" applyBorder="1" applyAlignment="1">
      <alignment horizontal="center" vertical="center"/>
    </xf>
    <xf numFmtId="178" fontId="5" fillId="9" borderId="5" xfId="0" applyNumberFormat="1" applyFont="1" applyFill="1" applyBorder="1" applyAlignment="1">
      <alignment horizontal="center" vertical="center"/>
    </xf>
    <xf numFmtId="178" fontId="6" fillId="9" borderId="1" xfId="0" applyNumberFormat="1" applyFont="1" applyFill="1" applyBorder="1" applyAlignment="1">
      <alignment horizontal="center" vertical="center"/>
    </xf>
    <xf numFmtId="178" fontId="6" fillId="9" borderId="4" xfId="0" applyNumberFormat="1" applyFont="1" applyFill="1" applyBorder="1" applyAlignment="1">
      <alignment horizontal="center" vertical="center"/>
    </xf>
    <xf numFmtId="178" fontId="5" fillId="9" borderId="0" xfId="0" applyNumberFormat="1" applyFont="1" applyFill="1" applyAlignment="1">
      <alignment vertical="center"/>
    </xf>
    <xf numFmtId="178" fontId="5" fillId="9" borderId="3" xfId="0" applyNumberFormat="1" applyFont="1" applyFill="1" applyBorder="1" applyAlignment="1">
      <alignment horizontal="center" vertical="center"/>
    </xf>
    <xf numFmtId="178" fontId="5" fillId="9" borderId="4" xfId="0" applyNumberFormat="1" applyFont="1" applyFill="1" applyBorder="1" applyAlignment="1">
      <alignment vertical="center"/>
    </xf>
    <xf numFmtId="178" fontId="5" fillId="9" borderId="4" xfId="0" applyNumberFormat="1" applyFont="1" applyFill="1" applyBorder="1" applyAlignment="1">
      <alignment horizontal="center" vertical="center"/>
    </xf>
    <xf numFmtId="178" fontId="7" fillId="9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8" fontId="4" fillId="8" borderId="1" xfId="0" applyNumberFormat="1" applyFont="1" applyFill="1" applyBorder="1" applyAlignment="1">
      <alignment horizontal="center" vertical="center"/>
    </xf>
    <xf numFmtId="178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83" fontId="0" fillId="0" borderId="0" xfId="0" applyNumberFormat="1"/>
    <xf numFmtId="183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vertical="center"/>
    </xf>
    <xf numFmtId="178" fontId="5" fillId="5" borderId="4" xfId="0" applyNumberFormat="1" applyFont="1" applyFill="1" applyBorder="1" applyAlignment="1">
      <alignment vertical="center"/>
    </xf>
    <xf numFmtId="178" fontId="5" fillId="6" borderId="4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www.wps.cn/officeDocument/2023/relationships/customStorage" Target="customStorage/customStorage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2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3" name="图片 1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4" name="图片 2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5" name="图片 2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6" name="图片 2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1376</xdr:row>
      <xdr:rowOff>0</xdr:rowOff>
    </xdr:from>
    <xdr:to>
      <xdr:col>4</xdr:col>
      <xdr:colOff>55245</xdr:colOff>
      <xdr:row>1376</xdr:row>
      <xdr:rowOff>81280</xdr:rowOff>
    </xdr:to>
    <xdr:pic>
      <xdr:nvPicPr>
        <xdr:cNvPr id="7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3027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1376</xdr:row>
      <xdr:rowOff>0</xdr:rowOff>
    </xdr:from>
    <xdr:to>
      <xdr:col>4</xdr:col>
      <xdr:colOff>55245</xdr:colOff>
      <xdr:row>1376</xdr:row>
      <xdr:rowOff>81280</xdr:rowOff>
    </xdr:to>
    <xdr:pic>
      <xdr:nvPicPr>
        <xdr:cNvPr id="8" name="图片 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3027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1376</xdr:row>
      <xdr:rowOff>0</xdr:rowOff>
    </xdr:from>
    <xdr:to>
      <xdr:col>4</xdr:col>
      <xdr:colOff>55245</xdr:colOff>
      <xdr:row>1376</xdr:row>
      <xdr:rowOff>81280</xdr:rowOff>
    </xdr:to>
    <xdr:pic>
      <xdr:nvPicPr>
        <xdr:cNvPr id="9" name="图片 2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3027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1376</xdr:row>
      <xdr:rowOff>0</xdr:rowOff>
    </xdr:from>
    <xdr:to>
      <xdr:col>4</xdr:col>
      <xdr:colOff>55245</xdr:colOff>
      <xdr:row>1376</xdr:row>
      <xdr:rowOff>81280</xdr:rowOff>
    </xdr:to>
    <xdr:pic>
      <xdr:nvPicPr>
        <xdr:cNvPr id="10" name="图片 2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3027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1376</xdr:row>
      <xdr:rowOff>0</xdr:rowOff>
    </xdr:from>
    <xdr:to>
      <xdr:col>4</xdr:col>
      <xdr:colOff>55245</xdr:colOff>
      <xdr:row>1376</xdr:row>
      <xdr:rowOff>81280</xdr:rowOff>
    </xdr:to>
    <xdr:pic>
      <xdr:nvPicPr>
        <xdr:cNvPr id="11" name="图片 2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3027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1377</xdr:row>
      <xdr:rowOff>0</xdr:rowOff>
    </xdr:from>
    <xdr:to>
      <xdr:col>4</xdr:col>
      <xdr:colOff>55245</xdr:colOff>
      <xdr:row>1377</xdr:row>
      <xdr:rowOff>81280</xdr:rowOff>
    </xdr:to>
    <xdr:pic>
      <xdr:nvPicPr>
        <xdr:cNvPr id="12" name="图片 1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5122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1377</xdr:row>
      <xdr:rowOff>0</xdr:rowOff>
    </xdr:from>
    <xdr:to>
      <xdr:col>4</xdr:col>
      <xdr:colOff>55245</xdr:colOff>
      <xdr:row>1377</xdr:row>
      <xdr:rowOff>81280</xdr:rowOff>
    </xdr:to>
    <xdr:pic>
      <xdr:nvPicPr>
        <xdr:cNvPr id="13" name="图片 1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5122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1377</xdr:row>
      <xdr:rowOff>0</xdr:rowOff>
    </xdr:from>
    <xdr:to>
      <xdr:col>4</xdr:col>
      <xdr:colOff>55245</xdr:colOff>
      <xdr:row>1377</xdr:row>
      <xdr:rowOff>81280</xdr:rowOff>
    </xdr:to>
    <xdr:pic>
      <xdr:nvPicPr>
        <xdr:cNvPr id="14" name="图片 13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5122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1377</xdr:row>
      <xdr:rowOff>0</xdr:rowOff>
    </xdr:from>
    <xdr:to>
      <xdr:col>4</xdr:col>
      <xdr:colOff>55245</xdr:colOff>
      <xdr:row>1377</xdr:row>
      <xdr:rowOff>81280</xdr:rowOff>
    </xdr:to>
    <xdr:pic>
      <xdr:nvPicPr>
        <xdr:cNvPr id="15" name="图片 14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5122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1377</xdr:row>
      <xdr:rowOff>0</xdr:rowOff>
    </xdr:from>
    <xdr:to>
      <xdr:col>4</xdr:col>
      <xdr:colOff>55245</xdr:colOff>
      <xdr:row>1377</xdr:row>
      <xdr:rowOff>81280</xdr:rowOff>
    </xdr:to>
    <xdr:pic>
      <xdr:nvPicPr>
        <xdr:cNvPr id="16" name="图片 15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5122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1378</xdr:row>
      <xdr:rowOff>0</xdr:rowOff>
    </xdr:from>
    <xdr:to>
      <xdr:col>4</xdr:col>
      <xdr:colOff>55245</xdr:colOff>
      <xdr:row>1378</xdr:row>
      <xdr:rowOff>81280</xdr:rowOff>
    </xdr:to>
    <xdr:pic>
      <xdr:nvPicPr>
        <xdr:cNvPr id="17" name="图片 1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7218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1378</xdr:row>
      <xdr:rowOff>0</xdr:rowOff>
    </xdr:from>
    <xdr:to>
      <xdr:col>4</xdr:col>
      <xdr:colOff>55245</xdr:colOff>
      <xdr:row>1378</xdr:row>
      <xdr:rowOff>81280</xdr:rowOff>
    </xdr:to>
    <xdr:pic>
      <xdr:nvPicPr>
        <xdr:cNvPr id="18" name="图片 17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7218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1378</xdr:row>
      <xdr:rowOff>0</xdr:rowOff>
    </xdr:from>
    <xdr:to>
      <xdr:col>4</xdr:col>
      <xdr:colOff>55245</xdr:colOff>
      <xdr:row>1378</xdr:row>
      <xdr:rowOff>81280</xdr:rowOff>
    </xdr:to>
    <xdr:pic>
      <xdr:nvPicPr>
        <xdr:cNvPr id="19" name="图片 18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7218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1378</xdr:row>
      <xdr:rowOff>0</xdr:rowOff>
    </xdr:from>
    <xdr:to>
      <xdr:col>4</xdr:col>
      <xdr:colOff>55245</xdr:colOff>
      <xdr:row>1378</xdr:row>
      <xdr:rowOff>81280</xdr:rowOff>
    </xdr:to>
    <xdr:pic>
      <xdr:nvPicPr>
        <xdr:cNvPr id="20" name="图片 1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7218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1378</xdr:row>
      <xdr:rowOff>0</xdr:rowOff>
    </xdr:from>
    <xdr:to>
      <xdr:col>4</xdr:col>
      <xdr:colOff>55245</xdr:colOff>
      <xdr:row>1378</xdr:row>
      <xdr:rowOff>81280</xdr:rowOff>
    </xdr:to>
    <xdr:pic>
      <xdr:nvPicPr>
        <xdr:cNvPr id="21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7218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1369</xdr:row>
      <xdr:rowOff>0</xdr:rowOff>
    </xdr:from>
    <xdr:to>
      <xdr:col>4</xdr:col>
      <xdr:colOff>54610</xdr:colOff>
      <xdr:row>1369</xdr:row>
      <xdr:rowOff>81280</xdr:rowOff>
    </xdr:to>
    <xdr:pic>
      <xdr:nvPicPr>
        <xdr:cNvPr id="2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683585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1369</xdr:row>
      <xdr:rowOff>0</xdr:rowOff>
    </xdr:from>
    <xdr:to>
      <xdr:col>4</xdr:col>
      <xdr:colOff>54610</xdr:colOff>
      <xdr:row>1369</xdr:row>
      <xdr:rowOff>81280</xdr:rowOff>
    </xdr:to>
    <xdr:pic>
      <xdr:nvPicPr>
        <xdr:cNvPr id="23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683585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1369</xdr:row>
      <xdr:rowOff>0</xdr:rowOff>
    </xdr:from>
    <xdr:to>
      <xdr:col>4</xdr:col>
      <xdr:colOff>54610</xdr:colOff>
      <xdr:row>1369</xdr:row>
      <xdr:rowOff>81280</xdr:rowOff>
    </xdr:to>
    <xdr:pic>
      <xdr:nvPicPr>
        <xdr:cNvPr id="2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683585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1369</xdr:row>
      <xdr:rowOff>0</xdr:rowOff>
    </xdr:from>
    <xdr:to>
      <xdr:col>4</xdr:col>
      <xdr:colOff>54610</xdr:colOff>
      <xdr:row>1369</xdr:row>
      <xdr:rowOff>81280</xdr:rowOff>
    </xdr:to>
    <xdr:pic>
      <xdr:nvPicPr>
        <xdr:cNvPr id="25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683585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1370</xdr:row>
      <xdr:rowOff>0</xdr:rowOff>
    </xdr:from>
    <xdr:to>
      <xdr:col>4</xdr:col>
      <xdr:colOff>54610</xdr:colOff>
      <xdr:row>1370</xdr:row>
      <xdr:rowOff>81280</xdr:rowOff>
    </xdr:to>
    <xdr:pic>
      <xdr:nvPicPr>
        <xdr:cNvPr id="2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04540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1370</xdr:row>
      <xdr:rowOff>0</xdr:rowOff>
    </xdr:from>
    <xdr:to>
      <xdr:col>4</xdr:col>
      <xdr:colOff>54610</xdr:colOff>
      <xdr:row>1370</xdr:row>
      <xdr:rowOff>81280</xdr:rowOff>
    </xdr:to>
    <xdr:pic>
      <xdr:nvPicPr>
        <xdr:cNvPr id="27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04540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1370</xdr:row>
      <xdr:rowOff>0</xdr:rowOff>
    </xdr:from>
    <xdr:to>
      <xdr:col>4</xdr:col>
      <xdr:colOff>54610</xdr:colOff>
      <xdr:row>1370</xdr:row>
      <xdr:rowOff>81280</xdr:rowOff>
    </xdr:to>
    <xdr:pic>
      <xdr:nvPicPr>
        <xdr:cNvPr id="28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04540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1370</xdr:row>
      <xdr:rowOff>0</xdr:rowOff>
    </xdr:from>
    <xdr:to>
      <xdr:col>4</xdr:col>
      <xdr:colOff>54610</xdr:colOff>
      <xdr:row>1370</xdr:row>
      <xdr:rowOff>81280</xdr:rowOff>
    </xdr:to>
    <xdr:pic>
      <xdr:nvPicPr>
        <xdr:cNvPr id="29" name="图片 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04540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1370</xdr:row>
      <xdr:rowOff>0</xdr:rowOff>
    </xdr:from>
    <xdr:to>
      <xdr:col>4</xdr:col>
      <xdr:colOff>54610</xdr:colOff>
      <xdr:row>1370</xdr:row>
      <xdr:rowOff>81280</xdr:rowOff>
    </xdr:to>
    <xdr:pic>
      <xdr:nvPicPr>
        <xdr:cNvPr id="30" name="图片 2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04540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1371</xdr:row>
      <xdr:rowOff>0</xdr:rowOff>
    </xdr:from>
    <xdr:to>
      <xdr:col>4</xdr:col>
      <xdr:colOff>55245</xdr:colOff>
      <xdr:row>1371</xdr:row>
      <xdr:rowOff>81280</xdr:rowOff>
    </xdr:to>
    <xdr:pic>
      <xdr:nvPicPr>
        <xdr:cNvPr id="31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2549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1371</xdr:row>
      <xdr:rowOff>0</xdr:rowOff>
    </xdr:from>
    <xdr:to>
      <xdr:col>4</xdr:col>
      <xdr:colOff>55245</xdr:colOff>
      <xdr:row>1371</xdr:row>
      <xdr:rowOff>81280</xdr:rowOff>
    </xdr:to>
    <xdr:pic>
      <xdr:nvPicPr>
        <xdr:cNvPr id="32" name="图片 1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2549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1371</xdr:row>
      <xdr:rowOff>0</xdr:rowOff>
    </xdr:from>
    <xdr:to>
      <xdr:col>4</xdr:col>
      <xdr:colOff>55245</xdr:colOff>
      <xdr:row>1371</xdr:row>
      <xdr:rowOff>81280</xdr:rowOff>
    </xdr:to>
    <xdr:pic>
      <xdr:nvPicPr>
        <xdr:cNvPr id="33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2549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1371</xdr:row>
      <xdr:rowOff>0</xdr:rowOff>
    </xdr:from>
    <xdr:to>
      <xdr:col>4</xdr:col>
      <xdr:colOff>55245</xdr:colOff>
      <xdr:row>1371</xdr:row>
      <xdr:rowOff>81280</xdr:rowOff>
    </xdr:to>
    <xdr:pic>
      <xdr:nvPicPr>
        <xdr:cNvPr id="34" name="图片 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2549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1371</xdr:row>
      <xdr:rowOff>0</xdr:rowOff>
    </xdr:from>
    <xdr:to>
      <xdr:col>4</xdr:col>
      <xdr:colOff>55245</xdr:colOff>
      <xdr:row>1371</xdr:row>
      <xdr:rowOff>81280</xdr:rowOff>
    </xdr:to>
    <xdr:pic>
      <xdr:nvPicPr>
        <xdr:cNvPr id="35" name="图片 2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2549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1372</xdr:row>
      <xdr:rowOff>0</xdr:rowOff>
    </xdr:from>
    <xdr:to>
      <xdr:col>4</xdr:col>
      <xdr:colOff>55245</xdr:colOff>
      <xdr:row>1372</xdr:row>
      <xdr:rowOff>81280</xdr:rowOff>
    </xdr:to>
    <xdr:pic>
      <xdr:nvPicPr>
        <xdr:cNvPr id="36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4645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1372</xdr:row>
      <xdr:rowOff>0</xdr:rowOff>
    </xdr:from>
    <xdr:to>
      <xdr:col>4</xdr:col>
      <xdr:colOff>55245</xdr:colOff>
      <xdr:row>1372</xdr:row>
      <xdr:rowOff>81280</xdr:rowOff>
    </xdr:to>
    <xdr:pic>
      <xdr:nvPicPr>
        <xdr:cNvPr id="37" name="图片 1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4645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1372</xdr:row>
      <xdr:rowOff>0</xdr:rowOff>
    </xdr:from>
    <xdr:to>
      <xdr:col>4</xdr:col>
      <xdr:colOff>55245</xdr:colOff>
      <xdr:row>1372</xdr:row>
      <xdr:rowOff>81280</xdr:rowOff>
    </xdr:to>
    <xdr:pic>
      <xdr:nvPicPr>
        <xdr:cNvPr id="38" name="图片 2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4645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1372</xdr:row>
      <xdr:rowOff>0</xdr:rowOff>
    </xdr:from>
    <xdr:to>
      <xdr:col>4</xdr:col>
      <xdr:colOff>55245</xdr:colOff>
      <xdr:row>1372</xdr:row>
      <xdr:rowOff>81280</xdr:rowOff>
    </xdr:to>
    <xdr:pic>
      <xdr:nvPicPr>
        <xdr:cNvPr id="39" name="图片 2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4645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1372</xdr:row>
      <xdr:rowOff>0</xdr:rowOff>
    </xdr:from>
    <xdr:to>
      <xdr:col>4</xdr:col>
      <xdr:colOff>55245</xdr:colOff>
      <xdr:row>1372</xdr:row>
      <xdr:rowOff>81280</xdr:rowOff>
    </xdr:to>
    <xdr:pic>
      <xdr:nvPicPr>
        <xdr:cNvPr id="40" name="图片 2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4645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1373</xdr:row>
      <xdr:rowOff>0</xdr:rowOff>
    </xdr:from>
    <xdr:to>
      <xdr:col>4</xdr:col>
      <xdr:colOff>55245</xdr:colOff>
      <xdr:row>1373</xdr:row>
      <xdr:rowOff>81280</xdr:rowOff>
    </xdr:to>
    <xdr:pic>
      <xdr:nvPicPr>
        <xdr:cNvPr id="41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6740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1373</xdr:row>
      <xdr:rowOff>0</xdr:rowOff>
    </xdr:from>
    <xdr:to>
      <xdr:col>4</xdr:col>
      <xdr:colOff>55245</xdr:colOff>
      <xdr:row>1373</xdr:row>
      <xdr:rowOff>81280</xdr:rowOff>
    </xdr:to>
    <xdr:pic>
      <xdr:nvPicPr>
        <xdr:cNvPr id="42" name="图片 1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6740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1373</xdr:row>
      <xdr:rowOff>0</xdr:rowOff>
    </xdr:from>
    <xdr:to>
      <xdr:col>4</xdr:col>
      <xdr:colOff>55245</xdr:colOff>
      <xdr:row>1373</xdr:row>
      <xdr:rowOff>81280</xdr:rowOff>
    </xdr:to>
    <xdr:pic>
      <xdr:nvPicPr>
        <xdr:cNvPr id="43" name="图片 2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6740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1373</xdr:row>
      <xdr:rowOff>0</xdr:rowOff>
    </xdr:from>
    <xdr:to>
      <xdr:col>4</xdr:col>
      <xdr:colOff>55245</xdr:colOff>
      <xdr:row>1373</xdr:row>
      <xdr:rowOff>81280</xdr:rowOff>
    </xdr:to>
    <xdr:pic>
      <xdr:nvPicPr>
        <xdr:cNvPr id="44" name="图片 2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6740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1373</xdr:row>
      <xdr:rowOff>0</xdr:rowOff>
    </xdr:from>
    <xdr:to>
      <xdr:col>4</xdr:col>
      <xdr:colOff>55245</xdr:colOff>
      <xdr:row>1373</xdr:row>
      <xdr:rowOff>81280</xdr:rowOff>
    </xdr:to>
    <xdr:pic>
      <xdr:nvPicPr>
        <xdr:cNvPr id="45" name="图片 2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76740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46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47" name="图片 1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48" name="图片 2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49" name="图片 22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1375</xdr:row>
      <xdr:rowOff>0</xdr:rowOff>
    </xdr:from>
    <xdr:to>
      <xdr:col>4</xdr:col>
      <xdr:colOff>55245</xdr:colOff>
      <xdr:row>1375</xdr:row>
      <xdr:rowOff>81280</xdr:rowOff>
    </xdr:to>
    <xdr:pic>
      <xdr:nvPicPr>
        <xdr:cNvPr id="50" name="图片 26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2880931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304</xdr:row>
      <xdr:rowOff>0</xdr:rowOff>
    </xdr:from>
    <xdr:to>
      <xdr:col>4</xdr:col>
      <xdr:colOff>55245</xdr:colOff>
      <xdr:row>304</xdr:row>
      <xdr:rowOff>81280</xdr:rowOff>
    </xdr:to>
    <xdr:pic>
      <xdr:nvPicPr>
        <xdr:cNvPr id="2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07885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305</xdr:row>
      <xdr:rowOff>0</xdr:rowOff>
    </xdr:from>
    <xdr:to>
      <xdr:col>4</xdr:col>
      <xdr:colOff>55245</xdr:colOff>
      <xdr:row>305</xdr:row>
      <xdr:rowOff>81280</xdr:rowOff>
    </xdr:to>
    <xdr:pic>
      <xdr:nvPicPr>
        <xdr:cNvPr id="3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0988575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55245</xdr:colOff>
      <xdr:row>306</xdr:row>
      <xdr:rowOff>81280</xdr:rowOff>
    </xdr:to>
    <xdr:pic>
      <xdr:nvPicPr>
        <xdr:cNvPr id="4" name="图片 3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11886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307</xdr:row>
      <xdr:rowOff>0</xdr:rowOff>
    </xdr:from>
    <xdr:to>
      <xdr:col>4</xdr:col>
      <xdr:colOff>55245</xdr:colOff>
      <xdr:row>307</xdr:row>
      <xdr:rowOff>81280</xdr:rowOff>
    </xdr:to>
    <xdr:pic>
      <xdr:nvPicPr>
        <xdr:cNvPr id="5" name="图片 4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1388625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298</xdr:row>
      <xdr:rowOff>0</xdr:rowOff>
    </xdr:from>
    <xdr:to>
      <xdr:col>4</xdr:col>
      <xdr:colOff>54610</xdr:colOff>
      <xdr:row>298</xdr:row>
      <xdr:rowOff>81280</xdr:rowOff>
    </xdr:to>
    <xdr:pic>
      <xdr:nvPicPr>
        <xdr:cNvPr id="6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59588400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299</xdr:row>
      <xdr:rowOff>0</xdr:rowOff>
    </xdr:from>
    <xdr:to>
      <xdr:col>4</xdr:col>
      <xdr:colOff>54610</xdr:colOff>
      <xdr:row>299</xdr:row>
      <xdr:rowOff>81280</xdr:rowOff>
    </xdr:to>
    <xdr:pic>
      <xdr:nvPicPr>
        <xdr:cNvPr id="7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59788425"/>
          <a:ext cx="5461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300</xdr:row>
      <xdr:rowOff>0</xdr:rowOff>
    </xdr:from>
    <xdr:to>
      <xdr:col>4</xdr:col>
      <xdr:colOff>55245</xdr:colOff>
      <xdr:row>300</xdr:row>
      <xdr:rowOff>81280</xdr:rowOff>
    </xdr:to>
    <xdr:pic>
      <xdr:nvPicPr>
        <xdr:cNvPr id="8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599884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301</xdr:row>
      <xdr:rowOff>0</xdr:rowOff>
    </xdr:from>
    <xdr:to>
      <xdr:col>4</xdr:col>
      <xdr:colOff>55245</xdr:colOff>
      <xdr:row>301</xdr:row>
      <xdr:rowOff>81280</xdr:rowOff>
    </xdr:to>
    <xdr:pic>
      <xdr:nvPicPr>
        <xdr:cNvPr id="9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0188475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302</xdr:row>
      <xdr:rowOff>0</xdr:rowOff>
    </xdr:from>
    <xdr:to>
      <xdr:col>4</xdr:col>
      <xdr:colOff>55245</xdr:colOff>
      <xdr:row>302</xdr:row>
      <xdr:rowOff>81280</xdr:rowOff>
    </xdr:to>
    <xdr:pic>
      <xdr:nvPicPr>
        <xdr:cNvPr id="10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038850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303</xdr:row>
      <xdr:rowOff>0</xdr:rowOff>
    </xdr:from>
    <xdr:to>
      <xdr:col>4</xdr:col>
      <xdr:colOff>55245</xdr:colOff>
      <xdr:row>303</xdr:row>
      <xdr:rowOff>81280</xdr:rowOff>
    </xdr:to>
    <xdr:pic>
      <xdr:nvPicPr>
        <xdr:cNvPr id="11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0588525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304</xdr:row>
      <xdr:rowOff>0</xdr:rowOff>
    </xdr:from>
    <xdr:to>
      <xdr:col>4</xdr:col>
      <xdr:colOff>55245</xdr:colOff>
      <xdr:row>304</xdr:row>
      <xdr:rowOff>81280</xdr:rowOff>
    </xdr:to>
    <xdr:pic>
      <xdr:nvPicPr>
        <xdr:cNvPr id="12" name="图片 20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3950" y="60788550"/>
          <a:ext cx="55245" cy="81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0"/>
  <sheetViews>
    <sheetView workbookViewId="0">
      <selection activeCell="A1" sqref="$A1:$XFD2"/>
    </sheetView>
  </sheetViews>
  <sheetFormatPr defaultColWidth="9" defaultRowHeight="14.25" outlineLevelCol="4"/>
  <cols>
    <col min="2" max="2" width="10.5" customWidth="1"/>
    <col min="3" max="4" width="18.375" customWidth="1"/>
    <col min="5" max="5" width="11.75" customWidth="1"/>
    <col min="6" max="6" width="16.37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6.5" spans="1:5">
      <c r="A3" s="102">
        <v>3045453.7</v>
      </c>
      <c r="B3" s="102">
        <v>401240.1</v>
      </c>
      <c r="C3" s="102">
        <v>671.2</v>
      </c>
      <c r="D3" s="11">
        <v>44916</v>
      </c>
      <c r="E3" s="54">
        <f>670-48</f>
        <v>622</v>
      </c>
    </row>
    <row r="4" ht="16.5" spans="1:5">
      <c r="A4" s="102">
        <v>3045453.7</v>
      </c>
      <c r="B4" s="102">
        <v>401240.1</v>
      </c>
      <c r="C4" s="102">
        <v>671.2</v>
      </c>
      <c r="D4" s="11">
        <v>44917</v>
      </c>
      <c r="E4" s="55"/>
    </row>
    <row r="5" ht="16.5" spans="1:5">
      <c r="A5" s="102">
        <v>3045453.7</v>
      </c>
      <c r="B5" s="102">
        <v>401240.1</v>
      </c>
      <c r="C5" s="102">
        <v>671.2</v>
      </c>
      <c r="D5" s="11">
        <v>44918</v>
      </c>
      <c r="E5" s="55"/>
    </row>
    <row r="6" ht="16.5" spans="1:5">
      <c r="A6" s="102">
        <v>3045453.7</v>
      </c>
      <c r="B6" s="102">
        <v>401240.1</v>
      </c>
      <c r="C6" s="102">
        <v>671.2</v>
      </c>
      <c r="D6" s="11">
        <v>44919</v>
      </c>
      <c r="E6" s="55"/>
    </row>
    <row r="7" ht="16.5" spans="1:5">
      <c r="A7" s="102">
        <v>3045453.7</v>
      </c>
      <c r="B7" s="102">
        <v>401240.1</v>
      </c>
      <c r="C7" s="102">
        <v>671.2</v>
      </c>
      <c r="D7" s="11">
        <v>44920</v>
      </c>
      <c r="E7" s="55"/>
    </row>
    <row r="8" ht="16.5" spans="1:5">
      <c r="A8" s="102">
        <v>3045453.7</v>
      </c>
      <c r="B8" s="102">
        <v>401240.1</v>
      </c>
      <c r="C8" s="102">
        <v>671.2</v>
      </c>
      <c r="D8" s="11">
        <v>44921</v>
      </c>
      <c r="E8" s="55"/>
    </row>
    <row r="9" ht="16.5" spans="1:5">
      <c r="A9" s="102">
        <v>3045453.7</v>
      </c>
      <c r="B9" s="102">
        <v>401240.1</v>
      </c>
      <c r="C9" s="102">
        <v>671.2</v>
      </c>
      <c r="D9" s="11">
        <v>44922</v>
      </c>
      <c r="E9" s="55"/>
    </row>
    <row r="10" ht="16.5" spans="1:5">
      <c r="A10" s="102">
        <v>3045453.7</v>
      </c>
      <c r="B10" s="102">
        <v>401240.1</v>
      </c>
      <c r="C10" s="102">
        <v>671.2</v>
      </c>
      <c r="D10" s="11">
        <v>44923</v>
      </c>
      <c r="E10" s="54">
        <f>670-51.3</f>
        <v>618.7</v>
      </c>
    </row>
    <row r="11" ht="16.5" spans="1:5">
      <c r="A11" s="102">
        <v>3045453.7</v>
      </c>
      <c r="B11" s="102">
        <v>401240.1</v>
      </c>
      <c r="C11" s="102">
        <v>671.2</v>
      </c>
      <c r="D11" s="11">
        <v>44924</v>
      </c>
      <c r="E11" s="55"/>
    </row>
    <row r="12" ht="16.5" spans="1:5">
      <c r="A12" s="102">
        <v>3045453.7</v>
      </c>
      <c r="B12" s="102">
        <v>401240.1</v>
      </c>
      <c r="C12" s="102">
        <v>671.2</v>
      </c>
      <c r="D12" s="11">
        <v>44925</v>
      </c>
      <c r="E12" s="55"/>
    </row>
    <row r="13" ht="16.5" spans="1:5">
      <c r="A13" s="102">
        <v>3045453.7</v>
      </c>
      <c r="B13" s="102">
        <v>401240.1</v>
      </c>
      <c r="C13" s="102">
        <v>671.2</v>
      </c>
      <c r="D13" s="11">
        <v>44926</v>
      </c>
      <c r="E13" s="55"/>
    </row>
    <row r="14" ht="16.5" spans="1:5">
      <c r="A14" s="102">
        <v>3045453.7</v>
      </c>
      <c r="B14" s="102">
        <v>401240.1</v>
      </c>
      <c r="C14" s="102">
        <v>671.2</v>
      </c>
      <c r="D14" s="11">
        <v>44927</v>
      </c>
      <c r="E14" s="55"/>
    </row>
    <row r="15" ht="16.5" spans="1:5">
      <c r="A15" s="102">
        <v>3045453.7</v>
      </c>
      <c r="B15" s="102">
        <v>401240.1</v>
      </c>
      <c r="C15" s="102">
        <v>671.2</v>
      </c>
      <c r="D15" s="11">
        <v>44928</v>
      </c>
      <c r="E15" s="55"/>
    </row>
    <row r="16" ht="16.5" spans="1:5">
      <c r="A16" s="102">
        <v>3045453.7</v>
      </c>
      <c r="B16" s="102">
        <v>401240.1</v>
      </c>
      <c r="C16" s="102">
        <v>671.2</v>
      </c>
      <c r="D16" s="11">
        <v>44929</v>
      </c>
      <c r="E16" s="54">
        <f>670-55.5</f>
        <v>614.5</v>
      </c>
    </row>
    <row r="17" ht="16.5" spans="1:5">
      <c r="A17" s="102">
        <v>3045453.7</v>
      </c>
      <c r="B17" s="102">
        <v>401240.1</v>
      </c>
      <c r="C17" s="102">
        <v>671.2</v>
      </c>
      <c r="D17" s="11">
        <v>44930</v>
      </c>
      <c r="E17" s="55"/>
    </row>
    <row r="18" ht="16.5" spans="1:5">
      <c r="A18" s="102">
        <v>3045453.7</v>
      </c>
      <c r="B18" s="102">
        <v>401240.1</v>
      </c>
      <c r="C18" s="102">
        <v>671.2</v>
      </c>
      <c r="D18" s="11">
        <v>44931</v>
      </c>
      <c r="E18" s="106"/>
    </row>
    <row r="19" ht="16.5" spans="1:5">
      <c r="A19" s="102">
        <v>3045453.7</v>
      </c>
      <c r="B19" s="102">
        <v>401240.1</v>
      </c>
      <c r="C19" s="102">
        <v>671.2</v>
      </c>
      <c r="D19" s="11">
        <v>44932</v>
      </c>
      <c r="E19" s="54"/>
    </row>
    <row r="20" ht="16.5" spans="1:5">
      <c r="A20" s="102">
        <v>3045453.7</v>
      </c>
      <c r="B20" s="102">
        <v>401240.1</v>
      </c>
      <c r="C20" s="102">
        <v>671.2</v>
      </c>
      <c r="D20" s="11">
        <v>44933</v>
      </c>
      <c r="E20" s="54"/>
    </row>
    <row r="21" ht="16.5" spans="1:5">
      <c r="A21" s="102">
        <v>3045453.7</v>
      </c>
      <c r="B21" s="102">
        <v>401240.1</v>
      </c>
      <c r="C21" s="102">
        <v>671.2</v>
      </c>
      <c r="D21" s="11">
        <v>44934</v>
      </c>
      <c r="E21" s="54"/>
    </row>
    <row r="22" ht="16.5" spans="1:5">
      <c r="A22" s="102">
        <v>3045453.7</v>
      </c>
      <c r="B22" s="102">
        <v>401240.1</v>
      </c>
      <c r="C22" s="102">
        <v>671.2</v>
      </c>
      <c r="D22" s="11">
        <v>44935</v>
      </c>
      <c r="E22" s="54">
        <f>670-58.4</f>
        <v>611.6</v>
      </c>
    </row>
    <row r="23" ht="16.5" spans="1:5">
      <c r="A23" s="102">
        <v>3045453.7</v>
      </c>
      <c r="B23" s="102">
        <v>401240.1</v>
      </c>
      <c r="C23" s="102">
        <v>671.2</v>
      </c>
      <c r="D23" s="11">
        <v>44936</v>
      </c>
      <c r="E23" s="54"/>
    </row>
    <row r="24" ht="16.5" spans="1:5">
      <c r="A24" s="102">
        <v>3045453.7</v>
      </c>
      <c r="B24" s="102">
        <v>401240.1</v>
      </c>
      <c r="C24" s="102">
        <v>671.2</v>
      </c>
      <c r="D24" s="11">
        <v>44937</v>
      </c>
      <c r="E24" s="54"/>
    </row>
    <row r="25" ht="16.5" spans="1:5">
      <c r="A25" s="102">
        <v>3045453.7</v>
      </c>
      <c r="B25" s="102">
        <v>401240.1</v>
      </c>
      <c r="C25" s="102">
        <v>671.2</v>
      </c>
      <c r="D25" s="11">
        <v>44938</v>
      </c>
      <c r="E25" s="55"/>
    </row>
    <row r="26" ht="16.5" spans="1:5">
      <c r="A26" s="102">
        <v>3045453.7</v>
      </c>
      <c r="B26" s="102">
        <v>401240.1</v>
      </c>
      <c r="C26" s="102">
        <v>671.2</v>
      </c>
      <c r="D26" s="11">
        <v>44939</v>
      </c>
      <c r="E26" s="55"/>
    </row>
    <row r="27" ht="16.5" spans="1:5">
      <c r="A27" s="102">
        <v>3045453.7</v>
      </c>
      <c r="B27" s="102">
        <v>401240.1</v>
      </c>
      <c r="C27" s="102">
        <v>671.2</v>
      </c>
      <c r="D27" s="11">
        <v>44940</v>
      </c>
      <c r="E27" s="55"/>
    </row>
    <row r="28" ht="16.5" spans="1:5">
      <c r="A28" s="102">
        <v>3045453.7</v>
      </c>
      <c r="B28" s="102">
        <v>401240.1</v>
      </c>
      <c r="C28" s="102">
        <v>671.2</v>
      </c>
      <c r="D28" s="11">
        <v>44941</v>
      </c>
      <c r="E28" s="55"/>
    </row>
    <row r="29" ht="16.5" spans="1:5">
      <c r="A29" s="102">
        <v>3045453.7</v>
      </c>
      <c r="B29" s="102">
        <v>401240.1</v>
      </c>
      <c r="C29" s="102">
        <v>671.2</v>
      </c>
      <c r="D29" s="11">
        <v>44942</v>
      </c>
      <c r="E29" s="55"/>
    </row>
    <row r="30" ht="16.5" spans="1:5">
      <c r="A30" s="102">
        <v>3045453.7</v>
      </c>
      <c r="B30" s="102">
        <v>401240.1</v>
      </c>
      <c r="C30" s="102">
        <v>671.2</v>
      </c>
      <c r="D30" s="11">
        <v>44943</v>
      </c>
      <c r="E30" s="55"/>
    </row>
    <row r="31" ht="16.5" spans="1:5">
      <c r="A31" s="102">
        <v>3045453.7</v>
      </c>
      <c r="B31" s="102">
        <v>401240.1</v>
      </c>
      <c r="C31" s="102">
        <v>671.2</v>
      </c>
      <c r="D31" s="11">
        <v>44944</v>
      </c>
      <c r="E31" s="54">
        <f>670-60</f>
        <v>610</v>
      </c>
    </row>
    <row r="32" ht="16.5" spans="1:5">
      <c r="A32" s="102">
        <v>3045453.7</v>
      </c>
      <c r="B32" s="102">
        <v>401240.1</v>
      </c>
      <c r="C32" s="102">
        <v>671.2</v>
      </c>
      <c r="D32" s="11">
        <v>44945</v>
      </c>
      <c r="E32" s="55"/>
    </row>
    <row r="33" ht="16.5" spans="1:5">
      <c r="A33" s="102">
        <v>3045453.7</v>
      </c>
      <c r="B33" s="102">
        <v>401240.1</v>
      </c>
      <c r="C33" s="102">
        <v>671.2</v>
      </c>
      <c r="D33" s="11">
        <v>44946</v>
      </c>
      <c r="E33" s="55"/>
    </row>
    <row r="34" ht="16.5" spans="1:5">
      <c r="A34" s="102">
        <v>3045453.7</v>
      </c>
      <c r="B34" s="102">
        <v>401240.1</v>
      </c>
      <c r="C34" s="102">
        <v>671.2</v>
      </c>
      <c r="D34" s="11">
        <v>44947</v>
      </c>
      <c r="E34" s="55"/>
    </row>
    <row r="35" ht="16.5" spans="1:5">
      <c r="A35" s="102">
        <v>3045453.7</v>
      </c>
      <c r="B35" s="102">
        <v>401240.1</v>
      </c>
      <c r="C35" s="102">
        <v>671.2</v>
      </c>
      <c r="D35" s="11">
        <v>44948</v>
      </c>
      <c r="E35" s="55"/>
    </row>
    <row r="36" ht="16.5" spans="1:5">
      <c r="A36" s="102">
        <v>3045453.7</v>
      </c>
      <c r="B36" s="102">
        <v>401240.1</v>
      </c>
      <c r="C36" s="102">
        <v>671.2</v>
      </c>
      <c r="D36" s="11">
        <v>44949</v>
      </c>
      <c r="E36" s="55"/>
    </row>
    <row r="37" ht="16.5" spans="1:5">
      <c r="A37" s="102">
        <v>3045453.7</v>
      </c>
      <c r="B37" s="102">
        <v>401240.1</v>
      </c>
      <c r="C37" s="102">
        <v>671.2</v>
      </c>
      <c r="D37" s="11">
        <v>44950</v>
      </c>
      <c r="E37" s="55"/>
    </row>
    <row r="38" ht="16.5" spans="1:5">
      <c r="A38" s="102">
        <v>3045453.7</v>
      </c>
      <c r="B38" s="102">
        <v>401240.1</v>
      </c>
      <c r="C38" s="102">
        <v>671.2</v>
      </c>
      <c r="D38" s="11">
        <v>44951</v>
      </c>
      <c r="E38" s="55"/>
    </row>
    <row r="39" ht="16.5" spans="1:5">
      <c r="A39" s="102">
        <v>3045453.7</v>
      </c>
      <c r="B39" s="102">
        <v>401240.1</v>
      </c>
      <c r="C39" s="102">
        <v>671.2</v>
      </c>
      <c r="D39" s="11">
        <v>44952</v>
      </c>
      <c r="E39" s="55"/>
    </row>
    <row r="40" ht="16.5" spans="1:5">
      <c r="A40" s="102">
        <v>3045453.7</v>
      </c>
      <c r="B40" s="102">
        <v>401240.1</v>
      </c>
      <c r="C40" s="102">
        <v>671.2</v>
      </c>
      <c r="D40" s="11">
        <v>44953</v>
      </c>
      <c r="E40" s="55"/>
    </row>
    <row r="41" ht="16.5" spans="1:5">
      <c r="A41" s="102">
        <v>3045453.7</v>
      </c>
      <c r="B41" s="102">
        <v>401240.1</v>
      </c>
      <c r="C41" s="102">
        <v>671.2</v>
      </c>
      <c r="D41" s="11">
        <v>44954</v>
      </c>
      <c r="E41" s="54">
        <f>670-63</f>
        <v>607</v>
      </c>
    </row>
    <row r="42" ht="16.5" spans="1:5">
      <c r="A42" s="102">
        <v>3045453.7</v>
      </c>
      <c r="B42" s="102">
        <v>401240.1</v>
      </c>
      <c r="C42" s="102">
        <v>671.2</v>
      </c>
      <c r="D42" s="11">
        <v>44955</v>
      </c>
      <c r="E42" s="55"/>
    </row>
    <row r="43" ht="16.5" spans="1:5">
      <c r="A43" s="102">
        <v>3045453.7</v>
      </c>
      <c r="B43" s="102">
        <v>401240.1</v>
      </c>
      <c r="C43" s="102">
        <v>671.2</v>
      </c>
      <c r="D43" s="11">
        <v>44956</v>
      </c>
      <c r="E43" s="55"/>
    </row>
    <row r="44" ht="16.5" spans="1:5">
      <c r="A44" s="102">
        <v>3045453.7</v>
      </c>
      <c r="B44" s="102">
        <v>401240.1</v>
      </c>
      <c r="C44" s="102">
        <v>671.2</v>
      </c>
      <c r="D44" s="11">
        <v>44957</v>
      </c>
      <c r="E44" s="55"/>
    </row>
    <row r="45" ht="16.5" spans="1:5">
      <c r="A45" s="102">
        <v>3045453.7</v>
      </c>
      <c r="B45" s="102">
        <v>401240.1</v>
      </c>
      <c r="C45" s="102">
        <v>671.2</v>
      </c>
      <c r="D45" s="11">
        <v>44958</v>
      </c>
      <c r="E45" s="55"/>
    </row>
    <row r="46" ht="16.5" spans="1:5">
      <c r="A46" s="102">
        <v>3045453.7</v>
      </c>
      <c r="B46" s="102">
        <v>401240.1</v>
      </c>
      <c r="C46" s="102">
        <v>671.2</v>
      </c>
      <c r="D46" s="11">
        <v>44959</v>
      </c>
      <c r="E46" s="56">
        <f>670-65.3</f>
        <v>604.7</v>
      </c>
    </row>
    <row r="47" ht="16.5" spans="1:5">
      <c r="A47" s="102">
        <v>3045453.7</v>
      </c>
      <c r="B47" s="102">
        <v>401240.1</v>
      </c>
      <c r="C47" s="102">
        <v>671.2</v>
      </c>
      <c r="D47" s="11">
        <v>44960</v>
      </c>
      <c r="E47" s="55"/>
    </row>
    <row r="48" ht="16.5" spans="1:5">
      <c r="A48" s="102">
        <v>3045453.7</v>
      </c>
      <c r="B48" s="102">
        <v>401240.1</v>
      </c>
      <c r="C48" s="102">
        <v>671.2</v>
      </c>
      <c r="D48" s="11">
        <v>44961</v>
      </c>
      <c r="E48" s="55"/>
    </row>
    <row r="49" ht="16.5" spans="1:5">
      <c r="A49" s="102">
        <v>3045453.7</v>
      </c>
      <c r="B49" s="102">
        <v>401240.1</v>
      </c>
      <c r="C49" s="102">
        <v>671.2</v>
      </c>
      <c r="D49" s="11">
        <v>44962</v>
      </c>
      <c r="E49" s="55"/>
    </row>
    <row r="50" ht="16.5" spans="1:5">
      <c r="A50" s="102">
        <v>3045453.7</v>
      </c>
      <c r="B50" s="102">
        <v>401240.1</v>
      </c>
      <c r="C50" s="102">
        <v>671.2</v>
      </c>
      <c r="D50" s="11">
        <v>44963</v>
      </c>
      <c r="E50" s="55"/>
    </row>
    <row r="51" ht="16.5" spans="1:5">
      <c r="A51" s="102">
        <v>3045453.7</v>
      </c>
      <c r="B51" s="102">
        <v>401240.1</v>
      </c>
      <c r="C51" s="102">
        <v>671.2</v>
      </c>
      <c r="D51" s="11">
        <v>44964</v>
      </c>
      <c r="E51" s="55"/>
    </row>
    <row r="52" ht="16.5" spans="1:5">
      <c r="A52" s="102">
        <v>3045453.7</v>
      </c>
      <c r="B52" s="102">
        <v>401240.1</v>
      </c>
      <c r="C52" s="102">
        <v>671.2</v>
      </c>
      <c r="D52" s="11">
        <v>44965</v>
      </c>
      <c r="E52" s="54">
        <f>670-60</f>
        <v>610</v>
      </c>
    </row>
    <row r="53" ht="16.5" spans="1:5">
      <c r="A53" s="102">
        <v>3045453.7</v>
      </c>
      <c r="B53" s="102">
        <v>401240.1</v>
      </c>
      <c r="C53" s="102">
        <v>671.2</v>
      </c>
      <c r="D53" s="11">
        <v>44966</v>
      </c>
      <c r="E53" s="55"/>
    </row>
    <row r="54" ht="16.5" spans="1:5">
      <c r="A54" s="102">
        <v>3045453.7</v>
      </c>
      <c r="B54" s="102">
        <v>401240.1</v>
      </c>
      <c r="C54" s="102">
        <v>671.2</v>
      </c>
      <c r="D54" s="11">
        <v>44967</v>
      </c>
      <c r="E54" s="55"/>
    </row>
    <row r="55" ht="16.5" spans="1:5">
      <c r="A55" s="102">
        <v>3045453.7</v>
      </c>
      <c r="B55" s="102">
        <v>401240.1</v>
      </c>
      <c r="C55" s="102">
        <v>671.2</v>
      </c>
      <c r="D55" s="11">
        <v>44968</v>
      </c>
      <c r="E55" s="55"/>
    </row>
    <row r="56" ht="16.5" spans="1:5">
      <c r="A56" s="102">
        <v>3045453.7</v>
      </c>
      <c r="B56" s="102">
        <v>401240.1</v>
      </c>
      <c r="C56" s="102">
        <v>671.2</v>
      </c>
      <c r="D56" s="11">
        <v>44969</v>
      </c>
      <c r="E56" s="55"/>
    </row>
    <row r="57" ht="16.5" spans="1:5">
      <c r="A57" s="102">
        <v>3045453.7</v>
      </c>
      <c r="B57" s="102">
        <v>401240.1</v>
      </c>
      <c r="C57" s="102">
        <v>671.2</v>
      </c>
      <c r="D57" s="11">
        <v>44970</v>
      </c>
      <c r="E57" s="55"/>
    </row>
    <row r="58" ht="16.5" spans="1:5">
      <c r="A58" s="102">
        <v>3045453.7</v>
      </c>
      <c r="B58" s="102">
        <v>401240.1</v>
      </c>
      <c r="C58" s="102">
        <v>671.2</v>
      </c>
      <c r="D58" s="11">
        <v>44971</v>
      </c>
      <c r="E58" s="55"/>
    </row>
    <row r="59" ht="16.5" spans="1:5">
      <c r="A59" s="102">
        <v>3045453.7</v>
      </c>
      <c r="B59" s="102">
        <v>401240.1</v>
      </c>
      <c r="C59" s="102">
        <v>671.2</v>
      </c>
      <c r="D59" s="11">
        <v>44972</v>
      </c>
      <c r="E59" s="54"/>
    </row>
    <row r="60" ht="16.5" spans="1:5">
      <c r="A60" s="102">
        <v>3045453.7</v>
      </c>
      <c r="B60" s="102">
        <v>401240.1</v>
      </c>
      <c r="C60" s="102">
        <v>671.2</v>
      </c>
      <c r="D60" s="11">
        <v>44973</v>
      </c>
      <c r="E60" s="54">
        <f>670-62</f>
        <v>608</v>
      </c>
    </row>
    <row r="61" ht="16.5" spans="1:5">
      <c r="A61" s="102">
        <v>3045453.7</v>
      </c>
      <c r="B61" s="102">
        <v>401240.1</v>
      </c>
      <c r="C61" s="102">
        <v>671.2</v>
      </c>
      <c r="D61" s="11">
        <v>44974</v>
      </c>
      <c r="E61" s="54"/>
    </row>
    <row r="62" ht="16.5" spans="1:5">
      <c r="A62" s="102">
        <v>3045453.7</v>
      </c>
      <c r="B62" s="102">
        <v>401240.1</v>
      </c>
      <c r="C62" s="102">
        <v>671.2</v>
      </c>
      <c r="D62" s="11">
        <v>44975</v>
      </c>
      <c r="E62" s="54"/>
    </row>
    <row r="63" ht="16.5" spans="1:5">
      <c r="A63" s="102">
        <v>3045453.7</v>
      </c>
      <c r="B63" s="102">
        <v>401240.1</v>
      </c>
      <c r="C63" s="102">
        <v>671.2</v>
      </c>
      <c r="D63" s="11">
        <v>44976</v>
      </c>
      <c r="E63" s="54"/>
    </row>
    <row r="64" ht="16.5" spans="1:5">
      <c r="A64" s="102">
        <v>3045453.7</v>
      </c>
      <c r="B64" s="102">
        <v>401240.1</v>
      </c>
      <c r="C64" s="102">
        <v>671.2</v>
      </c>
      <c r="D64" s="11">
        <v>44977</v>
      </c>
      <c r="E64" s="54"/>
    </row>
    <row r="65" ht="16.5" spans="1:5">
      <c r="A65" s="102">
        <v>3045453.7</v>
      </c>
      <c r="B65" s="102">
        <v>401240.1</v>
      </c>
      <c r="C65" s="102">
        <v>671.2</v>
      </c>
      <c r="D65" s="11">
        <v>44978</v>
      </c>
      <c r="E65" s="54"/>
    </row>
    <row r="66" ht="16.5" spans="1:5">
      <c r="A66" s="102">
        <v>3045453.7</v>
      </c>
      <c r="B66" s="102">
        <v>401240.1</v>
      </c>
      <c r="C66" s="102">
        <v>671.2</v>
      </c>
      <c r="D66" s="11">
        <v>44979</v>
      </c>
      <c r="E66" s="54"/>
    </row>
    <row r="67" ht="16.5" spans="1:5">
      <c r="A67" s="102">
        <v>3045453.7</v>
      </c>
      <c r="B67" s="102">
        <v>401240.1</v>
      </c>
      <c r="C67" s="102">
        <v>671.2</v>
      </c>
      <c r="D67" s="11">
        <v>44980</v>
      </c>
      <c r="E67" s="54">
        <f>670-65</f>
        <v>605</v>
      </c>
    </row>
    <row r="68" ht="16.5" spans="1:5">
      <c r="A68" s="102">
        <v>3045453.7</v>
      </c>
      <c r="B68" s="102">
        <v>401240.1</v>
      </c>
      <c r="C68" s="102">
        <v>671.2</v>
      </c>
      <c r="D68" s="11">
        <v>44981</v>
      </c>
      <c r="E68" s="54"/>
    </row>
    <row r="69" ht="16.5" spans="1:5">
      <c r="A69" s="102">
        <v>3045453.7</v>
      </c>
      <c r="B69" s="102">
        <v>401240.1</v>
      </c>
      <c r="C69" s="102">
        <v>671.2</v>
      </c>
      <c r="D69" s="11">
        <v>44982</v>
      </c>
      <c r="E69" s="54"/>
    </row>
    <row r="70" ht="16.5" spans="1:5">
      <c r="A70" s="102">
        <v>3045453.7</v>
      </c>
      <c r="B70" s="102">
        <v>401240.1</v>
      </c>
      <c r="C70" s="102">
        <v>671.2</v>
      </c>
      <c r="D70" s="11">
        <v>44983</v>
      </c>
      <c r="E70" s="54"/>
    </row>
    <row r="71" ht="16.5" spans="1:5">
      <c r="A71" s="102">
        <v>3045453.7</v>
      </c>
      <c r="B71" s="102">
        <v>401240.1</v>
      </c>
      <c r="C71" s="102">
        <v>671.2</v>
      </c>
      <c r="D71" s="11">
        <v>44984</v>
      </c>
      <c r="E71" s="54">
        <f>670-75</f>
        <v>595</v>
      </c>
    </row>
    <row r="72" ht="16.5" spans="1:5">
      <c r="A72" s="102">
        <v>3045453.7</v>
      </c>
      <c r="B72" s="102">
        <v>401240.1</v>
      </c>
      <c r="C72" s="102">
        <v>671.2</v>
      </c>
      <c r="D72" s="11">
        <v>44985</v>
      </c>
      <c r="E72" s="55"/>
    </row>
    <row r="73" ht="16.5" spans="1:5">
      <c r="A73" s="102">
        <v>3045453.7</v>
      </c>
      <c r="B73" s="102">
        <v>401240.1</v>
      </c>
      <c r="C73" s="102">
        <v>671.2</v>
      </c>
      <c r="D73" s="11">
        <v>44986</v>
      </c>
      <c r="E73" s="55"/>
    </row>
    <row r="74" ht="16.5" spans="1:5">
      <c r="A74" s="102">
        <v>3045453.7</v>
      </c>
      <c r="B74" s="102">
        <v>401240.1</v>
      </c>
      <c r="C74" s="102">
        <v>671.2</v>
      </c>
      <c r="D74" s="11">
        <v>44987</v>
      </c>
      <c r="E74" s="55"/>
    </row>
    <row r="75" ht="16.5" spans="1:5">
      <c r="A75" s="102">
        <v>3045453.7</v>
      </c>
      <c r="B75" s="102">
        <v>401240.1</v>
      </c>
      <c r="C75" s="102">
        <v>671.2</v>
      </c>
      <c r="D75" s="11">
        <v>44988</v>
      </c>
      <c r="E75" s="54">
        <v>585.35</v>
      </c>
    </row>
    <row r="76" ht="16.5" spans="1:5">
      <c r="A76" s="102">
        <v>3045453.7</v>
      </c>
      <c r="B76" s="102">
        <v>401240.1</v>
      </c>
      <c r="C76" s="102">
        <v>671.2</v>
      </c>
      <c r="D76" s="11">
        <v>44989</v>
      </c>
      <c r="E76" s="54">
        <v>582.9</v>
      </c>
    </row>
    <row r="77" ht="16.5" spans="1:5">
      <c r="A77" s="102">
        <v>3045453.7</v>
      </c>
      <c r="B77" s="102">
        <v>401240.1</v>
      </c>
      <c r="C77" s="102">
        <v>671.2</v>
      </c>
      <c r="D77" s="11">
        <v>44990</v>
      </c>
      <c r="E77" s="54">
        <v>584.3</v>
      </c>
    </row>
    <row r="78" ht="16.5" spans="1:5">
      <c r="A78" s="102">
        <v>3045453.7</v>
      </c>
      <c r="B78" s="102">
        <v>401240.1</v>
      </c>
      <c r="C78" s="102">
        <v>671.2</v>
      </c>
      <c r="D78" s="11">
        <v>44991</v>
      </c>
      <c r="E78" s="54">
        <v>584.35</v>
      </c>
    </row>
    <row r="79" ht="16.5" spans="1:5">
      <c r="A79" s="102">
        <v>3045453.7</v>
      </c>
      <c r="B79" s="102">
        <v>401240.1</v>
      </c>
      <c r="C79" s="102">
        <v>671.2</v>
      </c>
      <c r="D79" s="11">
        <v>44992</v>
      </c>
      <c r="E79" s="54">
        <v>582.5</v>
      </c>
    </row>
    <row r="80" ht="16.5" spans="1:5">
      <c r="A80" s="102">
        <v>3045453.7</v>
      </c>
      <c r="B80" s="102">
        <v>401240.1</v>
      </c>
      <c r="C80" s="102">
        <v>671.2</v>
      </c>
      <c r="D80" s="11">
        <v>44993</v>
      </c>
      <c r="E80" s="54">
        <v>581.8</v>
      </c>
    </row>
    <row r="81" ht="16.5" spans="1:5">
      <c r="A81" s="102">
        <v>3045453.7</v>
      </c>
      <c r="B81" s="102">
        <v>401240.1</v>
      </c>
      <c r="C81" s="102">
        <v>671.2</v>
      </c>
      <c r="D81" s="11">
        <v>44994</v>
      </c>
      <c r="E81" s="54">
        <v>579.95</v>
      </c>
    </row>
    <row r="82" ht="16.5" spans="1:5">
      <c r="A82" s="102">
        <v>3045453.7</v>
      </c>
      <c r="B82" s="102">
        <v>401240.1</v>
      </c>
      <c r="C82" s="102">
        <v>671.2</v>
      </c>
      <c r="D82" s="11">
        <v>44995</v>
      </c>
      <c r="E82" s="54">
        <v>579.13</v>
      </c>
    </row>
    <row r="83" ht="16.5" spans="1:5">
      <c r="A83" s="102">
        <v>3045453.7</v>
      </c>
      <c r="B83" s="102">
        <v>401240.1</v>
      </c>
      <c r="C83" s="102">
        <v>671.2</v>
      </c>
      <c r="D83" s="11">
        <v>44996</v>
      </c>
      <c r="E83" s="54">
        <v>579.4</v>
      </c>
    </row>
    <row r="84" ht="16.5" spans="1:5">
      <c r="A84" s="102">
        <v>3045453.7</v>
      </c>
      <c r="B84" s="102">
        <v>401240.1</v>
      </c>
      <c r="C84" s="102">
        <v>671.2</v>
      </c>
      <c r="D84" s="11">
        <v>44997</v>
      </c>
      <c r="E84" s="54">
        <v>578.82</v>
      </c>
    </row>
    <row r="85" ht="16.5" spans="1:5">
      <c r="A85" s="102">
        <v>3045453.7</v>
      </c>
      <c r="B85" s="102">
        <v>401240.1</v>
      </c>
      <c r="C85" s="102">
        <v>671.2</v>
      </c>
      <c r="D85" s="11">
        <v>44998</v>
      </c>
      <c r="E85" s="54">
        <v>578.12</v>
      </c>
    </row>
    <row r="86" ht="16.5" spans="1:5">
      <c r="A86" s="102">
        <v>3045453.7</v>
      </c>
      <c r="B86" s="102">
        <v>401240.1</v>
      </c>
      <c r="C86" s="102">
        <v>671.2</v>
      </c>
      <c r="D86" s="11">
        <v>44999</v>
      </c>
      <c r="E86" s="54">
        <v>578.1</v>
      </c>
    </row>
    <row r="87" ht="16.5" spans="1:5">
      <c r="A87" s="102">
        <v>3045453.7</v>
      </c>
      <c r="B87" s="102">
        <v>401240.1</v>
      </c>
      <c r="C87" s="102">
        <v>671.2</v>
      </c>
      <c r="D87" s="11">
        <v>45000</v>
      </c>
      <c r="E87" s="54">
        <v>577.6</v>
      </c>
    </row>
    <row r="88" ht="16.5" spans="1:5">
      <c r="A88" s="102">
        <v>3045453.7</v>
      </c>
      <c r="B88" s="102">
        <v>401240.1</v>
      </c>
      <c r="C88" s="102">
        <v>671.2</v>
      </c>
      <c r="D88" s="11">
        <v>45001</v>
      </c>
      <c r="E88" s="55"/>
    </row>
    <row r="89" ht="16.5" spans="1:5">
      <c r="A89" s="102">
        <v>3045453.7</v>
      </c>
      <c r="B89" s="102">
        <v>401240.1</v>
      </c>
      <c r="C89" s="102">
        <v>671.2</v>
      </c>
      <c r="D89" s="11">
        <v>45002</v>
      </c>
      <c r="E89" s="53"/>
    </row>
    <row r="90" ht="16.5" spans="1:5">
      <c r="A90" s="102">
        <v>3045453.7</v>
      </c>
      <c r="B90" s="102">
        <v>401240.1</v>
      </c>
      <c r="C90" s="102">
        <v>671.2</v>
      </c>
      <c r="D90" s="11">
        <v>45003</v>
      </c>
      <c r="E90" s="54"/>
    </row>
    <row r="91" ht="16.5" spans="1:5">
      <c r="A91" s="102">
        <v>3045453.7</v>
      </c>
      <c r="B91" s="102">
        <v>401240.1</v>
      </c>
      <c r="C91" s="102">
        <v>671.2</v>
      </c>
      <c r="D91" s="11">
        <v>45004</v>
      </c>
      <c r="E91" s="54"/>
    </row>
    <row r="92" ht="16.5" spans="1:5">
      <c r="A92" s="102">
        <v>3045453.7</v>
      </c>
      <c r="B92" s="102">
        <v>401240.1</v>
      </c>
      <c r="C92" s="102">
        <v>671.2</v>
      </c>
      <c r="D92" s="11">
        <v>45005</v>
      </c>
      <c r="E92" s="54"/>
    </row>
    <row r="93" ht="16.5" spans="1:5">
      <c r="A93" s="102">
        <v>3045453.7</v>
      </c>
      <c r="B93" s="102">
        <v>401240.1</v>
      </c>
      <c r="C93" s="102">
        <v>671.2</v>
      </c>
      <c r="D93" s="11">
        <v>45006</v>
      </c>
      <c r="E93" s="54"/>
    </row>
    <row r="94" ht="16.5" spans="1:5">
      <c r="A94" s="102">
        <v>3045453.7</v>
      </c>
      <c r="B94" s="102">
        <v>401240.1</v>
      </c>
      <c r="C94" s="102">
        <v>671.2</v>
      </c>
      <c r="D94" s="11">
        <v>45007</v>
      </c>
      <c r="E94" s="54">
        <f>670-96</f>
        <v>574</v>
      </c>
    </row>
    <row r="95" ht="16.5" spans="1:5">
      <c r="A95" s="102">
        <v>3045453.7</v>
      </c>
      <c r="B95" s="102">
        <v>401240.1</v>
      </c>
      <c r="C95" s="102">
        <v>671.2</v>
      </c>
      <c r="D95" s="11">
        <v>45008</v>
      </c>
      <c r="E95" s="54"/>
    </row>
    <row r="96" ht="16.5" spans="1:5">
      <c r="A96" s="102">
        <v>3045453.7</v>
      </c>
      <c r="B96" s="102">
        <v>401240.1</v>
      </c>
      <c r="C96" s="102">
        <v>671.2</v>
      </c>
      <c r="D96" s="11">
        <v>45009</v>
      </c>
      <c r="E96" s="55"/>
    </row>
    <row r="97" ht="16.5" spans="1:5">
      <c r="A97" s="102">
        <v>3045453.7</v>
      </c>
      <c r="B97" s="102">
        <v>401240.1</v>
      </c>
      <c r="C97" s="102">
        <v>671.2</v>
      </c>
      <c r="D97" s="11">
        <v>45010</v>
      </c>
      <c r="E97" s="55"/>
    </row>
    <row r="98" ht="16.5" spans="1:5">
      <c r="A98" s="102">
        <v>3045453.7</v>
      </c>
      <c r="B98" s="102">
        <v>401240.1</v>
      </c>
      <c r="C98" s="102">
        <v>671.2</v>
      </c>
      <c r="D98" s="11">
        <v>45011</v>
      </c>
      <c r="E98" s="55"/>
    </row>
    <row r="99" ht="16.5" spans="1:5">
      <c r="A99" s="102">
        <v>3045453.7</v>
      </c>
      <c r="B99" s="102">
        <v>401240.1</v>
      </c>
      <c r="C99" s="102">
        <v>671.2</v>
      </c>
      <c r="D99" s="11">
        <v>45012</v>
      </c>
      <c r="E99" s="55"/>
    </row>
    <row r="100" ht="16.5" spans="1:5">
      <c r="A100" s="102">
        <v>3045453.7</v>
      </c>
      <c r="B100" s="102">
        <v>401240.1</v>
      </c>
      <c r="C100" s="102">
        <v>671.2</v>
      </c>
      <c r="D100" s="11">
        <v>45013</v>
      </c>
      <c r="E100" s="55"/>
    </row>
    <row r="101" ht="16.5" spans="1:5">
      <c r="A101" s="102">
        <v>3045453.7</v>
      </c>
      <c r="B101" s="102">
        <v>401240.1</v>
      </c>
      <c r="C101" s="102">
        <v>671.2</v>
      </c>
      <c r="D101" s="11">
        <v>45014</v>
      </c>
      <c r="E101" s="55"/>
    </row>
    <row r="102" ht="16.5" spans="1:5">
      <c r="A102" s="102">
        <v>3045453.7</v>
      </c>
      <c r="B102" s="102">
        <v>401240.1</v>
      </c>
      <c r="C102" s="102">
        <v>671.2</v>
      </c>
      <c r="D102" s="11">
        <v>45015</v>
      </c>
      <c r="E102" s="58">
        <f>670-97</f>
        <v>573</v>
      </c>
    </row>
    <row r="103" ht="16.5" spans="1:5">
      <c r="A103" s="102">
        <v>3045453.7</v>
      </c>
      <c r="B103" s="102">
        <v>401240.1</v>
      </c>
      <c r="C103" s="102">
        <v>671.2</v>
      </c>
      <c r="D103" s="11">
        <v>45016</v>
      </c>
      <c r="E103" s="55"/>
    </row>
    <row r="104" ht="16.5" spans="1:5">
      <c r="A104" s="102">
        <v>3045453.7</v>
      </c>
      <c r="B104" s="102">
        <v>401240.1</v>
      </c>
      <c r="C104" s="102">
        <v>671.2</v>
      </c>
      <c r="D104" s="11">
        <v>45017</v>
      </c>
      <c r="E104" s="54"/>
    </row>
    <row r="105" ht="16.5" spans="1:5">
      <c r="A105" s="102">
        <v>3045453.7</v>
      </c>
      <c r="B105" s="102">
        <v>401240.1</v>
      </c>
      <c r="C105" s="102">
        <v>671.2</v>
      </c>
      <c r="D105" s="11">
        <v>45018</v>
      </c>
      <c r="E105" s="54"/>
    </row>
    <row r="106" ht="16.5" spans="1:5">
      <c r="A106" s="102">
        <v>3045453.7</v>
      </c>
      <c r="B106" s="102">
        <v>401240.1</v>
      </c>
      <c r="C106" s="102">
        <v>671.2</v>
      </c>
      <c r="D106" s="11">
        <v>45019</v>
      </c>
      <c r="E106" s="54"/>
    </row>
    <row r="107" ht="16.5" spans="1:5">
      <c r="A107" s="102">
        <v>3045453.7</v>
      </c>
      <c r="B107" s="102">
        <v>401240.1</v>
      </c>
      <c r="C107" s="102">
        <v>671.2</v>
      </c>
      <c r="D107" s="11">
        <v>45020</v>
      </c>
      <c r="E107" s="53"/>
    </row>
    <row r="108" ht="16.5" spans="1:5">
      <c r="A108" s="102">
        <v>3045453.7</v>
      </c>
      <c r="B108" s="102">
        <v>401240.1</v>
      </c>
      <c r="C108" s="102">
        <v>671.2</v>
      </c>
      <c r="D108" s="11">
        <v>45021</v>
      </c>
      <c r="E108" s="55"/>
    </row>
    <row r="109" ht="16.5" spans="1:5">
      <c r="A109" s="102">
        <v>3045453.7</v>
      </c>
      <c r="B109" s="102">
        <v>401240.1</v>
      </c>
      <c r="C109" s="102">
        <v>671.2</v>
      </c>
      <c r="D109" s="11">
        <v>45022</v>
      </c>
      <c r="E109" s="54">
        <f>670-98.47</f>
        <v>571.53</v>
      </c>
    </row>
    <row r="110" ht="16.5" spans="1:5">
      <c r="A110" s="102">
        <v>3045453.7</v>
      </c>
      <c r="B110" s="102">
        <v>401240.1</v>
      </c>
      <c r="C110" s="102">
        <v>671.2</v>
      </c>
      <c r="D110" s="11">
        <v>45023</v>
      </c>
      <c r="E110" s="54"/>
    </row>
    <row r="111" ht="16.5" spans="1:5">
      <c r="A111" s="102">
        <v>3045453.7</v>
      </c>
      <c r="B111" s="102">
        <v>401240.1</v>
      </c>
      <c r="C111" s="102">
        <v>671.2</v>
      </c>
      <c r="D111" s="11">
        <v>45024</v>
      </c>
      <c r="E111" s="54"/>
    </row>
    <row r="112" ht="16.5" spans="1:5">
      <c r="A112" s="102">
        <v>3045453.7</v>
      </c>
      <c r="B112" s="102">
        <v>401240.1</v>
      </c>
      <c r="C112" s="102">
        <v>671.2</v>
      </c>
      <c r="D112" s="11">
        <v>45025</v>
      </c>
      <c r="E112" s="54"/>
    </row>
    <row r="113" ht="16.5" spans="1:5">
      <c r="A113" s="102">
        <v>3045453.7</v>
      </c>
      <c r="B113" s="102">
        <v>401240.1</v>
      </c>
      <c r="C113" s="102">
        <v>671.2</v>
      </c>
      <c r="D113" s="11">
        <v>45026</v>
      </c>
      <c r="E113" s="54"/>
    </row>
    <row r="114" ht="16.5" spans="1:5">
      <c r="A114" s="102">
        <v>3045453.7</v>
      </c>
      <c r="B114" s="102">
        <v>401240.1</v>
      </c>
      <c r="C114" s="102">
        <v>671.2</v>
      </c>
      <c r="D114" s="11">
        <v>45027</v>
      </c>
      <c r="E114" s="54"/>
    </row>
    <row r="115" ht="16.5" spans="1:5">
      <c r="A115" s="102">
        <v>3045453.7</v>
      </c>
      <c r="B115" s="102">
        <v>401240.1</v>
      </c>
      <c r="C115" s="102">
        <v>671.2</v>
      </c>
      <c r="D115" s="11">
        <v>45028</v>
      </c>
      <c r="E115" s="54">
        <f>670-100</f>
        <v>570</v>
      </c>
    </row>
    <row r="116" ht="16.5" spans="1:5">
      <c r="A116" s="102">
        <v>3045453.7</v>
      </c>
      <c r="B116" s="102">
        <v>401240.1</v>
      </c>
      <c r="C116" s="102">
        <v>671.2</v>
      </c>
      <c r="D116" s="11">
        <v>45029</v>
      </c>
      <c r="E116" s="54"/>
    </row>
    <row r="117" ht="16.5" spans="1:5">
      <c r="A117" s="102">
        <v>3045453.7</v>
      </c>
      <c r="B117" s="102">
        <v>401240.1</v>
      </c>
      <c r="C117" s="102">
        <v>671.2</v>
      </c>
      <c r="D117" s="11">
        <v>45030</v>
      </c>
      <c r="E117" s="54"/>
    </row>
    <row r="118" ht="16.5" spans="1:5">
      <c r="A118" s="102">
        <v>3045453.7</v>
      </c>
      <c r="B118" s="102">
        <v>401240.1</v>
      </c>
      <c r="C118" s="102">
        <v>671.2</v>
      </c>
      <c r="D118" s="11">
        <v>45031</v>
      </c>
      <c r="E118" s="54"/>
    </row>
    <row r="119" ht="16.5" spans="1:5">
      <c r="A119" s="102">
        <v>3045453.7</v>
      </c>
      <c r="B119" s="102">
        <v>401240.1</v>
      </c>
      <c r="C119" s="102">
        <v>671.2</v>
      </c>
      <c r="D119" s="11">
        <v>45032</v>
      </c>
      <c r="E119" s="54"/>
    </row>
    <row r="120" ht="16.5" spans="1:5">
      <c r="A120" s="102">
        <v>3045453.7</v>
      </c>
      <c r="B120" s="102">
        <v>401240.1</v>
      </c>
      <c r="C120" s="102">
        <v>671.2</v>
      </c>
      <c r="D120" s="11">
        <v>45033</v>
      </c>
      <c r="E120" s="54"/>
    </row>
    <row r="121" ht="16.5" spans="1:5">
      <c r="A121" s="102">
        <v>3045453.7</v>
      </c>
      <c r="B121" s="102">
        <v>401240.1</v>
      </c>
      <c r="C121" s="102">
        <v>671.2</v>
      </c>
      <c r="D121" s="11">
        <v>45034</v>
      </c>
      <c r="E121" s="54"/>
    </row>
    <row r="122" ht="16.5" spans="1:5">
      <c r="A122" s="102">
        <v>3045453.7</v>
      </c>
      <c r="B122" s="102">
        <v>401240.1</v>
      </c>
      <c r="C122" s="102">
        <v>671.2</v>
      </c>
      <c r="D122" s="11">
        <v>45035</v>
      </c>
      <c r="E122" s="54">
        <f>670-104.09</f>
        <v>565.91</v>
      </c>
    </row>
    <row r="123" ht="16.5" spans="1:5">
      <c r="A123" s="102">
        <v>3045453.7</v>
      </c>
      <c r="B123" s="102">
        <v>401240.1</v>
      </c>
      <c r="C123" s="102">
        <v>671.2</v>
      </c>
      <c r="D123" s="11">
        <v>45036</v>
      </c>
      <c r="E123" s="54"/>
    </row>
    <row r="124" ht="16.5" spans="1:5">
      <c r="A124" s="102">
        <v>3045453.7</v>
      </c>
      <c r="B124" s="102">
        <v>401240.1</v>
      </c>
      <c r="C124" s="102">
        <v>671.2</v>
      </c>
      <c r="D124" s="11">
        <v>45037</v>
      </c>
      <c r="E124" s="55"/>
    </row>
    <row r="125" ht="16.5" spans="1:5">
      <c r="A125" s="102">
        <v>3045453.7</v>
      </c>
      <c r="B125" s="102">
        <v>401240.1</v>
      </c>
      <c r="C125" s="102">
        <v>671.2</v>
      </c>
      <c r="D125" s="11">
        <v>45038</v>
      </c>
      <c r="E125" s="55"/>
    </row>
    <row r="126" ht="16.5" spans="1:5">
      <c r="A126" s="102">
        <v>3045453.7</v>
      </c>
      <c r="B126" s="102">
        <v>401240.1</v>
      </c>
      <c r="C126" s="102">
        <v>671.2</v>
      </c>
      <c r="D126" s="11">
        <v>45039</v>
      </c>
      <c r="E126" s="55"/>
    </row>
    <row r="127" ht="16.5" spans="1:5">
      <c r="A127" s="102">
        <v>3045453.7</v>
      </c>
      <c r="B127" s="102">
        <v>401240.1</v>
      </c>
      <c r="C127" s="102">
        <v>671.2</v>
      </c>
      <c r="D127" s="11">
        <v>45040</v>
      </c>
      <c r="E127" s="55"/>
    </row>
    <row r="128" ht="16.5" spans="1:5">
      <c r="A128" s="102">
        <v>3045453.7</v>
      </c>
      <c r="B128" s="102">
        <v>401240.1</v>
      </c>
      <c r="C128" s="102">
        <v>671.2</v>
      </c>
      <c r="D128" s="11">
        <v>45041</v>
      </c>
      <c r="E128" s="55"/>
    </row>
    <row r="129" ht="16.5" spans="1:5">
      <c r="A129" s="102">
        <v>3045453.7</v>
      </c>
      <c r="B129" s="102">
        <v>401240.1</v>
      </c>
      <c r="C129" s="102">
        <v>671.2</v>
      </c>
      <c r="D129" s="11">
        <v>45042</v>
      </c>
      <c r="E129" s="55"/>
    </row>
    <row r="130" ht="16.5" spans="1:5">
      <c r="A130" s="102">
        <v>3045453.7</v>
      </c>
      <c r="B130" s="102">
        <v>401240.1</v>
      </c>
      <c r="C130" s="102">
        <v>671.2</v>
      </c>
      <c r="D130" s="11">
        <v>45043</v>
      </c>
      <c r="E130" s="54">
        <f>670-115.42</f>
        <v>554.58</v>
      </c>
    </row>
    <row r="131" ht="16.5" spans="1:5">
      <c r="A131" s="102">
        <v>3045453.7</v>
      </c>
      <c r="B131" s="102">
        <v>401240.1</v>
      </c>
      <c r="C131" s="102">
        <v>671.2</v>
      </c>
      <c r="D131" s="11">
        <v>45044</v>
      </c>
      <c r="E131" s="55"/>
    </row>
    <row r="132" ht="16.5" spans="1:5">
      <c r="A132" s="102">
        <v>3045453.7</v>
      </c>
      <c r="B132" s="102">
        <v>401240.1</v>
      </c>
      <c r="C132" s="102">
        <v>671.2</v>
      </c>
      <c r="D132" s="11">
        <v>45045</v>
      </c>
      <c r="E132" s="55"/>
    </row>
    <row r="133" ht="16.5" spans="1:5">
      <c r="A133" s="102">
        <v>3045453.7</v>
      </c>
      <c r="B133" s="102">
        <v>401240.1</v>
      </c>
      <c r="C133" s="102">
        <v>671.2</v>
      </c>
      <c r="D133" s="11">
        <v>45046</v>
      </c>
      <c r="E133" s="54">
        <f>670-118</f>
        <v>552</v>
      </c>
    </row>
    <row r="134" ht="16.5" spans="1:5">
      <c r="A134" s="102">
        <v>3045453.7</v>
      </c>
      <c r="B134" s="102">
        <v>401240.1</v>
      </c>
      <c r="C134" s="102">
        <v>671.2</v>
      </c>
      <c r="D134" s="11">
        <v>45047</v>
      </c>
      <c r="E134" s="55"/>
    </row>
    <row r="135" ht="16.5" spans="1:5">
      <c r="A135" s="102">
        <v>3045453.7</v>
      </c>
      <c r="B135" s="102">
        <v>401240.1</v>
      </c>
      <c r="C135" s="102">
        <v>671.2</v>
      </c>
      <c r="D135" s="11">
        <v>45048</v>
      </c>
      <c r="E135" s="55"/>
    </row>
    <row r="136" ht="16.5" spans="1:5">
      <c r="A136" s="102">
        <v>3045453.7</v>
      </c>
      <c r="B136" s="102">
        <v>401240.1</v>
      </c>
      <c r="C136" s="102">
        <v>671.2</v>
      </c>
      <c r="D136" s="11">
        <v>45049</v>
      </c>
      <c r="E136" s="55"/>
    </row>
    <row r="137" ht="16.5" spans="1:5">
      <c r="A137" s="102">
        <v>3045453.7</v>
      </c>
      <c r="B137" s="102">
        <v>401240.1</v>
      </c>
      <c r="C137" s="102">
        <v>671.2</v>
      </c>
      <c r="D137" s="11">
        <v>45050</v>
      </c>
      <c r="E137" s="55"/>
    </row>
    <row r="138" ht="16.5" spans="1:5">
      <c r="A138" s="102">
        <v>3045453.7</v>
      </c>
      <c r="B138" s="102">
        <v>401240.1</v>
      </c>
      <c r="C138" s="102">
        <v>671.2</v>
      </c>
      <c r="D138" s="11">
        <v>45051</v>
      </c>
      <c r="E138" s="55"/>
    </row>
    <row r="139" ht="16.5" spans="1:5">
      <c r="A139" s="102">
        <v>3045453.7</v>
      </c>
      <c r="B139" s="102">
        <v>401240.1</v>
      </c>
      <c r="C139" s="102">
        <v>671.2</v>
      </c>
      <c r="D139" s="11">
        <v>45052</v>
      </c>
      <c r="E139" s="55"/>
    </row>
    <row r="140" ht="16.5" spans="1:5">
      <c r="A140" s="102">
        <v>3045453.7</v>
      </c>
      <c r="B140" s="102">
        <v>401240.1</v>
      </c>
      <c r="C140" s="102">
        <v>671.2</v>
      </c>
      <c r="D140" s="11">
        <v>45053</v>
      </c>
      <c r="E140" s="55"/>
    </row>
    <row r="141" ht="16.5" spans="1:5">
      <c r="A141" s="102">
        <v>3045453.7</v>
      </c>
      <c r="B141" s="102">
        <v>401240.1</v>
      </c>
      <c r="C141" s="102">
        <v>671.2</v>
      </c>
      <c r="D141" s="11">
        <v>45054</v>
      </c>
      <c r="E141" s="55"/>
    </row>
    <row r="142" ht="16.5" spans="1:5">
      <c r="A142" s="102">
        <v>3045453.7</v>
      </c>
      <c r="B142" s="102">
        <v>401240.1</v>
      </c>
      <c r="C142" s="102">
        <v>671.2</v>
      </c>
      <c r="D142" s="11">
        <v>45055</v>
      </c>
      <c r="E142" s="55"/>
    </row>
    <row r="143" ht="16.5" spans="1:5">
      <c r="A143" s="102">
        <v>3045453.7</v>
      </c>
      <c r="B143" s="102">
        <v>401240.1</v>
      </c>
      <c r="C143" s="102">
        <v>671.2</v>
      </c>
      <c r="D143" s="11">
        <v>45056</v>
      </c>
      <c r="E143" s="54">
        <f>670-119.5</f>
        <v>550.5</v>
      </c>
    </row>
    <row r="144" ht="16.5" spans="1:5">
      <c r="A144" s="102">
        <v>3045453.7</v>
      </c>
      <c r="B144" s="102">
        <v>401240.1</v>
      </c>
      <c r="C144" s="102">
        <v>671.2</v>
      </c>
      <c r="D144" s="11">
        <v>45057</v>
      </c>
      <c r="E144" s="55"/>
    </row>
    <row r="145" ht="16.5" spans="1:5">
      <c r="A145" s="102">
        <v>3045453.7</v>
      </c>
      <c r="B145" s="102">
        <v>401240.1</v>
      </c>
      <c r="C145" s="102">
        <v>671.2</v>
      </c>
      <c r="D145" s="11">
        <v>45058</v>
      </c>
      <c r="E145" s="55"/>
    </row>
    <row r="146" ht="16.5" spans="1:5">
      <c r="A146" s="102">
        <v>3045453.7</v>
      </c>
      <c r="B146" s="102">
        <v>401240.1</v>
      </c>
      <c r="C146" s="102">
        <v>671.2</v>
      </c>
      <c r="D146" s="11">
        <v>45059</v>
      </c>
      <c r="E146" s="55"/>
    </row>
    <row r="147" ht="16.5" spans="1:5">
      <c r="A147" s="102">
        <v>3045453.7</v>
      </c>
      <c r="B147" s="102">
        <v>401240.1</v>
      </c>
      <c r="C147" s="102">
        <v>671.2</v>
      </c>
      <c r="D147" s="11">
        <v>45060</v>
      </c>
      <c r="E147" s="55"/>
    </row>
    <row r="148" ht="16.5" spans="1:5">
      <c r="A148" s="102">
        <v>3045453.7</v>
      </c>
      <c r="B148" s="102">
        <v>401240.1</v>
      </c>
      <c r="C148" s="102">
        <v>671.2</v>
      </c>
      <c r="D148" s="11">
        <v>45061</v>
      </c>
      <c r="E148" s="55"/>
    </row>
    <row r="149" ht="16.5" spans="1:5">
      <c r="A149" s="102">
        <v>3045453.7</v>
      </c>
      <c r="B149" s="102">
        <v>401240.1</v>
      </c>
      <c r="C149" s="102">
        <v>671.2</v>
      </c>
      <c r="D149" s="11">
        <v>45062</v>
      </c>
      <c r="E149" s="55"/>
    </row>
    <row r="150" ht="16.5" spans="1:5">
      <c r="A150" s="102">
        <v>3045453.7</v>
      </c>
      <c r="B150" s="102">
        <v>401240.1</v>
      </c>
      <c r="C150" s="102">
        <v>671.2</v>
      </c>
      <c r="D150" s="11">
        <v>45063</v>
      </c>
      <c r="E150" s="55"/>
    </row>
    <row r="151" ht="16.5" spans="1:5">
      <c r="A151" s="102">
        <v>3045453.7</v>
      </c>
      <c r="B151" s="102">
        <v>401240.1</v>
      </c>
      <c r="C151" s="102">
        <v>671.2</v>
      </c>
      <c r="D151" s="11">
        <v>45064</v>
      </c>
      <c r="E151" s="54">
        <f>670-120</f>
        <v>550</v>
      </c>
    </row>
    <row r="152" ht="16.5" spans="1:5">
      <c r="A152" s="102">
        <v>3045453.7</v>
      </c>
      <c r="B152" s="102">
        <v>401240.1</v>
      </c>
      <c r="C152" s="102">
        <v>671.2</v>
      </c>
      <c r="D152" s="11">
        <v>45065</v>
      </c>
      <c r="E152" s="55"/>
    </row>
    <row r="153" ht="16.5" spans="1:5">
      <c r="A153" s="102">
        <v>3045453.7</v>
      </c>
      <c r="B153" s="102">
        <v>401240.1</v>
      </c>
      <c r="C153" s="102">
        <v>671.2</v>
      </c>
      <c r="D153" s="11">
        <v>45066</v>
      </c>
      <c r="E153" s="55"/>
    </row>
    <row r="154" ht="16.5" spans="1:5">
      <c r="A154" s="102">
        <v>3045453.7</v>
      </c>
      <c r="B154" s="102">
        <v>401240.1</v>
      </c>
      <c r="C154" s="102">
        <v>671.2</v>
      </c>
      <c r="D154" s="11">
        <v>45067</v>
      </c>
      <c r="E154" s="55"/>
    </row>
    <row r="155" ht="16.5" spans="1:5">
      <c r="A155" s="102">
        <v>3045453.7</v>
      </c>
      <c r="B155" s="102">
        <v>401240.1</v>
      </c>
      <c r="C155" s="102">
        <v>671.2</v>
      </c>
      <c r="D155" s="11">
        <v>45068</v>
      </c>
      <c r="E155" s="55"/>
    </row>
    <row r="156" ht="16.5" spans="1:5">
      <c r="A156" s="102">
        <v>3045453.7</v>
      </c>
      <c r="B156" s="102">
        <v>401240.1</v>
      </c>
      <c r="C156" s="102">
        <v>671.2</v>
      </c>
      <c r="D156" s="11">
        <v>45069</v>
      </c>
      <c r="E156" s="55"/>
    </row>
    <row r="157" ht="16.5" spans="1:5">
      <c r="A157" s="102">
        <v>3045453.7</v>
      </c>
      <c r="B157" s="102">
        <v>401240.1</v>
      </c>
      <c r="C157" s="102">
        <v>671.2</v>
      </c>
      <c r="D157" s="11">
        <v>45070</v>
      </c>
      <c r="E157" s="55"/>
    </row>
    <row r="158" ht="16.5" spans="1:5">
      <c r="A158" s="102">
        <v>3045453.7</v>
      </c>
      <c r="B158" s="102">
        <v>401240.1</v>
      </c>
      <c r="C158" s="102">
        <v>671.2</v>
      </c>
      <c r="D158" s="11">
        <v>45071</v>
      </c>
      <c r="E158" s="54">
        <f>670-120.23</f>
        <v>549.77</v>
      </c>
    </row>
    <row r="159" ht="16.5" spans="1:5">
      <c r="A159" s="102">
        <v>3045453.7</v>
      </c>
      <c r="B159" s="102">
        <v>401240.1</v>
      </c>
      <c r="C159" s="102">
        <v>671.2</v>
      </c>
      <c r="D159" s="11">
        <v>45072</v>
      </c>
      <c r="E159" s="54"/>
    </row>
    <row r="160" ht="16.5" spans="1:5">
      <c r="A160" s="102">
        <v>3045453.7</v>
      </c>
      <c r="B160" s="102">
        <v>401240.1</v>
      </c>
      <c r="C160" s="102">
        <v>671.2</v>
      </c>
      <c r="D160" s="11">
        <v>45073</v>
      </c>
      <c r="E160" s="54"/>
    </row>
    <row r="161" ht="16.5" spans="1:5">
      <c r="A161" s="102">
        <v>3045453.7</v>
      </c>
      <c r="B161" s="102">
        <v>401240.1</v>
      </c>
      <c r="C161" s="102">
        <v>671.2</v>
      </c>
      <c r="D161" s="11">
        <v>45074</v>
      </c>
      <c r="E161" s="54"/>
    </row>
    <row r="162" ht="16.5" spans="1:5">
      <c r="A162" s="102">
        <v>3045453.7</v>
      </c>
      <c r="B162" s="102">
        <v>401240.1</v>
      </c>
      <c r="C162" s="102">
        <v>671.2</v>
      </c>
      <c r="D162" s="11">
        <v>45075</v>
      </c>
      <c r="E162" s="54"/>
    </row>
    <row r="163" ht="16.5" spans="1:5">
      <c r="A163" s="102">
        <v>3045453.7</v>
      </c>
      <c r="B163" s="102">
        <v>401240.1</v>
      </c>
      <c r="C163" s="102">
        <v>671.2</v>
      </c>
      <c r="D163" s="11">
        <v>45076</v>
      </c>
      <c r="E163" s="54"/>
    </row>
    <row r="164" ht="16.5" spans="1:5">
      <c r="A164" s="102">
        <v>3045453.7</v>
      </c>
      <c r="B164" s="102">
        <v>401240.1</v>
      </c>
      <c r="C164" s="102">
        <v>671.2</v>
      </c>
      <c r="D164" s="11">
        <v>45077</v>
      </c>
      <c r="E164" s="54"/>
    </row>
    <row r="165" ht="16.5" spans="1:5">
      <c r="A165" s="102">
        <v>3045453.7</v>
      </c>
      <c r="B165" s="102">
        <v>401240.1</v>
      </c>
      <c r="C165" s="102">
        <v>671.2</v>
      </c>
      <c r="D165" s="11">
        <v>45078</v>
      </c>
      <c r="E165" s="54"/>
    </row>
    <row r="166" ht="16.5" spans="1:5">
      <c r="A166" s="102">
        <v>3045453.7</v>
      </c>
      <c r="B166" s="102">
        <v>401240.1</v>
      </c>
      <c r="C166" s="102">
        <v>671.2</v>
      </c>
      <c r="D166" s="11">
        <v>45079</v>
      </c>
      <c r="E166" s="53"/>
    </row>
    <row r="167" ht="16.5" spans="1:5">
      <c r="A167" s="102">
        <v>3045453.7</v>
      </c>
      <c r="B167" s="102">
        <v>401240.1</v>
      </c>
      <c r="C167" s="102">
        <v>671.2</v>
      </c>
      <c r="D167" s="11">
        <v>45080</v>
      </c>
      <c r="E167" s="53"/>
    </row>
    <row r="168" ht="16.5" spans="1:5">
      <c r="A168" s="102">
        <v>3045453.7</v>
      </c>
      <c r="B168" s="102">
        <v>401240.1</v>
      </c>
      <c r="C168" s="102">
        <v>671.2</v>
      </c>
      <c r="D168" s="11">
        <v>45081</v>
      </c>
      <c r="E168" s="53"/>
    </row>
    <row r="169" ht="16.5" spans="1:5">
      <c r="A169" s="102">
        <v>3045453.7</v>
      </c>
      <c r="B169" s="102">
        <v>401240.1</v>
      </c>
      <c r="C169" s="102">
        <v>671.2</v>
      </c>
      <c r="D169" s="11">
        <v>45082</v>
      </c>
      <c r="E169" s="53"/>
    </row>
    <row r="170" ht="16.5" spans="1:5">
      <c r="A170" s="102">
        <v>3045453.7</v>
      </c>
      <c r="B170" s="102">
        <v>401240.1</v>
      </c>
      <c r="C170" s="102">
        <v>671.2</v>
      </c>
      <c r="D170" s="11">
        <v>45083</v>
      </c>
      <c r="E170" s="53"/>
    </row>
    <row r="171" ht="16.5" spans="1:5">
      <c r="A171" s="102">
        <v>3045453.7</v>
      </c>
      <c r="B171" s="102">
        <v>401240.1</v>
      </c>
      <c r="C171" s="102">
        <v>671.2</v>
      </c>
      <c r="D171" s="11">
        <v>45084</v>
      </c>
      <c r="E171" s="53"/>
    </row>
    <row r="172" ht="16.5" spans="1:5">
      <c r="A172" s="102">
        <v>3045453.7</v>
      </c>
      <c r="B172" s="102">
        <v>401240.1</v>
      </c>
      <c r="C172" s="102">
        <v>671.2</v>
      </c>
      <c r="D172" s="11">
        <v>45085</v>
      </c>
      <c r="E172" s="54">
        <f>670-130</f>
        <v>540</v>
      </c>
    </row>
    <row r="173" ht="16.5" spans="1:5">
      <c r="A173" s="102">
        <v>3045453.7</v>
      </c>
      <c r="B173" s="102">
        <v>401240.1</v>
      </c>
      <c r="C173" s="102">
        <v>671.2</v>
      </c>
      <c r="D173" s="11">
        <v>45086</v>
      </c>
      <c r="E173" s="55"/>
    </row>
    <row r="174" ht="16.5" spans="1:5">
      <c r="A174" s="102">
        <v>3045453.7</v>
      </c>
      <c r="B174" s="102">
        <v>401240.1</v>
      </c>
      <c r="C174" s="102">
        <v>671.2</v>
      </c>
      <c r="D174" s="11">
        <v>45087</v>
      </c>
      <c r="E174" s="55"/>
    </row>
    <row r="175" ht="16.5" spans="1:5">
      <c r="A175" s="102">
        <v>3045453.7</v>
      </c>
      <c r="B175" s="102">
        <v>401240.1</v>
      </c>
      <c r="C175" s="102">
        <v>671.2</v>
      </c>
      <c r="D175" s="11">
        <v>45088</v>
      </c>
      <c r="E175" s="55"/>
    </row>
    <row r="176" ht="16.5" spans="1:5">
      <c r="A176" s="102">
        <v>3045453.7</v>
      </c>
      <c r="B176" s="102">
        <v>401240.1</v>
      </c>
      <c r="C176" s="102">
        <v>671.2</v>
      </c>
      <c r="D176" s="11">
        <v>45089</v>
      </c>
      <c r="E176" s="55"/>
    </row>
    <row r="177" ht="16.5" spans="1:5">
      <c r="A177" s="102">
        <v>3045453.7</v>
      </c>
      <c r="B177" s="102">
        <v>401240.1</v>
      </c>
      <c r="C177" s="102">
        <v>671.2</v>
      </c>
      <c r="D177" s="11">
        <v>45090</v>
      </c>
      <c r="E177" s="55"/>
    </row>
    <row r="178" ht="16.5" spans="1:5">
      <c r="A178" s="102">
        <v>3045453.7</v>
      </c>
      <c r="B178" s="102">
        <v>401240.1</v>
      </c>
      <c r="C178" s="102">
        <v>671.2</v>
      </c>
      <c r="D178" s="11">
        <v>45091</v>
      </c>
      <c r="E178" s="55"/>
    </row>
    <row r="179" ht="16.5" spans="1:5">
      <c r="A179" s="102">
        <v>3045453.7</v>
      </c>
      <c r="B179" s="102">
        <v>401240.1</v>
      </c>
      <c r="C179" s="102">
        <v>671.2</v>
      </c>
      <c r="D179" s="11">
        <v>45092</v>
      </c>
      <c r="E179" s="54">
        <f>670-131.8</f>
        <v>538.2</v>
      </c>
    </row>
    <row r="180" ht="16.5" spans="1:5">
      <c r="A180" s="102">
        <v>3045453.7</v>
      </c>
      <c r="B180" s="102">
        <v>401240.1</v>
      </c>
      <c r="C180" s="102">
        <v>671.2</v>
      </c>
      <c r="D180" s="11">
        <v>45093</v>
      </c>
      <c r="E180" s="55"/>
    </row>
    <row r="181" ht="16.5" spans="1:5">
      <c r="A181" s="102">
        <v>3045453.7</v>
      </c>
      <c r="B181" s="102">
        <v>401240.1</v>
      </c>
      <c r="C181" s="102">
        <v>671.2</v>
      </c>
      <c r="D181" s="11">
        <v>45094</v>
      </c>
      <c r="E181" s="55"/>
    </row>
    <row r="182" ht="16.5" spans="1:5">
      <c r="A182" s="102">
        <v>3045453.7</v>
      </c>
      <c r="B182" s="102">
        <v>401240.1</v>
      </c>
      <c r="C182" s="102">
        <v>671.2</v>
      </c>
      <c r="D182" s="11">
        <v>45095</v>
      </c>
      <c r="E182" s="55"/>
    </row>
    <row r="183" ht="16.5" spans="1:5">
      <c r="A183" s="102">
        <v>3045453.7</v>
      </c>
      <c r="B183" s="102">
        <v>401240.1</v>
      </c>
      <c r="C183" s="102">
        <v>671.2</v>
      </c>
      <c r="D183" s="11">
        <v>45096</v>
      </c>
      <c r="E183" s="55"/>
    </row>
    <row r="184" ht="16.5" spans="1:5">
      <c r="A184" s="102">
        <v>3045453.7</v>
      </c>
      <c r="B184" s="102">
        <v>401240.1</v>
      </c>
      <c r="C184" s="102">
        <v>671.2</v>
      </c>
      <c r="D184" s="11">
        <v>45097</v>
      </c>
      <c r="E184" s="54">
        <v>537.43</v>
      </c>
    </row>
    <row r="185" ht="16.5" spans="1:5">
      <c r="A185" s="102">
        <v>3045453.7</v>
      </c>
      <c r="B185" s="102">
        <v>401240.1</v>
      </c>
      <c r="C185" s="102">
        <v>671.2</v>
      </c>
      <c r="D185" s="11">
        <v>45098</v>
      </c>
      <c r="E185" s="54">
        <v>536.67</v>
      </c>
    </row>
    <row r="186" ht="16.5" spans="1:5">
      <c r="A186" s="102">
        <v>3045453.7</v>
      </c>
      <c r="B186" s="102">
        <v>401240.1</v>
      </c>
      <c r="C186" s="102">
        <v>671.2</v>
      </c>
      <c r="D186" s="11">
        <v>45099</v>
      </c>
      <c r="E186" s="54">
        <v>537.22</v>
      </c>
    </row>
    <row r="187" ht="16.5" spans="1:5">
      <c r="A187" s="102">
        <v>3045453.7</v>
      </c>
      <c r="B187" s="102">
        <v>401240.1</v>
      </c>
      <c r="C187" s="102">
        <v>671.2</v>
      </c>
      <c r="D187" s="11">
        <v>45100</v>
      </c>
      <c r="E187" s="54">
        <v>536.96</v>
      </c>
    </row>
    <row r="188" ht="16.5" spans="1:5">
      <c r="A188" s="102">
        <v>3045453.7</v>
      </c>
      <c r="B188" s="102">
        <v>401240.1</v>
      </c>
      <c r="C188" s="102">
        <v>671.2</v>
      </c>
      <c r="D188" s="11">
        <v>45101</v>
      </c>
      <c r="E188" s="54">
        <v>536.48</v>
      </c>
    </row>
    <row r="189" ht="16.5" spans="1:5">
      <c r="A189" s="102">
        <v>3045453.7</v>
      </c>
      <c r="B189" s="102">
        <v>401240.1</v>
      </c>
      <c r="C189" s="102">
        <v>671.2</v>
      </c>
      <c r="D189" s="11">
        <v>45102</v>
      </c>
      <c r="E189" s="54">
        <v>535.41</v>
      </c>
    </row>
    <row r="190" ht="16.5" spans="1:5">
      <c r="A190" s="102">
        <v>3045453.7</v>
      </c>
      <c r="B190" s="102">
        <v>401240.1</v>
      </c>
      <c r="C190" s="102">
        <v>671.2</v>
      </c>
      <c r="D190" s="11">
        <v>45103</v>
      </c>
      <c r="E190" s="54">
        <v>536.3</v>
      </c>
    </row>
    <row r="191" ht="16.5" spans="1:5">
      <c r="A191" s="102">
        <v>3045453.7</v>
      </c>
      <c r="B191" s="102">
        <v>401240.1</v>
      </c>
      <c r="C191" s="102">
        <v>671.2</v>
      </c>
      <c r="D191" s="11">
        <v>45104</v>
      </c>
      <c r="E191" s="54">
        <v>535.93</v>
      </c>
    </row>
    <row r="192" ht="16.5" spans="1:5">
      <c r="A192" s="102">
        <v>3045453.7</v>
      </c>
      <c r="B192" s="102">
        <v>401240.1</v>
      </c>
      <c r="C192" s="102">
        <v>671.2</v>
      </c>
      <c r="D192" s="11">
        <v>45105</v>
      </c>
      <c r="E192" s="54">
        <v>536.22</v>
      </c>
    </row>
    <row r="193" ht="16.5" spans="1:5">
      <c r="A193" s="102">
        <v>3045453.7</v>
      </c>
      <c r="B193" s="102">
        <v>401240.1</v>
      </c>
      <c r="C193" s="102">
        <v>671.2</v>
      </c>
      <c r="D193" s="11">
        <v>45106</v>
      </c>
      <c r="E193" s="54">
        <v>535.89</v>
      </c>
    </row>
    <row r="194" ht="16.5" spans="1:5">
      <c r="A194" s="102">
        <v>3045453.7</v>
      </c>
      <c r="B194" s="102">
        <v>401240.1</v>
      </c>
      <c r="C194" s="102">
        <v>671.2</v>
      </c>
      <c r="D194" s="11">
        <v>45107</v>
      </c>
      <c r="E194" s="54">
        <v>535.73</v>
      </c>
    </row>
    <row r="195" ht="16.5" spans="1:5">
      <c r="A195" s="102">
        <v>3045453.7</v>
      </c>
      <c r="B195" s="102">
        <v>401240.1</v>
      </c>
      <c r="C195" s="102">
        <v>671.2</v>
      </c>
      <c r="D195" s="11">
        <v>45108</v>
      </c>
      <c r="E195" s="54">
        <v>534.45</v>
      </c>
    </row>
    <row r="196" ht="16.5" spans="1:5">
      <c r="A196" s="102">
        <v>3045453.7</v>
      </c>
      <c r="B196" s="102">
        <v>401240.1</v>
      </c>
      <c r="C196" s="102">
        <v>671.2</v>
      </c>
      <c r="D196" s="11">
        <v>45109</v>
      </c>
      <c r="E196" s="54">
        <v>534.07</v>
      </c>
    </row>
    <row r="197" ht="16.5" spans="1:5">
      <c r="A197" s="102">
        <v>3045453.7</v>
      </c>
      <c r="B197" s="102">
        <v>401240.1</v>
      </c>
      <c r="C197" s="102">
        <v>671.2</v>
      </c>
      <c r="D197" s="11">
        <v>45110</v>
      </c>
      <c r="E197" s="54">
        <v>534.82</v>
      </c>
    </row>
    <row r="198" ht="16.5" spans="1:5">
      <c r="A198" s="102">
        <v>3045453.7</v>
      </c>
      <c r="B198" s="102">
        <v>401240.1</v>
      </c>
      <c r="C198" s="102">
        <v>671.2</v>
      </c>
      <c r="D198" s="11">
        <v>45111</v>
      </c>
      <c r="E198" s="54">
        <v>532.81</v>
      </c>
    </row>
    <row r="199" ht="16.5" spans="1:5">
      <c r="A199" s="102">
        <v>3045453.7</v>
      </c>
      <c r="B199" s="102">
        <v>401240.1</v>
      </c>
      <c r="C199" s="102">
        <v>671.2</v>
      </c>
      <c r="D199" s="11">
        <v>45112</v>
      </c>
      <c r="E199" s="54">
        <v>530.8</v>
      </c>
    </row>
    <row r="200" ht="16.5" spans="1:5">
      <c r="A200" s="102">
        <v>3045453.7</v>
      </c>
      <c r="B200" s="102">
        <v>401240.1</v>
      </c>
      <c r="C200" s="102">
        <v>671.2</v>
      </c>
      <c r="D200" s="11">
        <v>45113</v>
      </c>
      <c r="E200" s="54">
        <v>530.05</v>
      </c>
    </row>
    <row r="201" ht="16.5" spans="1:5">
      <c r="A201" s="102">
        <v>3045453.7</v>
      </c>
      <c r="B201" s="102">
        <v>401240.1</v>
      </c>
      <c r="C201" s="102">
        <v>671.2</v>
      </c>
      <c r="D201" s="11">
        <v>45114</v>
      </c>
      <c r="E201" s="54">
        <v>529.5</v>
      </c>
    </row>
    <row r="202" ht="16.5" spans="1:5">
      <c r="A202" s="102">
        <v>3045453.7</v>
      </c>
      <c r="B202" s="102">
        <v>401240.1</v>
      </c>
      <c r="C202" s="102">
        <v>671.2</v>
      </c>
      <c r="D202" s="11">
        <v>45115</v>
      </c>
      <c r="E202" s="54">
        <v>528.63</v>
      </c>
    </row>
    <row r="203" ht="16.5" spans="1:5">
      <c r="A203" s="102">
        <v>3045453.7</v>
      </c>
      <c r="B203" s="102">
        <v>401240.1</v>
      </c>
      <c r="C203" s="102">
        <v>671.2</v>
      </c>
      <c r="D203" s="11">
        <v>45116</v>
      </c>
      <c r="E203" s="54">
        <v>526.78</v>
      </c>
    </row>
    <row r="204" ht="16.5" spans="1:5">
      <c r="A204" s="102">
        <v>3045453.7</v>
      </c>
      <c r="B204" s="102">
        <v>401240.1</v>
      </c>
      <c r="C204" s="102">
        <v>671.2</v>
      </c>
      <c r="D204" s="11">
        <v>45117</v>
      </c>
      <c r="E204" s="54">
        <v>526.65</v>
      </c>
    </row>
    <row r="205" ht="16.5" spans="1:5">
      <c r="A205" s="102">
        <v>3045453.7</v>
      </c>
      <c r="B205" s="102">
        <v>401240.1</v>
      </c>
      <c r="C205" s="102">
        <v>671.2</v>
      </c>
      <c r="D205" s="11">
        <v>45118</v>
      </c>
      <c r="E205" s="54">
        <v>526.1</v>
      </c>
    </row>
    <row r="206" ht="16.5" spans="1:5">
      <c r="A206" s="102">
        <v>3045453.7</v>
      </c>
      <c r="B206" s="102">
        <v>401240.1</v>
      </c>
      <c r="C206" s="102">
        <v>671.2</v>
      </c>
      <c r="D206" s="11">
        <v>45119</v>
      </c>
      <c r="E206" s="54">
        <v>524.63</v>
      </c>
    </row>
    <row r="207" ht="16.5" spans="1:5">
      <c r="A207" s="102">
        <v>3045453.7</v>
      </c>
      <c r="B207" s="102">
        <v>401240.1</v>
      </c>
      <c r="C207" s="102">
        <v>671.2</v>
      </c>
      <c r="D207" s="11">
        <v>45120</v>
      </c>
      <c r="E207" s="54">
        <v>525.674</v>
      </c>
    </row>
    <row r="208" ht="16.5" spans="1:5">
      <c r="A208" s="102">
        <v>3045453.7</v>
      </c>
      <c r="B208" s="102">
        <v>401240.1</v>
      </c>
      <c r="C208" s="102">
        <v>671.2</v>
      </c>
      <c r="D208" s="11">
        <v>45121</v>
      </c>
      <c r="E208" s="54">
        <v>524.753</v>
      </c>
    </row>
    <row r="209" ht="16.5" spans="1:5">
      <c r="A209" s="102">
        <v>3045453.7</v>
      </c>
      <c r="B209" s="102">
        <v>401240.1</v>
      </c>
      <c r="C209" s="102">
        <v>671.2</v>
      </c>
      <c r="D209" s="11">
        <v>45122</v>
      </c>
      <c r="E209" s="54">
        <v>525.319</v>
      </c>
    </row>
    <row r="210" ht="16.5" spans="1:5">
      <c r="A210" s="102">
        <v>3045453.7</v>
      </c>
      <c r="B210" s="102">
        <v>401240.1</v>
      </c>
      <c r="C210" s="102">
        <v>671.2</v>
      </c>
      <c r="D210" s="11">
        <v>45123</v>
      </c>
      <c r="E210" s="54">
        <v>522.72</v>
      </c>
    </row>
    <row r="211" ht="16.5" spans="1:5">
      <c r="A211" s="102">
        <v>3045453.7</v>
      </c>
      <c r="B211" s="102">
        <v>401240.1</v>
      </c>
      <c r="C211" s="102">
        <v>671.2</v>
      </c>
      <c r="D211" s="11">
        <v>45124</v>
      </c>
      <c r="E211" s="54">
        <v>524.034</v>
      </c>
    </row>
    <row r="212" ht="16.5" spans="1:5">
      <c r="A212" s="102">
        <v>3045453.7</v>
      </c>
      <c r="B212" s="102">
        <v>401240.1</v>
      </c>
      <c r="C212" s="102">
        <v>671.2</v>
      </c>
      <c r="D212" s="11">
        <v>45125</v>
      </c>
      <c r="E212" s="54">
        <v>523.774</v>
      </c>
    </row>
    <row r="213" ht="16.5" spans="1:5">
      <c r="A213" s="102">
        <v>3045453.7</v>
      </c>
      <c r="B213" s="102">
        <v>401240.1</v>
      </c>
      <c r="C213" s="102">
        <v>671.2</v>
      </c>
      <c r="D213" s="11">
        <v>45126</v>
      </c>
      <c r="E213" s="54">
        <v>523.424</v>
      </c>
    </row>
    <row r="214" ht="16.5" spans="1:5">
      <c r="A214" s="102">
        <v>3045453.7</v>
      </c>
      <c r="B214" s="102">
        <v>401240.1</v>
      </c>
      <c r="C214" s="102">
        <v>671.2</v>
      </c>
      <c r="D214" s="11">
        <v>45127</v>
      </c>
      <c r="E214" s="54">
        <v>522.11</v>
      </c>
    </row>
    <row r="215" ht="16.5" spans="1:5">
      <c r="A215" s="102">
        <v>3045453.7</v>
      </c>
      <c r="B215" s="102">
        <v>401240.1</v>
      </c>
      <c r="C215" s="102">
        <v>671.2</v>
      </c>
      <c r="D215" s="11">
        <v>45128</v>
      </c>
      <c r="E215" s="54">
        <v>521.61</v>
      </c>
    </row>
    <row r="216" ht="16.5" spans="1:5">
      <c r="A216" s="102">
        <v>3045453.7</v>
      </c>
      <c r="B216" s="102">
        <v>401240.1</v>
      </c>
      <c r="C216" s="102">
        <v>671.2</v>
      </c>
      <c r="D216" s="11">
        <v>45129</v>
      </c>
      <c r="E216" s="54">
        <v>521.55</v>
      </c>
    </row>
    <row r="217" ht="16.5" spans="1:5">
      <c r="A217" s="102">
        <v>3045453.7</v>
      </c>
      <c r="B217" s="102">
        <v>401240.1</v>
      </c>
      <c r="C217" s="102">
        <v>671.2</v>
      </c>
      <c r="D217" s="11">
        <v>45130</v>
      </c>
      <c r="E217" s="54">
        <v>520.08</v>
      </c>
    </row>
    <row r="218" ht="16.5" spans="1:5">
      <c r="A218" s="102">
        <v>3045453.7</v>
      </c>
      <c r="B218" s="102">
        <v>401240.1</v>
      </c>
      <c r="C218" s="102">
        <v>671.2</v>
      </c>
      <c r="D218" s="11">
        <v>45131</v>
      </c>
      <c r="E218" s="54">
        <v>522.07</v>
      </c>
    </row>
    <row r="219" ht="16.5" spans="1:5">
      <c r="A219" s="102">
        <v>3045453.7</v>
      </c>
      <c r="B219" s="102">
        <v>401240.1</v>
      </c>
      <c r="C219" s="102">
        <v>671.2</v>
      </c>
      <c r="D219" s="11">
        <v>45132</v>
      </c>
      <c r="E219" s="54">
        <v>521.57</v>
      </c>
    </row>
    <row r="220" ht="16.5" spans="1:5">
      <c r="A220" s="102">
        <v>3045453.7</v>
      </c>
      <c r="B220" s="102">
        <v>401240.1</v>
      </c>
      <c r="C220" s="102">
        <v>671.2</v>
      </c>
      <c r="D220" s="11">
        <v>45133</v>
      </c>
      <c r="E220" s="54">
        <v>521.78</v>
      </c>
    </row>
    <row r="221" ht="16.5" spans="1:5">
      <c r="A221" s="102">
        <v>3045453.7</v>
      </c>
      <c r="B221" s="102">
        <v>401240.1</v>
      </c>
      <c r="C221" s="102">
        <v>671.2</v>
      </c>
      <c r="D221" s="11">
        <v>45134</v>
      </c>
      <c r="E221" s="54">
        <v>522.195</v>
      </c>
    </row>
    <row r="222" ht="16.5" spans="1:5">
      <c r="A222" s="102">
        <v>3045453.7</v>
      </c>
      <c r="B222" s="102">
        <v>401240.1</v>
      </c>
      <c r="C222" s="102">
        <v>671.2</v>
      </c>
      <c r="D222" s="11">
        <v>45135</v>
      </c>
      <c r="E222" s="54">
        <v>523.052</v>
      </c>
    </row>
    <row r="223" ht="16.5" spans="1:5">
      <c r="A223" s="102">
        <v>3045453.7</v>
      </c>
      <c r="B223" s="102">
        <v>401240.1</v>
      </c>
      <c r="C223" s="102">
        <v>671.2</v>
      </c>
      <c r="D223" s="11">
        <v>45136</v>
      </c>
      <c r="E223" s="54">
        <v>522.464</v>
      </c>
    </row>
    <row r="224" ht="16.5" spans="1:5">
      <c r="A224" s="102">
        <v>3045453.7</v>
      </c>
      <c r="B224" s="102">
        <v>401240.1</v>
      </c>
      <c r="C224" s="102">
        <v>671.2</v>
      </c>
      <c r="D224" s="11">
        <v>45137</v>
      </c>
      <c r="E224" s="54">
        <v>520.609</v>
      </c>
    </row>
    <row r="225" ht="16.5" spans="1:5">
      <c r="A225" s="102">
        <v>3045453.7</v>
      </c>
      <c r="B225" s="102">
        <v>401240.1</v>
      </c>
      <c r="C225" s="102">
        <v>671.2</v>
      </c>
      <c r="D225" s="11">
        <v>45138</v>
      </c>
      <c r="E225" s="54">
        <v>521.522</v>
      </c>
    </row>
    <row r="226" ht="16.5" spans="1:5">
      <c r="A226" s="102">
        <v>3045453.7</v>
      </c>
      <c r="B226" s="102">
        <v>401240.1</v>
      </c>
      <c r="C226" s="102">
        <v>671.2</v>
      </c>
      <c r="D226" s="11">
        <v>45139</v>
      </c>
      <c r="E226" s="54">
        <v>519.688</v>
      </c>
    </row>
    <row r="227" ht="16.5" spans="1:5">
      <c r="A227" s="102">
        <v>3045453.7</v>
      </c>
      <c r="B227" s="102">
        <v>401240.1</v>
      </c>
      <c r="C227" s="102">
        <v>671.2</v>
      </c>
      <c r="D227" s="11">
        <v>45140</v>
      </c>
      <c r="E227" s="54">
        <v>518.604</v>
      </c>
    </row>
    <row r="228" ht="16.5" spans="1:5">
      <c r="A228" s="102">
        <v>3045453.7</v>
      </c>
      <c r="B228" s="102">
        <v>401240.1</v>
      </c>
      <c r="C228" s="102">
        <v>671.2</v>
      </c>
      <c r="D228" s="11">
        <v>45141</v>
      </c>
      <c r="E228" s="56">
        <v>517.1</v>
      </c>
    </row>
    <row r="229" ht="16.5" spans="1:5">
      <c r="A229" s="102">
        <v>3045453.7</v>
      </c>
      <c r="B229" s="102">
        <v>401240.1</v>
      </c>
      <c r="C229" s="102">
        <v>671.2</v>
      </c>
      <c r="D229" s="11">
        <v>45142</v>
      </c>
      <c r="E229" s="54">
        <v>517.1</v>
      </c>
    </row>
    <row r="230" ht="16.5" spans="1:5">
      <c r="A230" s="102">
        <v>3045453.7</v>
      </c>
      <c r="B230" s="102">
        <v>401240.1</v>
      </c>
      <c r="C230" s="102">
        <v>671.2</v>
      </c>
      <c r="D230" s="11">
        <v>45143</v>
      </c>
      <c r="E230" s="54">
        <v>517.135</v>
      </c>
    </row>
    <row r="231" ht="16.5" spans="1:5">
      <c r="A231" s="102">
        <v>3045453.7</v>
      </c>
      <c r="B231" s="102">
        <v>401240.1</v>
      </c>
      <c r="C231" s="102">
        <v>671.2</v>
      </c>
      <c r="D231" s="11">
        <v>45144</v>
      </c>
      <c r="E231" s="54">
        <v>517.962</v>
      </c>
    </row>
    <row r="232" ht="16.5" spans="1:5">
      <c r="A232" s="102">
        <v>3045453.7</v>
      </c>
      <c r="B232" s="102">
        <v>401240.1</v>
      </c>
      <c r="C232" s="102">
        <v>671.2</v>
      </c>
      <c r="D232" s="11">
        <v>45145</v>
      </c>
      <c r="E232" s="54">
        <v>518.087</v>
      </c>
    </row>
    <row r="233" ht="16.5" spans="1:5">
      <c r="A233" s="102">
        <v>3045453.7</v>
      </c>
      <c r="B233" s="102">
        <v>401240.1</v>
      </c>
      <c r="C233" s="102">
        <v>671.2</v>
      </c>
      <c r="D233" s="11">
        <v>45146</v>
      </c>
      <c r="E233" s="54">
        <v>519.066</v>
      </c>
    </row>
    <row r="234" ht="16.5" spans="1:5">
      <c r="A234" s="102">
        <v>3045453.7</v>
      </c>
      <c r="B234" s="102">
        <v>401240.1</v>
      </c>
      <c r="C234" s="102">
        <v>671.2</v>
      </c>
      <c r="D234" s="11">
        <v>45147</v>
      </c>
      <c r="E234" s="54">
        <v>519.12</v>
      </c>
    </row>
    <row r="235" ht="16.5" spans="1:5">
      <c r="A235" s="102">
        <v>3045453.7</v>
      </c>
      <c r="B235" s="102">
        <v>401240.1</v>
      </c>
      <c r="C235" s="102">
        <v>671.2</v>
      </c>
      <c r="D235" s="11">
        <v>45148</v>
      </c>
      <c r="E235" s="55"/>
    </row>
    <row r="236" ht="16.5" spans="1:5">
      <c r="A236" s="102">
        <v>3045453.7</v>
      </c>
      <c r="B236" s="102">
        <v>401240.1</v>
      </c>
      <c r="C236" s="102">
        <v>671.2</v>
      </c>
      <c r="D236" s="11">
        <v>45149</v>
      </c>
      <c r="E236" s="54">
        <v>519.347</v>
      </c>
    </row>
    <row r="237" ht="16.5" spans="1:5">
      <c r="A237" s="102">
        <v>3045453.7</v>
      </c>
      <c r="B237" s="102">
        <v>401240.1</v>
      </c>
      <c r="C237" s="102">
        <v>671.2</v>
      </c>
      <c r="D237" s="11">
        <v>45150</v>
      </c>
      <c r="E237" s="54">
        <v>519.506</v>
      </c>
    </row>
    <row r="238" ht="16.5" spans="1:5">
      <c r="A238" s="102">
        <v>3045453.7</v>
      </c>
      <c r="B238" s="102">
        <v>401240.1</v>
      </c>
      <c r="C238" s="102">
        <v>671.2</v>
      </c>
      <c r="D238" s="11">
        <v>45151</v>
      </c>
      <c r="E238" s="54">
        <v>519.226</v>
      </c>
    </row>
    <row r="239" ht="16.5" spans="1:5">
      <c r="A239" s="102">
        <v>3045453.7</v>
      </c>
      <c r="B239" s="102">
        <v>401240.1</v>
      </c>
      <c r="C239" s="102">
        <v>671.2</v>
      </c>
      <c r="D239" s="11">
        <v>45152</v>
      </c>
      <c r="E239" s="54">
        <v>519.212</v>
      </c>
    </row>
    <row r="240" ht="16.5" spans="1:5">
      <c r="A240" s="102">
        <v>3045453.7</v>
      </c>
      <c r="B240" s="102">
        <v>401240.1</v>
      </c>
      <c r="C240" s="102">
        <v>671.2</v>
      </c>
      <c r="D240" s="11">
        <v>45153</v>
      </c>
      <c r="E240" s="58">
        <v>519.391</v>
      </c>
    </row>
    <row r="241" ht="16.5" spans="1:5">
      <c r="A241" s="102">
        <v>3045453.7</v>
      </c>
      <c r="B241" s="102">
        <v>401240.1</v>
      </c>
      <c r="C241" s="102">
        <v>671.2</v>
      </c>
      <c r="D241" s="11">
        <v>45154</v>
      </c>
      <c r="E241" s="54">
        <v>519.268</v>
      </c>
    </row>
    <row r="242" ht="16.5" spans="1:5">
      <c r="A242" s="102">
        <v>3045453.7</v>
      </c>
      <c r="B242" s="102">
        <v>401240.1</v>
      </c>
      <c r="C242" s="102">
        <v>671.2</v>
      </c>
      <c r="D242" s="11">
        <v>45155</v>
      </c>
      <c r="E242" s="54">
        <v>519.363</v>
      </c>
    </row>
    <row r="243" ht="16.5" spans="1:5">
      <c r="A243" s="102">
        <v>3045453.7</v>
      </c>
      <c r="B243" s="102">
        <v>401240.1</v>
      </c>
      <c r="C243" s="102">
        <v>671.2</v>
      </c>
      <c r="D243" s="11">
        <v>45156</v>
      </c>
      <c r="E243" s="54">
        <v>518.879</v>
      </c>
    </row>
    <row r="244" ht="16.5" spans="1:5">
      <c r="A244" s="102">
        <v>3045453.7</v>
      </c>
      <c r="B244" s="102">
        <v>401240.1</v>
      </c>
      <c r="C244" s="102">
        <v>671.2</v>
      </c>
      <c r="D244" s="11">
        <v>45157</v>
      </c>
      <c r="E244" s="54">
        <v>518.499</v>
      </c>
    </row>
    <row r="245" ht="16.5" spans="1:5">
      <c r="A245" s="102">
        <v>3045453.7</v>
      </c>
      <c r="B245" s="102">
        <v>401240.1</v>
      </c>
      <c r="C245" s="102">
        <v>671.2</v>
      </c>
      <c r="D245" s="11">
        <v>45158</v>
      </c>
      <c r="E245" s="54">
        <v>518.425</v>
      </c>
    </row>
    <row r="246" ht="16.5" spans="1:5">
      <c r="A246" s="102">
        <v>3045453.7</v>
      </c>
      <c r="B246" s="102">
        <v>401240.1</v>
      </c>
      <c r="C246" s="102">
        <v>671.2</v>
      </c>
      <c r="D246" s="11">
        <v>45159</v>
      </c>
      <c r="E246" s="54">
        <v>518.437</v>
      </c>
    </row>
    <row r="247" ht="16.5" spans="1:5">
      <c r="A247" s="102">
        <v>3045453.7</v>
      </c>
      <c r="B247" s="102">
        <v>401240.1</v>
      </c>
      <c r="C247" s="102">
        <v>671.2</v>
      </c>
      <c r="D247" s="11">
        <v>45160</v>
      </c>
      <c r="E247" s="54">
        <v>518.605</v>
      </c>
    </row>
    <row r="248" ht="16.5" spans="1:5">
      <c r="A248" s="102">
        <v>3045453.7</v>
      </c>
      <c r="B248" s="102">
        <v>401240.1</v>
      </c>
      <c r="C248" s="102">
        <v>671.2</v>
      </c>
      <c r="D248" s="11">
        <v>45161</v>
      </c>
      <c r="E248" s="54">
        <v>518.266</v>
      </c>
    </row>
    <row r="249" ht="16.5" spans="1:5">
      <c r="A249" s="102">
        <v>3045453.7</v>
      </c>
      <c r="B249" s="102">
        <v>401240.1</v>
      </c>
      <c r="C249" s="102">
        <v>671.2</v>
      </c>
      <c r="D249" s="11">
        <v>45162</v>
      </c>
      <c r="E249" s="54">
        <v>518.046</v>
      </c>
    </row>
    <row r="250" ht="16.5" spans="1:5">
      <c r="A250" s="102">
        <v>3045453.7</v>
      </c>
      <c r="B250" s="102">
        <v>401240.1</v>
      </c>
      <c r="C250" s="102">
        <v>671.2</v>
      </c>
      <c r="D250" s="11">
        <v>45163</v>
      </c>
      <c r="E250" s="54">
        <v>518.632</v>
      </c>
    </row>
    <row r="251" ht="16.5" spans="1:5">
      <c r="A251" s="102">
        <v>3045453.7</v>
      </c>
      <c r="B251" s="102">
        <v>401240.1</v>
      </c>
      <c r="C251" s="102">
        <v>671.2</v>
      </c>
      <c r="D251" s="11">
        <v>45164</v>
      </c>
      <c r="E251" s="54">
        <v>518.588</v>
      </c>
    </row>
    <row r="252" ht="16.5" spans="1:5">
      <c r="A252" s="102">
        <v>3045453.7</v>
      </c>
      <c r="B252" s="102">
        <v>401240.1</v>
      </c>
      <c r="C252" s="102">
        <v>671.2</v>
      </c>
      <c r="D252" s="11">
        <v>45165</v>
      </c>
      <c r="E252" s="54">
        <v>518.489</v>
      </c>
    </row>
    <row r="253" ht="16.5" spans="1:5">
      <c r="A253" s="102">
        <v>3045453.7</v>
      </c>
      <c r="B253" s="102">
        <v>401240.1</v>
      </c>
      <c r="C253" s="102">
        <v>671.2</v>
      </c>
      <c r="D253" s="11">
        <v>45166</v>
      </c>
      <c r="E253" s="54">
        <v>517.695</v>
      </c>
    </row>
    <row r="254" ht="16.5" spans="1:5">
      <c r="A254" s="102">
        <v>3045453.7</v>
      </c>
      <c r="B254" s="102">
        <v>401240.1</v>
      </c>
      <c r="C254" s="102">
        <v>671.2</v>
      </c>
      <c r="D254" s="11">
        <v>45167</v>
      </c>
      <c r="E254" s="54">
        <v>518.118</v>
      </c>
    </row>
    <row r="255" ht="16.5" spans="1:5">
      <c r="A255" s="102">
        <v>3045453.7</v>
      </c>
      <c r="B255" s="102">
        <v>401240.1</v>
      </c>
      <c r="C255" s="102">
        <v>671.2</v>
      </c>
      <c r="D255" s="11">
        <v>45168</v>
      </c>
      <c r="E255" s="54">
        <v>517.1</v>
      </c>
    </row>
    <row r="256" ht="16.5" spans="1:5">
      <c r="A256" s="102">
        <v>3045453.7</v>
      </c>
      <c r="B256" s="102">
        <v>401240.1</v>
      </c>
      <c r="C256" s="102">
        <v>671.2</v>
      </c>
      <c r="D256" s="11">
        <v>45169</v>
      </c>
      <c r="E256" s="55"/>
    </row>
    <row r="257" ht="16.5" spans="1:5">
      <c r="A257" s="102">
        <v>3045453.7</v>
      </c>
      <c r="B257" s="102">
        <v>401240.1</v>
      </c>
      <c r="C257" s="102">
        <v>671.2</v>
      </c>
      <c r="D257" s="11">
        <v>45170</v>
      </c>
      <c r="E257" s="54">
        <v>515.299</v>
      </c>
    </row>
    <row r="258" ht="16.5" spans="1:5">
      <c r="A258" s="102">
        <v>3045453.7</v>
      </c>
      <c r="B258" s="102">
        <v>401240.1</v>
      </c>
      <c r="C258" s="102">
        <v>671.2</v>
      </c>
      <c r="D258" s="11">
        <v>45171</v>
      </c>
      <c r="E258" s="54">
        <v>520.369</v>
      </c>
    </row>
    <row r="259" ht="16.5" spans="1:5">
      <c r="A259" s="102">
        <v>3045453.7</v>
      </c>
      <c r="B259" s="102">
        <v>401240.1</v>
      </c>
      <c r="C259" s="102">
        <v>671.2</v>
      </c>
      <c r="D259" s="11">
        <v>45172</v>
      </c>
      <c r="E259" s="54">
        <v>519.742</v>
      </c>
    </row>
    <row r="260" ht="16.5" spans="1:5">
      <c r="A260" s="102">
        <v>3045453.7</v>
      </c>
      <c r="B260" s="102">
        <v>401240.1</v>
      </c>
      <c r="C260" s="102">
        <v>671.2</v>
      </c>
      <c r="D260" s="11">
        <v>45173</v>
      </c>
      <c r="E260" s="54">
        <v>510.391</v>
      </c>
    </row>
    <row r="261" ht="16.5" spans="1:5">
      <c r="A261" s="102">
        <v>3045453.7</v>
      </c>
      <c r="B261" s="102">
        <v>401240.1</v>
      </c>
      <c r="C261" s="102">
        <v>671.2</v>
      </c>
      <c r="D261" s="11">
        <v>45174</v>
      </c>
      <c r="E261" s="54">
        <v>510.502</v>
      </c>
    </row>
    <row r="262" ht="16.5" spans="1:5">
      <c r="A262" s="102">
        <v>3045453.7</v>
      </c>
      <c r="B262" s="102">
        <v>401240.1</v>
      </c>
      <c r="C262" s="102">
        <v>671.2</v>
      </c>
      <c r="D262" s="11">
        <v>45175</v>
      </c>
      <c r="E262" s="54">
        <v>510.625</v>
      </c>
    </row>
    <row r="263" ht="16.5" spans="1:5">
      <c r="A263" s="102">
        <v>3045453.7</v>
      </c>
      <c r="B263" s="102">
        <v>401240.1</v>
      </c>
      <c r="C263" s="102">
        <v>671.2</v>
      </c>
      <c r="D263" s="11">
        <v>45176</v>
      </c>
      <c r="E263" s="54">
        <v>510.564</v>
      </c>
    </row>
    <row r="264" ht="16.5" spans="1:5">
      <c r="A264" s="102">
        <v>3045453.7</v>
      </c>
      <c r="B264" s="102">
        <v>401240.1</v>
      </c>
      <c r="C264" s="102">
        <v>671.2</v>
      </c>
      <c r="D264" s="11">
        <v>45177</v>
      </c>
      <c r="E264" s="54">
        <v>510.83</v>
      </c>
    </row>
    <row r="265" ht="16.5" spans="1:5">
      <c r="A265" s="102">
        <v>3045453.7</v>
      </c>
      <c r="B265" s="102">
        <v>401240.1</v>
      </c>
      <c r="C265" s="102">
        <v>671.2</v>
      </c>
      <c r="D265" s="11">
        <v>45178</v>
      </c>
      <c r="E265" s="54"/>
    </row>
    <row r="266" ht="16.5" spans="1:5">
      <c r="A266" s="102">
        <v>3045453.7</v>
      </c>
      <c r="B266" s="102">
        <v>401240.1</v>
      </c>
      <c r="C266" s="102">
        <v>671.2</v>
      </c>
      <c r="D266" s="11">
        <v>45179</v>
      </c>
      <c r="E266" s="54"/>
    </row>
    <row r="267" ht="16.5" spans="1:5">
      <c r="A267" s="102">
        <v>3045453.7</v>
      </c>
      <c r="B267" s="102">
        <v>401240.1</v>
      </c>
      <c r="C267" s="102">
        <v>671.2</v>
      </c>
      <c r="D267" s="11">
        <v>45180</v>
      </c>
      <c r="E267" s="54"/>
    </row>
    <row r="268" ht="16.5" spans="1:5">
      <c r="A268" s="102">
        <v>3045453.7</v>
      </c>
      <c r="B268" s="102">
        <v>401240.1</v>
      </c>
      <c r="C268" s="102">
        <v>671.2</v>
      </c>
      <c r="D268" s="11">
        <v>45181</v>
      </c>
      <c r="E268" s="54"/>
    </row>
    <row r="269" ht="16.5" spans="1:5">
      <c r="A269" s="102">
        <v>3045453.7</v>
      </c>
      <c r="B269" s="102">
        <v>401240.1</v>
      </c>
      <c r="C269" s="102">
        <v>671.2</v>
      </c>
      <c r="D269" s="11">
        <v>45182</v>
      </c>
      <c r="E269" s="54"/>
    </row>
    <row r="270" ht="16.5" spans="1:5">
      <c r="A270" s="102">
        <v>3045453.7</v>
      </c>
      <c r="B270" s="102">
        <v>401240.1</v>
      </c>
      <c r="C270" s="102">
        <v>671.2</v>
      </c>
      <c r="D270" s="11">
        <v>45183</v>
      </c>
      <c r="E270" s="54">
        <f>670-161.74</f>
        <v>508.26</v>
      </c>
    </row>
    <row r="271" ht="16.5" spans="1:5">
      <c r="A271" s="102">
        <v>3045453.7</v>
      </c>
      <c r="B271" s="102">
        <v>401240.1</v>
      </c>
      <c r="C271" s="102">
        <v>671.2</v>
      </c>
      <c r="D271" s="11">
        <v>45184</v>
      </c>
      <c r="E271" s="55"/>
    </row>
    <row r="272" ht="16.5" spans="1:5">
      <c r="A272" s="102">
        <v>3045453.7</v>
      </c>
      <c r="B272" s="102">
        <v>401240.1</v>
      </c>
      <c r="C272" s="102">
        <v>671.2</v>
      </c>
      <c r="D272" s="11">
        <v>45185</v>
      </c>
      <c r="E272" s="55"/>
    </row>
    <row r="273" ht="16.5" spans="1:5">
      <c r="A273" s="102">
        <v>3045453.7</v>
      </c>
      <c r="B273" s="102">
        <v>401240.1</v>
      </c>
      <c r="C273" s="102">
        <v>671.2</v>
      </c>
      <c r="D273" s="11">
        <v>45186</v>
      </c>
      <c r="E273" s="55"/>
    </row>
    <row r="274" ht="16.5" spans="1:5">
      <c r="A274" s="102">
        <v>3045453.7</v>
      </c>
      <c r="B274" s="102">
        <v>401240.1</v>
      </c>
      <c r="C274" s="102">
        <v>671.2</v>
      </c>
      <c r="D274" s="11">
        <v>45187</v>
      </c>
      <c r="E274" s="55"/>
    </row>
    <row r="275" ht="16.5" spans="1:5">
      <c r="A275" s="102">
        <v>3045453.7</v>
      </c>
      <c r="B275" s="102">
        <v>401240.1</v>
      </c>
      <c r="C275" s="102">
        <v>671.2</v>
      </c>
      <c r="D275" s="11">
        <v>45188</v>
      </c>
      <c r="E275" s="55"/>
    </row>
    <row r="276" ht="16.5" spans="1:5">
      <c r="A276" s="102">
        <v>3045453.7</v>
      </c>
      <c r="B276" s="102">
        <v>401240.1</v>
      </c>
      <c r="C276" s="102">
        <v>671.2</v>
      </c>
      <c r="D276" s="11">
        <v>45189</v>
      </c>
      <c r="E276" s="54">
        <v>516.376</v>
      </c>
    </row>
    <row r="277" ht="16.5" spans="1:5">
      <c r="A277" s="102">
        <v>3045453.7</v>
      </c>
      <c r="B277" s="102">
        <v>401240.1</v>
      </c>
      <c r="C277" s="102">
        <v>671.2</v>
      </c>
      <c r="D277" s="11">
        <v>45190</v>
      </c>
      <c r="E277" s="54">
        <v>515.94</v>
      </c>
    </row>
    <row r="278" ht="16.5" spans="1:5">
      <c r="A278" s="102">
        <v>3045453.7</v>
      </c>
      <c r="B278" s="102">
        <v>401240.1</v>
      </c>
      <c r="C278" s="102">
        <v>671.2</v>
      </c>
      <c r="D278" s="11">
        <v>45191</v>
      </c>
      <c r="E278" s="54">
        <v>516.938</v>
      </c>
    </row>
    <row r="279" ht="16.5" spans="1:5">
      <c r="A279" s="102">
        <v>3045453.7</v>
      </c>
      <c r="B279" s="102">
        <v>401240.1</v>
      </c>
      <c r="C279" s="102">
        <v>671.2</v>
      </c>
      <c r="D279" s="11">
        <v>45192</v>
      </c>
      <c r="E279" s="54">
        <v>517.034</v>
      </c>
    </row>
    <row r="280" ht="16.5" spans="1:5">
      <c r="A280" s="102">
        <v>3045453.7</v>
      </c>
      <c r="B280" s="102">
        <v>401240.1</v>
      </c>
      <c r="C280" s="102">
        <v>671.2</v>
      </c>
      <c r="D280" s="11">
        <v>45193</v>
      </c>
      <c r="E280" s="54">
        <v>516.398</v>
      </c>
    </row>
    <row r="281" ht="16.5" spans="1:5">
      <c r="A281" s="102">
        <v>3045453.7</v>
      </c>
      <c r="B281" s="102">
        <v>401240.1</v>
      </c>
      <c r="C281" s="102">
        <v>671.2</v>
      </c>
      <c r="D281" s="11">
        <v>45194</v>
      </c>
      <c r="E281" s="54">
        <v>517.484</v>
      </c>
    </row>
    <row r="282" ht="16.5" spans="1:5">
      <c r="A282" s="102">
        <v>3045453.7</v>
      </c>
      <c r="B282" s="102">
        <v>401240.1</v>
      </c>
      <c r="C282" s="102">
        <v>671.2</v>
      </c>
      <c r="D282" s="11">
        <v>45195</v>
      </c>
      <c r="E282" s="54">
        <v>520.291</v>
      </c>
    </row>
    <row r="283" ht="16.5" spans="1:5">
      <c r="A283" s="102">
        <v>3045453.7</v>
      </c>
      <c r="B283" s="102">
        <v>401240.1</v>
      </c>
      <c r="C283" s="102">
        <v>671.2</v>
      </c>
      <c r="D283" s="11">
        <v>45196</v>
      </c>
      <c r="E283" s="54">
        <v>513.008</v>
      </c>
    </row>
    <row r="284" ht="16.5" spans="1:5">
      <c r="A284" s="102">
        <v>3045453.7</v>
      </c>
      <c r="B284" s="102">
        <v>401240.1</v>
      </c>
      <c r="C284" s="102">
        <v>671.2</v>
      </c>
      <c r="D284" s="11">
        <v>45197</v>
      </c>
      <c r="E284" s="54">
        <v>508.417</v>
      </c>
    </row>
    <row r="285" ht="16.5" spans="1:5">
      <c r="A285" s="102">
        <v>3045453.7</v>
      </c>
      <c r="B285" s="102">
        <v>401240.1</v>
      </c>
      <c r="C285" s="102">
        <v>671.2</v>
      </c>
      <c r="D285" s="11">
        <v>45198</v>
      </c>
      <c r="E285" s="54">
        <v>505.159</v>
      </c>
    </row>
    <row r="286" ht="16.5" spans="1:5">
      <c r="A286" s="102">
        <v>3045453.7</v>
      </c>
      <c r="B286" s="102">
        <v>401240.1</v>
      </c>
      <c r="C286" s="102">
        <v>671.2</v>
      </c>
      <c r="D286" s="11">
        <v>45199</v>
      </c>
      <c r="E286" s="54">
        <v>504.147</v>
      </c>
    </row>
    <row r="287" ht="16.5" spans="1:5">
      <c r="A287" s="102">
        <v>3045453.7</v>
      </c>
      <c r="B287" s="102">
        <v>401240.1</v>
      </c>
      <c r="C287" s="102">
        <v>671.2</v>
      </c>
      <c r="D287" s="11">
        <v>45200</v>
      </c>
      <c r="E287" s="54">
        <v>707.213</v>
      </c>
    </row>
    <row r="288" ht="16.5" spans="1:5">
      <c r="A288" s="102">
        <v>3045453.7</v>
      </c>
      <c r="B288" s="102">
        <v>401240.1</v>
      </c>
      <c r="C288" s="102">
        <v>671.2</v>
      </c>
      <c r="D288" s="11">
        <v>45201</v>
      </c>
      <c r="E288" s="54">
        <v>501.836</v>
      </c>
    </row>
    <row r="289" ht="16.5" spans="1:5">
      <c r="A289" s="102">
        <v>3045453.7</v>
      </c>
      <c r="B289" s="102">
        <v>401240.1</v>
      </c>
      <c r="C289" s="102">
        <v>671.2</v>
      </c>
      <c r="D289" s="11">
        <v>45202</v>
      </c>
      <c r="E289" s="54">
        <v>500.996</v>
      </c>
    </row>
    <row r="290" ht="16.5" spans="1:5">
      <c r="A290" s="102">
        <v>3045453.7</v>
      </c>
      <c r="B290" s="102">
        <v>401240.1</v>
      </c>
      <c r="C290" s="102">
        <v>671.2</v>
      </c>
      <c r="D290" s="11">
        <v>45203</v>
      </c>
      <c r="E290" s="54">
        <v>500.417</v>
      </c>
    </row>
    <row r="291" ht="16.5" spans="1:5">
      <c r="A291" s="102">
        <v>3045453.7</v>
      </c>
      <c r="B291" s="102">
        <v>401240.1</v>
      </c>
      <c r="C291" s="102">
        <v>671.2</v>
      </c>
      <c r="D291" s="11">
        <v>45204</v>
      </c>
      <c r="E291" s="54">
        <v>499.841</v>
      </c>
    </row>
    <row r="292" ht="16.5" spans="1:5">
      <c r="A292" s="102">
        <v>3045453.7</v>
      </c>
      <c r="B292" s="102">
        <v>401240.1</v>
      </c>
      <c r="C292" s="102">
        <v>671.2</v>
      </c>
      <c r="D292" s="11">
        <v>45205</v>
      </c>
      <c r="E292" s="54">
        <v>499.841</v>
      </c>
    </row>
    <row r="293" ht="16.5" spans="1:5">
      <c r="A293" s="102">
        <v>3045453.7</v>
      </c>
      <c r="B293" s="102">
        <v>401240.1</v>
      </c>
      <c r="C293" s="102">
        <v>671.2</v>
      </c>
      <c r="D293" s="11">
        <v>45206</v>
      </c>
      <c r="E293" s="54">
        <v>497.571</v>
      </c>
    </row>
    <row r="294" ht="16.5" spans="1:5">
      <c r="A294" s="102">
        <v>3045453.7</v>
      </c>
      <c r="B294" s="102">
        <v>401240.1</v>
      </c>
      <c r="C294" s="102">
        <v>671.2</v>
      </c>
      <c r="D294" s="11">
        <v>45207</v>
      </c>
      <c r="E294" s="54">
        <v>496.257</v>
      </c>
    </row>
    <row r="295" ht="16.5" spans="1:5">
      <c r="A295" s="102">
        <v>3045453.7</v>
      </c>
      <c r="B295" s="102">
        <v>401240.1</v>
      </c>
      <c r="C295" s="102">
        <v>671.2</v>
      </c>
      <c r="D295" s="11">
        <v>45208</v>
      </c>
      <c r="E295" s="54">
        <v>495.243</v>
      </c>
    </row>
    <row r="296" ht="16.5" spans="1:5">
      <c r="A296" s="102">
        <v>3045453.7</v>
      </c>
      <c r="B296" s="102">
        <v>401240.1</v>
      </c>
      <c r="C296" s="102">
        <v>671.2</v>
      </c>
      <c r="D296" s="11">
        <v>45209</v>
      </c>
      <c r="E296" s="54">
        <v>495.172</v>
      </c>
    </row>
    <row r="297" ht="16.5" spans="1:5">
      <c r="A297" s="102">
        <v>3045453.7</v>
      </c>
      <c r="B297" s="102">
        <v>401240.1</v>
      </c>
      <c r="C297" s="102">
        <v>671.2</v>
      </c>
      <c r="D297" s="11">
        <v>45210</v>
      </c>
      <c r="E297" s="54">
        <v>495.304</v>
      </c>
    </row>
    <row r="298" ht="16.5" spans="1:5">
      <c r="A298" s="102">
        <v>3045453.7</v>
      </c>
      <c r="B298" s="102">
        <v>401240.1</v>
      </c>
      <c r="C298" s="102">
        <v>671.2</v>
      </c>
      <c r="D298" s="11">
        <v>45211</v>
      </c>
      <c r="E298" s="54">
        <v>495.166</v>
      </c>
    </row>
    <row r="299" ht="16.5" spans="1:5">
      <c r="A299" s="102">
        <v>3045453.7</v>
      </c>
      <c r="B299" s="102">
        <v>401240.1</v>
      </c>
      <c r="C299" s="102">
        <v>671.2</v>
      </c>
      <c r="D299" s="11">
        <v>45212</v>
      </c>
      <c r="E299" s="54">
        <v>495.601</v>
      </c>
    </row>
    <row r="300" ht="16.5" spans="1:5">
      <c r="A300" s="102">
        <v>3045453.7</v>
      </c>
      <c r="B300" s="102">
        <v>401240.1</v>
      </c>
      <c r="C300" s="102">
        <v>671.2</v>
      </c>
      <c r="D300" s="11">
        <v>45213</v>
      </c>
      <c r="E300" s="54">
        <v>496.884</v>
      </c>
    </row>
    <row r="301" ht="16.5" spans="1:5">
      <c r="A301" s="102">
        <v>3045453.7</v>
      </c>
      <c r="B301" s="102">
        <v>401240.1</v>
      </c>
      <c r="C301" s="102">
        <v>671.2</v>
      </c>
      <c r="D301" s="11">
        <v>45214</v>
      </c>
      <c r="E301" s="54">
        <v>497.757</v>
      </c>
    </row>
    <row r="302" ht="16.5" spans="1:5">
      <c r="A302" s="102">
        <v>3045453.7</v>
      </c>
      <c r="B302" s="102">
        <v>401240.1</v>
      </c>
      <c r="C302" s="102">
        <v>671.2</v>
      </c>
      <c r="D302" s="11">
        <v>45215</v>
      </c>
      <c r="E302" s="54">
        <v>497.791</v>
      </c>
    </row>
    <row r="303" ht="16.5" spans="1:5">
      <c r="A303" s="102">
        <v>3045453.7</v>
      </c>
      <c r="B303" s="102">
        <v>401240.1</v>
      </c>
      <c r="C303" s="102">
        <v>671.2</v>
      </c>
      <c r="D303" s="11">
        <v>45216</v>
      </c>
      <c r="E303" s="54">
        <v>497.605</v>
      </c>
    </row>
    <row r="304" ht="16.5" spans="1:5">
      <c r="A304" s="102">
        <v>3045453.7</v>
      </c>
      <c r="B304" s="102">
        <v>401240.1</v>
      </c>
      <c r="C304" s="102">
        <v>671.2</v>
      </c>
      <c r="D304" s="11">
        <v>45217</v>
      </c>
      <c r="E304" s="54">
        <v>497.127</v>
      </c>
    </row>
    <row r="305" ht="16.5" spans="1:5">
      <c r="A305" s="102">
        <v>3045453.7</v>
      </c>
      <c r="B305" s="102">
        <v>401240.1</v>
      </c>
      <c r="C305" s="102">
        <v>671.2</v>
      </c>
      <c r="D305" s="11">
        <v>45218</v>
      </c>
      <c r="E305" s="54"/>
    </row>
    <row r="306" ht="16.5" spans="1:5">
      <c r="A306" s="102">
        <v>3045453.7</v>
      </c>
      <c r="B306" s="102">
        <v>401240.1</v>
      </c>
      <c r="C306" s="102">
        <v>671.2</v>
      </c>
      <c r="D306" s="11">
        <v>45219</v>
      </c>
      <c r="E306" s="54">
        <v>497.495</v>
      </c>
    </row>
    <row r="307" ht="16.5" spans="1:5">
      <c r="A307" s="102">
        <v>3045453.7</v>
      </c>
      <c r="B307" s="102">
        <v>401240.1</v>
      </c>
      <c r="C307" s="102">
        <v>671.2</v>
      </c>
      <c r="D307" s="11">
        <v>45220</v>
      </c>
      <c r="E307" s="54">
        <v>496.885</v>
      </c>
    </row>
    <row r="308" ht="16.5" spans="1:5">
      <c r="A308" s="102">
        <v>3045453.7</v>
      </c>
      <c r="B308" s="102">
        <v>401240.1</v>
      </c>
      <c r="C308" s="102">
        <v>671.2</v>
      </c>
      <c r="D308" s="11">
        <v>45221</v>
      </c>
      <c r="E308" s="54">
        <v>496.727</v>
      </c>
    </row>
    <row r="309" ht="16.5" spans="1:5">
      <c r="A309" s="102">
        <v>3045453.7</v>
      </c>
      <c r="B309" s="102">
        <v>401240.1</v>
      </c>
      <c r="C309" s="102">
        <v>671.2</v>
      </c>
      <c r="D309" s="11">
        <v>45222</v>
      </c>
      <c r="E309" s="54">
        <v>496.704</v>
      </c>
    </row>
    <row r="310" ht="16.5" spans="1:5">
      <c r="A310" s="102">
        <v>3045453.7</v>
      </c>
      <c r="B310" s="102">
        <v>401240.1</v>
      </c>
      <c r="C310" s="102">
        <v>671.2</v>
      </c>
      <c r="D310" s="11">
        <v>45223</v>
      </c>
      <c r="E310" s="54">
        <v>496.924</v>
      </c>
    </row>
    <row r="311" ht="16.5" spans="1:5">
      <c r="A311" s="102">
        <v>3045453.7</v>
      </c>
      <c r="B311" s="102">
        <v>401240.1</v>
      </c>
      <c r="C311" s="102">
        <v>671.2</v>
      </c>
      <c r="D311" s="11">
        <v>45224</v>
      </c>
      <c r="E311" s="54">
        <v>496.662</v>
      </c>
    </row>
    <row r="312" ht="16.5" spans="1:5">
      <c r="A312" s="102">
        <v>3045453.7</v>
      </c>
      <c r="B312" s="102">
        <v>401240.1</v>
      </c>
      <c r="C312" s="102">
        <v>671.2</v>
      </c>
      <c r="D312" s="11">
        <v>45225</v>
      </c>
      <c r="E312" s="54">
        <v>496.322</v>
      </c>
    </row>
    <row r="313" ht="16.5" spans="1:5">
      <c r="A313" s="102">
        <v>3045453.7</v>
      </c>
      <c r="B313" s="102">
        <v>401240.1</v>
      </c>
      <c r="C313" s="102">
        <v>671.2</v>
      </c>
      <c r="D313" s="11">
        <v>45226</v>
      </c>
      <c r="E313" s="55"/>
    </row>
    <row r="314" ht="16.5" spans="1:5">
      <c r="A314" s="102">
        <v>3045453.7</v>
      </c>
      <c r="B314" s="102">
        <v>401240.1</v>
      </c>
      <c r="C314" s="102">
        <v>671.2</v>
      </c>
      <c r="D314" s="11">
        <v>45227</v>
      </c>
      <c r="E314" s="55"/>
    </row>
    <row r="315" ht="16.5" spans="1:5">
      <c r="A315" s="102">
        <v>3045453.7</v>
      </c>
      <c r="B315" s="102">
        <v>401240.1</v>
      </c>
      <c r="C315" s="102">
        <v>671.2</v>
      </c>
      <c r="D315" s="11">
        <v>45228</v>
      </c>
      <c r="E315" s="55"/>
    </row>
    <row r="316" ht="16.5" spans="1:5">
      <c r="A316" s="102">
        <v>3045453.7</v>
      </c>
      <c r="B316" s="102">
        <v>401240.1</v>
      </c>
      <c r="C316" s="102">
        <v>671.2</v>
      </c>
      <c r="D316" s="11">
        <v>45229</v>
      </c>
      <c r="E316" s="55"/>
    </row>
    <row r="317" ht="16.5" spans="1:5">
      <c r="A317" s="102">
        <v>3045453.7</v>
      </c>
      <c r="B317" s="102">
        <v>401240.1</v>
      </c>
      <c r="C317" s="102">
        <v>671.2</v>
      </c>
      <c r="D317" s="11">
        <v>45230</v>
      </c>
      <c r="E317" s="55"/>
    </row>
    <row r="318" ht="16.5" spans="1:5">
      <c r="A318" s="102">
        <v>3045453.7</v>
      </c>
      <c r="B318" s="102">
        <v>401240.1</v>
      </c>
      <c r="C318" s="102">
        <v>671.2</v>
      </c>
      <c r="D318" s="11">
        <v>45231</v>
      </c>
      <c r="E318" s="54"/>
    </row>
    <row r="319" ht="16.5" spans="1:5">
      <c r="A319" s="102">
        <v>3045453.7</v>
      </c>
      <c r="B319" s="102">
        <v>401240.1</v>
      </c>
      <c r="C319" s="102">
        <v>671.2</v>
      </c>
      <c r="D319" s="11">
        <v>45232</v>
      </c>
      <c r="E319" s="54">
        <v>503.014</v>
      </c>
    </row>
    <row r="320" ht="16.5" spans="1:5">
      <c r="A320" s="102">
        <v>3045453.7</v>
      </c>
      <c r="B320" s="102">
        <v>401240.1</v>
      </c>
      <c r="C320" s="102">
        <v>671.2</v>
      </c>
      <c r="D320" s="11">
        <v>45233</v>
      </c>
      <c r="E320" s="55"/>
    </row>
    <row r="321" ht="16.5" spans="1:5">
      <c r="A321" s="102">
        <v>3045453.7</v>
      </c>
      <c r="B321" s="102">
        <v>401240.1</v>
      </c>
      <c r="C321" s="102">
        <v>671.2</v>
      </c>
      <c r="D321" s="11">
        <v>45234</v>
      </c>
      <c r="E321" s="55"/>
    </row>
    <row r="322" ht="16.5" spans="1:5">
      <c r="A322" s="102">
        <v>3045453.7</v>
      </c>
      <c r="B322" s="102">
        <v>401240.1</v>
      </c>
      <c r="C322" s="102">
        <v>671.2</v>
      </c>
      <c r="D322" s="11">
        <v>45235</v>
      </c>
      <c r="E322" s="55"/>
    </row>
    <row r="323" ht="16.5" spans="1:5">
      <c r="A323" s="102">
        <v>3045453.7</v>
      </c>
      <c r="B323" s="102">
        <v>401240.1</v>
      </c>
      <c r="C323" s="102">
        <v>671.2</v>
      </c>
      <c r="D323" s="11">
        <v>45236</v>
      </c>
      <c r="E323" s="55"/>
    </row>
    <row r="324" ht="16.5" spans="1:5">
      <c r="A324" s="102">
        <v>3045453.7</v>
      </c>
      <c r="B324" s="102">
        <v>401240.1</v>
      </c>
      <c r="C324" s="102">
        <v>671.2</v>
      </c>
      <c r="D324" s="11">
        <v>45237</v>
      </c>
      <c r="E324" s="55"/>
    </row>
    <row r="325" ht="16.5" spans="1:5">
      <c r="A325" s="102">
        <v>3045453.7</v>
      </c>
      <c r="B325" s="102">
        <v>401240.1</v>
      </c>
      <c r="C325" s="102">
        <v>671.2</v>
      </c>
      <c r="D325" s="11">
        <v>45238</v>
      </c>
      <c r="E325" s="55"/>
    </row>
    <row r="326" ht="16.5" spans="1:5">
      <c r="A326" s="102">
        <v>3045453.7</v>
      </c>
      <c r="B326" s="102">
        <v>401240.1</v>
      </c>
      <c r="C326" s="102">
        <v>671.2</v>
      </c>
      <c r="D326" s="11">
        <v>45239</v>
      </c>
      <c r="E326" s="55"/>
    </row>
    <row r="327" ht="16.5" spans="1:5">
      <c r="A327" s="102">
        <v>3045453.7</v>
      </c>
      <c r="B327" s="102">
        <v>401240.1</v>
      </c>
      <c r="C327" s="102">
        <v>671.2</v>
      </c>
      <c r="D327" s="11">
        <v>45240</v>
      </c>
      <c r="E327" s="54">
        <v>500.34</v>
      </c>
    </row>
    <row r="328" ht="16.5" spans="1:5">
      <c r="A328" s="102">
        <v>3045453.7</v>
      </c>
      <c r="B328" s="102">
        <v>401240.1</v>
      </c>
      <c r="C328" s="102">
        <v>671.2</v>
      </c>
      <c r="D328" s="11">
        <v>45241</v>
      </c>
      <c r="E328" s="54"/>
    </row>
    <row r="329" ht="16.5" spans="1:5">
      <c r="A329" s="102">
        <v>3045453.7</v>
      </c>
      <c r="B329" s="102">
        <v>401240.1</v>
      </c>
      <c r="C329" s="102">
        <v>671.2</v>
      </c>
      <c r="D329" s="11">
        <v>45242</v>
      </c>
      <c r="E329" s="54"/>
    </row>
    <row r="330" ht="16.5" spans="1:5">
      <c r="A330" s="102">
        <v>3045453.7</v>
      </c>
      <c r="B330" s="102">
        <v>401240.1</v>
      </c>
      <c r="C330" s="102">
        <v>671.2</v>
      </c>
      <c r="D330" s="11">
        <v>45243</v>
      </c>
      <c r="E330" s="54"/>
    </row>
    <row r="331" ht="16.5" spans="1:5">
      <c r="A331" s="102">
        <v>3045453.7</v>
      </c>
      <c r="B331" s="102">
        <v>401240.1</v>
      </c>
      <c r="C331" s="102">
        <v>671.2</v>
      </c>
      <c r="D331" s="11">
        <v>45244</v>
      </c>
      <c r="E331" s="54"/>
    </row>
    <row r="332" ht="16.5" spans="1:5">
      <c r="A332" s="102">
        <v>3045453.7</v>
      </c>
      <c r="B332" s="102">
        <v>401240.1</v>
      </c>
      <c r="C332" s="102">
        <v>671.2</v>
      </c>
      <c r="D332" s="11">
        <v>45245</v>
      </c>
      <c r="E332" s="54"/>
    </row>
    <row r="333" ht="16.5" spans="1:5">
      <c r="A333" s="102">
        <v>3045453.7</v>
      </c>
      <c r="B333" s="102">
        <v>401240.1</v>
      </c>
      <c r="C333" s="102">
        <v>671.2</v>
      </c>
      <c r="D333" s="11">
        <v>45246</v>
      </c>
      <c r="E333" s="54">
        <v>497.35</v>
      </c>
    </row>
    <row r="334" ht="16.5" spans="1:5">
      <c r="A334" s="102">
        <v>3045453.7</v>
      </c>
      <c r="B334" s="102">
        <v>401240.1</v>
      </c>
      <c r="C334" s="102">
        <v>671.2</v>
      </c>
      <c r="D334" s="11">
        <v>45247</v>
      </c>
      <c r="E334" s="53"/>
    </row>
    <row r="335" ht="16.5" spans="1:5">
      <c r="A335" s="102">
        <v>3045453.7</v>
      </c>
      <c r="B335" s="102">
        <v>401240.1</v>
      </c>
      <c r="C335" s="102">
        <v>671.2</v>
      </c>
      <c r="D335" s="11">
        <v>45248</v>
      </c>
      <c r="E335" s="53"/>
    </row>
    <row r="336" ht="16.5" spans="1:5">
      <c r="A336" s="102">
        <v>3045453.7</v>
      </c>
      <c r="B336" s="102">
        <v>401240.1</v>
      </c>
      <c r="C336" s="102">
        <v>671.2</v>
      </c>
      <c r="D336" s="11">
        <v>45249</v>
      </c>
      <c r="E336" s="53"/>
    </row>
    <row r="337" ht="16.5" spans="1:5">
      <c r="A337" s="102">
        <v>3045453.7</v>
      </c>
      <c r="B337" s="102">
        <v>401240.1</v>
      </c>
      <c r="C337" s="102">
        <v>671.2</v>
      </c>
      <c r="D337" s="11">
        <v>45250</v>
      </c>
      <c r="E337" s="53"/>
    </row>
    <row r="338" ht="16.5" spans="1:5">
      <c r="A338" s="102">
        <v>3045453.7</v>
      </c>
      <c r="B338" s="102">
        <v>401240.1</v>
      </c>
      <c r="C338" s="102">
        <v>671.2</v>
      </c>
      <c r="D338" s="11">
        <v>45251</v>
      </c>
      <c r="E338" s="53"/>
    </row>
    <row r="339" ht="16.5" spans="1:5">
      <c r="A339" s="102">
        <v>3045453.7</v>
      </c>
      <c r="B339" s="102">
        <v>401240.1</v>
      </c>
      <c r="C339" s="102">
        <v>671.2</v>
      </c>
      <c r="D339" s="11">
        <v>45252</v>
      </c>
      <c r="E339" s="53"/>
    </row>
    <row r="340" ht="16.5" spans="1:5">
      <c r="A340" s="102">
        <v>3045453.7</v>
      </c>
      <c r="B340" s="102">
        <v>401240.1</v>
      </c>
      <c r="C340" s="102">
        <v>671.2</v>
      </c>
      <c r="D340" s="11">
        <v>45253</v>
      </c>
      <c r="E340" s="54">
        <f>672-175.51</f>
        <v>496.49</v>
      </c>
    </row>
    <row r="341" ht="16.5" spans="1:5">
      <c r="A341" s="102">
        <v>3045453.7</v>
      </c>
      <c r="B341" s="102">
        <v>401240.1</v>
      </c>
      <c r="C341" s="102">
        <v>671.2</v>
      </c>
      <c r="D341" s="11">
        <v>45254</v>
      </c>
      <c r="E341" s="54"/>
    </row>
    <row r="342" ht="16.5" spans="1:5">
      <c r="A342" s="102">
        <v>3045453.7</v>
      </c>
      <c r="B342" s="102">
        <v>401240.1</v>
      </c>
      <c r="C342" s="102">
        <v>671.2</v>
      </c>
      <c r="D342" s="11">
        <v>45255</v>
      </c>
      <c r="E342" s="54"/>
    </row>
    <row r="343" ht="16.5" spans="1:5">
      <c r="A343" s="102">
        <v>3045453.7</v>
      </c>
      <c r="B343" s="102">
        <v>401240.1</v>
      </c>
      <c r="C343" s="102">
        <v>671.2</v>
      </c>
      <c r="D343" s="11">
        <v>45256</v>
      </c>
      <c r="E343" s="54"/>
    </row>
    <row r="344" ht="16.5" spans="1:5">
      <c r="A344" s="102">
        <v>3045453.7</v>
      </c>
      <c r="B344" s="102">
        <v>401240.1</v>
      </c>
      <c r="C344" s="102">
        <v>671.2</v>
      </c>
      <c r="D344" s="11">
        <v>45257</v>
      </c>
      <c r="E344" s="54"/>
    </row>
    <row r="345" ht="16.5" spans="1:5">
      <c r="A345" s="102">
        <v>3045453.7</v>
      </c>
      <c r="B345" s="102">
        <v>401240.1</v>
      </c>
      <c r="C345" s="102">
        <v>671.2</v>
      </c>
      <c r="D345" s="11">
        <v>45258</v>
      </c>
      <c r="E345" s="54"/>
    </row>
    <row r="346" ht="16.5" spans="1:5">
      <c r="A346" s="102">
        <v>3045453.7</v>
      </c>
      <c r="B346" s="102">
        <v>401240.1</v>
      </c>
      <c r="C346" s="102">
        <v>671.2</v>
      </c>
      <c r="D346" s="11">
        <v>45259</v>
      </c>
      <c r="E346" s="54"/>
    </row>
    <row r="347" ht="16.5" spans="1:5">
      <c r="A347" s="102">
        <v>3045453.7</v>
      </c>
      <c r="B347" s="102">
        <v>401240.1</v>
      </c>
      <c r="C347" s="102">
        <v>671.2</v>
      </c>
      <c r="D347" s="11">
        <v>45260</v>
      </c>
      <c r="E347" s="54"/>
    </row>
    <row r="348" ht="16.5" spans="1:5">
      <c r="A348" s="102">
        <v>3045453.7</v>
      </c>
      <c r="B348" s="102">
        <v>401240.1</v>
      </c>
      <c r="C348" s="102">
        <v>671.2</v>
      </c>
      <c r="D348" s="11">
        <v>45261</v>
      </c>
      <c r="E348" s="54"/>
    </row>
    <row r="349" ht="16.5" spans="1:5">
      <c r="A349" s="102">
        <v>3045453.7</v>
      </c>
      <c r="B349" s="102">
        <v>401240.1</v>
      </c>
      <c r="C349" s="102">
        <v>671.2</v>
      </c>
      <c r="D349" s="11">
        <v>45262</v>
      </c>
      <c r="E349" s="54">
        <f>672-176.35</f>
        <v>495.65</v>
      </c>
    </row>
    <row r="350" ht="16.5" spans="1:5">
      <c r="A350" s="102">
        <v>3045453.7</v>
      </c>
      <c r="B350" s="102">
        <v>401240.1</v>
      </c>
      <c r="C350" s="102">
        <v>671.2</v>
      </c>
      <c r="D350" s="11">
        <v>45263</v>
      </c>
      <c r="E350" s="54"/>
    </row>
    <row r="351" ht="16.5" spans="1:5">
      <c r="A351" s="102">
        <v>3045453.7</v>
      </c>
      <c r="B351" s="102">
        <v>401240.1</v>
      </c>
      <c r="C351" s="102">
        <v>671.2</v>
      </c>
      <c r="D351" s="11">
        <v>45264</v>
      </c>
      <c r="E351" s="54"/>
    </row>
    <row r="352" ht="16.5" spans="1:5">
      <c r="A352" s="102">
        <v>3045453.7</v>
      </c>
      <c r="B352" s="102">
        <v>401240.1</v>
      </c>
      <c r="C352" s="102">
        <v>671.2</v>
      </c>
      <c r="D352" s="11">
        <v>45265</v>
      </c>
      <c r="E352" s="54"/>
    </row>
    <row r="353" ht="16.5" spans="1:5">
      <c r="A353" s="102">
        <v>3045453.7</v>
      </c>
      <c r="B353" s="102">
        <v>401240.1</v>
      </c>
      <c r="C353" s="102">
        <v>671.2</v>
      </c>
      <c r="D353" s="11">
        <v>45266</v>
      </c>
      <c r="E353" s="54"/>
    </row>
    <row r="354" ht="16.5" spans="1:5">
      <c r="A354" s="102">
        <v>3045453.7</v>
      </c>
      <c r="B354" s="102">
        <v>401240.1</v>
      </c>
      <c r="C354" s="102">
        <v>671.2</v>
      </c>
      <c r="D354" s="11">
        <v>45267</v>
      </c>
      <c r="E354" s="54">
        <f>672-175.83</f>
        <v>496.17</v>
      </c>
    </row>
    <row r="355" ht="16.5" spans="1:5">
      <c r="A355" s="102">
        <v>3045453.7</v>
      </c>
      <c r="B355" s="102">
        <v>401240.1</v>
      </c>
      <c r="C355" s="102">
        <v>671.2</v>
      </c>
      <c r="D355" s="11">
        <v>45268</v>
      </c>
      <c r="E355" s="54"/>
    </row>
    <row r="356" ht="16.5" spans="1:5">
      <c r="A356" s="102">
        <v>3045453.7</v>
      </c>
      <c r="B356" s="102">
        <v>401240.1</v>
      </c>
      <c r="C356" s="102">
        <v>671.2</v>
      </c>
      <c r="D356" s="11">
        <v>45269</v>
      </c>
      <c r="E356" s="54"/>
    </row>
    <row r="357" ht="16.5" spans="1:5">
      <c r="A357" s="102">
        <v>3045453.7</v>
      </c>
      <c r="B357" s="102">
        <v>401240.1</v>
      </c>
      <c r="C357" s="102">
        <v>671.2</v>
      </c>
      <c r="D357" s="11">
        <v>45270</v>
      </c>
      <c r="E357" s="54"/>
    </row>
    <row r="358" ht="16.5" spans="1:5">
      <c r="A358" s="102">
        <v>3045453.7</v>
      </c>
      <c r="B358" s="102">
        <v>401240.1</v>
      </c>
      <c r="C358" s="102">
        <v>671.2</v>
      </c>
      <c r="D358" s="11">
        <v>45271</v>
      </c>
      <c r="E358" s="54"/>
    </row>
    <row r="359" ht="16.5" spans="1:5">
      <c r="A359" s="102">
        <v>3045453.7</v>
      </c>
      <c r="B359" s="102">
        <v>401240.1</v>
      </c>
      <c r="C359" s="102">
        <v>671.2</v>
      </c>
      <c r="D359" s="11">
        <v>45272</v>
      </c>
      <c r="E359" s="54">
        <v>496.962</v>
      </c>
    </row>
    <row r="360" ht="16.5" spans="1:5">
      <c r="A360" s="102">
        <v>3045453.7</v>
      </c>
      <c r="B360" s="102">
        <v>401240.1</v>
      </c>
      <c r="C360" s="102">
        <v>671.2</v>
      </c>
      <c r="D360" s="11">
        <v>45273</v>
      </c>
      <c r="E360" s="54">
        <v>495.07</v>
      </c>
    </row>
    <row r="361" ht="16.5" spans="1:5">
      <c r="A361" s="102">
        <v>3045453.7</v>
      </c>
      <c r="B361" s="102">
        <v>401240.1</v>
      </c>
      <c r="C361" s="102">
        <v>671.2</v>
      </c>
      <c r="D361" s="11">
        <v>45274</v>
      </c>
      <c r="E361" s="54">
        <v>496</v>
      </c>
    </row>
    <row r="362" ht="16.5" spans="1:5">
      <c r="A362" s="102">
        <v>3045453.7</v>
      </c>
      <c r="B362" s="102">
        <v>401240.1</v>
      </c>
      <c r="C362" s="102">
        <v>671.2</v>
      </c>
      <c r="D362" s="11">
        <v>45275</v>
      </c>
      <c r="E362" s="54">
        <v>496.722</v>
      </c>
    </row>
    <row r="363" ht="16.5" spans="1:5">
      <c r="A363" s="102">
        <v>3045453.7</v>
      </c>
      <c r="B363" s="102">
        <v>401240.1</v>
      </c>
      <c r="C363" s="102">
        <v>671.2</v>
      </c>
      <c r="D363" s="11">
        <v>45276</v>
      </c>
      <c r="E363" s="54">
        <v>496.845</v>
      </c>
    </row>
    <row r="364" ht="16.5" spans="1:5">
      <c r="A364" s="102">
        <v>3045453.7</v>
      </c>
      <c r="B364" s="102">
        <v>401240.1</v>
      </c>
      <c r="C364" s="102">
        <v>671.2</v>
      </c>
      <c r="D364" s="11">
        <v>45277</v>
      </c>
      <c r="E364" s="54">
        <v>500.985</v>
      </c>
    </row>
    <row r="365" ht="16.5" spans="1:5">
      <c r="A365" s="102">
        <v>3045453.7</v>
      </c>
      <c r="B365" s="102">
        <v>401240.1</v>
      </c>
      <c r="C365" s="102">
        <v>671.2</v>
      </c>
      <c r="D365" s="11">
        <v>45278</v>
      </c>
      <c r="E365" s="54">
        <v>502.51</v>
      </c>
    </row>
    <row r="366" ht="16.5" spans="1:5">
      <c r="A366" s="102">
        <v>3045453.7</v>
      </c>
      <c r="B366" s="102">
        <v>401240.1</v>
      </c>
      <c r="C366" s="102">
        <v>671.2</v>
      </c>
      <c r="D366" s="11">
        <v>45279</v>
      </c>
      <c r="E366" s="54">
        <v>504.762</v>
      </c>
    </row>
    <row r="367" ht="16.5" spans="1:5">
      <c r="A367" s="102">
        <v>3045453.7</v>
      </c>
      <c r="B367" s="102">
        <v>401240.1</v>
      </c>
      <c r="C367" s="102">
        <v>671.2</v>
      </c>
      <c r="D367" s="11">
        <v>45280</v>
      </c>
      <c r="E367" s="54">
        <v>505.65</v>
      </c>
    </row>
    <row r="368" ht="16.5" spans="1:5">
      <c r="A368" s="102">
        <v>3045453.7</v>
      </c>
      <c r="B368" s="102">
        <v>401240.1</v>
      </c>
      <c r="C368" s="102">
        <v>671.2</v>
      </c>
      <c r="D368" s="11">
        <v>45281</v>
      </c>
      <c r="E368" s="54">
        <v>506.726</v>
      </c>
    </row>
    <row r="369" ht="16.5" spans="1:5">
      <c r="A369" s="102">
        <v>3045453.7</v>
      </c>
      <c r="B369" s="102">
        <v>401240.1</v>
      </c>
      <c r="C369" s="102">
        <v>671.2</v>
      </c>
      <c r="D369" s="11">
        <v>45282</v>
      </c>
      <c r="E369" s="54">
        <v>506.88</v>
      </c>
    </row>
    <row r="370" ht="16.5" spans="1:5">
      <c r="A370" s="102">
        <v>3045453.7</v>
      </c>
      <c r="B370" s="102">
        <v>401240.1</v>
      </c>
      <c r="C370" s="102">
        <v>671.2</v>
      </c>
      <c r="D370" s="11">
        <v>45283</v>
      </c>
      <c r="E370" s="54">
        <v>506.529</v>
      </c>
    </row>
    <row r="371" ht="16.5" spans="1:5">
      <c r="A371" s="102">
        <v>3045453.7</v>
      </c>
      <c r="B371" s="102">
        <v>401240.1</v>
      </c>
      <c r="C371" s="102">
        <v>671.2</v>
      </c>
      <c r="D371" s="11">
        <v>45284</v>
      </c>
      <c r="E371" s="54">
        <v>506.082</v>
      </c>
    </row>
    <row r="372" ht="16.5" spans="1:5">
      <c r="A372" s="102">
        <v>3045453.7</v>
      </c>
      <c r="B372" s="102">
        <v>401240.1</v>
      </c>
      <c r="C372" s="102">
        <v>671.2</v>
      </c>
      <c r="D372" s="11">
        <v>45285</v>
      </c>
      <c r="E372" s="54">
        <v>505.797</v>
      </c>
    </row>
    <row r="373" ht="16.5" spans="1:5">
      <c r="A373" s="102">
        <v>3045453.7</v>
      </c>
      <c r="B373" s="102">
        <v>401240.1</v>
      </c>
      <c r="C373" s="102">
        <v>671.2</v>
      </c>
      <c r="D373" s="11">
        <v>45286</v>
      </c>
      <c r="E373" s="54">
        <v>505.624</v>
      </c>
    </row>
    <row r="374" ht="16.5" spans="1:5">
      <c r="A374" s="102">
        <v>3045453.7</v>
      </c>
      <c r="B374" s="102">
        <v>401240.1</v>
      </c>
      <c r="C374" s="102">
        <v>671.2</v>
      </c>
      <c r="D374" s="11">
        <v>45287</v>
      </c>
      <c r="E374" s="54">
        <v>505.418</v>
      </c>
    </row>
    <row r="375" ht="16.5" spans="1:5">
      <c r="A375" s="102">
        <v>3045453.7</v>
      </c>
      <c r="B375" s="102">
        <v>401240.1</v>
      </c>
      <c r="C375" s="102">
        <v>671.2</v>
      </c>
      <c r="D375" s="11">
        <v>45288</v>
      </c>
      <c r="E375" s="54">
        <v>505.19</v>
      </c>
    </row>
    <row r="376" ht="16.5" spans="1:5">
      <c r="A376" s="102">
        <v>3045453.7</v>
      </c>
      <c r="B376" s="102">
        <v>401240.1</v>
      </c>
      <c r="C376" s="102">
        <v>671.2</v>
      </c>
      <c r="D376" s="11">
        <v>45289</v>
      </c>
      <c r="E376" s="54">
        <v>504.811</v>
      </c>
    </row>
    <row r="377" ht="16.5" spans="1:5">
      <c r="A377" s="102">
        <v>3045453.7</v>
      </c>
      <c r="B377" s="102">
        <v>401240.1</v>
      </c>
      <c r="C377" s="102">
        <v>671.2</v>
      </c>
      <c r="D377" s="11">
        <v>45290</v>
      </c>
      <c r="E377" s="54">
        <v>504.499</v>
      </c>
    </row>
    <row r="378" ht="16.5" spans="1:5">
      <c r="A378" s="102">
        <v>3045453.7</v>
      </c>
      <c r="B378" s="102">
        <v>401240.1</v>
      </c>
      <c r="C378" s="102">
        <v>671.2</v>
      </c>
      <c r="D378" s="11">
        <v>45291</v>
      </c>
      <c r="E378" s="54">
        <v>504.481</v>
      </c>
    </row>
    <row r="379" ht="16.5" spans="1:5">
      <c r="A379" s="102">
        <v>3045453.7</v>
      </c>
      <c r="B379" s="102">
        <v>401240.1</v>
      </c>
      <c r="C379" s="102">
        <v>671.2</v>
      </c>
      <c r="D379" s="11">
        <v>45292</v>
      </c>
      <c r="E379" s="54">
        <v>504.756</v>
      </c>
    </row>
    <row r="380" ht="16.5" spans="1:5">
      <c r="A380" s="102">
        <v>3045453.7</v>
      </c>
      <c r="B380" s="102">
        <v>401240.1</v>
      </c>
      <c r="C380" s="102">
        <v>671.2</v>
      </c>
      <c r="D380" s="11">
        <v>45293</v>
      </c>
      <c r="E380" s="54">
        <v>505.309</v>
      </c>
    </row>
    <row r="381" ht="16.5" spans="1:5">
      <c r="A381" s="102">
        <v>3045453.7</v>
      </c>
      <c r="B381" s="102">
        <v>401240.1</v>
      </c>
      <c r="C381" s="102">
        <v>671.2</v>
      </c>
      <c r="D381" s="11">
        <v>45294</v>
      </c>
      <c r="E381" s="54">
        <v>505.437</v>
      </c>
    </row>
    <row r="382" ht="16.5" spans="1:5">
      <c r="A382" s="102">
        <v>3045453.7</v>
      </c>
      <c r="B382" s="102">
        <v>401240.1</v>
      </c>
      <c r="C382" s="102">
        <v>671.2</v>
      </c>
      <c r="D382" s="11">
        <v>45295</v>
      </c>
      <c r="E382" s="60">
        <v>505.491</v>
      </c>
    </row>
    <row r="383" ht="16.5" spans="1:5">
      <c r="A383" s="102">
        <v>3045453.7</v>
      </c>
      <c r="B383" s="102">
        <v>401240.1</v>
      </c>
      <c r="C383" s="102">
        <v>671.2</v>
      </c>
      <c r="D383" s="11">
        <v>45296</v>
      </c>
      <c r="E383" s="60">
        <v>505.386</v>
      </c>
    </row>
    <row r="384" ht="16.5" spans="1:5">
      <c r="A384" s="102">
        <v>3045453.7</v>
      </c>
      <c r="B384" s="102">
        <v>401240.1</v>
      </c>
      <c r="C384" s="102">
        <v>671.2</v>
      </c>
      <c r="D384" s="11">
        <v>45297</v>
      </c>
      <c r="E384" s="60">
        <v>505.267</v>
      </c>
    </row>
    <row r="385" ht="16.5" spans="1:5">
      <c r="A385" s="102">
        <v>3045453.7</v>
      </c>
      <c r="B385" s="102">
        <v>401240.1</v>
      </c>
      <c r="C385" s="102">
        <v>671.2</v>
      </c>
      <c r="D385" s="11">
        <v>45298</v>
      </c>
      <c r="E385" s="60">
        <v>505.291</v>
      </c>
    </row>
    <row r="386" ht="16.5" spans="1:5">
      <c r="A386" s="102">
        <v>3045453.7</v>
      </c>
      <c r="B386" s="102">
        <v>401240.1</v>
      </c>
      <c r="C386" s="102">
        <v>671.2</v>
      </c>
      <c r="D386" s="11">
        <v>45299</v>
      </c>
      <c r="E386" s="60">
        <v>503.732</v>
      </c>
    </row>
    <row r="387" ht="16.5" spans="1:5">
      <c r="A387" s="102">
        <v>3045453.7</v>
      </c>
      <c r="B387" s="102">
        <v>401240.1</v>
      </c>
      <c r="C387" s="102">
        <v>671.2</v>
      </c>
      <c r="D387" s="11">
        <v>45300</v>
      </c>
      <c r="E387" s="60">
        <v>502.831</v>
      </c>
    </row>
    <row r="388" ht="16.5" spans="1:5">
      <c r="A388" s="102">
        <v>3045453.7</v>
      </c>
      <c r="B388" s="102">
        <v>401240.1</v>
      </c>
      <c r="C388" s="102">
        <v>671.2</v>
      </c>
      <c r="D388" s="11">
        <v>45301</v>
      </c>
      <c r="E388" s="60">
        <v>502.784</v>
      </c>
    </row>
    <row r="389" ht="16.5" spans="1:5">
      <c r="A389" s="102">
        <v>3045453.7</v>
      </c>
      <c r="B389" s="102">
        <v>401240.1</v>
      </c>
      <c r="C389" s="102">
        <v>671.2</v>
      </c>
      <c r="D389" s="11">
        <v>45302</v>
      </c>
      <c r="E389" s="60">
        <v>502.601</v>
      </c>
    </row>
    <row r="390" ht="16.5" spans="1:5">
      <c r="A390" s="102">
        <v>3045453.7</v>
      </c>
      <c r="B390" s="102">
        <v>401240.1</v>
      </c>
      <c r="C390" s="102">
        <v>671.2</v>
      </c>
      <c r="D390" s="11">
        <v>45303</v>
      </c>
      <c r="E390" s="60">
        <v>502.524</v>
      </c>
    </row>
    <row r="391" ht="16.5" spans="1:5">
      <c r="A391" s="102">
        <v>3045453.7</v>
      </c>
      <c r="B391" s="102">
        <v>401240.1</v>
      </c>
      <c r="C391" s="102">
        <v>671.2</v>
      </c>
      <c r="D391" s="11">
        <v>45304</v>
      </c>
      <c r="E391" s="57">
        <v>502.277</v>
      </c>
    </row>
    <row r="392" ht="16.5" spans="1:5">
      <c r="A392" s="102">
        <v>3045453.7</v>
      </c>
      <c r="B392" s="102">
        <v>401240.1</v>
      </c>
      <c r="C392" s="102">
        <v>671.2</v>
      </c>
      <c r="D392" s="11">
        <v>45305</v>
      </c>
      <c r="E392" s="57">
        <v>502.05</v>
      </c>
    </row>
    <row r="393" ht="16.5" spans="1:5">
      <c r="A393" s="102">
        <v>3045453.7</v>
      </c>
      <c r="B393" s="102">
        <v>401240.1</v>
      </c>
      <c r="C393" s="102">
        <v>671.2</v>
      </c>
      <c r="D393" s="11">
        <v>45306</v>
      </c>
      <c r="E393" s="57">
        <v>496.977</v>
      </c>
    </row>
    <row r="394" ht="16.5" spans="1:5">
      <c r="A394" s="102">
        <v>3045453.7</v>
      </c>
      <c r="B394" s="102">
        <v>401240.1</v>
      </c>
      <c r="C394" s="102">
        <v>671.2</v>
      </c>
      <c r="D394" s="11">
        <v>45307</v>
      </c>
      <c r="E394" s="57">
        <v>494.331</v>
      </c>
    </row>
    <row r="395" ht="16.5" spans="1:5">
      <c r="A395" s="102">
        <v>3045453.7</v>
      </c>
      <c r="B395" s="102">
        <v>401240.1</v>
      </c>
      <c r="C395" s="102">
        <v>671.2</v>
      </c>
      <c r="D395" s="11">
        <v>45308</v>
      </c>
      <c r="E395" s="57">
        <v>492.193</v>
      </c>
    </row>
    <row r="396" ht="16.5" spans="1:5">
      <c r="A396" s="102">
        <v>3045453.7</v>
      </c>
      <c r="B396" s="102">
        <v>401240.1</v>
      </c>
      <c r="C396" s="102">
        <v>671.2</v>
      </c>
      <c r="D396" s="11">
        <v>45309</v>
      </c>
      <c r="E396" s="60">
        <v>491.823</v>
      </c>
    </row>
    <row r="397" ht="16.5" spans="1:5">
      <c r="A397" s="102">
        <v>3045453.7</v>
      </c>
      <c r="B397" s="102">
        <v>401240.1</v>
      </c>
      <c r="C397" s="102">
        <v>671.2</v>
      </c>
      <c r="D397" s="11">
        <v>45310</v>
      </c>
      <c r="E397" s="60">
        <v>491.205</v>
      </c>
    </row>
    <row r="398" ht="16.5" spans="1:5">
      <c r="A398" s="102">
        <v>3045453.7</v>
      </c>
      <c r="B398" s="102">
        <v>401240.1</v>
      </c>
      <c r="C398" s="102">
        <v>671.2</v>
      </c>
      <c r="D398" s="11">
        <v>45311</v>
      </c>
      <c r="E398" s="60">
        <v>489.763</v>
      </c>
    </row>
    <row r="399" ht="16.5" spans="1:5">
      <c r="A399" s="102">
        <v>3045453.7</v>
      </c>
      <c r="B399" s="102">
        <v>401240.1</v>
      </c>
      <c r="C399" s="102">
        <v>671.2</v>
      </c>
      <c r="D399" s="11">
        <v>45312</v>
      </c>
      <c r="E399" s="60">
        <v>487.616</v>
      </c>
    </row>
    <row r="400" ht="16.5" spans="1:5">
      <c r="A400" s="102">
        <v>3045453.7</v>
      </c>
      <c r="B400" s="102">
        <v>401240.1</v>
      </c>
      <c r="C400" s="102">
        <v>671.2</v>
      </c>
      <c r="D400" s="11">
        <v>45313</v>
      </c>
      <c r="E400" s="60">
        <v>487.021</v>
      </c>
    </row>
    <row r="401" ht="16.5" spans="1:5">
      <c r="A401" s="102">
        <v>3045453.7</v>
      </c>
      <c r="B401" s="102">
        <v>401240.1</v>
      </c>
      <c r="C401" s="102">
        <v>671.2</v>
      </c>
      <c r="D401" s="11">
        <v>45314</v>
      </c>
      <c r="E401" s="60">
        <v>487.341</v>
      </c>
    </row>
    <row r="402" ht="16.5" spans="1:5">
      <c r="A402" s="102">
        <v>3045453.7</v>
      </c>
      <c r="B402" s="102">
        <v>401240.1</v>
      </c>
      <c r="C402" s="102">
        <v>671.2</v>
      </c>
      <c r="D402" s="11">
        <v>45315</v>
      </c>
      <c r="E402" s="60">
        <v>488.422</v>
      </c>
    </row>
    <row r="403" ht="16.5" spans="1:5">
      <c r="A403" s="102">
        <v>3045453.7</v>
      </c>
      <c r="B403" s="102">
        <v>401240.1</v>
      </c>
      <c r="C403" s="102">
        <v>671.2</v>
      </c>
      <c r="D403" s="11">
        <v>45316</v>
      </c>
      <c r="E403" s="60">
        <v>489.953</v>
      </c>
    </row>
    <row r="404" ht="16.5" spans="1:5">
      <c r="A404" s="102">
        <v>3045453.7</v>
      </c>
      <c r="B404" s="102">
        <v>401240.1</v>
      </c>
      <c r="C404" s="102">
        <v>671.2</v>
      </c>
      <c r="D404" s="11">
        <v>45317</v>
      </c>
      <c r="E404" s="60">
        <v>491.758</v>
      </c>
    </row>
    <row r="405" ht="16.5" spans="1:5">
      <c r="A405" s="102">
        <v>3045453.7</v>
      </c>
      <c r="B405" s="102">
        <v>401240.1</v>
      </c>
      <c r="C405" s="102">
        <v>671.2</v>
      </c>
      <c r="D405" s="11">
        <v>45318</v>
      </c>
      <c r="E405" s="60">
        <v>492.755</v>
      </c>
    </row>
    <row r="406" ht="16.5" spans="1:5">
      <c r="A406" s="102">
        <v>3045453.7</v>
      </c>
      <c r="B406" s="102">
        <v>401240.1</v>
      </c>
      <c r="C406" s="102">
        <v>671.2</v>
      </c>
      <c r="D406" s="11">
        <v>45319</v>
      </c>
      <c r="E406" s="60">
        <v>493.093</v>
      </c>
    </row>
    <row r="407" ht="16.5" spans="1:5">
      <c r="A407" s="102">
        <v>3045453.7</v>
      </c>
      <c r="B407" s="102">
        <v>401240.1</v>
      </c>
      <c r="C407" s="102">
        <v>671.2</v>
      </c>
      <c r="D407" s="11">
        <v>45320</v>
      </c>
      <c r="E407" s="60">
        <v>497.563</v>
      </c>
    </row>
    <row r="408" ht="16.5" spans="1:5">
      <c r="A408" s="102">
        <v>3045453.7</v>
      </c>
      <c r="B408" s="102">
        <v>401240.1</v>
      </c>
      <c r="C408" s="102">
        <v>671.2</v>
      </c>
      <c r="D408" s="11">
        <v>45321</v>
      </c>
      <c r="E408" s="60">
        <v>499.949</v>
      </c>
    </row>
    <row r="409" ht="16.5" spans="1:5">
      <c r="A409" s="102">
        <v>3045453.7</v>
      </c>
      <c r="B409" s="102">
        <v>401240.1</v>
      </c>
      <c r="C409" s="102">
        <v>671.2</v>
      </c>
      <c r="D409" s="11">
        <v>45322</v>
      </c>
      <c r="E409" s="60">
        <v>501.653</v>
      </c>
    </row>
    <row r="410" ht="16.5" spans="1:5">
      <c r="A410" s="102">
        <v>3045453.7</v>
      </c>
      <c r="B410" s="102">
        <v>401240.1</v>
      </c>
      <c r="C410" s="102">
        <v>671.2</v>
      </c>
      <c r="D410" s="11">
        <v>45323</v>
      </c>
      <c r="E410" s="60">
        <v>502.792</v>
      </c>
    </row>
    <row r="411" ht="16.5" spans="1:5">
      <c r="A411" s="102">
        <v>3045453.7</v>
      </c>
      <c r="B411" s="102">
        <v>401240.1</v>
      </c>
      <c r="C411" s="102">
        <v>671.2</v>
      </c>
      <c r="D411" s="11">
        <v>45324</v>
      </c>
      <c r="E411" s="60">
        <v>503.486</v>
      </c>
    </row>
    <row r="412" ht="16.5" spans="1:5">
      <c r="A412" s="102">
        <v>3045453.7</v>
      </c>
      <c r="B412" s="102">
        <v>401240.1</v>
      </c>
      <c r="C412" s="102">
        <v>671.2</v>
      </c>
      <c r="D412" s="11">
        <v>45325</v>
      </c>
      <c r="E412" s="60">
        <v>499.936</v>
      </c>
    </row>
    <row r="413" ht="16.5" spans="1:5">
      <c r="A413" s="102">
        <v>3045453.7</v>
      </c>
      <c r="B413" s="102">
        <v>401240.1</v>
      </c>
      <c r="C413" s="102">
        <v>671.2</v>
      </c>
      <c r="D413" s="11">
        <v>45326</v>
      </c>
      <c r="E413" s="60">
        <v>498.499</v>
      </c>
    </row>
    <row r="414" ht="16.5" spans="1:5">
      <c r="A414" s="102">
        <v>3045453.7</v>
      </c>
      <c r="B414" s="102">
        <v>401240.1</v>
      </c>
      <c r="C414" s="102">
        <v>671.2</v>
      </c>
      <c r="D414" s="11">
        <v>45327</v>
      </c>
      <c r="E414" s="60">
        <v>497.9</v>
      </c>
    </row>
    <row r="415" ht="16.5" spans="1:5">
      <c r="A415" s="102">
        <v>3045453.7</v>
      </c>
      <c r="B415" s="102">
        <v>401240.1</v>
      </c>
      <c r="C415" s="102">
        <v>671.2</v>
      </c>
      <c r="D415" s="11">
        <v>45328</v>
      </c>
      <c r="E415" s="60">
        <v>497.548</v>
      </c>
    </row>
    <row r="416" ht="16.5" spans="1:5">
      <c r="A416" s="102">
        <v>3045453.7</v>
      </c>
      <c r="B416" s="102">
        <v>401240.1</v>
      </c>
      <c r="C416" s="102">
        <v>671.2</v>
      </c>
      <c r="D416" s="11">
        <v>45329</v>
      </c>
      <c r="E416" s="60">
        <v>497.192</v>
      </c>
    </row>
    <row r="417" ht="16.5" spans="1:5">
      <c r="A417" s="102">
        <v>3045453.7</v>
      </c>
      <c r="B417" s="102">
        <v>401240.1</v>
      </c>
      <c r="C417" s="102">
        <v>671.2</v>
      </c>
      <c r="D417" s="11">
        <v>45330</v>
      </c>
      <c r="E417" s="60">
        <v>496.865</v>
      </c>
    </row>
    <row r="418" ht="16.5" spans="1:5">
      <c r="A418" s="102">
        <v>3045453.7</v>
      </c>
      <c r="B418" s="102">
        <v>401240.1</v>
      </c>
      <c r="C418" s="102">
        <v>671.2</v>
      </c>
      <c r="D418" s="11">
        <v>45331</v>
      </c>
      <c r="E418" s="60">
        <v>496.553</v>
      </c>
    </row>
    <row r="419" ht="16.5" spans="1:5">
      <c r="A419" s="102">
        <v>3045453.7</v>
      </c>
      <c r="B419" s="102">
        <v>401240.1</v>
      </c>
      <c r="C419" s="102">
        <v>671.2</v>
      </c>
      <c r="D419" s="11">
        <v>45332</v>
      </c>
      <c r="E419" s="60">
        <v>496.34</v>
      </c>
    </row>
    <row r="420" ht="16.5" spans="1:5">
      <c r="A420" s="102">
        <v>3045453.7</v>
      </c>
      <c r="B420" s="102">
        <v>401240.1</v>
      </c>
      <c r="C420" s="102">
        <v>671.2</v>
      </c>
      <c r="D420" s="11">
        <v>45333</v>
      </c>
      <c r="E420" s="60">
        <v>499.188</v>
      </c>
    </row>
    <row r="421" ht="16.5" spans="1:5">
      <c r="A421" s="102">
        <v>3045453.7</v>
      </c>
      <c r="B421" s="102">
        <v>401240.1</v>
      </c>
      <c r="C421" s="102">
        <v>671.2</v>
      </c>
      <c r="D421" s="11">
        <v>45334</v>
      </c>
      <c r="E421" s="60">
        <v>501.31</v>
      </c>
    </row>
    <row r="422" ht="16.5" spans="1:5">
      <c r="A422" s="102">
        <v>3045453.7</v>
      </c>
      <c r="B422" s="102">
        <v>401240.1</v>
      </c>
      <c r="C422" s="102">
        <v>671.2</v>
      </c>
      <c r="D422" s="11">
        <v>45335</v>
      </c>
      <c r="E422" s="60">
        <v>502.215</v>
      </c>
    </row>
    <row r="423" ht="16.5" spans="1:5">
      <c r="A423" s="102">
        <v>3045453.7</v>
      </c>
      <c r="B423" s="102">
        <v>401240.1</v>
      </c>
      <c r="C423" s="102">
        <v>671.2</v>
      </c>
      <c r="D423" s="11">
        <v>45336</v>
      </c>
      <c r="E423" s="61">
        <v>502.718</v>
      </c>
    </row>
    <row r="424" ht="16.5" spans="1:5">
      <c r="A424" s="102">
        <v>3045453.7</v>
      </c>
      <c r="B424" s="102">
        <v>401240.1</v>
      </c>
      <c r="C424" s="102">
        <v>671.2</v>
      </c>
      <c r="D424" s="11">
        <v>45337</v>
      </c>
      <c r="E424" s="55"/>
    </row>
    <row r="425" ht="16.5" spans="1:5">
      <c r="A425" s="102">
        <v>3045453.7</v>
      </c>
      <c r="B425" s="102">
        <v>401240.1</v>
      </c>
      <c r="C425" s="102">
        <v>671.2</v>
      </c>
      <c r="D425" s="11">
        <v>45338</v>
      </c>
      <c r="E425" s="55"/>
    </row>
    <row r="426" ht="16.5" spans="1:5">
      <c r="A426" s="102">
        <v>3045453.7</v>
      </c>
      <c r="B426" s="102">
        <v>401240.1</v>
      </c>
      <c r="C426" s="102">
        <v>671.2</v>
      </c>
      <c r="D426" s="11">
        <v>45339</v>
      </c>
      <c r="E426" s="55"/>
    </row>
    <row r="427" ht="16.5" spans="1:5">
      <c r="A427" s="102">
        <v>3045453.7</v>
      </c>
      <c r="B427" s="102">
        <v>401240.1</v>
      </c>
      <c r="C427" s="102">
        <v>671.2</v>
      </c>
      <c r="D427" s="11">
        <v>45340</v>
      </c>
      <c r="E427" s="55"/>
    </row>
    <row r="428" ht="16.5" spans="1:5">
      <c r="A428" s="102">
        <v>3045453.7</v>
      </c>
      <c r="B428" s="102">
        <v>401240.1</v>
      </c>
      <c r="C428" s="102">
        <v>671.2</v>
      </c>
      <c r="D428" s="11">
        <v>45341</v>
      </c>
      <c r="E428" s="60">
        <v>502.398</v>
      </c>
    </row>
    <row r="429" ht="16.5" spans="1:5">
      <c r="A429" s="102">
        <v>3045453.7</v>
      </c>
      <c r="B429" s="102">
        <v>401240.1</v>
      </c>
      <c r="C429" s="102">
        <v>671.2</v>
      </c>
      <c r="D429" s="11">
        <v>45342</v>
      </c>
      <c r="E429" s="60">
        <v>501.142</v>
      </c>
    </row>
    <row r="430" ht="16.5" spans="1:5">
      <c r="A430" s="102">
        <v>3045453.7</v>
      </c>
      <c r="B430" s="102">
        <v>401240.1</v>
      </c>
      <c r="C430" s="102">
        <v>671.2</v>
      </c>
      <c r="D430" s="11">
        <v>45343</v>
      </c>
      <c r="E430" s="60">
        <v>497.06</v>
      </c>
    </row>
    <row r="431" ht="16.5" spans="1:5">
      <c r="A431" s="102">
        <v>3045453.7</v>
      </c>
      <c r="B431" s="102">
        <v>401240.1</v>
      </c>
      <c r="C431" s="102">
        <v>671.2</v>
      </c>
      <c r="D431" s="11">
        <v>45344</v>
      </c>
      <c r="E431" s="60">
        <v>495.178</v>
      </c>
    </row>
    <row r="432" ht="16.5" spans="1:5">
      <c r="A432" s="102">
        <v>3045453.7</v>
      </c>
      <c r="B432" s="102">
        <v>401240.1</v>
      </c>
      <c r="C432" s="102">
        <v>671.2</v>
      </c>
      <c r="D432" s="11">
        <v>45345</v>
      </c>
      <c r="E432" s="60">
        <v>496.89</v>
      </c>
    </row>
    <row r="433" ht="16.5" spans="1:5">
      <c r="A433" s="102">
        <v>3045453.7</v>
      </c>
      <c r="B433" s="102">
        <v>401240.1</v>
      </c>
      <c r="C433" s="102">
        <v>671.2</v>
      </c>
      <c r="D433" s="11">
        <v>45346</v>
      </c>
      <c r="E433" s="60">
        <v>498.748</v>
      </c>
    </row>
    <row r="434" ht="16.5" spans="1:5">
      <c r="A434" s="102">
        <v>3045453.7</v>
      </c>
      <c r="B434" s="102">
        <v>401240.1</v>
      </c>
      <c r="C434" s="102">
        <v>671.2</v>
      </c>
      <c r="D434" s="11">
        <v>45347</v>
      </c>
      <c r="E434" s="60">
        <v>499.437</v>
      </c>
    </row>
    <row r="435" ht="16.5" spans="1:5">
      <c r="A435" s="102">
        <v>3045453.7</v>
      </c>
      <c r="B435" s="102">
        <v>401240.1</v>
      </c>
      <c r="C435" s="102">
        <v>671.2</v>
      </c>
      <c r="D435" s="11">
        <v>45348</v>
      </c>
      <c r="E435" s="60">
        <v>498.891</v>
      </c>
    </row>
    <row r="436" ht="16.5" spans="1:5">
      <c r="A436" s="102">
        <v>3045453.7</v>
      </c>
      <c r="B436" s="102">
        <v>401240.1</v>
      </c>
      <c r="C436" s="102">
        <v>671.2</v>
      </c>
      <c r="D436" s="11">
        <v>45349</v>
      </c>
      <c r="E436" s="60">
        <v>497.845</v>
      </c>
    </row>
    <row r="437" ht="16.5" spans="1:5">
      <c r="A437" s="102">
        <v>3045453.7</v>
      </c>
      <c r="B437" s="102">
        <v>401240.1</v>
      </c>
      <c r="C437" s="102">
        <v>671.2</v>
      </c>
      <c r="D437" s="11">
        <v>45350</v>
      </c>
      <c r="E437" s="60">
        <v>498.274</v>
      </c>
    </row>
    <row r="438" ht="16.5" spans="1:5">
      <c r="A438" s="102">
        <v>3045453.7</v>
      </c>
      <c r="B438" s="102">
        <v>401240.1</v>
      </c>
      <c r="C438" s="102">
        <v>671.2</v>
      </c>
      <c r="D438" s="11">
        <v>45351</v>
      </c>
      <c r="E438" s="60">
        <v>498.711</v>
      </c>
    </row>
    <row r="439" ht="16.5" spans="1:5">
      <c r="A439" s="102">
        <v>3045453.7</v>
      </c>
      <c r="B439" s="102">
        <v>401240.1</v>
      </c>
      <c r="C439" s="102">
        <v>671.2</v>
      </c>
      <c r="D439" s="11">
        <v>45352</v>
      </c>
      <c r="E439" s="60">
        <v>498.952</v>
      </c>
    </row>
    <row r="440" ht="16.5" spans="1:5">
      <c r="A440" s="102">
        <v>3045453.7</v>
      </c>
      <c r="B440" s="102">
        <v>401240.1</v>
      </c>
      <c r="C440" s="102">
        <v>671.2</v>
      </c>
      <c r="D440" s="11">
        <v>45353</v>
      </c>
      <c r="E440" s="60">
        <v>498.711</v>
      </c>
    </row>
    <row r="441" ht="16.5" spans="1:5">
      <c r="A441" s="102">
        <v>3045453.7</v>
      </c>
      <c r="B441" s="102">
        <v>401240.1</v>
      </c>
      <c r="C441" s="102">
        <v>671.2</v>
      </c>
      <c r="D441" s="11">
        <v>45354</v>
      </c>
      <c r="E441" s="60">
        <v>498.952</v>
      </c>
    </row>
    <row r="442" ht="16.5" spans="1:5">
      <c r="A442" s="102">
        <v>3045453.7</v>
      </c>
      <c r="B442" s="102">
        <v>401240.1</v>
      </c>
      <c r="C442" s="102">
        <v>671.2</v>
      </c>
      <c r="D442" s="11">
        <v>45355</v>
      </c>
      <c r="E442" s="60">
        <v>498.996</v>
      </c>
    </row>
    <row r="443" ht="16.5" spans="1:5">
      <c r="A443" s="102">
        <v>3045453.7</v>
      </c>
      <c r="B443" s="102">
        <v>401240.1</v>
      </c>
      <c r="C443" s="102">
        <v>671.2</v>
      </c>
      <c r="D443" s="11">
        <v>45356</v>
      </c>
      <c r="E443" s="60">
        <v>498.821</v>
      </c>
    </row>
    <row r="444" ht="16.5" spans="1:5">
      <c r="A444" s="102">
        <v>3045453.7</v>
      </c>
      <c r="B444" s="102">
        <v>401240.1</v>
      </c>
      <c r="C444" s="102">
        <v>671.2</v>
      </c>
      <c r="D444" s="11">
        <v>45357</v>
      </c>
      <c r="E444" s="60">
        <v>498.709</v>
      </c>
    </row>
    <row r="445" ht="16.5" spans="1:5">
      <c r="A445" s="102">
        <v>3045453.7</v>
      </c>
      <c r="B445" s="102">
        <v>401240.1</v>
      </c>
      <c r="C445" s="102">
        <v>671.2</v>
      </c>
      <c r="D445" s="11">
        <v>45358</v>
      </c>
      <c r="E445" s="60">
        <v>498.559</v>
      </c>
    </row>
    <row r="446" ht="16.5" spans="1:5">
      <c r="A446" s="102">
        <v>3045453.7</v>
      </c>
      <c r="B446" s="102">
        <v>401240.1</v>
      </c>
      <c r="C446" s="102">
        <v>671.2</v>
      </c>
      <c r="D446" s="11">
        <v>45359</v>
      </c>
      <c r="E446" s="60">
        <v>498.377</v>
      </c>
    </row>
    <row r="447" ht="16.5" spans="1:5">
      <c r="A447" s="102">
        <v>3045453.7</v>
      </c>
      <c r="B447" s="102">
        <v>401240.1</v>
      </c>
      <c r="C447" s="102">
        <v>671.2</v>
      </c>
      <c r="D447" s="11">
        <v>45360</v>
      </c>
      <c r="E447" s="60">
        <v>498.028</v>
      </c>
    </row>
    <row r="448" ht="16.5" spans="1:5">
      <c r="A448" s="102">
        <v>3045453.7</v>
      </c>
      <c r="B448" s="102">
        <v>401240.1</v>
      </c>
      <c r="C448" s="102">
        <v>671.2</v>
      </c>
      <c r="D448" s="11">
        <v>45361</v>
      </c>
      <c r="E448" s="60"/>
    </row>
    <row r="449" ht="16.5" spans="1:5">
      <c r="A449" s="102">
        <v>3045453.7</v>
      </c>
      <c r="B449" s="102">
        <v>401240.1</v>
      </c>
      <c r="C449" s="102">
        <v>671.2</v>
      </c>
      <c r="D449" s="11">
        <v>45362</v>
      </c>
      <c r="E449" s="60"/>
    </row>
    <row r="450" ht="16.5" spans="1:5">
      <c r="A450" s="102">
        <v>3045453.7</v>
      </c>
      <c r="B450" s="102">
        <v>401240.1</v>
      </c>
      <c r="C450" s="102">
        <v>671.2</v>
      </c>
      <c r="D450" s="11">
        <v>45363</v>
      </c>
      <c r="E450" s="60"/>
    </row>
    <row r="451" ht="16.5" spans="1:5">
      <c r="A451" s="102">
        <v>3045453.7</v>
      </c>
      <c r="B451" s="102">
        <v>401240.1</v>
      </c>
      <c r="C451" s="102">
        <v>671.2</v>
      </c>
      <c r="D451" s="11">
        <v>45364</v>
      </c>
      <c r="E451" s="60"/>
    </row>
    <row r="452" ht="16.5" spans="1:5">
      <c r="A452" s="102">
        <v>3045453.7</v>
      </c>
      <c r="B452" s="102">
        <v>401240.1</v>
      </c>
      <c r="C452" s="102">
        <v>671.2</v>
      </c>
      <c r="D452" s="11">
        <v>45365</v>
      </c>
      <c r="E452" s="60"/>
    </row>
    <row r="453" ht="16.5" spans="1:5">
      <c r="A453" s="102">
        <v>3045453.7</v>
      </c>
      <c r="B453" s="102">
        <v>401240.1</v>
      </c>
      <c r="C453" s="102">
        <v>671.2</v>
      </c>
      <c r="D453" s="11">
        <v>45366</v>
      </c>
      <c r="E453" s="60"/>
    </row>
    <row r="454" ht="16.5" spans="1:5">
      <c r="A454" s="102">
        <v>3045453.7</v>
      </c>
      <c r="B454" s="102">
        <v>401240.1</v>
      </c>
      <c r="C454" s="102">
        <v>671.2</v>
      </c>
      <c r="D454" s="11">
        <v>45367</v>
      </c>
      <c r="E454" s="60"/>
    </row>
    <row r="455" ht="16.5" spans="1:5">
      <c r="A455" s="102">
        <v>3045453.7</v>
      </c>
      <c r="B455" s="102">
        <v>401240.1</v>
      </c>
      <c r="C455" s="102">
        <v>671.2</v>
      </c>
      <c r="D455" s="11">
        <v>45368</v>
      </c>
      <c r="E455" s="60"/>
    </row>
    <row r="456" ht="16.5" spans="1:5">
      <c r="A456" s="102">
        <v>3045453.7</v>
      </c>
      <c r="B456" s="102">
        <v>401240.1</v>
      </c>
      <c r="C456" s="102">
        <v>671.2</v>
      </c>
      <c r="D456" s="11">
        <v>45369</v>
      </c>
      <c r="E456" s="60"/>
    </row>
    <row r="457" ht="16.5" spans="1:5">
      <c r="A457" s="102">
        <v>3045453.7</v>
      </c>
      <c r="B457" s="102">
        <v>401240.1</v>
      </c>
      <c r="C457" s="102">
        <v>671.2</v>
      </c>
      <c r="D457" s="11">
        <v>45370</v>
      </c>
      <c r="E457" s="60"/>
    </row>
    <row r="458" ht="16.5" spans="1:5">
      <c r="A458" s="102">
        <v>3045453.7</v>
      </c>
      <c r="B458" s="102">
        <v>401240.1</v>
      </c>
      <c r="C458" s="102">
        <v>671.2</v>
      </c>
      <c r="D458" s="11">
        <v>45371</v>
      </c>
      <c r="E458" s="60"/>
    </row>
    <row r="459" ht="16.5" spans="1:5">
      <c r="A459" s="102">
        <v>3045453.7</v>
      </c>
      <c r="B459" s="102">
        <v>401240.1</v>
      </c>
      <c r="C459" s="102">
        <v>671.2</v>
      </c>
      <c r="D459" s="11">
        <v>45372</v>
      </c>
      <c r="E459" s="60"/>
    </row>
    <row r="460" ht="16.5" spans="1:5">
      <c r="A460" s="102">
        <v>3045453.7</v>
      </c>
      <c r="B460" s="102">
        <v>401240.1</v>
      </c>
      <c r="C460" s="102">
        <v>671.2</v>
      </c>
      <c r="D460" s="11">
        <v>45373</v>
      </c>
      <c r="E460" s="60"/>
    </row>
    <row r="461" ht="16.5" spans="1:5">
      <c r="A461" s="102">
        <v>3045453.7</v>
      </c>
      <c r="B461" s="102">
        <v>401240.1</v>
      </c>
      <c r="C461" s="102">
        <v>671.2</v>
      </c>
      <c r="D461" s="11">
        <v>45374</v>
      </c>
      <c r="E461" s="60"/>
    </row>
    <row r="462" ht="16.5" spans="1:5">
      <c r="A462" s="102">
        <v>3045453.7</v>
      </c>
      <c r="B462" s="102">
        <v>401240.1</v>
      </c>
      <c r="C462" s="102">
        <v>671.2</v>
      </c>
      <c r="D462" s="11">
        <v>45375</v>
      </c>
      <c r="E462" s="60"/>
    </row>
    <row r="463" ht="16.5" spans="1:5">
      <c r="A463" s="102">
        <v>3045453.7</v>
      </c>
      <c r="B463" s="102">
        <v>401240.1</v>
      </c>
      <c r="C463" s="102">
        <v>671.2</v>
      </c>
      <c r="D463" s="11">
        <v>45376</v>
      </c>
      <c r="E463" s="60"/>
    </row>
    <row r="464" ht="16.5" spans="1:5">
      <c r="A464" s="102">
        <v>3045453.7</v>
      </c>
      <c r="B464" s="102">
        <v>401240.1</v>
      </c>
      <c r="C464" s="102">
        <v>671.2</v>
      </c>
      <c r="D464" s="11">
        <v>45377</v>
      </c>
      <c r="E464" s="60"/>
    </row>
    <row r="465" ht="16.5" spans="1:5">
      <c r="A465" s="102">
        <v>3045453.7</v>
      </c>
      <c r="B465" s="102">
        <v>401240.1</v>
      </c>
      <c r="C465" s="102">
        <v>671.2</v>
      </c>
      <c r="D465" s="11">
        <v>45378</v>
      </c>
      <c r="E465" s="60"/>
    </row>
    <row r="466" ht="16.5" spans="1:5">
      <c r="A466" s="102">
        <v>3045453.7</v>
      </c>
      <c r="B466" s="102">
        <v>401240.1</v>
      </c>
      <c r="C466" s="102">
        <v>671.2</v>
      </c>
      <c r="D466" s="11">
        <v>45379</v>
      </c>
      <c r="E466" s="60"/>
    </row>
    <row r="467" ht="16.5" spans="1:5">
      <c r="A467" s="102">
        <v>3045453.7</v>
      </c>
      <c r="B467" s="102">
        <v>401240.1</v>
      </c>
      <c r="C467" s="102">
        <v>671.2</v>
      </c>
      <c r="D467" s="11">
        <v>45380</v>
      </c>
      <c r="E467" s="60"/>
    </row>
    <row r="468" ht="16.5" spans="1:5">
      <c r="A468" s="102">
        <v>3045453.7</v>
      </c>
      <c r="B468" s="102">
        <v>401240.1</v>
      </c>
      <c r="C468" s="102">
        <v>671.2</v>
      </c>
      <c r="D468" s="11">
        <v>45381</v>
      </c>
      <c r="E468" s="60"/>
    </row>
    <row r="469" ht="16.5" spans="1:5">
      <c r="A469" s="102">
        <v>3045453.7</v>
      </c>
      <c r="B469" s="102">
        <v>401240.1</v>
      </c>
      <c r="C469" s="102">
        <v>671.2</v>
      </c>
      <c r="D469" s="11">
        <v>45382</v>
      </c>
      <c r="E469" s="60"/>
    </row>
    <row r="470" ht="16.5" spans="1:5">
      <c r="A470" s="102">
        <v>3045453.7</v>
      </c>
      <c r="B470" s="102">
        <v>401240.1</v>
      </c>
      <c r="C470" s="102">
        <v>671.2</v>
      </c>
      <c r="D470" s="11">
        <v>45383</v>
      </c>
      <c r="E470" s="60"/>
    </row>
    <row r="471" ht="16.5" spans="1:5">
      <c r="A471" s="102">
        <v>3045453.7</v>
      </c>
      <c r="B471" s="102">
        <v>401240.1</v>
      </c>
      <c r="C471" s="102">
        <v>671.2</v>
      </c>
      <c r="D471" s="11">
        <v>45384</v>
      </c>
      <c r="E471" s="60"/>
    </row>
    <row r="472" ht="16.5" spans="1:5">
      <c r="A472" s="102">
        <v>3045453.7</v>
      </c>
      <c r="B472" s="102">
        <v>401240.1</v>
      </c>
      <c r="C472" s="102">
        <v>671.2</v>
      </c>
      <c r="D472" s="11">
        <v>45385</v>
      </c>
      <c r="E472" s="60">
        <v>479.906</v>
      </c>
    </row>
    <row r="473" ht="16.5" spans="1:5">
      <c r="A473" s="102">
        <v>3045453.7</v>
      </c>
      <c r="B473" s="102">
        <v>401240.1</v>
      </c>
      <c r="C473" s="102">
        <v>671.2</v>
      </c>
      <c r="D473" s="11">
        <v>45386</v>
      </c>
      <c r="E473" s="60">
        <v>478.975</v>
      </c>
    </row>
    <row r="474" ht="16.5" spans="1:5">
      <c r="A474" s="102">
        <v>3045453.7</v>
      </c>
      <c r="B474" s="102">
        <v>401240.1</v>
      </c>
      <c r="C474" s="102">
        <v>671.2</v>
      </c>
      <c r="D474" s="11">
        <v>45387</v>
      </c>
      <c r="E474" s="60">
        <v>478.443</v>
      </c>
    </row>
    <row r="475" ht="16.5" spans="1:5">
      <c r="A475" s="102">
        <v>3045453.7</v>
      </c>
      <c r="B475" s="102">
        <v>401240.1</v>
      </c>
      <c r="C475" s="102">
        <v>671.2</v>
      </c>
      <c r="D475" s="11">
        <v>45388</v>
      </c>
      <c r="E475" s="60">
        <v>478.009</v>
      </c>
    </row>
    <row r="476" ht="16.5" spans="1:5">
      <c r="A476" s="102">
        <v>3045453.7</v>
      </c>
      <c r="B476" s="102">
        <v>401240.1</v>
      </c>
      <c r="C476" s="102">
        <v>671.2</v>
      </c>
      <c r="D476" s="11">
        <v>45389</v>
      </c>
      <c r="E476" s="60">
        <v>477.77</v>
      </c>
    </row>
    <row r="477" ht="16.5" spans="1:5">
      <c r="A477" s="102">
        <v>3045453.7</v>
      </c>
      <c r="B477" s="102">
        <v>401240.1</v>
      </c>
      <c r="C477" s="102">
        <v>671.2</v>
      </c>
      <c r="D477" s="11">
        <v>45390</v>
      </c>
      <c r="E477" s="60">
        <v>477.457</v>
      </c>
    </row>
    <row r="478" ht="16.5" spans="1:5">
      <c r="A478" s="102">
        <v>3045453.7</v>
      </c>
      <c r="B478" s="102">
        <v>401240.1</v>
      </c>
      <c r="C478" s="102">
        <v>671.2</v>
      </c>
      <c r="D478" s="11">
        <v>45391</v>
      </c>
      <c r="E478" s="60">
        <v>477.236</v>
      </c>
    </row>
    <row r="479" ht="16.5" spans="1:5">
      <c r="A479" s="102">
        <v>3045453.7</v>
      </c>
      <c r="B479" s="102">
        <v>401240.1</v>
      </c>
      <c r="C479" s="102">
        <v>671.2</v>
      </c>
      <c r="D479" s="11">
        <v>45392</v>
      </c>
      <c r="E479" s="60">
        <v>477.099</v>
      </c>
    </row>
    <row r="480" ht="16.5" spans="1:5">
      <c r="A480" s="102">
        <v>3045453.7</v>
      </c>
      <c r="B480" s="102">
        <v>401240.1</v>
      </c>
      <c r="C480" s="102">
        <v>671.2</v>
      </c>
      <c r="D480" s="11">
        <v>45393</v>
      </c>
      <c r="E480" s="60">
        <v>476.897</v>
      </c>
    </row>
    <row r="481" ht="16.5" spans="1:5">
      <c r="A481" s="102">
        <v>3045453.7</v>
      </c>
      <c r="B481" s="102">
        <v>401240.1</v>
      </c>
      <c r="C481" s="102">
        <v>671.2</v>
      </c>
      <c r="D481" s="11">
        <v>45394</v>
      </c>
      <c r="E481" s="60">
        <v>476.703</v>
      </c>
    </row>
    <row r="482" ht="16.5" spans="1:5">
      <c r="A482" s="102">
        <v>3045453.7</v>
      </c>
      <c r="B482" s="102">
        <v>401240.1</v>
      </c>
      <c r="C482" s="102">
        <v>671.2</v>
      </c>
      <c r="D482" s="11">
        <v>45395</v>
      </c>
      <c r="E482" s="60">
        <v>476.459</v>
      </c>
    </row>
    <row r="483" ht="16.5" spans="1:5">
      <c r="A483" s="102">
        <v>3045453.7</v>
      </c>
      <c r="B483" s="102">
        <v>401240.1</v>
      </c>
      <c r="C483" s="102">
        <v>671.2</v>
      </c>
      <c r="D483" s="11">
        <v>45396</v>
      </c>
      <c r="E483" s="60">
        <v>476.811</v>
      </c>
    </row>
    <row r="484" ht="16.5" spans="1:5">
      <c r="A484" s="102">
        <v>3045453.7</v>
      </c>
      <c r="B484" s="102">
        <v>401240.1</v>
      </c>
      <c r="C484" s="102">
        <v>671.2</v>
      </c>
      <c r="D484" s="11">
        <v>45397</v>
      </c>
      <c r="E484" s="60">
        <v>476.823</v>
      </c>
    </row>
    <row r="485" ht="16.5" spans="1:5">
      <c r="A485" s="102">
        <v>3045453.7</v>
      </c>
      <c r="B485" s="102">
        <v>401240.1</v>
      </c>
      <c r="C485" s="102">
        <v>671.2</v>
      </c>
      <c r="D485" s="11">
        <v>45398</v>
      </c>
      <c r="E485" s="60">
        <v>476.654</v>
      </c>
    </row>
    <row r="486" ht="16.5" spans="1:5">
      <c r="A486" s="102">
        <v>3045453.7</v>
      </c>
      <c r="B486" s="102">
        <v>401240.1</v>
      </c>
      <c r="C486" s="102">
        <v>671.2</v>
      </c>
      <c r="D486" s="11">
        <v>45399</v>
      </c>
      <c r="E486" s="60">
        <v>476.425</v>
      </c>
    </row>
    <row r="487" ht="16.5" spans="1:5">
      <c r="A487" s="102">
        <v>3045453.7</v>
      </c>
      <c r="B487" s="102">
        <v>401240.1</v>
      </c>
      <c r="C487" s="102">
        <v>671.2</v>
      </c>
      <c r="D487" s="11">
        <v>45400</v>
      </c>
      <c r="E487" s="60">
        <v>476.208</v>
      </c>
    </row>
    <row r="488" ht="16.5" spans="1:5">
      <c r="A488" s="102">
        <v>3045453.7</v>
      </c>
      <c r="B488" s="102">
        <v>401240.1</v>
      </c>
      <c r="C488" s="102">
        <v>671.2</v>
      </c>
      <c r="D488" s="11">
        <v>45401</v>
      </c>
      <c r="E488" s="60">
        <v>475.983</v>
      </c>
    </row>
    <row r="489" ht="16.5" spans="1:5">
      <c r="A489" s="102">
        <v>3045453.7</v>
      </c>
      <c r="B489" s="102">
        <v>401240.1</v>
      </c>
      <c r="C489" s="102">
        <v>671.2</v>
      </c>
      <c r="D489" s="11">
        <v>45402</v>
      </c>
      <c r="E489" s="60">
        <v>475.807</v>
      </c>
    </row>
    <row r="490" ht="16.5" spans="1:5">
      <c r="A490" s="102">
        <v>3045453.7</v>
      </c>
      <c r="B490" s="102">
        <v>401240.1</v>
      </c>
      <c r="C490" s="102">
        <v>671.2</v>
      </c>
      <c r="D490" s="11">
        <v>45403</v>
      </c>
      <c r="E490" s="60">
        <v>475.774</v>
      </c>
    </row>
    <row r="491" ht="16.5" spans="1:5">
      <c r="A491" s="102">
        <v>3045453.7</v>
      </c>
      <c r="B491" s="102">
        <v>401240.1</v>
      </c>
      <c r="C491" s="102">
        <v>671.2</v>
      </c>
      <c r="D491" s="11">
        <v>45404</v>
      </c>
      <c r="E491" s="60">
        <v>475.628</v>
      </c>
    </row>
    <row r="492" ht="16.5" spans="1:5">
      <c r="A492" s="102">
        <v>3045453.7</v>
      </c>
      <c r="B492" s="102">
        <v>401240.1</v>
      </c>
      <c r="C492" s="102">
        <v>671.2</v>
      </c>
      <c r="D492" s="11">
        <v>45405</v>
      </c>
      <c r="E492" s="60">
        <v>475.425</v>
      </c>
    </row>
    <row r="493" ht="16.5" spans="1:5">
      <c r="A493" s="102">
        <v>3045453.7</v>
      </c>
      <c r="B493" s="102">
        <v>401240.1</v>
      </c>
      <c r="C493" s="102">
        <v>671.2</v>
      </c>
      <c r="D493" s="11">
        <v>45406</v>
      </c>
      <c r="E493" s="60">
        <v>475.268</v>
      </c>
    </row>
    <row r="494" ht="16.5" spans="1:5">
      <c r="A494" s="102">
        <v>3045453.7</v>
      </c>
      <c r="B494" s="102">
        <v>401240.1</v>
      </c>
      <c r="C494" s="102">
        <v>671.2</v>
      </c>
      <c r="D494" s="11">
        <v>45407</v>
      </c>
      <c r="E494" s="60">
        <v>474.924</v>
      </c>
    </row>
    <row r="495" ht="16.5" spans="1:5">
      <c r="A495" s="102">
        <v>3045453.7</v>
      </c>
      <c r="B495" s="102">
        <v>401240.1</v>
      </c>
      <c r="C495" s="102">
        <v>671.2</v>
      </c>
      <c r="D495" s="11">
        <v>45408</v>
      </c>
      <c r="E495" s="60">
        <v>474.684</v>
      </c>
    </row>
    <row r="496" ht="16.5" spans="1:5">
      <c r="A496" s="102">
        <v>3045453.7</v>
      </c>
      <c r="B496" s="102">
        <v>401240.1</v>
      </c>
      <c r="C496" s="102">
        <v>671.2</v>
      </c>
      <c r="D496" s="11">
        <v>45409</v>
      </c>
      <c r="E496" s="60">
        <v>474.275</v>
      </c>
    </row>
    <row r="497" ht="16.5" spans="1:5">
      <c r="A497" s="102">
        <v>3045453.7</v>
      </c>
      <c r="B497" s="102">
        <v>401240.1</v>
      </c>
      <c r="C497" s="102">
        <v>671.2</v>
      </c>
      <c r="D497" s="11">
        <v>45410</v>
      </c>
      <c r="E497" s="60">
        <v>473.866</v>
      </c>
    </row>
    <row r="498" ht="16.5" spans="1:5">
      <c r="A498" s="102">
        <v>3045453.7</v>
      </c>
      <c r="B498" s="102">
        <v>401240.1</v>
      </c>
      <c r="C498" s="102">
        <v>671.2</v>
      </c>
      <c r="D498" s="11">
        <v>45411</v>
      </c>
      <c r="E498" s="60">
        <v>473.495</v>
      </c>
    </row>
    <row r="499" ht="16.5" spans="1:5">
      <c r="A499" s="102">
        <v>3045453.7</v>
      </c>
      <c r="B499" s="102">
        <v>401240.1</v>
      </c>
      <c r="C499" s="102">
        <v>671.2</v>
      </c>
      <c r="D499" s="11">
        <v>45412</v>
      </c>
      <c r="E499" s="60">
        <v>473.025</v>
      </c>
    </row>
    <row r="500" ht="16.5" spans="1:5">
      <c r="A500" s="102">
        <v>3045453.7</v>
      </c>
      <c r="B500" s="102">
        <v>401240.1</v>
      </c>
      <c r="C500" s="102">
        <v>671.2</v>
      </c>
      <c r="D500" s="11">
        <v>45413</v>
      </c>
      <c r="E500" s="60">
        <v>472.753</v>
      </c>
    </row>
    <row r="501" ht="16.5" spans="1:5">
      <c r="A501" s="102">
        <v>3045453.7</v>
      </c>
      <c r="B501" s="102">
        <v>401240.1</v>
      </c>
      <c r="C501" s="102">
        <v>671.2</v>
      </c>
      <c r="D501" s="11">
        <v>45414</v>
      </c>
      <c r="E501" s="60">
        <v>472.609</v>
      </c>
    </row>
    <row r="502" ht="16.5" spans="1:5">
      <c r="A502" s="102">
        <v>3045453.7</v>
      </c>
      <c r="B502" s="102">
        <v>401240.1</v>
      </c>
      <c r="C502" s="102">
        <v>671.2</v>
      </c>
      <c r="D502" s="11">
        <v>45415</v>
      </c>
      <c r="E502" s="60">
        <v>471.8</v>
      </c>
    </row>
    <row r="503" ht="16.5" spans="1:5">
      <c r="A503" s="102">
        <v>3045453.7</v>
      </c>
      <c r="B503" s="102">
        <v>401240.1</v>
      </c>
      <c r="C503" s="102">
        <v>671.2</v>
      </c>
      <c r="D503" s="11">
        <v>45416</v>
      </c>
      <c r="E503" s="60">
        <v>471.294</v>
      </c>
    </row>
    <row r="504" ht="16.5" spans="1:5">
      <c r="A504" s="102">
        <v>3045453.7</v>
      </c>
      <c r="B504" s="102">
        <v>401240.1</v>
      </c>
      <c r="C504" s="102">
        <v>671.2</v>
      </c>
      <c r="D504" s="11">
        <v>45417</v>
      </c>
      <c r="E504" s="60">
        <v>470.884</v>
      </c>
    </row>
    <row r="505" ht="16.5" spans="1:5">
      <c r="A505" s="102">
        <v>3045453.7</v>
      </c>
      <c r="B505" s="102">
        <v>401240.1</v>
      </c>
      <c r="C505" s="102">
        <v>671.2</v>
      </c>
      <c r="D505" s="11">
        <v>45418</v>
      </c>
      <c r="E505" s="60">
        <v>470.589</v>
      </c>
    </row>
    <row r="506" ht="16.5" spans="1:5">
      <c r="A506" s="102">
        <v>3045453.7</v>
      </c>
      <c r="B506" s="102">
        <v>401240.1</v>
      </c>
      <c r="C506" s="102">
        <v>671.2</v>
      </c>
      <c r="D506" s="11">
        <v>45419</v>
      </c>
      <c r="E506" s="60">
        <v>470.394</v>
      </c>
    </row>
    <row r="507" ht="16.5" spans="1:5">
      <c r="A507" s="102">
        <v>3045453.7</v>
      </c>
      <c r="B507" s="102">
        <v>401240.1</v>
      </c>
      <c r="C507" s="102">
        <v>671.2</v>
      </c>
      <c r="D507" s="11">
        <v>45420</v>
      </c>
      <c r="E507" s="60">
        <v>470.046</v>
      </c>
    </row>
    <row r="508" ht="16.5" spans="1:5">
      <c r="A508" s="102">
        <v>3045453.7</v>
      </c>
      <c r="B508" s="102">
        <v>401240.1</v>
      </c>
      <c r="C508" s="102">
        <v>671.2</v>
      </c>
      <c r="D508" s="11">
        <v>45421</v>
      </c>
      <c r="E508" s="60">
        <v>469.835</v>
      </c>
    </row>
    <row r="509" ht="16.5" spans="1:5">
      <c r="A509" s="102">
        <v>3045453.7</v>
      </c>
      <c r="B509" s="102">
        <v>401240.1</v>
      </c>
      <c r="C509" s="102">
        <v>671.2</v>
      </c>
      <c r="D509" s="11">
        <v>45422</v>
      </c>
      <c r="E509" s="60">
        <v>469.534</v>
      </c>
    </row>
    <row r="510" ht="16.5" spans="1:5">
      <c r="A510" s="102">
        <v>3045453.7</v>
      </c>
      <c r="B510" s="102">
        <v>401240.1</v>
      </c>
      <c r="C510" s="102">
        <v>671.2</v>
      </c>
      <c r="D510" s="11">
        <v>45423</v>
      </c>
      <c r="E510" s="60">
        <v>469.154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opLeftCell="A9" workbookViewId="0">
      <selection activeCell="C7" sqref="C7"/>
    </sheetView>
  </sheetViews>
  <sheetFormatPr defaultColWidth="9" defaultRowHeight="14.25" outlineLevelCol="4"/>
  <cols>
    <col min="1" max="1" width="17.25" customWidth="1"/>
    <col min="2" max="2" width="11" customWidth="1"/>
    <col min="3" max="3" width="19.25" customWidth="1"/>
    <col min="4" max="4" width="17.25" customWidth="1"/>
    <col min="5" max="5" width="9.2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6.5" spans="1:5">
      <c r="A3" s="102">
        <v>3045315.4</v>
      </c>
      <c r="B3" s="102">
        <v>401156.7</v>
      </c>
      <c r="C3" s="102">
        <v>670.7</v>
      </c>
      <c r="D3" s="11">
        <v>45388</v>
      </c>
      <c r="E3" s="69">
        <v>632.028</v>
      </c>
    </row>
    <row r="4" ht="16.5" spans="1:5">
      <c r="A4" s="102">
        <v>3045315.4</v>
      </c>
      <c r="B4" s="102">
        <v>401156.7</v>
      </c>
      <c r="C4" s="102">
        <v>670.7</v>
      </c>
      <c r="D4" s="11">
        <v>45389</v>
      </c>
      <c r="E4" s="69">
        <v>631.001</v>
      </c>
    </row>
    <row r="5" ht="16.5" spans="1:5">
      <c r="A5" s="102">
        <v>3045315.4</v>
      </c>
      <c r="B5" s="102">
        <v>401156.7</v>
      </c>
      <c r="C5" s="102">
        <v>670.7</v>
      </c>
      <c r="D5" s="11">
        <v>45390</v>
      </c>
      <c r="E5" s="69">
        <v>630.71</v>
      </c>
    </row>
    <row r="6" ht="16.5" spans="1:5">
      <c r="A6" s="102">
        <v>3045315.4</v>
      </c>
      <c r="B6" s="102">
        <v>401156.7</v>
      </c>
      <c r="C6" s="102">
        <v>670.7</v>
      </c>
      <c r="D6" s="11">
        <v>45391</v>
      </c>
      <c r="E6" s="69">
        <v>630.01</v>
      </c>
    </row>
    <row r="7" ht="16.5" spans="1:5">
      <c r="A7" s="102">
        <v>3045315.4</v>
      </c>
      <c r="B7" s="102">
        <v>401156.7</v>
      </c>
      <c r="C7" s="102">
        <v>670.7</v>
      </c>
      <c r="D7" s="11">
        <v>45392</v>
      </c>
      <c r="E7" s="69">
        <v>629.422</v>
      </c>
    </row>
    <row r="8" ht="16.5" spans="1:5">
      <c r="A8" s="102">
        <v>3045315.4</v>
      </c>
      <c r="B8" s="102">
        <v>401156.7</v>
      </c>
      <c r="C8" s="102">
        <v>670.7</v>
      </c>
      <c r="D8" s="11">
        <v>45393</v>
      </c>
      <c r="E8" s="69">
        <v>628.817</v>
      </c>
    </row>
    <row r="9" ht="16.5" spans="1:5">
      <c r="A9" s="102">
        <v>3045315.4</v>
      </c>
      <c r="B9" s="102">
        <v>401156.7</v>
      </c>
      <c r="C9" s="102">
        <v>670.7</v>
      </c>
      <c r="D9" s="11">
        <v>45394</v>
      </c>
      <c r="E9" s="69">
        <v>628.369</v>
      </c>
    </row>
    <row r="10" ht="16.5" spans="1:5">
      <c r="A10" s="102">
        <v>3045315.4</v>
      </c>
      <c r="B10" s="102">
        <v>401156.7</v>
      </c>
      <c r="C10" s="102">
        <v>670.7</v>
      </c>
      <c r="D10" s="11">
        <v>45395</v>
      </c>
      <c r="E10" s="69">
        <v>627.842</v>
      </c>
    </row>
    <row r="11" ht="16.5" spans="1:5">
      <c r="A11" s="102">
        <v>3045315.4</v>
      </c>
      <c r="B11" s="102">
        <v>401156.7</v>
      </c>
      <c r="C11" s="102">
        <v>670.7</v>
      </c>
      <c r="D11" s="11">
        <v>45396</v>
      </c>
      <c r="E11" s="69"/>
    </row>
    <row r="12" ht="16.5" spans="1:5">
      <c r="A12" s="102">
        <v>3045315.4</v>
      </c>
      <c r="B12" s="102">
        <v>401156.7</v>
      </c>
      <c r="C12" s="102">
        <v>670.7</v>
      </c>
      <c r="D12" s="11">
        <v>45397</v>
      </c>
      <c r="E12" s="69"/>
    </row>
    <row r="13" ht="16.5" spans="1:5">
      <c r="A13" s="102">
        <v>3045315.4</v>
      </c>
      <c r="B13" s="102">
        <v>401156.7</v>
      </c>
      <c r="C13" s="102">
        <v>670.7</v>
      </c>
      <c r="D13" s="11">
        <v>45398</v>
      </c>
      <c r="E13" s="69"/>
    </row>
    <row r="14" ht="16.5" spans="1:5">
      <c r="A14" s="102">
        <v>3045315.4</v>
      </c>
      <c r="B14" s="102">
        <v>401156.7</v>
      </c>
      <c r="C14" s="102">
        <v>670.7</v>
      </c>
      <c r="D14" s="11">
        <v>45399</v>
      </c>
      <c r="E14" s="69"/>
    </row>
    <row r="15" ht="16.5" spans="1:5">
      <c r="A15" s="102">
        <v>3045315.4</v>
      </c>
      <c r="B15" s="102">
        <v>401156.7</v>
      </c>
      <c r="C15" s="102">
        <v>670.7</v>
      </c>
      <c r="D15" s="11">
        <v>45400</v>
      </c>
      <c r="E15" s="69"/>
    </row>
    <row r="16" ht="16.5" spans="1:5">
      <c r="A16" s="102">
        <v>3045315.4</v>
      </c>
      <c r="B16" s="102">
        <v>401156.7</v>
      </c>
      <c r="C16" s="102">
        <v>670.7</v>
      </c>
      <c r="D16" s="11">
        <v>45401</v>
      </c>
      <c r="E16" s="69">
        <v>627.842</v>
      </c>
    </row>
    <row r="17" ht="16.5" spans="1:5">
      <c r="A17" s="102">
        <v>3045315.4</v>
      </c>
      <c r="B17" s="102">
        <v>401156.7</v>
      </c>
      <c r="C17" s="102">
        <v>670.7</v>
      </c>
      <c r="D17" s="11">
        <v>45402</v>
      </c>
      <c r="E17" s="69"/>
    </row>
    <row r="18" ht="16.5" spans="1:5">
      <c r="A18" s="102">
        <v>3045315.4</v>
      </c>
      <c r="B18" s="102">
        <v>401156.7</v>
      </c>
      <c r="C18" s="102">
        <v>670.7</v>
      </c>
      <c r="D18" s="11">
        <v>45403</v>
      </c>
      <c r="E18" s="69"/>
    </row>
    <row r="19" ht="16.5" spans="1:5">
      <c r="A19" s="102">
        <v>3045315.4</v>
      </c>
      <c r="B19" s="102">
        <v>401156.7</v>
      </c>
      <c r="C19" s="102">
        <v>670.7</v>
      </c>
      <c r="D19" s="11">
        <v>45404</v>
      </c>
      <c r="E19" s="69">
        <v>623.289</v>
      </c>
    </row>
    <row r="20" ht="16.5" spans="1:5">
      <c r="A20" s="102">
        <v>3045315.4</v>
      </c>
      <c r="B20" s="102">
        <v>401156.7</v>
      </c>
      <c r="C20" s="102">
        <v>670.7</v>
      </c>
      <c r="D20" s="11">
        <v>45405</v>
      </c>
      <c r="E20" s="69">
        <v>622.805</v>
      </c>
    </row>
    <row r="21" ht="16.5" spans="1:5">
      <c r="A21" s="102">
        <v>3045315.4</v>
      </c>
      <c r="B21" s="102">
        <v>401156.7</v>
      </c>
      <c r="C21" s="102">
        <v>670.7</v>
      </c>
      <c r="D21" s="11">
        <v>45406</v>
      </c>
      <c r="E21" s="69">
        <v>622.148</v>
      </c>
    </row>
    <row r="22" ht="16.5" spans="1:5">
      <c r="A22" s="102">
        <v>3045315.4</v>
      </c>
      <c r="B22" s="102">
        <v>401156.7</v>
      </c>
      <c r="C22" s="102">
        <v>670.7</v>
      </c>
      <c r="D22" s="11">
        <v>45407</v>
      </c>
      <c r="E22" s="69">
        <v>621.694</v>
      </c>
    </row>
    <row r="23" ht="16.5" spans="1:5">
      <c r="A23" s="102">
        <v>3045315.4</v>
      </c>
      <c r="B23" s="102">
        <v>401156.7</v>
      </c>
      <c r="C23" s="102">
        <v>670.7</v>
      </c>
      <c r="D23" s="11">
        <v>45408</v>
      </c>
      <c r="E23" s="69">
        <v>620.991</v>
      </c>
    </row>
    <row r="24" ht="16.5" spans="1:5">
      <c r="A24" s="102">
        <v>3045315.4</v>
      </c>
      <c r="B24" s="102">
        <v>401156.7</v>
      </c>
      <c r="C24" s="102">
        <v>670.7</v>
      </c>
      <c r="D24" s="11">
        <v>45409</v>
      </c>
      <c r="E24" s="69">
        <v>620.568</v>
      </c>
    </row>
    <row r="25" ht="16.5" spans="1:5">
      <c r="A25" s="102">
        <v>3045315.4</v>
      </c>
      <c r="B25" s="102">
        <v>401156.7</v>
      </c>
      <c r="C25" s="102">
        <v>670.7</v>
      </c>
      <c r="D25" s="11">
        <v>45410</v>
      </c>
      <c r="E25" s="69">
        <v>620.056</v>
      </c>
    </row>
    <row r="26" ht="16.5" spans="1:5">
      <c r="A26" s="102">
        <v>3045315.4</v>
      </c>
      <c r="B26" s="102">
        <v>401156.7</v>
      </c>
      <c r="C26" s="102">
        <v>670.7</v>
      </c>
      <c r="D26" s="11">
        <v>45411</v>
      </c>
      <c r="E26" s="69">
        <v>619.782</v>
      </c>
    </row>
    <row r="27" ht="16.5" spans="1:5">
      <c r="A27" s="102">
        <v>3045315.4</v>
      </c>
      <c r="B27" s="102">
        <v>401156.7</v>
      </c>
      <c r="C27" s="102">
        <v>670.7</v>
      </c>
      <c r="D27" s="11">
        <v>45412</v>
      </c>
      <c r="E27" s="69">
        <v>619.634</v>
      </c>
    </row>
    <row r="28" ht="16.5" spans="1:5">
      <c r="A28" s="102">
        <v>3045315.4</v>
      </c>
      <c r="B28" s="102">
        <v>401156.7</v>
      </c>
      <c r="C28" s="102">
        <v>670.7</v>
      </c>
      <c r="D28" s="11">
        <v>45413</v>
      </c>
      <c r="E28" s="69">
        <v>619.235</v>
      </c>
    </row>
    <row r="29" ht="16.5" spans="1:5">
      <c r="A29" s="102">
        <v>3045315.4</v>
      </c>
      <c r="B29" s="102">
        <v>401156.7</v>
      </c>
      <c r="C29" s="102">
        <v>670.7</v>
      </c>
      <c r="D29" s="11">
        <v>45414</v>
      </c>
      <c r="E29" s="69">
        <v>618.889</v>
      </c>
    </row>
    <row r="30" ht="16.5" spans="1:5">
      <c r="A30" s="102">
        <v>3045315.4</v>
      </c>
      <c r="B30" s="102">
        <v>401156.7</v>
      </c>
      <c r="C30" s="102">
        <v>670.7</v>
      </c>
      <c r="D30" s="11">
        <v>45415</v>
      </c>
      <c r="E30" s="69">
        <v>619.802</v>
      </c>
    </row>
    <row r="31" ht="16.5" spans="1:5">
      <c r="A31" s="102">
        <v>3045315.4</v>
      </c>
      <c r="B31" s="102">
        <v>401156.7</v>
      </c>
      <c r="C31" s="102">
        <v>670.7</v>
      </c>
      <c r="D31" s="11">
        <v>45416</v>
      </c>
      <c r="E31" s="69">
        <v>619.441</v>
      </c>
    </row>
    <row r="32" ht="16.5" spans="1:5">
      <c r="A32" s="102">
        <v>3045315.4</v>
      </c>
      <c r="B32" s="102">
        <v>401156.7</v>
      </c>
      <c r="C32" s="102">
        <v>670.7</v>
      </c>
      <c r="D32" s="11">
        <v>45417</v>
      </c>
      <c r="E32" s="69">
        <v>618.821</v>
      </c>
    </row>
    <row r="33" ht="16.5" spans="1:5">
      <c r="A33" s="102">
        <v>3045315.4</v>
      </c>
      <c r="B33" s="102">
        <v>401156.7</v>
      </c>
      <c r="C33" s="102">
        <v>670.7</v>
      </c>
      <c r="D33" s="11">
        <v>45418</v>
      </c>
      <c r="E33" s="69">
        <v>618.79</v>
      </c>
    </row>
    <row r="34" ht="16.5" spans="1:5">
      <c r="A34" s="102">
        <v>3045315.4</v>
      </c>
      <c r="B34" s="102">
        <v>401156.7</v>
      </c>
      <c r="C34" s="102">
        <v>670.7</v>
      </c>
      <c r="D34" s="11">
        <v>45419</v>
      </c>
      <c r="E34" s="69">
        <v>618.168</v>
      </c>
    </row>
    <row r="35" ht="16.5" spans="1:5">
      <c r="A35" s="102">
        <v>3045315.4</v>
      </c>
      <c r="B35" s="102">
        <v>401156.7</v>
      </c>
      <c r="C35" s="102">
        <v>670.7</v>
      </c>
      <c r="D35" s="11">
        <v>45420</v>
      </c>
      <c r="E35" s="69">
        <v>617.74</v>
      </c>
    </row>
    <row r="36" ht="16.5" spans="1:5">
      <c r="A36" s="102">
        <v>3045315.4</v>
      </c>
      <c r="B36" s="102">
        <v>401156.7</v>
      </c>
      <c r="C36" s="102">
        <v>670.7</v>
      </c>
      <c r="D36" s="11">
        <v>45421</v>
      </c>
      <c r="E36" s="69">
        <v>617.292</v>
      </c>
    </row>
    <row r="37" ht="16.5" spans="1:5">
      <c r="A37" s="102">
        <v>3045315.4</v>
      </c>
      <c r="B37" s="102">
        <v>401156.7</v>
      </c>
      <c r="C37" s="102">
        <v>670.7</v>
      </c>
      <c r="D37" s="11">
        <v>45422</v>
      </c>
      <c r="E37" s="69">
        <v>616.957</v>
      </c>
    </row>
    <row r="38" ht="16.5" spans="1:5">
      <c r="A38" s="102">
        <v>3045315.4</v>
      </c>
      <c r="B38" s="102">
        <v>401156.7</v>
      </c>
      <c r="C38" s="102">
        <v>670.7</v>
      </c>
      <c r="D38" s="11">
        <v>45423</v>
      </c>
      <c r="E38" s="69">
        <v>616.356</v>
      </c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7"/>
  <sheetViews>
    <sheetView workbookViewId="0">
      <selection activeCell="A1" sqref="$A1:$XFD2"/>
    </sheetView>
  </sheetViews>
  <sheetFormatPr defaultColWidth="9" defaultRowHeight="14.25" outlineLevelCol="4"/>
  <cols>
    <col min="1" max="1" width="17.25" style="100" customWidth="1"/>
    <col min="2" max="2" width="8.5" customWidth="1"/>
    <col min="3" max="3" width="19.25" customWidth="1"/>
    <col min="4" max="4" width="17.25" customWidth="1"/>
    <col min="5" max="5" width="9.2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6.5" spans="1:5">
      <c r="A3" s="101">
        <v>3045651</v>
      </c>
      <c r="B3" s="102">
        <v>400574.9</v>
      </c>
      <c r="C3" s="102">
        <v>670.2</v>
      </c>
      <c r="D3" s="34">
        <v>43979</v>
      </c>
      <c r="E3" s="103">
        <v>868.386</v>
      </c>
    </row>
    <row r="4" ht="16.5" spans="1:5">
      <c r="A4" s="101">
        <v>3045651</v>
      </c>
      <c r="B4" s="102">
        <v>400574.9</v>
      </c>
      <c r="C4" s="102">
        <v>670.2</v>
      </c>
      <c r="D4" s="34">
        <v>43980</v>
      </c>
      <c r="E4" s="103"/>
    </row>
    <row r="5" ht="16.5" spans="1:5">
      <c r="A5" s="101">
        <v>3045651</v>
      </c>
      <c r="B5" s="102">
        <v>400574.9</v>
      </c>
      <c r="C5" s="102">
        <v>670.2</v>
      </c>
      <c r="D5" s="34">
        <v>43981</v>
      </c>
      <c r="E5" s="103">
        <v>861.966</v>
      </c>
    </row>
    <row r="6" ht="16.5" spans="1:5">
      <c r="A6" s="101">
        <v>3045651</v>
      </c>
      <c r="B6" s="102">
        <v>400574.9</v>
      </c>
      <c r="C6" s="102">
        <v>670.2</v>
      </c>
      <c r="D6" s="34">
        <v>43982</v>
      </c>
      <c r="E6" s="103"/>
    </row>
    <row r="7" ht="16.5" spans="1:5">
      <c r="A7" s="101">
        <v>3045651</v>
      </c>
      <c r="B7" s="102">
        <v>400574.9</v>
      </c>
      <c r="C7" s="102">
        <v>670.2</v>
      </c>
      <c r="D7" s="34">
        <v>43983</v>
      </c>
      <c r="E7" s="103"/>
    </row>
    <row r="8" ht="16.5" spans="1:5">
      <c r="A8" s="101">
        <v>3045651</v>
      </c>
      <c r="B8" s="102">
        <v>400574.9</v>
      </c>
      <c r="C8" s="102">
        <v>670.2</v>
      </c>
      <c r="D8" s="34">
        <v>43984</v>
      </c>
      <c r="E8" s="103">
        <v>860.746</v>
      </c>
    </row>
    <row r="9" ht="16.5" spans="1:5">
      <c r="A9" s="101">
        <v>3045651</v>
      </c>
      <c r="B9" s="102">
        <v>400574.9</v>
      </c>
      <c r="C9" s="102">
        <v>670.2</v>
      </c>
      <c r="D9" s="34">
        <v>43985</v>
      </c>
      <c r="E9" s="103"/>
    </row>
    <row r="10" ht="16.5" spans="1:5">
      <c r="A10" s="101">
        <v>3045651</v>
      </c>
      <c r="B10" s="102">
        <v>400574.9</v>
      </c>
      <c r="C10" s="102">
        <v>670.2</v>
      </c>
      <c r="D10" s="34">
        <v>43986</v>
      </c>
      <c r="E10" s="103"/>
    </row>
    <row r="11" ht="16.5" spans="1:5">
      <c r="A11" s="101">
        <v>3045651</v>
      </c>
      <c r="B11" s="102">
        <v>400574.9</v>
      </c>
      <c r="C11" s="102">
        <v>670.2</v>
      </c>
      <c r="D11" s="34">
        <v>43987</v>
      </c>
      <c r="E11" s="103"/>
    </row>
    <row r="12" ht="16.5" spans="1:5">
      <c r="A12" s="101">
        <v>3045651</v>
      </c>
      <c r="B12" s="102">
        <v>400574.9</v>
      </c>
      <c r="C12" s="102">
        <v>670.2</v>
      </c>
      <c r="D12" s="34">
        <v>43988</v>
      </c>
      <c r="E12" s="103"/>
    </row>
    <row r="13" ht="16.5" spans="1:5">
      <c r="A13" s="101">
        <v>3045651</v>
      </c>
      <c r="B13" s="102">
        <v>400574.9</v>
      </c>
      <c r="C13" s="102">
        <v>670.2</v>
      </c>
      <c r="D13" s="34">
        <v>43989</v>
      </c>
      <c r="E13" s="103"/>
    </row>
    <row r="14" ht="16.5" spans="1:5">
      <c r="A14" s="101">
        <v>3045651</v>
      </c>
      <c r="B14" s="102">
        <v>400574.9</v>
      </c>
      <c r="C14" s="102">
        <v>670.2</v>
      </c>
      <c r="D14" s="34">
        <v>43990</v>
      </c>
      <c r="E14" s="103">
        <v>862.356</v>
      </c>
    </row>
    <row r="15" ht="16.5" spans="1:5">
      <c r="A15" s="101">
        <v>3045651</v>
      </c>
      <c r="B15" s="102">
        <v>400574.9</v>
      </c>
      <c r="C15" s="102">
        <v>670.2</v>
      </c>
      <c r="D15" s="34">
        <v>43991</v>
      </c>
      <c r="E15" s="103"/>
    </row>
    <row r="16" ht="16.5" spans="1:5">
      <c r="A16" s="101">
        <v>3045651</v>
      </c>
      <c r="B16" s="102">
        <v>400574.9</v>
      </c>
      <c r="C16" s="102">
        <v>670.2</v>
      </c>
      <c r="D16" s="34">
        <v>43992</v>
      </c>
      <c r="E16" s="103"/>
    </row>
    <row r="17" ht="16.5" spans="1:5">
      <c r="A17" s="101">
        <v>3045651</v>
      </c>
      <c r="B17" s="102">
        <v>400574.9</v>
      </c>
      <c r="C17" s="102">
        <v>670.2</v>
      </c>
      <c r="D17" s="34">
        <v>43993</v>
      </c>
      <c r="E17" s="103"/>
    </row>
    <row r="18" ht="16.5" spans="1:5">
      <c r="A18" s="101">
        <v>3045651</v>
      </c>
      <c r="B18" s="102">
        <v>400574.9</v>
      </c>
      <c r="C18" s="102">
        <v>670.2</v>
      </c>
      <c r="D18" s="34">
        <v>43994</v>
      </c>
      <c r="E18" s="103"/>
    </row>
    <row r="19" ht="16.5" spans="1:5">
      <c r="A19" s="101">
        <v>3045651</v>
      </c>
      <c r="B19" s="102">
        <v>400574.9</v>
      </c>
      <c r="C19" s="102">
        <v>670.2</v>
      </c>
      <c r="D19" s="34">
        <v>43995</v>
      </c>
      <c r="E19" s="103"/>
    </row>
    <row r="20" ht="16.5" spans="1:5">
      <c r="A20" s="101">
        <v>3045651</v>
      </c>
      <c r="B20" s="102">
        <v>400574.9</v>
      </c>
      <c r="C20" s="102">
        <v>670.2</v>
      </c>
      <c r="D20" s="34">
        <v>43996</v>
      </c>
      <c r="E20" s="103"/>
    </row>
    <row r="21" ht="16.5" spans="1:5">
      <c r="A21" s="101">
        <v>3045651</v>
      </c>
      <c r="B21" s="102">
        <v>400574.9</v>
      </c>
      <c r="C21" s="102">
        <v>670.2</v>
      </c>
      <c r="D21" s="34">
        <v>43997</v>
      </c>
      <c r="E21" s="103"/>
    </row>
    <row r="22" ht="16.5" spans="1:5">
      <c r="A22" s="101">
        <v>3045651</v>
      </c>
      <c r="B22" s="102">
        <v>400574.9</v>
      </c>
      <c r="C22" s="102">
        <v>670.2</v>
      </c>
      <c r="D22" s="34">
        <v>43998</v>
      </c>
      <c r="E22" s="103"/>
    </row>
    <row r="23" ht="16.5" spans="1:5">
      <c r="A23" s="101">
        <v>3045651</v>
      </c>
      <c r="B23" s="102">
        <v>400574.9</v>
      </c>
      <c r="C23" s="102">
        <v>670.2</v>
      </c>
      <c r="D23" s="34">
        <v>43999</v>
      </c>
      <c r="E23" s="103"/>
    </row>
    <row r="24" ht="16.5" spans="1:5">
      <c r="A24" s="101">
        <v>3045651</v>
      </c>
      <c r="B24" s="102">
        <v>400574.9</v>
      </c>
      <c r="C24" s="102">
        <v>670.2</v>
      </c>
      <c r="D24" s="34">
        <v>44000</v>
      </c>
      <c r="E24" s="103"/>
    </row>
    <row r="25" ht="16.5" spans="1:5">
      <c r="A25" s="101">
        <v>3045651</v>
      </c>
      <c r="B25" s="102">
        <v>400574.9</v>
      </c>
      <c r="C25" s="102">
        <v>670.2</v>
      </c>
      <c r="D25" s="34">
        <v>44001</v>
      </c>
      <c r="E25" s="103"/>
    </row>
    <row r="26" ht="16.5" spans="1:5">
      <c r="A26" s="101">
        <v>3045651</v>
      </c>
      <c r="B26" s="102">
        <v>400574.9</v>
      </c>
      <c r="C26" s="102">
        <v>670.2</v>
      </c>
      <c r="D26" s="34">
        <v>44002</v>
      </c>
      <c r="E26" s="103"/>
    </row>
    <row r="27" ht="16.5" spans="1:5">
      <c r="A27" s="101">
        <v>3045651</v>
      </c>
      <c r="B27" s="102">
        <v>400574.9</v>
      </c>
      <c r="C27" s="102">
        <v>670.2</v>
      </c>
      <c r="D27" s="34">
        <v>44003</v>
      </c>
      <c r="E27" s="103"/>
    </row>
    <row r="28" ht="16.5" spans="1:5">
      <c r="A28" s="101">
        <v>3045651</v>
      </c>
      <c r="B28" s="102">
        <v>400574.9</v>
      </c>
      <c r="C28" s="102">
        <v>670.2</v>
      </c>
      <c r="D28" s="34">
        <v>44004</v>
      </c>
      <c r="E28" s="103"/>
    </row>
    <row r="29" ht="16.5" spans="1:5">
      <c r="A29" s="101">
        <v>3045651</v>
      </c>
      <c r="B29" s="102">
        <v>400574.9</v>
      </c>
      <c r="C29" s="102">
        <v>670.2</v>
      </c>
      <c r="D29" s="34">
        <v>44005</v>
      </c>
      <c r="E29" s="103"/>
    </row>
    <row r="30" ht="16.5" spans="1:5">
      <c r="A30" s="101">
        <v>3045651</v>
      </c>
      <c r="B30" s="102">
        <v>400574.9</v>
      </c>
      <c r="C30" s="102">
        <v>670.2</v>
      </c>
      <c r="D30" s="34">
        <v>44006</v>
      </c>
      <c r="E30" s="103"/>
    </row>
    <row r="31" ht="16.5" spans="1:5">
      <c r="A31" s="101">
        <v>3045651</v>
      </c>
      <c r="B31" s="102">
        <v>400574.9</v>
      </c>
      <c r="C31" s="102">
        <v>670.2</v>
      </c>
      <c r="D31" s="34">
        <v>44007</v>
      </c>
      <c r="E31" s="103"/>
    </row>
    <row r="32" ht="16.5" spans="1:5">
      <c r="A32" s="101">
        <v>3045651</v>
      </c>
      <c r="B32" s="102">
        <v>400574.9</v>
      </c>
      <c r="C32" s="102">
        <v>670.2</v>
      </c>
      <c r="D32" s="34">
        <v>44008</v>
      </c>
      <c r="E32" s="103"/>
    </row>
    <row r="33" ht="16.5" spans="1:5">
      <c r="A33" s="101">
        <v>3045651</v>
      </c>
      <c r="B33" s="102">
        <v>400574.9</v>
      </c>
      <c r="C33" s="102">
        <v>670.2</v>
      </c>
      <c r="D33" s="34">
        <v>44009</v>
      </c>
      <c r="E33" s="103"/>
    </row>
    <row r="34" ht="16.5" spans="1:5">
      <c r="A34" s="101">
        <v>3045651</v>
      </c>
      <c r="B34" s="102">
        <v>400574.9</v>
      </c>
      <c r="C34" s="102">
        <v>670.2</v>
      </c>
      <c r="D34" s="34">
        <v>44010</v>
      </c>
      <c r="E34" s="103"/>
    </row>
    <row r="35" ht="16.5" spans="1:5">
      <c r="A35" s="101">
        <v>3045651</v>
      </c>
      <c r="B35" s="102">
        <v>400574.9</v>
      </c>
      <c r="C35" s="102">
        <v>670.2</v>
      </c>
      <c r="D35" s="34">
        <v>44011</v>
      </c>
      <c r="E35" s="103">
        <v>873.046</v>
      </c>
    </row>
    <row r="36" ht="16.5" spans="1:5">
      <c r="A36" s="101">
        <v>3045651</v>
      </c>
      <c r="B36" s="102">
        <v>400574.9</v>
      </c>
      <c r="C36" s="102">
        <v>670.2</v>
      </c>
      <c r="D36" s="34">
        <v>44012</v>
      </c>
      <c r="E36" s="103"/>
    </row>
    <row r="37" ht="16.5" spans="1:5">
      <c r="A37" s="101">
        <v>3045651</v>
      </c>
      <c r="B37" s="102">
        <v>400574.9</v>
      </c>
      <c r="C37" s="102">
        <v>670.2</v>
      </c>
      <c r="D37" s="34">
        <v>44013</v>
      </c>
      <c r="E37" s="103"/>
    </row>
    <row r="38" ht="16.5" spans="1:5">
      <c r="A38" s="101">
        <v>3045651</v>
      </c>
      <c r="B38" s="102">
        <v>400574.9</v>
      </c>
      <c r="C38" s="102">
        <v>670.2</v>
      </c>
      <c r="D38" s="34">
        <v>44014</v>
      </c>
      <c r="E38" s="103"/>
    </row>
    <row r="39" ht="16.5" spans="1:5">
      <c r="A39" s="101">
        <v>3045651</v>
      </c>
      <c r="B39" s="102">
        <v>400574.9</v>
      </c>
      <c r="C39" s="102">
        <v>670.2</v>
      </c>
      <c r="D39" s="34">
        <v>44015</v>
      </c>
      <c r="E39" s="103"/>
    </row>
    <row r="40" ht="16.5" spans="1:5">
      <c r="A40" s="101">
        <v>3045651</v>
      </c>
      <c r="B40" s="102">
        <v>400574.9</v>
      </c>
      <c r="C40" s="102">
        <v>670.2</v>
      </c>
      <c r="D40" s="34">
        <v>44016</v>
      </c>
      <c r="E40" s="103"/>
    </row>
    <row r="41" ht="16.5" spans="1:5">
      <c r="A41" s="101">
        <v>3045651</v>
      </c>
      <c r="B41" s="102">
        <v>400574.9</v>
      </c>
      <c r="C41" s="102">
        <v>670.2</v>
      </c>
      <c r="D41" s="34">
        <v>44017</v>
      </c>
      <c r="E41" s="103"/>
    </row>
    <row r="42" ht="16.5" spans="1:5">
      <c r="A42" s="101">
        <v>3045651</v>
      </c>
      <c r="B42" s="102">
        <v>400574.9</v>
      </c>
      <c r="C42" s="102">
        <v>670.2</v>
      </c>
      <c r="D42" s="34">
        <v>44018</v>
      </c>
      <c r="E42" s="103"/>
    </row>
    <row r="43" ht="16.5" spans="1:5">
      <c r="A43" s="101">
        <v>3045651</v>
      </c>
      <c r="B43" s="102">
        <v>400574.9</v>
      </c>
      <c r="C43" s="102">
        <v>670.2</v>
      </c>
      <c r="D43" s="34">
        <v>44019</v>
      </c>
      <c r="E43" s="103"/>
    </row>
    <row r="44" ht="16.5" spans="1:5">
      <c r="A44" s="101">
        <v>3045651</v>
      </c>
      <c r="B44" s="102">
        <v>400574.9</v>
      </c>
      <c r="C44" s="102">
        <v>670.2</v>
      </c>
      <c r="D44" s="34">
        <v>44020</v>
      </c>
      <c r="E44" s="103"/>
    </row>
    <row r="45" ht="16.5" spans="1:5">
      <c r="A45" s="101">
        <v>3045651</v>
      </c>
      <c r="B45" s="102">
        <v>400574.9</v>
      </c>
      <c r="C45" s="102">
        <v>670.2</v>
      </c>
      <c r="D45" s="34">
        <v>44021</v>
      </c>
      <c r="E45" s="103"/>
    </row>
    <row r="46" ht="16.5" spans="1:5">
      <c r="A46" s="101">
        <v>3045651</v>
      </c>
      <c r="B46" s="102">
        <v>400574.9</v>
      </c>
      <c r="C46" s="102">
        <v>670.2</v>
      </c>
      <c r="D46" s="34">
        <v>44022</v>
      </c>
      <c r="E46" s="103"/>
    </row>
    <row r="47" ht="16.5" spans="1:5">
      <c r="A47" s="101">
        <v>3045651</v>
      </c>
      <c r="B47" s="102">
        <v>400574.9</v>
      </c>
      <c r="C47" s="102">
        <v>670.2</v>
      </c>
      <c r="D47" s="34">
        <v>44023</v>
      </c>
      <c r="E47" s="103"/>
    </row>
    <row r="48" ht="16.5" spans="1:5">
      <c r="A48" s="101">
        <v>3045651</v>
      </c>
      <c r="B48" s="102">
        <v>400574.9</v>
      </c>
      <c r="C48" s="102">
        <v>670.2</v>
      </c>
      <c r="D48" s="34">
        <v>44024</v>
      </c>
      <c r="E48" s="103"/>
    </row>
    <row r="49" ht="16.5" spans="1:5">
      <c r="A49" s="101">
        <v>3045651</v>
      </c>
      <c r="B49" s="102">
        <v>400574.9</v>
      </c>
      <c r="C49" s="102">
        <v>670.2</v>
      </c>
      <c r="D49" s="34">
        <v>44025</v>
      </c>
      <c r="E49" s="103"/>
    </row>
    <row r="50" ht="16.5" spans="1:5">
      <c r="A50" s="101">
        <v>3045651</v>
      </c>
      <c r="B50" s="102">
        <v>400574.9</v>
      </c>
      <c r="C50" s="102">
        <v>670.2</v>
      </c>
      <c r="D50" s="34">
        <v>44026</v>
      </c>
      <c r="E50" s="103"/>
    </row>
    <row r="51" ht="16.5" spans="1:5">
      <c r="A51" s="101">
        <v>3045651</v>
      </c>
      <c r="B51" s="102">
        <v>400574.9</v>
      </c>
      <c r="C51" s="102">
        <v>670.2</v>
      </c>
      <c r="D51" s="34">
        <v>44027</v>
      </c>
      <c r="E51" s="103"/>
    </row>
    <row r="52" ht="16.5" spans="1:5">
      <c r="A52" s="101">
        <v>3045651</v>
      </c>
      <c r="B52" s="102">
        <v>400574.9</v>
      </c>
      <c r="C52" s="102">
        <v>670.2</v>
      </c>
      <c r="D52" s="34">
        <v>44028</v>
      </c>
      <c r="E52" s="103"/>
    </row>
    <row r="53" ht="16.5" spans="1:5">
      <c r="A53" s="101">
        <v>3045651</v>
      </c>
      <c r="B53" s="102">
        <v>400574.9</v>
      </c>
      <c r="C53" s="102">
        <v>670.2</v>
      </c>
      <c r="D53" s="34">
        <v>44029</v>
      </c>
      <c r="E53" s="103">
        <v>866.506</v>
      </c>
    </row>
    <row r="54" ht="16.5" spans="1:5">
      <c r="A54" s="101">
        <v>3045651</v>
      </c>
      <c r="B54" s="102">
        <v>400574.9</v>
      </c>
      <c r="C54" s="102">
        <v>670.2</v>
      </c>
      <c r="D54" s="34">
        <v>44030</v>
      </c>
      <c r="E54" s="103">
        <v>867.016</v>
      </c>
    </row>
    <row r="55" ht="16.5" spans="1:5">
      <c r="A55" s="101">
        <v>3045651</v>
      </c>
      <c r="B55" s="102">
        <v>400574.9</v>
      </c>
      <c r="C55" s="102">
        <v>670.2</v>
      </c>
      <c r="D55" s="34">
        <v>44031</v>
      </c>
      <c r="E55" s="103"/>
    </row>
    <row r="56" ht="16.5" spans="1:5">
      <c r="A56" s="101">
        <v>3045651</v>
      </c>
      <c r="B56" s="102">
        <v>400574.9</v>
      </c>
      <c r="C56" s="102">
        <v>670.2</v>
      </c>
      <c r="D56" s="34">
        <v>44032</v>
      </c>
      <c r="E56" s="103"/>
    </row>
    <row r="57" ht="16.5" spans="1:5">
      <c r="A57" s="101">
        <v>3045651</v>
      </c>
      <c r="B57" s="102">
        <v>400574.9</v>
      </c>
      <c r="C57" s="102">
        <v>670.2</v>
      </c>
      <c r="D57" s="34">
        <v>44033</v>
      </c>
      <c r="E57" s="103"/>
    </row>
    <row r="58" ht="16.5" spans="1:5">
      <c r="A58" s="101">
        <v>3045651</v>
      </c>
      <c r="B58" s="102">
        <v>400574.9</v>
      </c>
      <c r="C58" s="102">
        <v>670.2</v>
      </c>
      <c r="D58" s="34">
        <v>44034</v>
      </c>
      <c r="E58" s="103"/>
    </row>
    <row r="59" ht="16.5" spans="1:5">
      <c r="A59" s="101">
        <v>3045651</v>
      </c>
      <c r="B59" s="102">
        <v>400574.9</v>
      </c>
      <c r="C59" s="102">
        <v>670.2</v>
      </c>
      <c r="D59" s="34">
        <v>44035</v>
      </c>
      <c r="E59" s="103"/>
    </row>
    <row r="60" ht="16.5" spans="1:5">
      <c r="A60" s="101">
        <v>3045651</v>
      </c>
      <c r="B60" s="102">
        <v>400574.9</v>
      </c>
      <c r="C60" s="102">
        <v>670.2</v>
      </c>
      <c r="D60" s="34">
        <v>44036</v>
      </c>
      <c r="E60" s="103"/>
    </row>
    <row r="61" ht="16.5" spans="1:5">
      <c r="A61" s="101">
        <v>3045651</v>
      </c>
      <c r="B61" s="102">
        <v>400574.9</v>
      </c>
      <c r="C61" s="102">
        <v>670.2</v>
      </c>
      <c r="D61" s="34">
        <v>44037</v>
      </c>
      <c r="E61" s="103"/>
    </row>
    <row r="62" ht="16.5" spans="1:5">
      <c r="A62" s="101">
        <v>3045651</v>
      </c>
      <c r="B62" s="102">
        <v>400574.9</v>
      </c>
      <c r="C62" s="102">
        <v>670.2</v>
      </c>
      <c r="D62" s="34">
        <v>44038</v>
      </c>
      <c r="E62" s="103"/>
    </row>
    <row r="63" ht="16.5" spans="1:5">
      <c r="A63" s="101">
        <v>3045651</v>
      </c>
      <c r="B63" s="102">
        <v>400574.9</v>
      </c>
      <c r="C63" s="102">
        <v>670.2</v>
      </c>
      <c r="D63" s="34">
        <v>44039</v>
      </c>
      <c r="E63" s="103"/>
    </row>
    <row r="64" ht="16.5" spans="1:5">
      <c r="A64" s="101">
        <v>3045651</v>
      </c>
      <c r="B64" s="102">
        <v>400574.9</v>
      </c>
      <c r="C64" s="102">
        <v>670.2</v>
      </c>
      <c r="D64" s="34">
        <v>44040</v>
      </c>
      <c r="E64" s="103">
        <v>866.532</v>
      </c>
    </row>
    <row r="65" ht="16.5" spans="1:5">
      <c r="A65" s="101">
        <v>3045651</v>
      </c>
      <c r="B65" s="102">
        <v>400574.9</v>
      </c>
      <c r="C65" s="102">
        <v>670.2</v>
      </c>
      <c r="D65" s="34">
        <v>44041</v>
      </c>
      <c r="E65" s="103"/>
    </row>
    <row r="66" ht="16.5" spans="1:5">
      <c r="A66" s="101">
        <v>3045651</v>
      </c>
      <c r="B66" s="102">
        <v>400574.9</v>
      </c>
      <c r="C66" s="102">
        <v>670.2</v>
      </c>
      <c r="D66" s="34">
        <v>44042</v>
      </c>
      <c r="E66" s="103">
        <v>864.196</v>
      </c>
    </row>
    <row r="67" ht="16.5" spans="1:5">
      <c r="A67" s="101">
        <v>3045651</v>
      </c>
      <c r="B67" s="102">
        <v>400574.9</v>
      </c>
      <c r="C67" s="102">
        <v>670.2</v>
      </c>
      <c r="D67" s="34">
        <v>44043</v>
      </c>
      <c r="E67" s="103">
        <v>865.386</v>
      </c>
    </row>
    <row r="68" ht="16.5" spans="1:5">
      <c r="A68" s="101">
        <v>3045651</v>
      </c>
      <c r="B68" s="102">
        <v>400574.9</v>
      </c>
      <c r="C68" s="102">
        <v>670.2</v>
      </c>
      <c r="D68" s="34">
        <v>44044</v>
      </c>
      <c r="E68" s="103"/>
    </row>
    <row r="69" ht="16.5" spans="1:5">
      <c r="A69" s="101">
        <v>3045651</v>
      </c>
      <c r="B69" s="102">
        <v>400574.9</v>
      </c>
      <c r="C69" s="102">
        <v>670.2</v>
      </c>
      <c r="D69" s="34">
        <v>44045</v>
      </c>
      <c r="E69" s="103"/>
    </row>
    <row r="70" ht="16.5" spans="1:5">
      <c r="A70" s="101">
        <v>3045651</v>
      </c>
      <c r="B70" s="102">
        <v>400574.9</v>
      </c>
      <c r="C70" s="102">
        <v>670.2</v>
      </c>
      <c r="D70" s="34">
        <v>44046</v>
      </c>
      <c r="E70" s="103"/>
    </row>
    <row r="71" ht="16.5" spans="1:5">
      <c r="A71" s="101">
        <v>3045651</v>
      </c>
      <c r="B71" s="102">
        <v>400574.9</v>
      </c>
      <c r="C71" s="102">
        <v>670.2</v>
      </c>
      <c r="D71" s="34">
        <v>44047</v>
      </c>
      <c r="E71" s="103"/>
    </row>
    <row r="72" ht="16.5" spans="1:5">
      <c r="A72" s="101">
        <v>3045651</v>
      </c>
      <c r="B72" s="102">
        <v>400574.9</v>
      </c>
      <c r="C72" s="102">
        <v>670.2</v>
      </c>
      <c r="D72" s="34">
        <v>44048</v>
      </c>
      <c r="E72" s="103"/>
    </row>
    <row r="73" ht="16.5" spans="1:5">
      <c r="A73" s="101">
        <v>3045651</v>
      </c>
      <c r="B73" s="102">
        <v>400574.9</v>
      </c>
      <c r="C73" s="102">
        <v>670.2</v>
      </c>
      <c r="D73" s="34">
        <v>44049</v>
      </c>
      <c r="E73" s="103">
        <v>872.206</v>
      </c>
    </row>
    <row r="74" ht="16.5" spans="1:5">
      <c r="A74" s="101">
        <v>3045651</v>
      </c>
      <c r="B74" s="102">
        <v>400574.9</v>
      </c>
      <c r="C74" s="102">
        <v>670.2</v>
      </c>
      <c r="D74" s="34">
        <v>44050</v>
      </c>
      <c r="E74" s="103"/>
    </row>
    <row r="75" ht="16.5" spans="1:5">
      <c r="A75" s="101">
        <v>3045651</v>
      </c>
      <c r="B75" s="102">
        <v>400574.9</v>
      </c>
      <c r="C75" s="102">
        <v>670.2</v>
      </c>
      <c r="D75" s="34">
        <v>44051</v>
      </c>
      <c r="E75" s="103">
        <v>863.816</v>
      </c>
    </row>
    <row r="76" ht="16.5" spans="1:5">
      <c r="A76" s="101">
        <v>3045651</v>
      </c>
      <c r="B76" s="102">
        <v>400574.9</v>
      </c>
      <c r="C76" s="102">
        <v>670.2</v>
      </c>
      <c r="D76" s="34">
        <v>44052</v>
      </c>
      <c r="E76" s="103"/>
    </row>
    <row r="77" ht="16.5" spans="1:5">
      <c r="A77" s="101">
        <v>3045651</v>
      </c>
      <c r="B77" s="102">
        <v>400574.9</v>
      </c>
      <c r="C77" s="102">
        <v>670.2</v>
      </c>
      <c r="D77" s="34">
        <v>44053</v>
      </c>
      <c r="E77" s="103"/>
    </row>
    <row r="78" ht="16.5" spans="1:5">
      <c r="A78" s="101">
        <v>3045651</v>
      </c>
      <c r="B78" s="102">
        <v>400574.9</v>
      </c>
      <c r="C78" s="102">
        <v>670.2</v>
      </c>
      <c r="D78" s="34">
        <v>44054</v>
      </c>
      <c r="E78" s="103"/>
    </row>
    <row r="79" ht="16.5" spans="1:5">
      <c r="A79" s="101">
        <v>3045651</v>
      </c>
      <c r="B79" s="102">
        <v>400574.9</v>
      </c>
      <c r="C79" s="102">
        <v>670.2</v>
      </c>
      <c r="D79" s="34">
        <v>44055</v>
      </c>
      <c r="E79" s="103"/>
    </row>
    <row r="80" ht="16.5" spans="1:5">
      <c r="A80" s="101">
        <v>3045651</v>
      </c>
      <c r="B80" s="102">
        <v>400574.9</v>
      </c>
      <c r="C80" s="102">
        <v>670.2</v>
      </c>
      <c r="D80" s="34">
        <v>44056</v>
      </c>
      <c r="E80" s="103"/>
    </row>
    <row r="81" ht="16.5" spans="1:5">
      <c r="A81" s="101">
        <v>3045651</v>
      </c>
      <c r="B81" s="102">
        <v>400574.9</v>
      </c>
      <c r="C81" s="102">
        <v>670.2</v>
      </c>
      <c r="D81" s="34">
        <v>44057</v>
      </c>
      <c r="E81" s="103">
        <v>864.216</v>
      </c>
    </row>
    <row r="82" ht="16.5" spans="1:5">
      <c r="A82" s="101">
        <v>3045651</v>
      </c>
      <c r="B82" s="102">
        <v>400574.9</v>
      </c>
      <c r="C82" s="102">
        <v>670.2</v>
      </c>
      <c r="D82" s="34">
        <v>44058</v>
      </c>
      <c r="E82" s="103"/>
    </row>
    <row r="83" ht="16.5" spans="1:5">
      <c r="A83" s="101">
        <v>3045651</v>
      </c>
      <c r="B83" s="102">
        <v>400574.9</v>
      </c>
      <c r="C83" s="102">
        <v>670.2</v>
      </c>
      <c r="D83" s="34">
        <v>44059</v>
      </c>
      <c r="E83" s="103"/>
    </row>
    <row r="84" ht="16.5" spans="1:5">
      <c r="A84" s="101">
        <v>3045651</v>
      </c>
      <c r="B84" s="102">
        <v>400574.9</v>
      </c>
      <c r="C84" s="102">
        <v>670.2</v>
      </c>
      <c r="D84" s="34">
        <v>44060</v>
      </c>
      <c r="E84" s="103"/>
    </row>
    <row r="85" ht="16.5" spans="1:5">
      <c r="A85" s="101">
        <v>3045651</v>
      </c>
      <c r="B85" s="102">
        <v>400574.9</v>
      </c>
      <c r="C85" s="102">
        <v>670.2</v>
      </c>
      <c r="D85" s="34">
        <v>44061</v>
      </c>
      <c r="E85" s="103"/>
    </row>
    <row r="86" ht="16.5" spans="1:5">
      <c r="A86" s="101">
        <v>3045651</v>
      </c>
      <c r="B86" s="102">
        <v>400574.9</v>
      </c>
      <c r="C86" s="102">
        <v>670.2</v>
      </c>
      <c r="D86" s="34">
        <v>44062</v>
      </c>
      <c r="E86" s="103"/>
    </row>
    <row r="87" ht="16.5" spans="1:5">
      <c r="A87" s="101">
        <v>3045651</v>
      </c>
      <c r="B87" s="102">
        <v>400574.9</v>
      </c>
      <c r="C87" s="102">
        <v>670.2</v>
      </c>
      <c r="D87" s="34">
        <v>44063</v>
      </c>
      <c r="E87" s="103"/>
    </row>
    <row r="88" ht="16.5" spans="1:5">
      <c r="A88" s="101">
        <v>3045651</v>
      </c>
      <c r="B88" s="102">
        <v>400574.9</v>
      </c>
      <c r="C88" s="102">
        <v>670.2</v>
      </c>
      <c r="D88" s="34">
        <v>44064</v>
      </c>
      <c r="E88" s="103">
        <v>863.746</v>
      </c>
    </row>
    <row r="89" ht="16.5" spans="1:5">
      <c r="A89" s="101">
        <v>3045651</v>
      </c>
      <c r="B89" s="102">
        <v>400574.9</v>
      </c>
      <c r="C89" s="102">
        <v>670.2</v>
      </c>
      <c r="D89" s="34">
        <v>44065</v>
      </c>
      <c r="E89" s="103"/>
    </row>
    <row r="90" ht="16.5" spans="1:5">
      <c r="A90" s="101">
        <v>3045651</v>
      </c>
      <c r="B90" s="102">
        <v>400574.9</v>
      </c>
      <c r="C90" s="102">
        <v>670.2</v>
      </c>
      <c r="D90" s="34">
        <v>44066</v>
      </c>
      <c r="E90" s="103"/>
    </row>
    <row r="91" ht="16.5" spans="1:5">
      <c r="A91" s="101">
        <v>3045651</v>
      </c>
      <c r="B91" s="102">
        <v>400574.9</v>
      </c>
      <c r="C91" s="102">
        <v>670.2</v>
      </c>
      <c r="D91" s="34">
        <v>44067</v>
      </c>
      <c r="E91" s="103"/>
    </row>
    <row r="92" ht="16.5" spans="1:5">
      <c r="A92" s="101">
        <v>3045651</v>
      </c>
      <c r="B92" s="102">
        <v>400574.9</v>
      </c>
      <c r="C92" s="102">
        <v>670.2</v>
      </c>
      <c r="D92" s="34">
        <v>44068</v>
      </c>
      <c r="E92" s="103"/>
    </row>
    <row r="93" ht="16.5" spans="1:5">
      <c r="A93" s="101">
        <v>3045651</v>
      </c>
      <c r="B93" s="102">
        <v>400574.9</v>
      </c>
      <c r="C93" s="102">
        <v>670.2</v>
      </c>
      <c r="D93" s="34">
        <v>44069</v>
      </c>
      <c r="E93" s="103"/>
    </row>
    <row r="94" ht="16.5" spans="1:5">
      <c r="A94" s="101">
        <v>3045651</v>
      </c>
      <c r="B94" s="102">
        <v>400574.9</v>
      </c>
      <c r="C94" s="102">
        <v>670.2</v>
      </c>
      <c r="D94" s="34">
        <v>44070</v>
      </c>
      <c r="E94" s="103"/>
    </row>
    <row r="95" ht="16.5" spans="1:5">
      <c r="A95" s="101">
        <v>3045651</v>
      </c>
      <c r="B95" s="102">
        <v>400574.9</v>
      </c>
      <c r="C95" s="102">
        <v>670.2</v>
      </c>
      <c r="D95" s="34">
        <v>44071</v>
      </c>
      <c r="E95" s="103">
        <v>876.506</v>
      </c>
    </row>
    <row r="96" ht="16.5" spans="1:5">
      <c r="A96" s="101">
        <v>3045651</v>
      </c>
      <c r="B96" s="102">
        <v>400574.9</v>
      </c>
      <c r="C96" s="102">
        <v>670.2</v>
      </c>
      <c r="D96" s="34">
        <v>44072</v>
      </c>
      <c r="E96" s="103"/>
    </row>
    <row r="97" ht="16.5" spans="1:5">
      <c r="A97" s="101">
        <v>3045651</v>
      </c>
      <c r="B97" s="102">
        <v>400574.9</v>
      </c>
      <c r="C97" s="102">
        <v>670.2</v>
      </c>
      <c r="D97" s="34">
        <v>44073</v>
      </c>
      <c r="E97" s="103">
        <v>881.276</v>
      </c>
    </row>
    <row r="98" ht="16.5" spans="1:5">
      <c r="A98" s="101">
        <v>3045651</v>
      </c>
      <c r="B98" s="102">
        <v>400574.9</v>
      </c>
      <c r="C98" s="102">
        <v>670.2</v>
      </c>
      <c r="D98" s="34">
        <v>44074</v>
      </c>
      <c r="E98" s="103"/>
    </row>
    <row r="99" ht="16.5" spans="1:5">
      <c r="A99" s="101">
        <v>3045651</v>
      </c>
      <c r="B99" s="102">
        <v>400574.9</v>
      </c>
      <c r="C99" s="102">
        <v>670.2</v>
      </c>
      <c r="D99" s="34">
        <v>44075</v>
      </c>
      <c r="E99" s="103"/>
    </row>
    <row r="100" ht="16.5" spans="1:5">
      <c r="A100" s="101">
        <v>3045651</v>
      </c>
      <c r="B100" s="102">
        <v>400574.9</v>
      </c>
      <c r="C100" s="102">
        <v>670.2</v>
      </c>
      <c r="D100" s="34">
        <v>44076</v>
      </c>
      <c r="E100" s="103">
        <v>879.386</v>
      </c>
    </row>
    <row r="101" ht="16.5" spans="1:5">
      <c r="A101" s="101">
        <v>3045651</v>
      </c>
      <c r="B101" s="102">
        <v>400574.9</v>
      </c>
      <c r="C101" s="102">
        <v>670.2</v>
      </c>
      <c r="D101" s="34">
        <v>44077</v>
      </c>
      <c r="E101" s="103"/>
    </row>
    <row r="102" ht="16.5" spans="1:5">
      <c r="A102" s="101">
        <v>3045651</v>
      </c>
      <c r="B102" s="102">
        <v>400574.9</v>
      </c>
      <c r="C102" s="102">
        <v>670.2</v>
      </c>
      <c r="D102" s="34">
        <v>44078</v>
      </c>
      <c r="E102" s="103"/>
    </row>
    <row r="103" ht="16.5" spans="1:5">
      <c r="A103" s="101">
        <v>3045651</v>
      </c>
      <c r="B103" s="102">
        <v>400574.9</v>
      </c>
      <c r="C103" s="102">
        <v>670.2</v>
      </c>
      <c r="D103" s="34">
        <v>44079</v>
      </c>
      <c r="E103" s="103">
        <v>881.696</v>
      </c>
    </row>
    <row r="104" ht="16.5" spans="1:5">
      <c r="A104" s="101">
        <v>3045651</v>
      </c>
      <c r="B104" s="102">
        <v>400574.9</v>
      </c>
      <c r="C104" s="102">
        <v>670.2</v>
      </c>
      <c r="D104" s="34">
        <v>44080</v>
      </c>
      <c r="E104" s="103"/>
    </row>
    <row r="105" ht="16.5" spans="1:5">
      <c r="A105" s="101">
        <v>3045651</v>
      </c>
      <c r="B105" s="102">
        <v>400574.9</v>
      </c>
      <c r="C105" s="102">
        <v>670.2</v>
      </c>
      <c r="D105" s="34">
        <v>44081</v>
      </c>
      <c r="E105" s="103">
        <v>879.246</v>
      </c>
    </row>
    <row r="106" ht="16.5" spans="1:5">
      <c r="A106" s="101">
        <v>3045651</v>
      </c>
      <c r="B106" s="102">
        <v>400574.9</v>
      </c>
      <c r="C106" s="102">
        <v>670.2</v>
      </c>
      <c r="D106" s="34">
        <v>44082</v>
      </c>
      <c r="E106" s="103"/>
    </row>
    <row r="107" ht="16.5" spans="1:5">
      <c r="A107" s="101">
        <v>3045651</v>
      </c>
      <c r="B107" s="102">
        <v>400574.9</v>
      </c>
      <c r="C107" s="102">
        <v>670.2</v>
      </c>
      <c r="D107" s="34">
        <v>44083</v>
      </c>
      <c r="E107" s="103"/>
    </row>
    <row r="108" ht="16.5" spans="1:5">
      <c r="A108" s="101">
        <v>3045651</v>
      </c>
      <c r="B108" s="102">
        <v>400574.9</v>
      </c>
      <c r="C108" s="102">
        <v>670.2</v>
      </c>
      <c r="D108" s="34">
        <v>44084</v>
      </c>
      <c r="E108" s="103"/>
    </row>
    <row r="109" ht="16.5" spans="1:5">
      <c r="A109" s="101">
        <v>3045651</v>
      </c>
      <c r="B109" s="102">
        <v>400574.9</v>
      </c>
      <c r="C109" s="102">
        <v>670.2</v>
      </c>
      <c r="D109" s="34">
        <v>44085</v>
      </c>
      <c r="E109" s="103"/>
    </row>
    <row r="110" ht="16.5" spans="1:5">
      <c r="A110" s="101">
        <v>3045651</v>
      </c>
      <c r="B110" s="102">
        <v>400574.9</v>
      </c>
      <c r="C110" s="102">
        <v>670.2</v>
      </c>
      <c r="D110" s="34">
        <v>44086</v>
      </c>
      <c r="E110" s="103"/>
    </row>
    <row r="111" ht="16.5" spans="1:5">
      <c r="A111" s="101">
        <v>3045651</v>
      </c>
      <c r="B111" s="102">
        <v>400574.9</v>
      </c>
      <c r="C111" s="102">
        <v>670.2</v>
      </c>
      <c r="D111" s="34">
        <v>44087</v>
      </c>
      <c r="E111" s="103"/>
    </row>
    <row r="112" ht="16.5" spans="1:5">
      <c r="A112" s="101">
        <v>3045651</v>
      </c>
      <c r="B112" s="102">
        <v>400574.9</v>
      </c>
      <c r="C112" s="102">
        <v>670.2</v>
      </c>
      <c r="D112" s="34">
        <v>44088</v>
      </c>
      <c r="E112" s="103"/>
    </row>
    <row r="113" ht="16.5" spans="1:5">
      <c r="A113" s="101">
        <v>3045651</v>
      </c>
      <c r="B113" s="102">
        <v>400574.9</v>
      </c>
      <c r="C113" s="102">
        <v>670.2</v>
      </c>
      <c r="D113" s="34">
        <v>44089</v>
      </c>
      <c r="E113" s="103">
        <v>881.736</v>
      </c>
    </row>
    <row r="114" ht="16.5" spans="1:5">
      <c r="A114" s="101">
        <v>3045651</v>
      </c>
      <c r="B114" s="102">
        <v>400574.9</v>
      </c>
      <c r="C114" s="102">
        <v>670.2</v>
      </c>
      <c r="D114" s="34">
        <v>44090</v>
      </c>
      <c r="E114" s="103"/>
    </row>
    <row r="115" ht="16.5" spans="1:5">
      <c r="A115" s="101">
        <v>3045651</v>
      </c>
      <c r="B115" s="102">
        <v>400574.9</v>
      </c>
      <c r="C115" s="102">
        <v>670.2</v>
      </c>
      <c r="D115" s="34">
        <v>44091</v>
      </c>
      <c r="E115" s="103"/>
    </row>
    <row r="116" ht="16.5" spans="1:5">
      <c r="A116" s="101">
        <v>3045651</v>
      </c>
      <c r="B116" s="102">
        <v>400574.9</v>
      </c>
      <c r="C116" s="102">
        <v>670.2</v>
      </c>
      <c r="D116" s="34">
        <v>44092</v>
      </c>
      <c r="E116" s="103">
        <v>880.326</v>
      </c>
    </row>
    <row r="117" ht="16.5" spans="1:5">
      <c r="A117" s="101">
        <v>3045651</v>
      </c>
      <c r="B117" s="102">
        <v>400574.9</v>
      </c>
      <c r="C117" s="102">
        <v>670.2</v>
      </c>
      <c r="D117" s="34">
        <v>44093</v>
      </c>
      <c r="E117" s="103"/>
    </row>
    <row r="118" ht="16.5" spans="1:5">
      <c r="A118" s="101">
        <v>3045651</v>
      </c>
      <c r="B118" s="102">
        <v>400574.9</v>
      </c>
      <c r="C118" s="102">
        <v>670.2</v>
      </c>
      <c r="D118" s="34">
        <v>44094</v>
      </c>
      <c r="E118" s="103"/>
    </row>
    <row r="119" ht="16.5" spans="1:5">
      <c r="A119" s="101">
        <v>3045651</v>
      </c>
      <c r="B119" s="102">
        <v>400574.9</v>
      </c>
      <c r="C119" s="102">
        <v>670.2</v>
      </c>
      <c r="D119" s="34">
        <v>44095</v>
      </c>
      <c r="E119" s="103"/>
    </row>
    <row r="120" ht="16.5" spans="1:5">
      <c r="A120" s="101">
        <v>3045651</v>
      </c>
      <c r="B120" s="102">
        <v>400574.9</v>
      </c>
      <c r="C120" s="102">
        <v>670.2</v>
      </c>
      <c r="D120" s="34">
        <v>44096</v>
      </c>
      <c r="E120" s="103">
        <v>880.316</v>
      </c>
    </row>
    <row r="121" ht="16.5" spans="1:5">
      <c r="A121" s="101">
        <v>3045651</v>
      </c>
      <c r="B121" s="102">
        <v>400574.9</v>
      </c>
      <c r="C121" s="102">
        <v>670.2</v>
      </c>
      <c r="D121" s="34">
        <v>44097</v>
      </c>
      <c r="E121" s="103"/>
    </row>
    <row r="122" ht="16.5" spans="1:5">
      <c r="A122" s="101">
        <v>3045651</v>
      </c>
      <c r="B122" s="102">
        <v>400574.9</v>
      </c>
      <c r="C122" s="102">
        <v>670.2</v>
      </c>
      <c r="D122" s="34">
        <v>44098</v>
      </c>
      <c r="E122" s="103"/>
    </row>
    <row r="123" ht="16.5" spans="1:5">
      <c r="A123" s="101">
        <v>3045651</v>
      </c>
      <c r="B123" s="102">
        <v>400574.9</v>
      </c>
      <c r="C123" s="102">
        <v>670.2</v>
      </c>
      <c r="D123" s="34">
        <v>44099</v>
      </c>
      <c r="E123" s="103"/>
    </row>
    <row r="124" ht="16.5" spans="1:5">
      <c r="A124" s="101">
        <v>3045651</v>
      </c>
      <c r="B124" s="102">
        <v>400574.9</v>
      </c>
      <c r="C124" s="102">
        <v>670.2</v>
      </c>
      <c r="D124" s="34">
        <v>44100</v>
      </c>
      <c r="E124" s="103"/>
    </row>
    <row r="125" ht="16.5" spans="1:5">
      <c r="A125" s="101">
        <v>3045651</v>
      </c>
      <c r="B125" s="102">
        <v>400574.9</v>
      </c>
      <c r="C125" s="102">
        <v>670.2</v>
      </c>
      <c r="D125" s="34">
        <v>44101</v>
      </c>
      <c r="E125" s="103"/>
    </row>
    <row r="126" ht="16.5" spans="1:5">
      <c r="A126" s="101">
        <v>3045651</v>
      </c>
      <c r="B126" s="102">
        <v>400574.9</v>
      </c>
      <c r="C126" s="102">
        <v>670.2</v>
      </c>
      <c r="D126" s="34">
        <v>44102</v>
      </c>
      <c r="E126" s="103"/>
    </row>
    <row r="127" ht="16.5" spans="1:5">
      <c r="A127" s="101">
        <v>3045651</v>
      </c>
      <c r="B127" s="102">
        <v>400574.9</v>
      </c>
      <c r="C127" s="102">
        <v>670.2</v>
      </c>
      <c r="D127" s="34">
        <v>44103</v>
      </c>
      <c r="E127" s="103"/>
    </row>
    <row r="128" ht="16.5" spans="1:5">
      <c r="A128" s="101">
        <v>3045651</v>
      </c>
      <c r="B128" s="102">
        <v>400574.9</v>
      </c>
      <c r="C128" s="102">
        <v>670.2</v>
      </c>
      <c r="D128" s="34">
        <v>44104</v>
      </c>
      <c r="E128" s="103"/>
    </row>
    <row r="129" ht="16.5" spans="1:5">
      <c r="A129" s="101">
        <v>3045651</v>
      </c>
      <c r="B129" s="102">
        <v>400574.9</v>
      </c>
      <c r="C129" s="102">
        <v>670.2</v>
      </c>
      <c r="D129" s="34">
        <v>44105</v>
      </c>
      <c r="E129" s="103"/>
    </row>
    <row r="130" ht="16.5" spans="1:5">
      <c r="A130" s="101">
        <v>3045651</v>
      </c>
      <c r="B130" s="102">
        <v>400574.9</v>
      </c>
      <c r="C130" s="102">
        <v>670.2</v>
      </c>
      <c r="D130" s="34">
        <v>44106</v>
      </c>
      <c r="E130" s="103"/>
    </row>
    <row r="131" ht="16.5" spans="1:5">
      <c r="A131" s="101">
        <v>3045651</v>
      </c>
      <c r="B131" s="102">
        <v>400574.9</v>
      </c>
      <c r="C131" s="102">
        <v>670.2</v>
      </c>
      <c r="D131" s="34">
        <v>44107</v>
      </c>
      <c r="E131" s="103"/>
    </row>
    <row r="132" ht="16.5" spans="1:5">
      <c r="A132" s="101">
        <v>3045651</v>
      </c>
      <c r="B132" s="102">
        <v>400574.9</v>
      </c>
      <c r="C132" s="102">
        <v>670.2</v>
      </c>
      <c r="D132" s="34">
        <v>44108</v>
      </c>
      <c r="E132" s="103"/>
    </row>
    <row r="133" ht="16.5" spans="1:5">
      <c r="A133" s="101">
        <v>3045651</v>
      </c>
      <c r="B133" s="102">
        <v>400574.9</v>
      </c>
      <c r="C133" s="102">
        <v>670.2</v>
      </c>
      <c r="D133" s="34">
        <v>44109</v>
      </c>
      <c r="E133" s="103"/>
    </row>
    <row r="134" ht="16.5" spans="1:5">
      <c r="A134" s="101">
        <v>3045651</v>
      </c>
      <c r="B134" s="102">
        <v>400574.9</v>
      </c>
      <c r="C134" s="102">
        <v>670.2</v>
      </c>
      <c r="D134" s="34">
        <v>44110</v>
      </c>
      <c r="E134" s="103"/>
    </row>
    <row r="135" ht="16.5" spans="1:5">
      <c r="A135" s="101">
        <v>3045651</v>
      </c>
      <c r="B135" s="102">
        <v>400574.9</v>
      </c>
      <c r="C135" s="102">
        <v>670.2</v>
      </c>
      <c r="D135" s="34">
        <v>44111</v>
      </c>
      <c r="E135" s="103"/>
    </row>
    <row r="136" ht="16.5" spans="1:5">
      <c r="A136" s="101">
        <v>3045651</v>
      </c>
      <c r="B136" s="102">
        <v>400574.9</v>
      </c>
      <c r="C136" s="102">
        <v>670.2</v>
      </c>
      <c r="D136" s="34">
        <v>44112</v>
      </c>
      <c r="E136" s="103"/>
    </row>
    <row r="137" ht="16.5" spans="1:5">
      <c r="A137" s="101">
        <v>3045651</v>
      </c>
      <c r="B137" s="102">
        <v>400574.9</v>
      </c>
      <c r="C137" s="102">
        <v>670.2</v>
      </c>
      <c r="D137" s="34">
        <v>44113</v>
      </c>
      <c r="E137" s="103"/>
    </row>
    <row r="138" ht="16.5" spans="1:5">
      <c r="A138" s="101">
        <v>3045651</v>
      </c>
      <c r="B138" s="102">
        <v>400574.9</v>
      </c>
      <c r="C138" s="102">
        <v>670.2</v>
      </c>
      <c r="D138" s="34">
        <v>44114</v>
      </c>
      <c r="E138" s="103"/>
    </row>
    <row r="139" ht="16.5" spans="1:5">
      <c r="A139" s="101">
        <v>3045651</v>
      </c>
      <c r="B139" s="102">
        <v>400574.9</v>
      </c>
      <c r="C139" s="102">
        <v>670.2</v>
      </c>
      <c r="D139" s="34">
        <v>44115</v>
      </c>
      <c r="E139" s="103"/>
    </row>
    <row r="140" ht="16.5" spans="1:5">
      <c r="A140" s="101">
        <v>3045651</v>
      </c>
      <c r="B140" s="102">
        <v>400574.9</v>
      </c>
      <c r="C140" s="102">
        <v>670.2</v>
      </c>
      <c r="D140" s="34">
        <v>44116</v>
      </c>
      <c r="E140" s="103"/>
    </row>
    <row r="141" ht="16.5" spans="1:5">
      <c r="A141" s="101">
        <v>3045651</v>
      </c>
      <c r="B141" s="102">
        <v>400574.9</v>
      </c>
      <c r="C141" s="102">
        <v>670.2</v>
      </c>
      <c r="D141" s="34">
        <v>44117</v>
      </c>
      <c r="E141" s="103"/>
    </row>
    <row r="142" ht="16.5" spans="1:5">
      <c r="A142" s="101">
        <v>3045651</v>
      </c>
      <c r="B142" s="102">
        <v>400574.9</v>
      </c>
      <c r="C142" s="102">
        <v>670.2</v>
      </c>
      <c r="D142" s="34">
        <v>44118</v>
      </c>
      <c r="E142" s="103"/>
    </row>
    <row r="143" ht="16.5" spans="1:5">
      <c r="A143" s="101">
        <v>3045651</v>
      </c>
      <c r="B143" s="102">
        <v>400574.9</v>
      </c>
      <c r="C143" s="102">
        <v>670.2</v>
      </c>
      <c r="D143" s="34">
        <v>44119</v>
      </c>
      <c r="E143" s="103"/>
    </row>
    <row r="144" ht="16.5" spans="1:5">
      <c r="A144" s="101">
        <v>3045651</v>
      </c>
      <c r="B144" s="102">
        <v>400574.9</v>
      </c>
      <c r="C144" s="102">
        <v>670.2</v>
      </c>
      <c r="D144" s="34">
        <v>44120</v>
      </c>
      <c r="E144" s="103"/>
    </row>
    <row r="145" ht="16.5" spans="1:5">
      <c r="A145" s="101">
        <v>3045651</v>
      </c>
      <c r="B145" s="102">
        <v>400574.9</v>
      </c>
      <c r="C145" s="102">
        <v>670.2</v>
      </c>
      <c r="D145" s="34">
        <v>44121</v>
      </c>
      <c r="E145" s="103"/>
    </row>
    <row r="146" ht="16.5" spans="1:5">
      <c r="A146" s="101">
        <v>3045651</v>
      </c>
      <c r="B146" s="102">
        <v>400574.9</v>
      </c>
      <c r="C146" s="102">
        <v>670.2</v>
      </c>
      <c r="D146" s="34">
        <v>44122</v>
      </c>
      <c r="E146" s="103"/>
    </row>
    <row r="147" ht="16.5" spans="1:5">
      <c r="A147" s="101">
        <v>3045651</v>
      </c>
      <c r="B147" s="102">
        <v>400574.9</v>
      </c>
      <c r="C147" s="102">
        <v>670.2</v>
      </c>
      <c r="D147" s="34">
        <v>44123</v>
      </c>
      <c r="E147" s="103"/>
    </row>
    <row r="148" ht="16.5" spans="1:5">
      <c r="A148" s="101">
        <v>3045651</v>
      </c>
      <c r="B148" s="102">
        <v>400574.9</v>
      </c>
      <c r="C148" s="102">
        <v>670.2</v>
      </c>
      <c r="D148" s="34">
        <v>44124</v>
      </c>
      <c r="E148" s="103"/>
    </row>
    <row r="149" ht="16.5" spans="1:5">
      <c r="A149" s="101">
        <v>3045651</v>
      </c>
      <c r="B149" s="102">
        <v>400574.9</v>
      </c>
      <c r="C149" s="102">
        <v>670.2</v>
      </c>
      <c r="D149" s="34">
        <v>44125</v>
      </c>
      <c r="E149" s="103"/>
    </row>
    <row r="150" ht="16.5" spans="1:5">
      <c r="A150" s="101">
        <v>3045651</v>
      </c>
      <c r="B150" s="102">
        <v>400574.9</v>
      </c>
      <c r="C150" s="102">
        <v>670.2</v>
      </c>
      <c r="D150" s="34">
        <v>44126</v>
      </c>
      <c r="E150" s="103">
        <v>871.236</v>
      </c>
    </row>
    <row r="151" ht="16.5" spans="1:5">
      <c r="A151" s="101">
        <v>3045651</v>
      </c>
      <c r="B151" s="102">
        <v>400574.9</v>
      </c>
      <c r="C151" s="102">
        <v>670.2</v>
      </c>
      <c r="D151" s="34">
        <v>44127</v>
      </c>
      <c r="E151" s="103"/>
    </row>
    <row r="152" ht="16.5" spans="1:5">
      <c r="A152" s="101">
        <v>3045651</v>
      </c>
      <c r="B152" s="102">
        <v>400574.9</v>
      </c>
      <c r="C152" s="102">
        <v>670.2</v>
      </c>
      <c r="D152" s="34">
        <v>44128</v>
      </c>
      <c r="E152" s="103"/>
    </row>
    <row r="153" ht="16.5" spans="1:5">
      <c r="A153" s="101">
        <v>3045651</v>
      </c>
      <c r="B153" s="102">
        <v>400574.9</v>
      </c>
      <c r="C153" s="102">
        <v>670.2</v>
      </c>
      <c r="D153" s="34">
        <v>44129</v>
      </c>
      <c r="E153" s="103"/>
    </row>
    <row r="154" ht="16.5" spans="1:5">
      <c r="A154" s="101">
        <v>3045651</v>
      </c>
      <c r="B154" s="102">
        <v>400574.9</v>
      </c>
      <c r="C154" s="102">
        <v>670.2</v>
      </c>
      <c r="D154" s="34">
        <v>44130</v>
      </c>
      <c r="E154" s="103"/>
    </row>
    <row r="155" ht="16.5" spans="1:5">
      <c r="A155" s="101">
        <v>3045651</v>
      </c>
      <c r="B155" s="102">
        <v>400574.9</v>
      </c>
      <c r="C155" s="102">
        <v>670.2</v>
      </c>
      <c r="D155" s="34">
        <v>44131</v>
      </c>
      <c r="E155" s="103"/>
    </row>
    <row r="156" ht="16.5" spans="1:5">
      <c r="A156" s="101">
        <v>3045651</v>
      </c>
      <c r="B156" s="102">
        <v>400574.9</v>
      </c>
      <c r="C156" s="102">
        <v>670.2</v>
      </c>
      <c r="D156" s="34">
        <v>44132</v>
      </c>
      <c r="E156" s="103"/>
    </row>
    <row r="157" ht="16.5" spans="1:5">
      <c r="A157" s="101">
        <v>3045651</v>
      </c>
      <c r="B157" s="102">
        <v>400574.9</v>
      </c>
      <c r="C157" s="102">
        <v>670.2</v>
      </c>
      <c r="D157" s="34">
        <v>44133</v>
      </c>
      <c r="E157" s="103">
        <v>867.736</v>
      </c>
    </row>
    <row r="158" ht="16.5" spans="1:5">
      <c r="A158" s="101">
        <v>3045651</v>
      </c>
      <c r="B158" s="102">
        <v>400574.9</v>
      </c>
      <c r="C158" s="102">
        <v>670.2</v>
      </c>
      <c r="D158" s="34">
        <v>44134</v>
      </c>
      <c r="E158" s="103">
        <v>863.116</v>
      </c>
    </row>
    <row r="159" ht="16.5" spans="1:5">
      <c r="A159" s="101">
        <v>3045651</v>
      </c>
      <c r="B159" s="102">
        <v>400574.9</v>
      </c>
      <c r="C159" s="102">
        <v>670.2</v>
      </c>
      <c r="D159" s="34">
        <v>44135</v>
      </c>
      <c r="E159" s="103">
        <v>867.746</v>
      </c>
    </row>
    <row r="160" ht="16.5" spans="1:5">
      <c r="A160" s="101">
        <v>3045651</v>
      </c>
      <c r="B160" s="102">
        <v>400574.9</v>
      </c>
      <c r="C160" s="102">
        <v>670.2</v>
      </c>
      <c r="D160" s="34">
        <v>44136</v>
      </c>
      <c r="E160" s="103">
        <v>868.056</v>
      </c>
    </row>
    <row r="161" ht="16.5" spans="1:5">
      <c r="A161" s="101">
        <v>3045651</v>
      </c>
      <c r="B161" s="102">
        <v>400574.9</v>
      </c>
      <c r="C161" s="102">
        <v>670.2</v>
      </c>
      <c r="D161" s="34">
        <v>44137</v>
      </c>
      <c r="E161" s="103">
        <v>867.116</v>
      </c>
    </row>
    <row r="162" ht="16.5" spans="1:5">
      <c r="A162" s="101">
        <v>3045651</v>
      </c>
      <c r="B162" s="102">
        <v>400574.9</v>
      </c>
      <c r="C162" s="102">
        <v>670.2</v>
      </c>
      <c r="D162" s="34">
        <v>44138</v>
      </c>
      <c r="E162" s="103">
        <v>868.886</v>
      </c>
    </row>
    <row r="163" ht="16.5" spans="1:5">
      <c r="A163" s="101">
        <v>3045651</v>
      </c>
      <c r="B163" s="102">
        <v>400574.9</v>
      </c>
      <c r="C163" s="102">
        <v>670.2</v>
      </c>
      <c r="D163" s="34">
        <v>44139</v>
      </c>
      <c r="E163" s="103">
        <v>866.266</v>
      </c>
    </row>
    <row r="164" ht="16.5" spans="1:5">
      <c r="A164" s="101">
        <v>3045651</v>
      </c>
      <c r="B164" s="102">
        <v>400574.9</v>
      </c>
      <c r="C164" s="102">
        <v>670.2</v>
      </c>
      <c r="D164" s="34">
        <v>44140</v>
      </c>
      <c r="E164" s="103">
        <v>870.076</v>
      </c>
    </row>
    <row r="165" ht="16.5" spans="1:5">
      <c r="A165" s="101">
        <v>3045651</v>
      </c>
      <c r="B165" s="102">
        <v>400574.9</v>
      </c>
      <c r="C165" s="102">
        <v>670.2</v>
      </c>
      <c r="D165" s="34">
        <v>44141</v>
      </c>
      <c r="E165" s="103">
        <v>869.876</v>
      </c>
    </row>
    <row r="166" ht="16.5" spans="1:5">
      <c r="A166" s="101">
        <v>3045651</v>
      </c>
      <c r="B166" s="102">
        <v>400574.9</v>
      </c>
      <c r="C166" s="102">
        <v>670.2</v>
      </c>
      <c r="D166" s="34">
        <v>44142</v>
      </c>
      <c r="E166" s="103">
        <v>862.986</v>
      </c>
    </row>
    <row r="167" ht="16.5" spans="1:5">
      <c r="A167" s="101">
        <v>3045651</v>
      </c>
      <c r="B167" s="102">
        <v>400574.9</v>
      </c>
      <c r="C167" s="102">
        <v>670.2</v>
      </c>
      <c r="D167" s="34">
        <v>44143</v>
      </c>
      <c r="E167" s="103">
        <v>866.846</v>
      </c>
    </row>
    <row r="168" ht="16.5" spans="1:5">
      <c r="A168" s="101">
        <v>3045651</v>
      </c>
      <c r="B168" s="102">
        <v>400574.9</v>
      </c>
      <c r="C168" s="102">
        <v>670.2</v>
      </c>
      <c r="D168" s="34">
        <v>44144</v>
      </c>
      <c r="E168" s="103">
        <v>868.136</v>
      </c>
    </row>
    <row r="169" ht="16.5" spans="1:5">
      <c r="A169" s="101">
        <v>3045651</v>
      </c>
      <c r="B169" s="102">
        <v>400574.9</v>
      </c>
      <c r="C169" s="102">
        <v>670.2</v>
      </c>
      <c r="D169" s="34">
        <v>44145</v>
      </c>
      <c r="E169" s="103">
        <v>862.356</v>
      </c>
    </row>
    <row r="170" ht="16.5" spans="1:5">
      <c r="A170" s="101">
        <v>3045651</v>
      </c>
      <c r="B170" s="102">
        <v>400574.9</v>
      </c>
      <c r="C170" s="102">
        <v>670.2</v>
      </c>
      <c r="D170" s="34">
        <v>44146</v>
      </c>
      <c r="E170" s="103">
        <v>865.226</v>
      </c>
    </row>
    <row r="171" ht="16.5" spans="1:5">
      <c r="A171" s="101">
        <v>3045651</v>
      </c>
      <c r="B171" s="102">
        <v>400574.9</v>
      </c>
      <c r="C171" s="102">
        <v>670.2</v>
      </c>
      <c r="D171" s="34">
        <v>44147</v>
      </c>
      <c r="E171" s="103">
        <v>861.446</v>
      </c>
    </row>
    <row r="172" ht="16.5" spans="1:5">
      <c r="A172" s="101">
        <v>3045651</v>
      </c>
      <c r="B172" s="102">
        <v>400574.9</v>
      </c>
      <c r="C172" s="102">
        <v>670.2</v>
      </c>
      <c r="D172" s="34">
        <v>44148</v>
      </c>
      <c r="E172" s="103">
        <v>860.476</v>
      </c>
    </row>
    <row r="173" ht="16.5" spans="1:5">
      <c r="A173" s="101">
        <v>3045651</v>
      </c>
      <c r="B173" s="102">
        <v>400574.9</v>
      </c>
      <c r="C173" s="102">
        <v>670.2</v>
      </c>
      <c r="D173" s="34">
        <v>44149</v>
      </c>
      <c r="E173" s="103">
        <v>859.426</v>
      </c>
    </row>
    <row r="174" ht="16.5" spans="1:5">
      <c r="A174" s="101">
        <v>3045651</v>
      </c>
      <c r="B174" s="102">
        <v>400574.9</v>
      </c>
      <c r="C174" s="102">
        <v>670.2</v>
      </c>
      <c r="D174" s="34">
        <v>44150</v>
      </c>
      <c r="E174" s="103">
        <v>862.056</v>
      </c>
    </row>
    <row r="175" ht="16.5" spans="1:5">
      <c r="A175" s="101">
        <v>3045651</v>
      </c>
      <c r="B175" s="102">
        <v>400574.9</v>
      </c>
      <c r="C175" s="102">
        <v>670.2</v>
      </c>
      <c r="D175" s="34">
        <v>44151</v>
      </c>
      <c r="E175" s="103">
        <v>865.866</v>
      </c>
    </row>
    <row r="176" ht="16.5" spans="1:5">
      <c r="A176" s="101">
        <v>3045651</v>
      </c>
      <c r="B176" s="102">
        <v>400574.9</v>
      </c>
      <c r="C176" s="102">
        <v>670.2</v>
      </c>
      <c r="D176" s="34">
        <v>44152</v>
      </c>
      <c r="E176" s="103">
        <v>866.016</v>
      </c>
    </row>
    <row r="177" ht="16.5" spans="1:5">
      <c r="A177" s="101">
        <v>3045651</v>
      </c>
      <c r="B177" s="102">
        <v>400574.9</v>
      </c>
      <c r="C177" s="102">
        <v>670.2</v>
      </c>
      <c r="D177" s="34">
        <v>44153</v>
      </c>
      <c r="E177" s="103">
        <v>869.766</v>
      </c>
    </row>
    <row r="178" ht="16.5" spans="1:5">
      <c r="A178" s="101">
        <v>3045651</v>
      </c>
      <c r="B178" s="102">
        <v>400574.9</v>
      </c>
      <c r="C178" s="102">
        <v>670.2</v>
      </c>
      <c r="D178" s="34">
        <v>44154</v>
      </c>
      <c r="E178" s="103">
        <v>868.876</v>
      </c>
    </row>
    <row r="179" ht="16.5" spans="1:5">
      <c r="A179" s="101">
        <v>3045651</v>
      </c>
      <c r="B179" s="102">
        <v>400574.9</v>
      </c>
      <c r="C179" s="102">
        <v>670.2</v>
      </c>
      <c r="D179" s="34">
        <v>44155</v>
      </c>
      <c r="E179" s="103">
        <v>860.526</v>
      </c>
    </row>
    <row r="180" ht="16.5" spans="1:5">
      <c r="A180" s="101">
        <v>3045651</v>
      </c>
      <c r="B180" s="102">
        <v>400574.9</v>
      </c>
      <c r="C180" s="102">
        <v>670.2</v>
      </c>
      <c r="D180" s="34">
        <v>44156</v>
      </c>
      <c r="E180" s="103">
        <v>866.206</v>
      </c>
    </row>
    <row r="181" ht="16.5" spans="1:5">
      <c r="A181" s="101">
        <v>3045651</v>
      </c>
      <c r="B181" s="102">
        <v>400574.9</v>
      </c>
      <c r="C181" s="102">
        <v>670.2</v>
      </c>
      <c r="D181" s="34">
        <v>44157</v>
      </c>
      <c r="E181" s="103">
        <v>863.356</v>
      </c>
    </row>
    <row r="182" ht="16.5" spans="1:5">
      <c r="A182" s="101">
        <v>3045651</v>
      </c>
      <c r="B182" s="102">
        <v>400574.9</v>
      </c>
      <c r="C182" s="102">
        <v>670.2</v>
      </c>
      <c r="D182" s="34">
        <v>44158</v>
      </c>
      <c r="E182" s="103">
        <v>859.686</v>
      </c>
    </row>
    <row r="183" ht="16.5" spans="1:5">
      <c r="A183" s="101">
        <v>3045651</v>
      </c>
      <c r="B183" s="102">
        <v>400574.9</v>
      </c>
      <c r="C183" s="102">
        <v>670.2</v>
      </c>
      <c r="D183" s="34">
        <v>44159</v>
      </c>
      <c r="E183" s="103">
        <v>863.476</v>
      </c>
    </row>
    <row r="184" ht="16.5" spans="1:5">
      <c r="A184" s="101">
        <v>3045651</v>
      </c>
      <c r="B184" s="102">
        <v>400574.9</v>
      </c>
      <c r="C184" s="102">
        <v>670.2</v>
      </c>
      <c r="D184" s="34">
        <v>44160</v>
      </c>
      <c r="E184" s="103">
        <v>864.906</v>
      </c>
    </row>
    <row r="185" ht="16.5" spans="1:5">
      <c r="A185" s="101">
        <v>3045651</v>
      </c>
      <c r="B185" s="102">
        <v>400574.9</v>
      </c>
      <c r="C185" s="102">
        <v>670.2</v>
      </c>
      <c r="D185" s="34">
        <v>44161</v>
      </c>
      <c r="E185" s="103">
        <v>870.686</v>
      </c>
    </row>
    <row r="186" ht="16.5" spans="1:5">
      <c r="A186" s="101">
        <v>3045651</v>
      </c>
      <c r="B186" s="102">
        <v>400574.9</v>
      </c>
      <c r="C186" s="102">
        <v>670.2</v>
      </c>
      <c r="D186" s="34">
        <v>44162</v>
      </c>
      <c r="E186" s="103">
        <v>873.526</v>
      </c>
    </row>
    <row r="187" ht="16.5" spans="1:5">
      <c r="A187" s="101">
        <v>3045651</v>
      </c>
      <c r="B187" s="102">
        <v>400574.9</v>
      </c>
      <c r="C187" s="102">
        <v>670.2</v>
      </c>
      <c r="D187" s="34">
        <v>44163</v>
      </c>
      <c r="E187" s="103">
        <v>865.816</v>
      </c>
    </row>
    <row r="188" ht="16.5" spans="1:5">
      <c r="A188" s="101">
        <v>3045651</v>
      </c>
      <c r="B188" s="102">
        <v>400574.9</v>
      </c>
      <c r="C188" s="102">
        <v>670.2</v>
      </c>
      <c r="D188" s="34">
        <v>44164</v>
      </c>
      <c r="E188" s="103">
        <v>871.606</v>
      </c>
    </row>
    <row r="189" ht="16.5" spans="1:5">
      <c r="A189" s="101">
        <v>3045651</v>
      </c>
      <c r="B189" s="102">
        <v>400574.9</v>
      </c>
      <c r="C189" s="102">
        <v>670.2</v>
      </c>
      <c r="D189" s="34">
        <v>44165</v>
      </c>
      <c r="E189" s="103">
        <v>864.036</v>
      </c>
    </row>
    <row r="190" ht="16.5" spans="1:5">
      <c r="A190" s="101">
        <v>3045651</v>
      </c>
      <c r="B190" s="102">
        <v>400574.9</v>
      </c>
      <c r="C190" s="102">
        <v>670.2</v>
      </c>
      <c r="D190" s="34">
        <v>44166</v>
      </c>
      <c r="E190" s="103">
        <v>862.076</v>
      </c>
    </row>
    <row r="191" ht="16.5" spans="1:5">
      <c r="A191" s="101">
        <v>3045651</v>
      </c>
      <c r="B191" s="102">
        <v>400574.9</v>
      </c>
      <c r="C191" s="102">
        <v>670.2</v>
      </c>
      <c r="D191" s="34">
        <v>44167</v>
      </c>
      <c r="E191" s="103">
        <v>864.476</v>
      </c>
    </row>
    <row r="192" ht="16.5" spans="1:5">
      <c r="A192" s="101">
        <v>3045651</v>
      </c>
      <c r="B192" s="102">
        <v>400574.9</v>
      </c>
      <c r="C192" s="102">
        <v>670.2</v>
      </c>
      <c r="D192" s="34">
        <v>44168</v>
      </c>
      <c r="E192" s="103">
        <v>860.356</v>
      </c>
    </row>
    <row r="193" ht="16.5" spans="1:5">
      <c r="A193" s="101">
        <v>3045651</v>
      </c>
      <c r="B193" s="102">
        <v>400574.9</v>
      </c>
      <c r="C193" s="102">
        <v>670.2</v>
      </c>
      <c r="D193" s="34">
        <v>44169</v>
      </c>
      <c r="E193" s="103">
        <v>863.506</v>
      </c>
    </row>
    <row r="194" ht="16.5" spans="1:5">
      <c r="A194" s="101">
        <v>3045651</v>
      </c>
      <c r="B194" s="102">
        <v>400574.9</v>
      </c>
      <c r="C194" s="102">
        <v>670.2</v>
      </c>
      <c r="D194" s="34">
        <v>44170</v>
      </c>
      <c r="E194" s="103">
        <v>865.096</v>
      </c>
    </row>
    <row r="195" ht="16.5" spans="1:5">
      <c r="A195" s="101">
        <v>3045651</v>
      </c>
      <c r="B195" s="102">
        <v>400574.9</v>
      </c>
      <c r="C195" s="102">
        <v>670.2</v>
      </c>
      <c r="D195" s="34">
        <v>44171</v>
      </c>
      <c r="E195" s="103">
        <v>864.106</v>
      </c>
    </row>
    <row r="196" ht="16.5" spans="1:5">
      <c r="A196" s="101">
        <v>3045651</v>
      </c>
      <c r="B196" s="102">
        <v>400574.9</v>
      </c>
      <c r="C196" s="102">
        <v>670.2</v>
      </c>
      <c r="D196" s="34">
        <v>44172</v>
      </c>
      <c r="E196" s="103">
        <v>862.966</v>
      </c>
    </row>
    <row r="197" ht="16.5" spans="1:5">
      <c r="A197" s="101">
        <v>3045651</v>
      </c>
      <c r="B197" s="102">
        <v>400574.9</v>
      </c>
      <c r="C197" s="102">
        <v>670.2</v>
      </c>
      <c r="D197" s="34">
        <v>44173</v>
      </c>
      <c r="E197" s="103">
        <v>861.796</v>
      </c>
    </row>
    <row r="198" ht="16.5" spans="1:5">
      <c r="A198" s="101">
        <v>3045651</v>
      </c>
      <c r="B198" s="102">
        <v>400574.9</v>
      </c>
      <c r="C198" s="102">
        <v>670.2</v>
      </c>
      <c r="D198" s="34">
        <v>44174</v>
      </c>
      <c r="E198" s="103">
        <v>864.796</v>
      </c>
    </row>
    <row r="199" ht="16.5" spans="1:5">
      <c r="A199" s="101">
        <v>3045651</v>
      </c>
      <c r="B199" s="102">
        <v>400574.9</v>
      </c>
      <c r="C199" s="102">
        <v>670.2</v>
      </c>
      <c r="D199" s="34">
        <v>44175</v>
      </c>
      <c r="E199" s="103">
        <v>868.556</v>
      </c>
    </row>
    <row r="200" ht="16.5" spans="1:5">
      <c r="A200" s="101">
        <v>3045651</v>
      </c>
      <c r="B200" s="102">
        <v>400574.9</v>
      </c>
      <c r="C200" s="102">
        <v>670.2</v>
      </c>
      <c r="D200" s="34">
        <v>44176</v>
      </c>
      <c r="E200" s="103">
        <v>867.156</v>
      </c>
    </row>
    <row r="201" ht="16.5" spans="1:5">
      <c r="A201" s="101">
        <v>3045651</v>
      </c>
      <c r="B201" s="102">
        <v>400574.9</v>
      </c>
      <c r="C201" s="102">
        <v>670.2</v>
      </c>
      <c r="D201" s="34">
        <v>44177</v>
      </c>
      <c r="E201" s="103">
        <v>865.016</v>
      </c>
    </row>
    <row r="202" ht="16.5" spans="1:5">
      <c r="A202" s="101">
        <v>3045651</v>
      </c>
      <c r="B202" s="102">
        <v>400574.9</v>
      </c>
      <c r="C202" s="102">
        <v>670.2</v>
      </c>
      <c r="D202" s="34">
        <v>44178</v>
      </c>
      <c r="E202" s="103">
        <v>864.816</v>
      </c>
    </row>
    <row r="203" ht="16.5" spans="1:5">
      <c r="A203" s="101">
        <v>3045651</v>
      </c>
      <c r="B203" s="102">
        <v>400574.9</v>
      </c>
      <c r="C203" s="102">
        <v>670.2</v>
      </c>
      <c r="D203" s="34">
        <v>44179</v>
      </c>
      <c r="E203" s="103">
        <v>864.716</v>
      </c>
    </row>
    <row r="204" ht="16.5" spans="1:5">
      <c r="A204" s="101">
        <v>3045651</v>
      </c>
      <c r="B204" s="102">
        <v>400574.9</v>
      </c>
      <c r="C204" s="102">
        <v>670.2</v>
      </c>
      <c r="D204" s="34">
        <v>44180</v>
      </c>
      <c r="E204" s="103">
        <v>865.126</v>
      </c>
    </row>
    <row r="205" ht="16.5" spans="1:5">
      <c r="A205" s="101">
        <v>3045651</v>
      </c>
      <c r="B205" s="102">
        <v>400574.9</v>
      </c>
      <c r="C205" s="102">
        <v>670.2</v>
      </c>
      <c r="D205" s="34">
        <v>44181</v>
      </c>
      <c r="E205" s="103">
        <v>866.716</v>
      </c>
    </row>
    <row r="206" ht="16.5" spans="1:5">
      <c r="A206" s="101">
        <v>3045651</v>
      </c>
      <c r="B206" s="102">
        <v>400574.9</v>
      </c>
      <c r="C206" s="102">
        <v>670.2</v>
      </c>
      <c r="D206" s="34">
        <v>44182</v>
      </c>
      <c r="E206" s="103">
        <v>864.726</v>
      </c>
    </row>
    <row r="207" ht="16.5" spans="1:5">
      <c r="A207" s="101">
        <v>3045651</v>
      </c>
      <c r="B207" s="102">
        <v>400574.9</v>
      </c>
      <c r="C207" s="102">
        <v>670.2</v>
      </c>
      <c r="D207" s="34">
        <v>44183</v>
      </c>
      <c r="E207" s="103">
        <v>863.836</v>
      </c>
    </row>
    <row r="208" ht="16.5" spans="1:5">
      <c r="A208" s="101">
        <v>3045651</v>
      </c>
      <c r="B208" s="102">
        <v>400574.9</v>
      </c>
      <c r="C208" s="102">
        <v>670.2</v>
      </c>
      <c r="D208" s="34">
        <v>44184</v>
      </c>
      <c r="E208" s="103">
        <v>863.146</v>
      </c>
    </row>
    <row r="209" ht="16.5" spans="1:5">
      <c r="A209" s="101">
        <v>3045651</v>
      </c>
      <c r="B209" s="102">
        <v>400574.9</v>
      </c>
      <c r="C209" s="102">
        <v>670.2</v>
      </c>
      <c r="D209" s="34">
        <v>44185</v>
      </c>
      <c r="E209" s="104"/>
    </row>
    <row r="210" ht="16.5" spans="1:5">
      <c r="A210" s="101">
        <v>3045651</v>
      </c>
      <c r="B210" s="102">
        <v>400574.9</v>
      </c>
      <c r="C210" s="102">
        <v>670.2</v>
      </c>
      <c r="D210" s="34">
        <v>44186</v>
      </c>
      <c r="E210" s="104"/>
    </row>
    <row r="211" ht="16.5" spans="1:5">
      <c r="A211" s="101">
        <v>3045651</v>
      </c>
      <c r="B211" s="102">
        <v>400574.9</v>
      </c>
      <c r="C211" s="102">
        <v>670.2</v>
      </c>
      <c r="D211" s="34">
        <v>44187</v>
      </c>
      <c r="E211" s="104"/>
    </row>
    <row r="212" ht="16.5" spans="1:5">
      <c r="A212" s="101">
        <v>3045651</v>
      </c>
      <c r="B212" s="102">
        <v>400574.9</v>
      </c>
      <c r="C212" s="102">
        <v>670.2</v>
      </c>
      <c r="D212" s="34">
        <v>44188</v>
      </c>
      <c r="E212" s="104"/>
    </row>
    <row r="213" ht="16.5" spans="1:5">
      <c r="A213" s="101">
        <v>3045651</v>
      </c>
      <c r="B213" s="102">
        <v>400574.9</v>
      </c>
      <c r="C213" s="102">
        <v>670.2</v>
      </c>
      <c r="D213" s="34">
        <v>44189</v>
      </c>
      <c r="E213" s="104"/>
    </row>
    <row r="214" ht="16.5" spans="1:5">
      <c r="A214" s="101">
        <v>3045651</v>
      </c>
      <c r="B214" s="102">
        <v>400574.9</v>
      </c>
      <c r="C214" s="102">
        <v>670.2</v>
      </c>
      <c r="D214" s="34">
        <v>44190</v>
      </c>
      <c r="E214" s="104"/>
    </row>
    <row r="215" ht="16.5" spans="1:5">
      <c r="A215" s="101">
        <v>3045651</v>
      </c>
      <c r="B215" s="102">
        <v>400574.9</v>
      </c>
      <c r="C215" s="102">
        <v>670.2</v>
      </c>
      <c r="D215" s="34">
        <v>44191</v>
      </c>
      <c r="E215" s="104"/>
    </row>
    <row r="216" ht="16.5" spans="1:5">
      <c r="A216" s="101">
        <v>3045651</v>
      </c>
      <c r="B216" s="102">
        <v>400574.9</v>
      </c>
      <c r="C216" s="102">
        <v>670.2</v>
      </c>
      <c r="D216" s="34">
        <v>44192</v>
      </c>
      <c r="E216" s="104"/>
    </row>
    <row r="217" ht="16.5" spans="1:5">
      <c r="A217" s="101">
        <v>3045651</v>
      </c>
      <c r="B217" s="102">
        <v>400574.9</v>
      </c>
      <c r="C217" s="102">
        <v>670.2</v>
      </c>
      <c r="D217" s="34">
        <v>44193</v>
      </c>
      <c r="E217" s="103"/>
    </row>
    <row r="218" ht="16.5" spans="1:5">
      <c r="A218" s="101">
        <v>3045651</v>
      </c>
      <c r="B218" s="102">
        <v>400574.9</v>
      </c>
      <c r="C218" s="102">
        <v>670.2</v>
      </c>
      <c r="D218" s="34">
        <v>44194</v>
      </c>
      <c r="E218" s="103">
        <v>859.516</v>
      </c>
    </row>
    <row r="219" ht="16.5" spans="1:5">
      <c r="A219" s="101">
        <v>3045651</v>
      </c>
      <c r="B219" s="102">
        <v>400574.9</v>
      </c>
      <c r="C219" s="102">
        <v>670.2</v>
      </c>
      <c r="D219" s="34">
        <v>44195</v>
      </c>
      <c r="E219" s="103">
        <v>861.636</v>
      </c>
    </row>
    <row r="220" ht="16.5" spans="1:5">
      <c r="A220" s="101">
        <v>3045651</v>
      </c>
      <c r="B220" s="102">
        <v>400574.9</v>
      </c>
      <c r="C220" s="102">
        <v>670.2</v>
      </c>
      <c r="D220" s="34">
        <v>44196</v>
      </c>
      <c r="E220" s="39"/>
    </row>
    <row r="221" ht="16.5" spans="1:5">
      <c r="A221" s="101">
        <v>3045651</v>
      </c>
      <c r="B221" s="102">
        <v>400574.9</v>
      </c>
      <c r="C221" s="102">
        <v>670.2</v>
      </c>
      <c r="D221" s="9" t="s">
        <v>7</v>
      </c>
      <c r="E221" s="39"/>
    </row>
    <row r="222" ht="16.5" spans="1:5">
      <c r="A222" s="101">
        <v>3045651</v>
      </c>
      <c r="B222" s="102">
        <v>400574.9</v>
      </c>
      <c r="C222" s="102">
        <v>670.2</v>
      </c>
      <c r="D222" s="9" t="s">
        <v>8</v>
      </c>
      <c r="E222" s="39"/>
    </row>
    <row r="223" ht="16.5" spans="1:5">
      <c r="A223" s="101">
        <v>3045651</v>
      </c>
      <c r="B223" s="102">
        <v>400574.9</v>
      </c>
      <c r="C223" s="102">
        <v>670.2</v>
      </c>
      <c r="D223" s="9" t="s">
        <v>9</v>
      </c>
      <c r="E223" s="39"/>
    </row>
    <row r="224" ht="16.5" spans="1:5">
      <c r="A224" s="101">
        <v>3045651</v>
      </c>
      <c r="B224" s="102">
        <v>400574.9</v>
      </c>
      <c r="C224" s="102">
        <v>670.2</v>
      </c>
      <c r="D224" s="9" t="s">
        <v>10</v>
      </c>
      <c r="E224" s="39"/>
    </row>
    <row r="225" ht="16.5" spans="1:5">
      <c r="A225" s="101">
        <v>3045651</v>
      </c>
      <c r="B225" s="102">
        <v>400574.9</v>
      </c>
      <c r="C225" s="102">
        <v>670.2</v>
      </c>
      <c r="D225" s="9" t="s">
        <v>11</v>
      </c>
      <c r="E225" s="39"/>
    </row>
    <row r="226" ht="16.5" spans="1:5">
      <c r="A226" s="101">
        <v>3045651</v>
      </c>
      <c r="B226" s="102">
        <v>400574.9</v>
      </c>
      <c r="C226" s="102">
        <v>670.2</v>
      </c>
      <c r="D226" s="9" t="s">
        <v>12</v>
      </c>
      <c r="E226" s="39"/>
    </row>
    <row r="227" ht="16.5" spans="1:5">
      <c r="A227" s="101">
        <v>3045651</v>
      </c>
      <c r="B227" s="102">
        <v>400574.9</v>
      </c>
      <c r="C227" s="102">
        <v>670.2</v>
      </c>
      <c r="D227" s="9" t="s">
        <v>13</v>
      </c>
      <c r="E227" s="39"/>
    </row>
    <row r="228" ht="16.5" spans="1:5">
      <c r="A228" s="101">
        <v>3045651</v>
      </c>
      <c r="B228" s="102">
        <v>400574.9</v>
      </c>
      <c r="C228" s="102">
        <v>670.2</v>
      </c>
      <c r="D228" s="9" t="s">
        <v>14</v>
      </c>
      <c r="E228" s="39"/>
    </row>
    <row r="229" ht="16.5" spans="1:5">
      <c r="A229" s="101">
        <v>3045651</v>
      </c>
      <c r="B229" s="102">
        <v>400574.9</v>
      </c>
      <c r="C229" s="102">
        <v>670.2</v>
      </c>
      <c r="D229" s="9" t="s">
        <v>15</v>
      </c>
      <c r="E229" s="39"/>
    </row>
    <row r="230" ht="16.5" spans="1:5">
      <c r="A230" s="101">
        <v>3045651</v>
      </c>
      <c r="B230" s="102">
        <v>400574.9</v>
      </c>
      <c r="C230" s="102">
        <v>670.2</v>
      </c>
      <c r="D230" s="9" t="s">
        <v>16</v>
      </c>
      <c r="E230" s="39">
        <v>854.166</v>
      </c>
    </row>
    <row r="231" ht="16.5" spans="1:5">
      <c r="A231" s="101">
        <v>3045651</v>
      </c>
      <c r="B231" s="102">
        <v>400574.9</v>
      </c>
      <c r="C231" s="102">
        <v>670.2</v>
      </c>
      <c r="D231" s="9" t="s">
        <v>17</v>
      </c>
      <c r="E231" s="39">
        <v>858.656</v>
      </c>
    </row>
    <row r="232" ht="16.5" spans="1:5">
      <c r="A232" s="101">
        <v>3045651</v>
      </c>
      <c r="B232" s="102">
        <v>400574.9</v>
      </c>
      <c r="C232" s="102">
        <v>670.2</v>
      </c>
      <c r="D232" s="9" t="s">
        <v>18</v>
      </c>
      <c r="E232" s="39">
        <v>858.236</v>
      </c>
    </row>
    <row r="233" ht="16.5" spans="1:5">
      <c r="A233" s="101">
        <v>3045651</v>
      </c>
      <c r="B233" s="102">
        <v>400574.9</v>
      </c>
      <c r="C233" s="102">
        <v>670.2</v>
      </c>
      <c r="D233" s="9" t="s">
        <v>19</v>
      </c>
      <c r="E233" s="39">
        <v>862.466</v>
      </c>
    </row>
    <row r="234" ht="16.5" spans="1:5">
      <c r="A234" s="101">
        <v>3045651</v>
      </c>
      <c r="B234" s="102">
        <v>400574.9</v>
      </c>
      <c r="C234" s="102">
        <v>670.2</v>
      </c>
      <c r="D234" s="9" t="s">
        <v>20</v>
      </c>
      <c r="E234" s="39">
        <v>862.386</v>
      </c>
    </row>
    <row r="235" ht="16.5" spans="1:5">
      <c r="A235" s="101">
        <v>3045651</v>
      </c>
      <c r="B235" s="102">
        <v>400574.9</v>
      </c>
      <c r="C235" s="102">
        <v>670.2</v>
      </c>
      <c r="D235" s="9" t="s">
        <v>21</v>
      </c>
      <c r="E235" s="39">
        <v>859.556</v>
      </c>
    </row>
    <row r="236" ht="16.5" spans="1:5">
      <c r="A236" s="101">
        <v>3045651</v>
      </c>
      <c r="B236" s="102">
        <v>400574.9</v>
      </c>
      <c r="C236" s="102">
        <v>670.2</v>
      </c>
      <c r="D236" s="9" t="s">
        <v>22</v>
      </c>
      <c r="E236" s="39">
        <v>861.486</v>
      </c>
    </row>
    <row r="237" ht="16.5" spans="1:5">
      <c r="A237" s="101">
        <v>3045651</v>
      </c>
      <c r="B237" s="102">
        <v>400574.9</v>
      </c>
      <c r="C237" s="102">
        <v>670.2</v>
      </c>
      <c r="D237" s="9" t="s">
        <v>23</v>
      </c>
      <c r="E237" s="39">
        <v>857.796</v>
      </c>
    </row>
    <row r="238" ht="16.5" spans="1:5">
      <c r="A238" s="101">
        <v>3045651</v>
      </c>
      <c r="B238" s="102">
        <v>400574.9</v>
      </c>
      <c r="C238" s="102">
        <v>670.2</v>
      </c>
      <c r="D238" s="9" t="s">
        <v>24</v>
      </c>
      <c r="E238" s="39">
        <v>855.836</v>
      </c>
    </row>
    <row r="239" ht="16.5" spans="1:5">
      <c r="A239" s="101">
        <v>3045651</v>
      </c>
      <c r="B239" s="102">
        <v>400574.9</v>
      </c>
      <c r="C239" s="102">
        <v>670.2</v>
      </c>
      <c r="D239" s="9" t="s">
        <v>25</v>
      </c>
      <c r="E239" s="39">
        <v>858.826</v>
      </c>
    </row>
    <row r="240" ht="16.5" spans="1:5">
      <c r="A240" s="101">
        <v>3045651</v>
      </c>
      <c r="B240" s="102">
        <v>400574.9</v>
      </c>
      <c r="C240" s="102">
        <v>670.2</v>
      </c>
      <c r="D240" s="9" t="s">
        <v>26</v>
      </c>
      <c r="E240" s="39">
        <v>861.686</v>
      </c>
    </row>
    <row r="241" ht="16.5" spans="1:5">
      <c r="A241" s="101">
        <v>3045651</v>
      </c>
      <c r="B241" s="102">
        <v>400574.9</v>
      </c>
      <c r="C241" s="102">
        <v>670.2</v>
      </c>
      <c r="D241" s="9" t="s">
        <v>27</v>
      </c>
      <c r="E241" s="39">
        <v>859.786</v>
      </c>
    </row>
    <row r="242" ht="16.5" spans="1:5">
      <c r="A242" s="101">
        <v>3045651</v>
      </c>
      <c r="B242" s="102">
        <v>400574.9</v>
      </c>
      <c r="C242" s="102">
        <v>670.2</v>
      </c>
      <c r="D242" s="9" t="s">
        <v>28</v>
      </c>
      <c r="E242" s="39">
        <v>863.376</v>
      </c>
    </row>
    <row r="243" ht="16.5" spans="1:5">
      <c r="A243" s="101">
        <v>3045651</v>
      </c>
      <c r="B243" s="102">
        <v>400574.9</v>
      </c>
      <c r="C243" s="102">
        <v>670.2</v>
      </c>
      <c r="D243" s="9" t="s">
        <v>29</v>
      </c>
      <c r="E243" s="39">
        <v>859.376</v>
      </c>
    </row>
    <row r="244" ht="16.5" spans="1:5">
      <c r="A244" s="101">
        <v>3045651</v>
      </c>
      <c r="B244" s="102">
        <v>400574.9</v>
      </c>
      <c r="C244" s="102">
        <v>670.2</v>
      </c>
      <c r="D244" s="9" t="s">
        <v>30</v>
      </c>
      <c r="E244" s="39">
        <v>860.036</v>
      </c>
    </row>
    <row r="245" ht="16.5" spans="1:5">
      <c r="A245" s="101">
        <v>3045651</v>
      </c>
      <c r="B245" s="102">
        <v>400574.9</v>
      </c>
      <c r="C245" s="102">
        <v>670.2</v>
      </c>
      <c r="D245" s="9" t="s">
        <v>31</v>
      </c>
      <c r="E245" s="39">
        <v>861.246</v>
      </c>
    </row>
    <row r="246" ht="16.5" spans="1:5">
      <c r="A246" s="101">
        <v>3045651</v>
      </c>
      <c r="B246" s="102">
        <v>400574.9</v>
      </c>
      <c r="C246" s="102">
        <v>670.2</v>
      </c>
      <c r="D246" s="9" t="s">
        <v>32</v>
      </c>
      <c r="E246" s="39">
        <v>862.326</v>
      </c>
    </row>
    <row r="247" ht="16.5" spans="1:5">
      <c r="A247" s="101">
        <v>3045651</v>
      </c>
      <c r="B247" s="102">
        <v>400574.9</v>
      </c>
      <c r="C247" s="102">
        <v>670.2</v>
      </c>
      <c r="D247" s="9" t="s">
        <v>33</v>
      </c>
      <c r="E247" s="39">
        <v>857.186</v>
      </c>
    </row>
    <row r="248" ht="16.5" spans="1:5">
      <c r="A248" s="101">
        <v>3045651</v>
      </c>
      <c r="B248" s="102">
        <v>400574.9</v>
      </c>
      <c r="C248" s="102">
        <v>670.2</v>
      </c>
      <c r="D248" s="9" t="s">
        <v>34</v>
      </c>
      <c r="E248" s="39">
        <v>857.356</v>
      </c>
    </row>
    <row r="249" ht="16.5" spans="1:5">
      <c r="A249" s="101">
        <v>3045651</v>
      </c>
      <c r="B249" s="102">
        <v>400574.9</v>
      </c>
      <c r="C249" s="102">
        <v>670.2</v>
      </c>
      <c r="D249" s="9" t="s">
        <v>35</v>
      </c>
      <c r="E249" s="39">
        <v>856.286</v>
      </c>
    </row>
    <row r="250" ht="16.5" spans="1:5">
      <c r="A250" s="101">
        <v>3045651</v>
      </c>
      <c r="B250" s="102">
        <v>400574.9</v>
      </c>
      <c r="C250" s="102">
        <v>670.2</v>
      </c>
      <c r="D250" s="9" t="s">
        <v>36</v>
      </c>
      <c r="E250" s="39">
        <v>856.266</v>
      </c>
    </row>
    <row r="251" ht="16.5" spans="1:5">
      <c r="A251" s="101">
        <v>3045651</v>
      </c>
      <c r="B251" s="102">
        <v>400574.9</v>
      </c>
      <c r="C251" s="102">
        <v>670.2</v>
      </c>
      <c r="D251" s="9" t="s">
        <v>37</v>
      </c>
      <c r="E251" s="39">
        <v>858.996</v>
      </c>
    </row>
    <row r="252" ht="16.5" spans="1:5">
      <c r="A252" s="101">
        <v>3045651</v>
      </c>
      <c r="B252" s="102">
        <v>400574.9</v>
      </c>
      <c r="C252" s="102">
        <v>670.2</v>
      </c>
      <c r="D252" s="9" t="s">
        <v>38</v>
      </c>
      <c r="E252" s="39">
        <v>855.256</v>
      </c>
    </row>
    <row r="253" ht="16.5" spans="1:5">
      <c r="A253" s="101">
        <v>3045651</v>
      </c>
      <c r="B253" s="102">
        <v>400574.9</v>
      </c>
      <c r="C253" s="102">
        <v>670.2</v>
      </c>
      <c r="D253" s="9" t="s">
        <v>39</v>
      </c>
      <c r="E253" s="39">
        <v>857.546</v>
      </c>
    </row>
    <row r="254" ht="16.5" spans="1:5">
      <c r="A254" s="101">
        <v>3045651</v>
      </c>
      <c r="B254" s="102">
        <v>400574.9</v>
      </c>
      <c r="C254" s="102">
        <v>670.2</v>
      </c>
      <c r="D254" s="9" t="s">
        <v>40</v>
      </c>
      <c r="E254" s="39">
        <v>855.506</v>
      </c>
    </row>
    <row r="255" ht="16.5" spans="1:5">
      <c r="A255" s="101">
        <v>3045651</v>
      </c>
      <c r="B255" s="102">
        <v>400574.9</v>
      </c>
      <c r="C255" s="102">
        <v>670.2</v>
      </c>
      <c r="D255" s="9" t="s">
        <v>41</v>
      </c>
      <c r="E255" s="39">
        <v>864.246</v>
      </c>
    </row>
    <row r="256" ht="16.5" spans="1:5">
      <c r="A256" s="101">
        <v>3045651</v>
      </c>
      <c r="B256" s="102">
        <v>400574.9</v>
      </c>
      <c r="C256" s="102">
        <v>670.2</v>
      </c>
      <c r="D256" s="9" t="s">
        <v>42</v>
      </c>
      <c r="E256" s="39">
        <v>856.766</v>
      </c>
    </row>
    <row r="257" ht="16.5" spans="1:5">
      <c r="A257" s="101">
        <v>3045651</v>
      </c>
      <c r="B257" s="102">
        <v>400574.9</v>
      </c>
      <c r="C257" s="102">
        <v>670.2</v>
      </c>
      <c r="D257" s="9" t="s">
        <v>43</v>
      </c>
      <c r="E257" s="39">
        <v>857.976</v>
      </c>
    </row>
    <row r="258" ht="16.5" spans="1:5">
      <c r="A258" s="101">
        <v>3045651</v>
      </c>
      <c r="B258" s="102">
        <v>400574.9</v>
      </c>
      <c r="C258" s="102">
        <v>670.2</v>
      </c>
      <c r="D258" s="9" t="s">
        <v>44</v>
      </c>
      <c r="E258" s="39">
        <v>857.556</v>
      </c>
    </row>
    <row r="259" ht="16.5" spans="1:5">
      <c r="A259" s="101">
        <v>3045651</v>
      </c>
      <c r="B259" s="102">
        <v>400574.9</v>
      </c>
      <c r="C259" s="102">
        <v>670.2</v>
      </c>
      <c r="D259" s="9" t="s">
        <v>45</v>
      </c>
      <c r="E259" s="39">
        <v>855.716</v>
      </c>
    </row>
    <row r="260" ht="16.5" spans="1:5">
      <c r="A260" s="101">
        <v>3045651</v>
      </c>
      <c r="B260" s="102">
        <v>400574.9</v>
      </c>
      <c r="C260" s="102">
        <v>670.2</v>
      </c>
      <c r="D260" s="9" t="s">
        <v>46</v>
      </c>
      <c r="E260" s="39">
        <v>856.046</v>
      </c>
    </row>
    <row r="261" ht="16.5" spans="1:5">
      <c r="A261" s="101">
        <v>3045651</v>
      </c>
      <c r="B261" s="102">
        <v>400574.9</v>
      </c>
      <c r="C261" s="102">
        <v>670.2</v>
      </c>
      <c r="D261" s="9" t="s">
        <v>47</v>
      </c>
      <c r="E261" s="39">
        <v>855.306</v>
      </c>
    </row>
    <row r="262" ht="16.5" spans="1:5">
      <c r="A262" s="101">
        <v>3045651</v>
      </c>
      <c r="B262" s="102">
        <v>400574.9</v>
      </c>
      <c r="C262" s="102">
        <v>670.2</v>
      </c>
      <c r="D262" s="9" t="s">
        <v>48</v>
      </c>
      <c r="E262" s="39">
        <v>855.186</v>
      </c>
    </row>
    <row r="263" ht="16.5" spans="1:5">
      <c r="A263" s="101">
        <v>3045651</v>
      </c>
      <c r="B263" s="102">
        <v>400574.9</v>
      </c>
      <c r="C263" s="102">
        <v>670.2</v>
      </c>
      <c r="D263" s="9" t="s">
        <v>49</v>
      </c>
      <c r="E263" s="39">
        <v>854.536</v>
      </c>
    </row>
    <row r="264" ht="16.5" spans="1:5">
      <c r="A264" s="101">
        <v>3045651</v>
      </c>
      <c r="B264" s="102">
        <v>400574.9</v>
      </c>
      <c r="C264" s="102">
        <v>670.2</v>
      </c>
      <c r="D264" s="9" t="s">
        <v>50</v>
      </c>
      <c r="E264" s="39">
        <v>854.326</v>
      </c>
    </row>
    <row r="265" ht="16.5" spans="1:5">
      <c r="A265" s="101">
        <v>3045651</v>
      </c>
      <c r="B265" s="102">
        <v>400574.9</v>
      </c>
      <c r="C265" s="102">
        <v>670.2</v>
      </c>
      <c r="D265" s="9" t="s">
        <v>51</v>
      </c>
      <c r="E265" s="39">
        <v>854.356</v>
      </c>
    </row>
    <row r="266" ht="16.5" spans="1:5">
      <c r="A266" s="101">
        <v>3045651</v>
      </c>
      <c r="B266" s="102">
        <v>400574.9</v>
      </c>
      <c r="C266" s="102">
        <v>670.2</v>
      </c>
      <c r="D266" s="9" t="s">
        <v>52</v>
      </c>
      <c r="E266" s="39">
        <v>854.206</v>
      </c>
    </row>
    <row r="267" ht="16.5" spans="1:5">
      <c r="A267" s="101">
        <v>3045651</v>
      </c>
      <c r="B267" s="102">
        <v>400574.9</v>
      </c>
      <c r="C267" s="102">
        <v>670.2</v>
      </c>
      <c r="D267" s="9" t="s">
        <v>53</v>
      </c>
      <c r="E267" s="39">
        <v>856.286</v>
      </c>
    </row>
    <row r="268" ht="16.5" spans="1:5">
      <c r="A268" s="101">
        <v>3045651</v>
      </c>
      <c r="B268" s="102">
        <v>400574.9</v>
      </c>
      <c r="C268" s="102">
        <v>670.2</v>
      </c>
      <c r="D268" s="9" t="s">
        <v>54</v>
      </c>
      <c r="E268" s="39">
        <v>855.446</v>
      </c>
    </row>
    <row r="269" ht="16.5" spans="1:5">
      <c r="A269" s="101">
        <v>3045651</v>
      </c>
      <c r="B269" s="102">
        <v>400574.9</v>
      </c>
      <c r="C269" s="102">
        <v>670.2</v>
      </c>
      <c r="D269" s="9" t="s">
        <v>55</v>
      </c>
      <c r="E269" s="39">
        <v>854.986</v>
      </c>
    </row>
    <row r="270" ht="16.5" spans="1:5">
      <c r="A270" s="101">
        <v>3045651</v>
      </c>
      <c r="B270" s="102">
        <v>400574.9</v>
      </c>
      <c r="C270" s="102">
        <v>670.2</v>
      </c>
      <c r="D270" s="9" t="s">
        <v>56</v>
      </c>
      <c r="E270" s="39"/>
    </row>
    <row r="271" ht="16.5" spans="1:5">
      <c r="A271" s="101">
        <v>3045651</v>
      </c>
      <c r="B271" s="102">
        <v>400574.9</v>
      </c>
      <c r="C271" s="102">
        <v>670.2</v>
      </c>
      <c r="D271" s="9" t="s">
        <v>57</v>
      </c>
      <c r="E271" s="39"/>
    </row>
    <row r="272" ht="16.5" spans="1:5">
      <c r="A272" s="101">
        <v>3045651</v>
      </c>
      <c r="B272" s="102">
        <v>400574.9</v>
      </c>
      <c r="C272" s="102">
        <v>670.2</v>
      </c>
      <c r="D272" s="9" t="s">
        <v>58</v>
      </c>
      <c r="E272" s="39"/>
    </row>
    <row r="273" ht="16.5" spans="1:5">
      <c r="A273" s="101">
        <v>3045651</v>
      </c>
      <c r="B273" s="102">
        <v>400574.9</v>
      </c>
      <c r="C273" s="102">
        <v>670.2</v>
      </c>
      <c r="D273" s="9" t="s">
        <v>59</v>
      </c>
      <c r="E273" s="39"/>
    </row>
    <row r="274" ht="16.5" spans="1:5">
      <c r="A274" s="101">
        <v>3045651</v>
      </c>
      <c r="B274" s="102">
        <v>400574.9</v>
      </c>
      <c r="C274" s="102">
        <v>670.2</v>
      </c>
      <c r="D274" s="9" t="s">
        <v>60</v>
      </c>
      <c r="E274" s="39"/>
    </row>
    <row r="275" ht="16.5" spans="1:5">
      <c r="A275" s="101">
        <v>3045651</v>
      </c>
      <c r="B275" s="102">
        <v>400574.9</v>
      </c>
      <c r="C275" s="102">
        <v>670.2</v>
      </c>
      <c r="D275" s="9" t="s">
        <v>61</v>
      </c>
      <c r="E275" s="39"/>
    </row>
    <row r="276" ht="16.5" spans="1:5">
      <c r="A276" s="101">
        <v>3045651</v>
      </c>
      <c r="B276" s="102">
        <v>400574.9</v>
      </c>
      <c r="C276" s="102">
        <v>670.2</v>
      </c>
      <c r="D276" s="9" t="s">
        <v>62</v>
      </c>
      <c r="E276" s="39"/>
    </row>
    <row r="277" ht="16.5" spans="1:5">
      <c r="A277" s="101">
        <v>3045651</v>
      </c>
      <c r="B277" s="102">
        <v>400574.9</v>
      </c>
      <c r="C277" s="102">
        <v>670.2</v>
      </c>
      <c r="D277" s="9" t="s">
        <v>63</v>
      </c>
      <c r="E277" s="39"/>
    </row>
    <row r="278" ht="16.5" spans="1:5">
      <c r="A278" s="101">
        <v>3045651</v>
      </c>
      <c r="B278" s="102">
        <v>400574.9</v>
      </c>
      <c r="C278" s="102">
        <v>670.2</v>
      </c>
      <c r="D278" s="9" t="s">
        <v>64</v>
      </c>
      <c r="E278" s="39"/>
    </row>
    <row r="279" ht="16.5" spans="1:5">
      <c r="A279" s="101">
        <v>3045651</v>
      </c>
      <c r="B279" s="102">
        <v>400574.9</v>
      </c>
      <c r="C279" s="102">
        <v>670.2</v>
      </c>
      <c r="D279" s="9" t="s">
        <v>65</v>
      </c>
      <c r="E279" s="39"/>
    </row>
    <row r="280" ht="16.5" spans="1:5">
      <c r="A280" s="101">
        <v>3045651</v>
      </c>
      <c r="B280" s="102">
        <v>400574.9</v>
      </c>
      <c r="C280" s="102">
        <v>670.2</v>
      </c>
      <c r="D280" s="9" t="s">
        <v>66</v>
      </c>
      <c r="E280" s="39"/>
    </row>
    <row r="281" ht="16.5" spans="1:5">
      <c r="A281" s="101">
        <v>3045651</v>
      </c>
      <c r="B281" s="102">
        <v>400574.9</v>
      </c>
      <c r="C281" s="102">
        <v>670.2</v>
      </c>
      <c r="D281" s="9" t="s">
        <v>67</v>
      </c>
      <c r="E281" s="39">
        <v>850.766</v>
      </c>
    </row>
    <row r="282" ht="16.5" spans="1:5">
      <c r="A282" s="101">
        <v>3045651</v>
      </c>
      <c r="B282" s="102">
        <v>400574.9</v>
      </c>
      <c r="C282" s="102">
        <v>670.2</v>
      </c>
      <c r="D282" s="9" t="s">
        <v>68</v>
      </c>
      <c r="E282" s="39">
        <v>853.206</v>
      </c>
    </row>
    <row r="283" ht="16.5" spans="1:5">
      <c r="A283" s="101">
        <v>3045651</v>
      </c>
      <c r="B283" s="102">
        <v>400574.9</v>
      </c>
      <c r="C283" s="102">
        <v>670.2</v>
      </c>
      <c r="D283" s="9" t="s">
        <v>69</v>
      </c>
      <c r="E283" s="39">
        <v>854.256</v>
      </c>
    </row>
    <row r="284" ht="16.5" spans="1:5">
      <c r="A284" s="101">
        <v>3045651</v>
      </c>
      <c r="B284" s="102">
        <v>400574.9</v>
      </c>
      <c r="C284" s="102">
        <v>670.2</v>
      </c>
      <c r="D284" s="9" t="s">
        <v>70</v>
      </c>
      <c r="E284" s="39">
        <v>854.516</v>
      </c>
    </row>
    <row r="285" ht="16.5" spans="1:5">
      <c r="A285" s="101">
        <v>3045651</v>
      </c>
      <c r="B285" s="102">
        <v>400574.9</v>
      </c>
      <c r="C285" s="102">
        <v>670.2</v>
      </c>
      <c r="D285" s="9" t="s">
        <v>71</v>
      </c>
      <c r="E285" s="39">
        <v>853.796</v>
      </c>
    </row>
    <row r="286" ht="16.5" spans="1:5">
      <c r="A286" s="101">
        <v>3045651</v>
      </c>
      <c r="B286" s="102">
        <v>400574.9</v>
      </c>
      <c r="C286" s="102">
        <v>670.2</v>
      </c>
      <c r="D286" s="9" t="s">
        <v>72</v>
      </c>
      <c r="E286" s="39">
        <v>853.306</v>
      </c>
    </row>
    <row r="287" ht="16.5" spans="1:5">
      <c r="A287" s="101">
        <v>3045651</v>
      </c>
      <c r="B287" s="102">
        <v>400574.9</v>
      </c>
      <c r="C287" s="102">
        <v>670.2</v>
      </c>
      <c r="D287" s="9" t="s">
        <v>73</v>
      </c>
      <c r="E287" s="39">
        <v>852.896</v>
      </c>
    </row>
    <row r="288" ht="16.5" spans="1:5">
      <c r="A288" s="101">
        <v>3045651</v>
      </c>
      <c r="B288" s="102">
        <v>400574.9</v>
      </c>
      <c r="C288" s="102">
        <v>670.2</v>
      </c>
      <c r="D288" s="9" t="s">
        <v>74</v>
      </c>
      <c r="E288" s="39">
        <v>852.736</v>
      </c>
    </row>
    <row r="289" ht="16.5" spans="1:5">
      <c r="A289" s="101">
        <v>3045651</v>
      </c>
      <c r="B289" s="102">
        <v>400574.9</v>
      </c>
      <c r="C289" s="102">
        <v>670.2</v>
      </c>
      <c r="D289" s="9" t="s">
        <v>75</v>
      </c>
      <c r="E289" s="39">
        <v>852.576</v>
      </c>
    </row>
    <row r="290" ht="16.5" spans="1:5">
      <c r="A290" s="101">
        <v>3045651</v>
      </c>
      <c r="B290" s="102">
        <v>400574.9</v>
      </c>
      <c r="C290" s="102">
        <v>670.2</v>
      </c>
      <c r="D290" s="9" t="s">
        <v>76</v>
      </c>
      <c r="E290" s="39">
        <v>852.456</v>
      </c>
    </row>
    <row r="291" ht="16.5" spans="1:5">
      <c r="A291" s="101">
        <v>3045651</v>
      </c>
      <c r="B291" s="102">
        <v>400574.9</v>
      </c>
      <c r="C291" s="102">
        <v>670.2</v>
      </c>
      <c r="D291" s="9" t="s">
        <v>77</v>
      </c>
      <c r="E291" s="39">
        <v>852.306</v>
      </c>
    </row>
    <row r="292" ht="16.5" spans="1:5">
      <c r="A292" s="101">
        <v>3045651</v>
      </c>
      <c r="B292" s="102">
        <v>400574.9</v>
      </c>
      <c r="C292" s="102">
        <v>670.2</v>
      </c>
      <c r="D292" s="9" t="s">
        <v>78</v>
      </c>
      <c r="E292" s="39">
        <v>852.136</v>
      </c>
    </row>
    <row r="293" ht="16.5" spans="1:5">
      <c r="A293" s="101">
        <v>3045651</v>
      </c>
      <c r="B293" s="102">
        <v>400574.9</v>
      </c>
      <c r="C293" s="102">
        <v>670.2</v>
      </c>
      <c r="D293" s="9" t="s">
        <v>79</v>
      </c>
      <c r="E293" s="39">
        <v>851.986</v>
      </c>
    </row>
    <row r="294" ht="16.5" spans="1:5">
      <c r="A294" s="101">
        <v>3045651</v>
      </c>
      <c r="B294" s="102">
        <v>400574.9</v>
      </c>
      <c r="C294" s="102">
        <v>670.2</v>
      </c>
      <c r="D294" s="9" t="s">
        <v>80</v>
      </c>
      <c r="E294" s="39">
        <v>851.866</v>
      </c>
    </row>
    <row r="295" ht="16.5" spans="1:5">
      <c r="A295" s="101">
        <v>3045651</v>
      </c>
      <c r="B295" s="102">
        <v>400574.9</v>
      </c>
      <c r="C295" s="102">
        <v>670.2</v>
      </c>
      <c r="D295" s="9" t="s">
        <v>81</v>
      </c>
      <c r="E295" s="39">
        <v>851.766</v>
      </c>
    </row>
    <row r="296" ht="16.5" spans="1:5">
      <c r="A296" s="101">
        <v>3045651</v>
      </c>
      <c r="B296" s="102">
        <v>400574.9</v>
      </c>
      <c r="C296" s="102">
        <v>670.2</v>
      </c>
      <c r="D296" s="9" t="s">
        <v>82</v>
      </c>
      <c r="E296" s="39">
        <v>851.566</v>
      </c>
    </row>
    <row r="297" ht="16.5" spans="1:5">
      <c r="A297" s="101">
        <v>3045651</v>
      </c>
      <c r="B297" s="102">
        <v>400574.9</v>
      </c>
      <c r="C297" s="102">
        <v>670.2</v>
      </c>
      <c r="D297" s="9" t="s">
        <v>83</v>
      </c>
      <c r="E297" s="39">
        <v>851.416</v>
      </c>
    </row>
    <row r="298" ht="16.5" spans="1:5">
      <c r="A298" s="101">
        <v>3045651</v>
      </c>
      <c r="B298" s="102">
        <v>400574.9</v>
      </c>
      <c r="C298" s="102">
        <v>670.2</v>
      </c>
      <c r="D298" s="9" t="s">
        <v>84</v>
      </c>
      <c r="E298" s="39">
        <v>851.356</v>
      </c>
    </row>
    <row r="299" ht="16.5" spans="1:5">
      <c r="A299" s="101">
        <v>3045651</v>
      </c>
      <c r="B299" s="102">
        <v>400574.9</v>
      </c>
      <c r="C299" s="102">
        <v>670.2</v>
      </c>
      <c r="D299" s="9" t="s">
        <v>85</v>
      </c>
      <c r="E299" s="39">
        <v>851.296</v>
      </c>
    </row>
    <row r="300" ht="16.5" spans="1:5">
      <c r="A300" s="101">
        <v>3045651</v>
      </c>
      <c r="B300" s="102">
        <v>400574.9</v>
      </c>
      <c r="C300" s="102">
        <v>670.2</v>
      </c>
      <c r="D300" s="9" t="s">
        <v>86</v>
      </c>
      <c r="E300" s="39">
        <v>851.226</v>
      </c>
    </row>
    <row r="301" ht="16.5" spans="1:5">
      <c r="A301" s="101">
        <v>3045651</v>
      </c>
      <c r="B301" s="102">
        <v>400574.9</v>
      </c>
      <c r="C301" s="102">
        <v>670.2</v>
      </c>
      <c r="D301" s="9" t="s">
        <v>87</v>
      </c>
      <c r="E301" s="39">
        <v>851.106</v>
      </c>
    </row>
    <row r="302" ht="16.5" spans="1:5">
      <c r="A302" s="101">
        <v>3045651</v>
      </c>
      <c r="B302" s="102">
        <v>400574.9</v>
      </c>
      <c r="C302" s="102">
        <v>670.2</v>
      </c>
      <c r="D302" s="9" t="s">
        <v>88</v>
      </c>
      <c r="E302" s="39">
        <v>850.956</v>
      </c>
    </row>
    <row r="303" ht="16.5" spans="1:5">
      <c r="A303" s="101">
        <v>3045651</v>
      </c>
      <c r="B303" s="102">
        <v>400574.9</v>
      </c>
      <c r="C303" s="102">
        <v>670.2</v>
      </c>
      <c r="D303" s="9" t="s">
        <v>89</v>
      </c>
      <c r="E303" s="39">
        <v>850.896</v>
      </c>
    </row>
    <row r="304" ht="16.5" spans="1:5">
      <c r="A304" s="101">
        <v>3045651</v>
      </c>
      <c r="B304" s="102">
        <v>400574.9</v>
      </c>
      <c r="C304" s="102">
        <v>670.2</v>
      </c>
      <c r="D304" s="9" t="s">
        <v>90</v>
      </c>
      <c r="E304" s="39">
        <v>850.766</v>
      </c>
    </row>
    <row r="305" ht="16.5" spans="1:5">
      <c r="A305" s="101">
        <v>3045651</v>
      </c>
      <c r="B305" s="102">
        <v>400574.9</v>
      </c>
      <c r="C305" s="102">
        <v>670.2</v>
      </c>
      <c r="D305" s="9" t="s">
        <v>91</v>
      </c>
      <c r="E305" s="39">
        <v>850.576</v>
      </c>
    </row>
    <row r="306" ht="16.5" spans="1:5">
      <c r="A306" s="101">
        <v>3045651</v>
      </c>
      <c r="B306" s="102">
        <v>400574.9</v>
      </c>
      <c r="C306" s="102">
        <v>670.2</v>
      </c>
      <c r="D306" s="9" t="s">
        <v>92</v>
      </c>
      <c r="E306" s="39">
        <v>850.546</v>
      </c>
    </row>
    <row r="307" ht="16.5" spans="1:5">
      <c r="A307" s="101">
        <v>3045651</v>
      </c>
      <c r="B307" s="102">
        <v>400574.9</v>
      </c>
      <c r="C307" s="102">
        <v>670.2</v>
      </c>
      <c r="D307" s="9" t="s">
        <v>93</v>
      </c>
      <c r="E307" s="39">
        <v>850.526</v>
      </c>
    </row>
    <row r="308" ht="16.5" spans="1:5">
      <c r="A308" s="101">
        <v>3045651</v>
      </c>
      <c r="B308" s="102">
        <v>400574.9</v>
      </c>
      <c r="C308" s="102">
        <v>670.2</v>
      </c>
      <c r="D308" s="9" t="s">
        <v>94</v>
      </c>
      <c r="E308" s="39">
        <v>850.396</v>
      </c>
    </row>
    <row r="309" ht="16.5" spans="1:5">
      <c r="A309" s="101">
        <v>3045651</v>
      </c>
      <c r="B309" s="102">
        <v>400574.9</v>
      </c>
      <c r="C309" s="102">
        <v>670.2</v>
      </c>
      <c r="D309" s="9" t="s">
        <v>95</v>
      </c>
      <c r="E309" s="39">
        <v>850.256</v>
      </c>
    </row>
    <row r="310" ht="16.5" spans="1:5">
      <c r="A310" s="101">
        <v>3045651</v>
      </c>
      <c r="B310" s="102">
        <v>400574.9</v>
      </c>
      <c r="C310" s="102">
        <v>670.2</v>
      </c>
      <c r="D310" s="9" t="s">
        <v>96</v>
      </c>
      <c r="E310" s="39">
        <v>850.236</v>
      </c>
    </row>
    <row r="311" ht="16.5" spans="1:5">
      <c r="A311" s="101">
        <v>3045651</v>
      </c>
      <c r="B311" s="102">
        <v>400574.9</v>
      </c>
      <c r="C311" s="102">
        <v>670.2</v>
      </c>
      <c r="D311" s="9" t="s">
        <v>97</v>
      </c>
      <c r="E311" s="39">
        <v>850.176</v>
      </c>
    </row>
    <row r="312" ht="16.5" spans="1:5">
      <c r="A312" s="101">
        <v>3045651</v>
      </c>
      <c r="B312" s="102">
        <v>400574.9</v>
      </c>
      <c r="C312" s="102">
        <v>670.2</v>
      </c>
      <c r="D312" s="9" t="s">
        <v>98</v>
      </c>
      <c r="E312" s="39">
        <v>850.176</v>
      </c>
    </row>
    <row r="313" ht="16.5" spans="1:5">
      <c r="A313" s="101">
        <v>3045651</v>
      </c>
      <c r="B313" s="102">
        <v>400574.9</v>
      </c>
      <c r="C313" s="102">
        <v>670.2</v>
      </c>
      <c r="D313" s="9" t="s">
        <v>99</v>
      </c>
      <c r="E313" s="39">
        <v>849.956</v>
      </c>
    </row>
    <row r="314" ht="16.5" spans="1:5">
      <c r="A314" s="101">
        <v>3045651</v>
      </c>
      <c r="B314" s="102">
        <v>400574.9</v>
      </c>
      <c r="C314" s="102">
        <v>670.2</v>
      </c>
      <c r="D314" s="9" t="s">
        <v>100</v>
      </c>
      <c r="E314" s="39">
        <v>850.546</v>
      </c>
    </row>
    <row r="315" ht="16.5" spans="1:5">
      <c r="A315" s="101">
        <v>3045651</v>
      </c>
      <c r="B315" s="102">
        <v>400574.9</v>
      </c>
      <c r="C315" s="102">
        <v>670.2</v>
      </c>
      <c r="D315" s="9" t="s">
        <v>101</v>
      </c>
      <c r="E315" s="39">
        <v>849.806</v>
      </c>
    </row>
    <row r="316" ht="16.5" spans="1:5">
      <c r="A316" s="101">
        <v>3045651</v>
      </c>
      <c r="B316" s="102">
        <v>400574.9</v>
      </c>
      <c r="C316" s="102">
        <v>670.2</v>
      </c>
      <c r="D316" s="9" t="s">
        <v>102</v>
      </c>
      <c r="E316" s="39">
        <v>849.606</v>
      </c>
    </row>
    <row r="317" ht="16.5" spans="1:5">
      <c r="A317" s="101">
        <v>3045651</v>
      </c>
      <c r="B317" s="102">
        <v>400574.9</v>
      </c>
      <c r="C317" s="102">
        <v>670.2</v>
      </c>
      <c r="D317" s="9" t="s">
        <v>103</v>
      </c>
      <c r="E317" s="39">
        <v>849.536</v>
      </c>
    </row>
    <row r="318" ht="16.5" spans="1:5">
      <c r="A318" s="101">
        <v>3045651</v>
      </c>
      <c r="B318" s="102">
        <v>400574.9</v>
      </c>
      <c r="C318" s="102">
        <v>670.2</v>
      </c>
      <c r="D318" s="9" t="s">
        <v>104</v>
      </c>
      <c r="E318" s="39">
        <v>849.386</v>
      </c>
    </row>
    <row r="319" ht="16.5" spans="1:5">
      <c r="A319" s="101">
        <v>3045651</v>
      </c>
      <c r="B319" s="102">
        <v>400574.9</v>
      </c>
      <c r="C319" s="102">
        <v>670.2</v>
      </c>
      <c r="D319" s="9" t="s">
        <v>105</v>
      </c>
      <c r="E319" s="39">
        <v>849.236</v>
      </c>
    </row>
    <row r="320" ht="16.5" spans="1:5">
      <c r="A320" s="101">
        <v>3045651</v>
      </c>
      <c r="B320" s="102">
        <v>400574.9</v>
      </c>
      <c r="C320" s="102">
        <v>670.2</v>
      </c>
      <c r="D320" s="9" t="s">
        <v>106</v>
      </c>
      <c r="E320" s="39">
        <v>849.546</v>
      </c>
    </row>
    <row r="321" ht="16.5" spans="1:5">
      <c r="A321" s="101">
        <v>3045651</v>
      </c>
      <c r="B321" s="102">
        <v>400574.9</v>
      </c>
      <c r="C321" s="102">
        <v>670.2</v>
      </c>
      <c r="D321" s="9" t="s">
        <v>107</v>
      </c>
      <c r="E321" s="39">
        <v>847.826</v>
      </c>
    </row>
    <row r="322" ht="16.5" spans="1:5">
      <c r="A322" s="101">
        <v>3045651</v>
      </c>
      <c r="B322" s="102">
        <v>400574.9</v>
      </c>
      <c r="C322" s="102">
        <v>670.2</v>
      </c>
      <c r="D322" s="9" t="s">
        <v>108</v>
      </c>
      <c r="E322" s="39">
        <v>852.156</v>
      </c>
    </row>
    <row r="323" ht="16.5" spans="1:5">
      <c r="A323" s="101">
        <v>3045651</v>
      </c>
      <c r="B323" s="102">
        <v>400574.9</v>
      </c>
      <c r="C323" s="102">
        <v>670.2</v>
      </c>
      <c r="D323" s="9" t="s">
        <v>109</v>
      </c>
      <c r="E323" s="39">
        <v>852.126</v>
      </c>
    </row>
    <row r="324" ht="16.5" spans="1:5">
      <c r="A324" s="101">
        <v>3045651</v>
      </c>
      <c r="B324" s="102">
        <v>400574.9</v>
      </c>
      <c r="C324" s="102">
        <v>670.2</v>
      </c>
      <c r="D324" s="9" t="s">
        <v>110</v>
      </c>
      <c r="E324" s="39">
        <v>851.666</v>
      </c>
    </row>
    <row r="325" ht="16.5" spans="1:5">
      <c r="A325" s="101">
        <v>3045651</v>
      </c>
      <c r="B325" s="102">
        <v>400574.9</v>
      </c>
      <c r="C325" s="102">
        <v>670.2</v>
      </c>
      <c r="D325" s="9" t="s">
        <v>111</v>
      </c>
      <c r="E325" s="39">
        <v>833.876</v>
      </c>
    </row>
    <row r="326" ht="16.5" spans="1:5">
      <c r="A326" s="101">
        <v>3045651</v>
      </c>
      <c r="B326" s="102">
        <v>400574.9</v>
      </c>
      <c r="C326" s="102">
        <v>670.2</v>
      </c>
      <c r="D326" s="9" t="s">
        <v>112</v>
      </c>
      <c r="E326" s="39">
        <v>835.356</v>
      </c>
    </row>
    <row r="327" ht="16.5" spans="1:5">
      <c r="A327" s="101">
        <v>3045651</v>
      </c>
      <c r="B327" s="102">
        <v>400574.9</v>
      </c>
      <c r="C327" s="102">
        <v>670.2</v>
      </c>
      <c r="D327" s="9" t="s">
        <v>113</v>
      </c>
      <c r="E327" s="39">
        <v>835.276</v>
      </c>
    </row>
    <row r="328" ht="16.5" spans="1:5">
      <c r="A328" s="101">
        <v>3045651</v>
      </c>
      <c r="B328" s="102">
        <v>400574.9</v>
      </c>
      <c r="C328" s="102">
        <v>670.2</v>
      </c>
      <c r="D328" s="9" t="s">
        <v>114</v>
      </c>
      <c r="E328" s="39">
        <v>835.656</v>
      </c>
    </row>
    <row r="329" ht="16.5" spans="1:5">
      <c r="A329" s="101">
        <v>3045651</v>
      </c>
      <c r="B329" s="102">
        <v>400574.9</v>
      </c>
      <c r="C329" s="102">
        <v>670.2</v>
      </c>
      <c r="D329" s="9" t="s">
        <v>115</v>
      </c>
      <c r="E329" s="39">
        <v>834.986</v>
      </c>
    </row>
    <row r="330" ht="16.5" spans="1:5">
      <c r="A330" s="101">
        <v>3045651</v>
      </c>
      <c r="B330" s="102">
        <v>400574.9</v>
      </c>
      <c r="C330" s="102">
        <v>670.2</v>
      </c>
      <c r="D330" s="9" t="s">
        <v>116</v>
      </c>
      <c r="E330" s="39">
        <v>834.806</v>
      </c>
    </row>
    <row r="331" ht="16.5" spans="1:5">
      <c r="A331" s="101">
        <v>3045651</v>
      </c>
      <c r="B331" s="102">
        <v>400574.9</v>
      </c>
      <c r="C331" s="102">
        <v>670.2</v>
      </c>
      <c r="D331" s="9" t="s">
        <v>117</v>
      </c>
      <c r="E331" s="39">
        <v>835.346</v>
      </c>
    </row>
    <row r="332" ht="16.5" spans="1:5">
      <c r="A332" s="101">
        <v>3045651</v>
      </c>
      <c r="B332" s="102">
        <v>400574.9</v>
      </c>
      <c r="C332" s="102">
        <v>670.2</v>
      </c>
      <c r="D332" s="9" t="s">
        <v>118</v>
      </c>
      <c r="E332" s="39">
        <v>834.516</v>
      </c>
    </row>
    <row r="333" ht="16.5" spans="1:5">
      <c r="A333" s="101">
        <v>3045651</v>
      </c>
      <c r="B333" s="102">
        <v>400574.9</v>
      </c>
      <c r="C333" s="102">
        <v>670.2</v>
      </c>
      <c r="D333" s="9" t="s">
        <v>119</v>
      </c>
      <c r="E333" s="39">
        <v>834.276</v>
      </c>
    </row>
    <row r="334" ht="16.5" spans="1:5">
      <c r="A334" s="101">
        <v>3045651</v>
      </c>
      <c r="B334" s="102">
        <v>400574.9</v>
      </c>
      <c r="C334" s="102">
        <v>670.2</v>
      </c>
      <c r="D334" s="9" t="s">
        <v>120</v>
      </c>
      <c r="E334" s="39">
        <v>834.176</v>
      </c>
    </row>
    <row r="335" ht="16.5" spans="1:5">
      <c r="A335" s="101">
        <v>3045651</v>
      </c>
      <c r="B335" s="102">
        <v>400574.9</v>
      </c>
      <c r="C335" s="102">
        <v>670.2</v>
      </c>
      <c r="D335" s="9" t="s">
        <v>121</v>
      </c>
      <c r="E335" s="39">
        <v>833.976</v>
      </c>
    </row>
    <row r="336" ht="16.5" spans="1:5">
      <c r="A336" s="101">
        <v>3045651</v>
      </c>
      <c r="B336" s="102">
        <v>400574.9</v>
      </c>
      <c r="C336" s="102">
        <v>670.2</v>
      </c>
      <c r="D336" s="9" t="s">
        <v>122</v>
      </c>
      <c r="E336" s="39">
        <v>833.876</v>
      </c>
    </row>
    <row r="337" ht="16.5" spans="1:5">
      <c r="A337" s="101">
        <v>3045651</v>
      </c>
      <c r="B337" s="102">
        <v>400574.9</v>
      </c>
      <c r="C337" s="102">
        <v>670.2</v>
      </c>
      <c r="D337" s="9" t="s">
        <v>123</v>
      </c>
      <c r="E337" s="39">
        <v>833.896</v>
      </c>
    </row>
    <row r="338" ht="16.5" spans="1:5">
      <c r="A338" s="101">
        <v>3045651</v>
      </c>
      <c r="B338" s="102">
        <v>400574.9</v>
      </c>
      <c r="C338" s="102">
        <v>670.2</v>
      </c>
      <c r="D338" s="9" t="s">
        <v>124</v>
      </c>
      <c r="E338" s="39">
        <v>833.846</v>
      </c>
    </row>
    <row r="339" ht="16.5" spans="1:5">
      <c r="A339" s="101">
        <v>3045651</v>
      </c>
      <c r="B339" s="102">
        <v>400574.9</v>
      </c>
      <c r="C339" s="102">
        <v>670.2</v>
      </c>
      <c r="D339" s="9" t="s">
        <v>125</v>
      </c>
      <c r="E339" s="39">
        <v>834.046</v>
      </c>
    </row>
    <row r="340" ht="16.5" spans="1:5">
      <c r="A340" s="101">
        <v>3045651</v>
      </c>
      <c r="B340" s="102">
        <v>400574.9</v>
      </c>
      <c r="C340" s="102">
        <v>670.2</v>
      </c>
      <c r="D340" s="9" t="s">
        <v>126</v>
      </c>
      <c r="E340" s="39">
        <v>834.066</v>
      </c>
    </row>
    <row r="341" ht="16.5" spans="1:5">
      <c r="A341" s="101">
        <v>3045651</v>
      </c>
      <c r="B341" s="102">
        <v>400574.9</v>
      </c>
      <c r="C341" s="102">
        <v>670.2</v>
      </c>
      <c r="D341" s="9" t="s">
        <v>127</v>
      </c>
      <c r="E341" s="39">
        <v>834.146</v>
      </c>
    </row>
    <row r="342" ht="16.5" spans="1:5">
      <c r="A342" s="101">
        <v>3045651</v>
      </c>
      <c r="B342" s="102">
        <v>400574.9</v>
      </c>
      <c r="C342" s="102">
        <v>670.2</v>
      </c>
      <c r="D342" s="9" t="s">
        <v>128</v>
      </c>
      <c r="E342" s="39">
        <v>834.266</v>
      </c>
    </row>
    <row r="343" ht="16.5" spans="1:5">
      <c r="A343" s="101">
        <v>3045651</v>
      </c>
      <c r="B343" s="102">
        <v>400574.9</v>
      </c>
      <c r="C343" s="102">
        <v>670.2</v>
      </c>
      <c r="D343" s="9" t="s">
        <v>129</v>
      </c>
      <c r="E343" s="39">
        <v>834.166</v>
      </c>
    </row>
    <row r="344" ht="16.5" spans="1:5">
      <c r="A344" s="101">
        <v>3045651</v>
      </c>
      <c r="B344" s="102">
        <v>400574.9</v>
      </c>
      <c r="C344" s="102">
        <v>670.2</v>
      </c>
      <c r="D344" s="9" t="s">
        <v>130</v>
      </c>
      <c r="E344" s="39">
        <v>834.076</v>
      </c>
    </row>
    <row r="345" ht="16.5" spans="1:5">
      <c r="A345" s="101">
        <v>3045651</v>
      </c>
      <c r="B345" s="102">
        <v>400574.9</v>
      </c>
      <c r="C345" s="102">
        <v>670.2</v>
      </c>
      <c r="D345" s="9" t="s">
        <v>131</v>
      </c>
      <c r="E345" s="39">
        <v>834.676</v>
      </c>
    </row>
    <row r="346" ht="16.5" spans="1:5">
      <c r="A346" s="101">
        <v>3045651</v>
      </c>
      <c r="B346" s="102">
        <v>400574.9</v>
      </c>
      <c r="C346" s="102">
        <v>670.2</v>
      </c>
      <c r="D346" s="9" t="s">
        <v>132</v>
      </c>
      <c r="E346" s="39">
        <v>834.956</v>
      </c>
    </row>
    <row r="347" ht="16.5" spans="1:5">
      <c r="A347" s="101">
        <v>3045651</v>
      </c>
      <c r="B347" s="102">
        <v>400574.9</v>
      </c>
      <c r="C347" s="102">
        <v>670.2</v>
      </c>
      <c r="D347" s="9" t="s">
        <v>133</v>
      </c>
      <c r="E347" s="39">
        <v>811.486</v>
      </c>
    </row>
    <row r="348" ht="16.5" spans="1:5">
      <c r="A348" s="101">
        <v>3045651</v>
      </c>
      <c r="B348" s="102">
        <v>400574.9</v>
      </c>
      <c r="C348" s="102">
        <v>670.2</v>
      </c>
      <c r="D348" s="9" t="s">
        <v>134</v>
      </c>
      <c r="E348" s="39">
        <v>831.786</v>
      </c>
    </row>
    <row r="349" ht="16.5" spans="1:5">
      <c r="A349" s="101">
        <v>3045651</v>
      </c>
      <c r="B349" s="102">
        <v>400574.9</v>
      </c>
      <c r="C349" s="102">
        <v>670.2</v>
      </c>
      <c r="D349" s="9" t="s">
        <v>135</v>
      </c>
      <c r="E349" s="39">
        <v>835.016</v>
      </c>
    </row>
    <row r="350" ht="16.5" spans="1:5">
      <c r="A350" s="101">
        <v>3045651</v>
      </c>
      <c r="B350" s="102">
        <v>400574.9</v>
      </c>
      <c r="C350" s="102">
        <v>670.2</v>
      </c>
      <c r="D350" s="9" t="s">
        <v>136</v>
      </c>
      <c r="E350" s="39">
        <v>834.146</v>
      </c>
    </row>
    <row r="351" ht="16.5" spans="1:5">
      <c r="A351" s="101">
        <v>3045651</v>
      </c>
      <c r="B351" s="102">
        <v>400574.9</v>
      </c>
      <c r="C351" s="102">
        <v>670.2</v>
      </c>
      <c r="D351" s="9" t="s">
        <v>137</v>
      </c>
      <c r="E351" s="39">
        <v>835.306</v>
      </c>
    </row>
    <row r="352" ht="16.5" spans="1:5">
      <c r="A352" s="101">
        <v>3045651</v>
      </c>
      <c r="B352" s="102">
        <v>400574.9</v>
      </c>
      <c r="C352" s="102">
        <v>670.2</v>
      </c>
      <c r="D352" s="9" t="s">
        <v>138</v>
      </c>
      <c r="E352" s="39">
        <v>835.976</v>
      </c>
    </row>
    <row r="353" ht="16.5" spans="1:5">
      <c r="A353" s="101">
        <v>3045651</v>
      </c>
      <c r="B353" s="102">
        <v>400574.9</v>
      </c>
      <c r="C353" s="102">
        <v>670.2</v>
      </c>
      <c r="D353" s="9" t="s">
        <v>139</v>
      </c>
      <c r="E353" s="39">
        <v>826.246</v>
      </c>
    </row>
    <row r="354" ht="16.5" spans="1:5">
      <c r="A354" s="101">
        <v>3045651</v>
      </c>
      <c r="B354" s="102">
        <v>400574.9</v>
      </c>
      <c r="C354" s="102">
        <v>670.2</v>
      </c>
      <c r="D354" s="9" t="s">
        <v>140</v>
      </c>
      <c r="E354" s="39">
        <v>826.776</v>
      </c>
    </row>
    <row r="355" ht="16.5" spans="1:5">
      <c r="A355" s="101">
        <v>3045651</v>
      </c>
      <c r="B355" s="102">
        <v>400574.9</v>
      </c>
      <c r="C355" s="102">
        <v>670.2</v>
      </c>
      <c r="D355" s="9" t="s">
        <v>141</v>
      </c>
      <c r="E355" s="39">
        <v>826.686</v>
      </c>
    </row>
    <row r="356" ht="16.5" spans="1:5">
      <c r="A356" s="101">
        <v>3045651</v>
      </c>
      <c r="B356" s="102">
        <v>400574.9</v>
      </c>
      <c r="C356" s="102">
        <v>670.2</v>
      </c>
      <c r="D356" s="9" t="s">
        <v>142</v>
      </c>
      <c r="E356" s="39">
        <v>825.916</v>
      </c>
    </row>
    <row r="357" ht="16.5" spans="1:5">
      <c r="A357" s="101">
        <v>3045651</v>
      </c>
      <c r="B357" s="102">
        <v>400574.9</v>
      </c>
      <c r="C357" s="102">
        <v>670.2</v>
      </c>
      <c r="D357" s="9" t="s">
        <v>143</v>
      </c>
      <c r="E357" s="39">
        <v>826.156</v>
      </c>
    </row>
    <row r="358" ht="16.5" spans="1:5">
      <c r="A358" s="101">
        <v>3045651</v>
      </c>
      <c r="B358" s="102">
        <v>400574.9</v>
      </c>
      <c r="C358" s="102">
        <v>670.2</v>
      </c>
      <c r="D358" s="9" t="s">
        <v>144</v>
      </c>
      <c r="E358" s="39">
        <v>826.236</v>
      </c>
    </row>
    <row r="359" ht="16.5" spans="1:5">
      <c r="A359" s="101">
        <v>3045651</v>
      </c>
      <c r="B359" s="102">
        <v>400574.9</v>
      </c>
      <c r="C359" s="102">
        <v>670.2</v>
      </c>
      <c r="D359" s="9" t="s">
        <v>145</v>
      </c>
      <c r="E359" s="39">
        <v>825.916</v>
      </c>
    </row>
    <row r="360" ht="16.5" spans="1:5">
      <c r="A360" s="101">
        <v>3045651</v>
      </c>
      <c r="B360" s="102">
        <v>400574.9</v>
      </c>
      <c r="C360" s="102">
        <v>670.2</v>
      </c>
      <c r="D360" s="9" t="s">
        <v>146</v>
      </c>
      <c r="E360" s="39">
        <v>827.816</v>
      </c>
    </row>
    <row r="361" ht="16.5" spans="1:5">
      <c r="A361" s="101">
        <v>3045651</v>
      </c>
      <c r="B361" s="102">
        <v>400574.9</v>
      </c>
      <c r="C361" s="102">
        <v>670.2</v>
      </c>
      <c r="D361" s="9" t="s">
        <v>147</v>
      </c>
      <c r="E361" s="39">
        <v>828.736</v>
      </c>
    </row>
    <row r="362" ht="16.5" spans="1:5">
      <c r="A362" s="101">
        <v>3045651</v>
      </c>
      <c r="B362" s="102">
        <v>400574.9</v>
      </c>
      <c r="C362" s="102">
        <v>670.2</v>
      </c>
      <c r="D362" s="9" t="s">
        <v>148</v>
      </c>
      <c r="E362" s="39">
        <v>849.426</v>
      </c>
    </row>
    <row r="363" ht="16.5" spans="1:5">
      <c r="A363" s="101">
        <v>3045651</v>
      </c>
      <c r="B363" s="102">
        <v>400574.9</v>
      </c>
      <c r="C363" s="102">
        <v>670.2</v>
      </c>
      <c r="D363" s="9" t="s">
        <v>149</v>
      </c>
      <c r="E363" s="39">
        <v>851.736</v>
      </c>
    </row>
    <row r="364" ht="16.5" spans="1:5">
      <c r="A364" s="101">
        <v>3045651</v>
      </c>
      <c r="B364" s="102">
        <v>400574.9</v>
      </c>
      <c r="C364" s="102">
        <v>670.2</v>
      </c>
      <c r="D364" s="9" t="s">
        <v>150</v>
      </c>
      <c r="E364" s="39">
        <v>848.536</v>
      </c>
    </row>
    <row r="365" ht="16.5" spans="1:5">
      <c r="A365" s="101">
        <v>3045651</v>
      </c>
      <c r="B365" s="102">
        <v>400574.9</v>
      </c>
      <c r="C365" s="102">
        <v>670.2</v>
      </c>
      <c r="D365" s="9" t="s">
        <v>151</v>
      </c>
      <c r="E365" s="39">
        <v>847.866</v>
      </c>
    </row>
    <row r="366" ht="16.5" spans="1:5">
      <c r="A366" s="101">
        <v>3045651</v>
      </c>
      <c r="B366" s="102">
        <v>400574.9</v>
      </c>
      <c r="C366" s="102">
        <v>670.2</v>
      </c>
      <c r="D366" s="9" t="s">
        <v>152</v>
      </c>
      <c r="E366" s="39">
        <v>849.566</v>
      </c>
    </row>
    <row r="367" ht="16.5" spans="1:5">
      <c r="A367" s="101">
        <v>3045651</v>
      </c>
      <c r="B367" s="102">
        <v>400574.9</v>
      </c>
      <c r="C367" s="102">
        <v>670.2</v>
      </c>
      <c r="D367" s="9" t="s">
        <v>153</v>
      </c>
      <c r="E367" s="39">
        <v>849.126</v>
      </c>
    </row>
    <row r="368" ht="16.5" spans="1:5">
      <c r="A368" s="101">
        <v>3045651</v>
      </c>
      <c r="B368" s="102">
        <v>400574.9</v>
      </c>
      <c r="C368" s="102">
        <v>670.2</v>
      </c>
      <c r="D368" s="9" t="s">
        <v>154</v>
      </c>
      <c r="E368" s="39">
        <v>848.256</v>
      </c>
    </row>
    <row r="369" ht="16.5" spans="1:5">
      <c r="A369" s="101">
        <v>3045651</v>
      </c>
      <c r="B369" s="102">
        <v>400574.9</v>
      </c>
      <c r="C369" s="102">
        <v>670.2</v>
      </c>
      <c r="D369" s="9" t="s">
        <v>155</v>
      </c>
      <c r="E369" s="39">
        <v>848.666</v>
      </c>
    </row>
    <row r="370" ht="16.5" spans="1:5">
      <c r="A370" s="101">
        <v>3045651</v>
      </c>
      <c r="B370" s="102">
        <v>400574.9</v>
      </c>
      <c r="C370" s="102">
        <v>670.2</v>
      </c>
      <c r="D370" s="9" t="s">
        <v>156</v>
      </c>
      <c r="E370" s="39">
        <v>846.336</v>
      </c>
    </row>
    <row r="371" ht="16.5" spans="1:5">
      <c r="A371" s="101">
        <v>3045651</v>
      </c>
      <c r="B371" s="102">
        <v>400574.9</v>
      </c>
      <c r="C371" s="102">
        <v>670.2</v>
      </c>
      <c r="D371" s="9" t="s">
        <v>157</v>
      </c>
      <c r="E371" s="39">
        <v>847.786</v>
      </c>
    </row>
    <row r="372" ht="16.5" spans="1:5">
      <c r="A372" s="101">
        <v>3045651</v>
      </c>
      <c r="B372" s="102">
        <v>400574.9</v>
      </c>
      <c r="C372" s="102">
        <v>670.2</v>
      </c>
      <c r="D372" s="9" t="s">
        <v>158</v>
      </c>
      <c r="E372" s="39">
        <v>848.586</v>
      </c>
    </row>
    <row r="373" ht="16.5" spans="1:5">
      <c r="A373" s="101">
        <v>3045651</v>
      </c>
      <c r="B373" s="102">
        <v>400574.9</v>
      </c>
      <c r="C373" s="102">
        <v>670.2</v>
      </c>
      <c r="D373" s="9" t="s">
        <v>159</v>
      </c>
      <c r="E373" s="39">
        <v>849.006</v>
      </c>
    </row>
    <row r="374" ht="16.5" spans="1:5">
      <c r="A374" s="101">
        <v>3045651</v>
      </c>
      <c r="B374" s="102">
        <v>400574.9</v>
      </c>
      <c r="C374" s="102">
        <v>670.2</v>
      </c>
      <c r="D374" s="9" t="s">
        <v>160</v>
      </c>
      <c r="E374" s="39">
        <v>847.996</v>
      </c>
    </row>
    <row r="375" ht="16.5" spans="1:5">
      <c r="A375" s="101">
        <v>3045651</v>
      </c>
      <c r="B375" s="102">
        <v>400574.9</v>
      </c>
      <c r="C375" s="102">
        <v>670.2</v>
      </c>
      <c r="D375" s="9" t="s">
        <v>161</v>
      </c>
      <c r="E375" s="39">
        <v>847.626</v>
      </c>
    </row>
    <row r="376" ht="16.5" spans="1:5">
      <c r="A376" s="101">
        <v>3045651</v>
      </c>
      <c r="B376" s="102">
        <v>400574.9</v>
      </c>
      <c r="C376" s="102">
        <v>670.2</v>
      </c>
      <c r="D376" s="9" t="s">
        <v>162</v>
      </c>
      <c r="E376" s="39">
        <v>846.156</v>
      </c>
    </row>
    <row r="377" ht="16.5" spans="1:5">
      <c r="A377" s="101">
        <v>3045651</v>
      </c>
      <c r="B377" s="102">
        <v>400574.9</v>
      </c>
      <c r="C377" s="102">
        <v>670.2</v>
      </c>
      <c r="D377" s="9" t="s">
        <v>163</v>
      </c>
      <c r="E377" s="39">
        <v>846.926</v>
      </c>
    </row>
    <row r="378" ht="16.5" spans="1:5">
      <c r="A378" s="101">
        <v>3045651</v>
      </c>
      <c r="B378" s="102">
        <v>400574.9</v>
      </c>
      <c r="C378" s="102">
        <v>670.2</v>
      </c>
      <c r="D378" s="9" t="s">
        <v>164</v>
      </c>
      <c r="E378" s="39">
        <v>849.516</v>
      </c>
    </row>
    <row r="379" ht="16.5" spans="1:5">
      <c r="A379" s="101">
        <v>3045651</v>
      </c>
      <c r="B379" s="102">
        <v>400574.9</v>
      </c>
      <c r="C379" s="102">
        <v>670.2</v>
      </c>
      <c r="D379" s="9" t="s">
        <v>165</v>
      </c>
      <c r="E379" s="39">
        <v>853.086</v>
      </c>
    </row>
    <row r="380" ht="16.5" spans="1:5">
      <c r="A380" s="101">
        <v>3045651</v>
      </c>
      <c r="B380" s="102">
        <v>400574.9</v>
      </c>
      <c r="C380" s="102">
        <v>670.2</v>
      </c>
      <c r="D380" s="9" t="s">
        <v>166</v>
      </c>
      <c r="E380" s="39">
        <v>852.456</v>
      </c>
    </row>
    <row r="381" ht="16.5" spans="1:5">
      <c r="A381" s="101">
        <v>3045651</v>
      </c>
      <c r="B381" s="102">
        <v>400574.9</v>
      </c>
      <c r="C381" s="102">
        <v>670.2</v>
      </c>
      <c r="D381" s="9" t="s">
        <v>167</v>
      </c>
      <c r="E381" s="39">
        <v>847.726</v>
      </c>
    </row>
    <row r="382" ht="16.5" spans="1:5">
      <c r="A382" s="101">
        <v>3045651</v>
      </c>
      <c r="B382" s="102">
        <v>400574.9</v>
      </c>
      <c r="C382" s="102">
        <v>670.2</v>
      </c>
      <c r="D382" s="9" t="s">
        <v>168</v>
      </c>
      <c r="E382" s="39">
        <v>851.336</v>
      </c>
    </row>
    <row r="383" ht="16.5" spans="1:5">
      <c r="A383" s="101">
        <v>3045651</v>
      </c>
      <c r="B383" s="102">
        <v>400574.9</v>
      </c>
      <c r="C383" s="102">
        <v>670.2</v>
      </c>
      <c r="D383" s="9" t="s">
        <v>169</v>
      </c>
      <c r="E383" s="39">
        <v>859.316</v>
      </c>
    </row>
    <row r="384" ht="16.5" spans="1:5">
      <c r="A384" s="101">
        <v>3045651</v>
      </c>
      <c r="B384" s="102">
        <v>400574.9</v>
      </c>
      <c r="C384" s="102">
        <v>670.2</v>
      </c>
      <c r="D384" s="9" t="s">
        <v>170</v>
      </c>
      <c r="E384" s="39">
        <v>844.526</v>
      </c>
    </row>
    <row r="385" ht="16.5" spans="1:5">
      <c r="A385" s="101">
        <v>3045651</v>
      </c>
      <c r="B385" s="102">
        <v>400574.9</v>
      </c>
      <c r="C385" s="102">
        <v>670.2</v>
      </c>
      <c r="D385" s="9" t="s">
        <v>171</v>
      </c>
      <c r="E385" s="39">
        <v>843.716</v>
      </c>
    </row>
    <row r="386" ht="16.5" spans="1:5">
      <c r="A386" s="101">
        <v>3045651</v>
      </c>
      <c r="B386" s="102">
        <v>400574.9</v>
      </c>
      <c r="C386" s="102">
        <v>670.2</v>
      </c>
      <c r="D386" s="9" t="s">
        <v>172</v>
      </c>
      <c r="E386" s="39">
        <v>844.546</v>
      </c>
    </row>
    <row r="387" ht="16.5" spans="1:5">
      <c r="A387" s="101">
        <v>3045651</v>
      </c>
      <c r="B387" s="102">
        <v>400574.9</v>
      </c>
      <c r="C387" s="102">
        <v>670.2</v>
      </c>
      <c r="D387" s="9" t="s">
        <v>173</v>
      </c>
      <c r="E387" s="39">
        <v>844.816</v>
      </c>
    </row>
    <row r="388" ht="16.5" spans="1:5">
      <c r="A388" s="101">
        <v>3045651</v>
      </c>
      <c r="B388" s="102">
        <v>400574.9</v>
      </c>
      <c r="C388" s="102">
        <v>670.2</v>
      </c>
      <c r="D388" s="9" t="s">
        <v>174</v>
      </c>
      <c r="E388" s="39">
        <v>843.236</v>
      </c>
    </row>
    <row r="389" ht="16.5" spans="1:5">
      <c r="A389" s="101">
        <v>3045651</v>
      </c>
      <c r="B389" s="102">
        <v>400574.9</v>
      </c>
      <c r="C389" s="102">
        <v>670.2</v>
      </c>
      <c r="D389" s="9" t="s">
        <v>175</v>
      </c>
      <c r="E389" s="39">
        <v>844.716</v>
      </c>
    </row>
    <row r="390" ht="16.5" spans="1:5">
      <c r="A390" s="101">
        <v>3045651</v>
      </c>
      <c r="B390" s="102">
        <v>400574.9</v>
      </c>
      <c r="C390" s="102">
        <v>670.2</v>
      </c>
      <c r="D390" s="9" t="s">
        <v>176</v>
      </c>
      <c r="E390" s="39">
        <v>852.766</v>
      </c>
    </row>
    <row r="391" ht="16.5" spans="1:5">
      <c r="A391" s="101">
        <v>3045651</v>
      </c>
      <c r="B391" s="102">
        <v>400574.9</v>
      </c>
      <c r="C391" s="102">
        <v>670.2</v>
      </c>
      <c r="D391" s="9" t="s">
        <v>177</v>
      </c>
      <c r="E391" s="39">
        <v>858.846</v>
      </c>
    </row>
    <row r="392" ht="16.5" spans="1:5">
      <c r="A392" s="101">
        <v>3045651</v>
      </c>
      <c r="B392" s="102">
        <v>400574.9</v>
      </c>
      <c r="C392" s="102">
        <v>670.2</v>
      </c>
      <c r="D392" s="9" t="s">
        <v>178</v>
      </c>
      <c r="E392" s="39">
        <v>844.116</v>
      </c>
    </row>
    <row r="393" ht="16.5" spans="1:5">
      <c r="A393" s="101">
        <v>3045651</v>
      </c>
      <c r="B393" s="102">
        <v>400574.9</v>
      </c>
      <c r="C393" s="102">
        <v>670.2</v>
      </c>
      <c r="D393" s="9" t="s">
        <v>179</v>
      </c>
      <c r="E393" s="39">
        <v>848.786</v>
      </c>
    </row>
    <row r="394" ht="16.5" spans="1:5">
      <c r="A394" s="101">
        <v>3045651</v>
      </c>
      <c r="B394" s="102">
        <v>400574.9</v>
      </c>
      <c r="C394" s="102">
        <v>670.2</v>
      </c>
      <c r="D394" s="9" t="s">
        <v>180</v>
      </c>
      <c r="E394" s="39">
        <v>847.176</v>
      </c>
    </row>
    <row r="395" ht="16.5" spans="1:5">
      <c r="A395" s="101">
        <v>3045651</v>
      </c>
      <c r="B395" s="102">
        <v>400574.9</v>
      </c>
      <c r="C395" s="102">
        <v>670.2</v>
      </c>
      <c r="D395" s="9" t="s">
        <v>181</v>
      </c>
      <c r="E395" s="39">
        <v>845.836</v>
      </c>
    </row>
    <row r="396" ht="16.5" spans="1:5">
      <c r="A396" s="101">
        <v>3045651</v>
      </c>
      <c r="B396" s="102">
        <v>400574.9</v>
      </c>
      <c r="C396" s="102">
        <v>670.2</v>
      </c>
      <c r="D396" s="9" t="s">
        <v>182</v>
      </c>
      <c r="E396" s="39">
        <v>848.376</v>
      </c>
    </row>
    <row r="397" ht="16.5" spans="1:5">
      <c r="A397" s="101">
        <v>3045651</v>
      </c>
      <c r="B397" s="102">
        <v>400574.9</v>
      </c>
      <c r="C397" s="102">
        <v>670.2</v>
      </c>
      <c r="D397" s="9" t="s">
        <v>183</v>
      </c>
      <c r="E397" s="39">
        <v>845.276</v>
      </c>
    </row>
    <row r="398" ht="16.5" spans="1:5">
      <c r="A398" s="101">
        <v>3045651</v>
      </c>
      <c r="B398" s="102">
        <v>400574.9</v>
      </c>
      <c r="C398" s="102">
        <v>670.2</v>
      </c>
      <c r="D398" s="9" t="s">
        <v>184</v>
      </c>
      <c r="E398" s="39">
        <v>847.596</v>
      </c>
    </row>
    <row r="399" ht="16.5" spans="1:5">
      <c r="A399" s="101">
        <v>3045651</v>
      </c>
      <c r="B399" s="102">
        <v>400574.9</v>
      </c>
      <c r="C399" s="102">
        <v>670.2</v>
      </c>
      <c r="D399" s="9" t="s">
        <v>185</v>
      </c>
      <c r="E399" s="39">
        <v>844.746</v>
      </c>
    </row>
    <row r="400" ht="16.5" spans="1:5">
      <c r="A400" s="101">
        <v>3045651</v>
      </c>
      <c r="B400" s="102">
        <v>400574.9</v>
      </c>
      <c r="C400" s="102">
        <v>670.2</v>
      </c>
      <c r="D400" s="9" t="s">
        <v>186</v>
      </c>
      <c r="E400" s="39">
        <v>845.996</v>
      </c>
    </row>
    <row r="401" ht="16.5" spans="1:5">
      <c r="A401" s="101">
        <v>3045651</v>
      </c>
      <c r="B401" s="102">
        <v>400574.9</v>
      </c>
      <c r="C401" s="102">
        <v>670.2</v>
      </c>
      <c r="D401" s="9" t="s">
        <v>187</v>
      </c>
      <c r="E401" s="39">
        <v>840.686</v>
      </c>
    </row>
    <row r="402" ht="16.5" spans="1:5">
      <c r="A402" s="101">
        <v>3045651</v>
      </c>
      <c r="B402" s="102">
        <v>400574.9</v>
      </c>
      <c r="C402" s="102">
        <v>670.2</v>
      </c>
      <c r="D402" s="9" t="s">
        <v>188</v>
      </c>
      <c r="E402" s="39">
        <v>841.506</v>
      </c>
    </row>
    <row r="403" ht="16.5" spans="1:5">
      <c r="A403" s="101">
        <v>3045651</v>
      </c>
      <c r="B403" s="102">
        <v>400574.9</v>
      </c>
      <c r="C403" s="102">
        <v>670.2</v>
      </c>
      <c r="D403" s="9" t="s">
        <v>189</v>
      </c>
      <c r="E403" s="39">
        <v>845.956</v>
      </c>
    </row>
    <row r="404" ht="16.5" spans="1:5">
      <c r="A404" s="101">
        <v>3045651</v>
      </c>
      <c r="B404" s="102">
        <v>400574.9</v>
      </c>
      <c r="C404" s="102">
        <v>670.2</v>
      </c>
      <c r="D404" s="9" t="s">
        <v>190</v>
      </c>
      <c r="E404" s="39">
        <v>845.646</v>
      </c>
    </row>
    <row r="405" ht="16.5" spans="1:5">
      <c r="A405" s="101">
        <v>3045651</v>
      </c>
      <c r="B405" s="102">
        <v>400574.9</v>
      </c>
      <c r="C405" s="102">
        <v>670.2</v>
      </c>
      <c r="D405" s="9" t="s">
        <v>191</v>
      </c>
      <c r="E405" s="39">
        <v>843.836</v>
      </c>
    </row>
    <row r="406" ht="16.5" spans="1:5">
      <c r="A406" s="101">
        <v>3045651</v>
      </c>
      <c r="B406" s="102">
        <v>400574.9</v>
      </c>
      <c r="C406" s="102">
        <v>670.2</v>
      </c>
      <c r="D406" s="9" t="s">
        <v>192</v>
      </c>
      <c r="E406" s="39">
        <v>846.766</v>
      </c>
    </row>
    <row r="407" ht="16.5" spans="1:5">
      <c r="A407" s="101">
        <v>3045651</v>
      </c>
      <c r="B407" s="102">
        <v>400574.9</v>
      </c>
      <c r="C407" s="102">
        <v>670.2</v>
      </c>
      <c r="D407" s="9" t="s">
        <v>193</v>
      </c>
      <c r="E407" s="39">
        <v>845.936</v>
      </c>
    </row>
    <row r="408" ht="16.5" spans="1:5">
      <c r="A408" s="101">
        <v>3045651</v>
      </c>
      <c r="B408" s="102">
        <v>400574.9</v>
      </c>
      <c r="C408" s="102">
        <v>670.2</v>
      </c>
      <c r="D408" s="9" t="s">
        <v>194</v>
      </c>
      <c r="E408" s="39">
        <v>846.386</v>
      </c>
    </row>
    <row r="409" ht="16.5" spans="1:5">
      <c r="A409" s="101">
        <v>3045651</v>
      </c>
      <c r="B409" s="102">
        <v>400574.9</v>
      </c>
      <c r="C409" s="102">
        <v>670.2</v>
      </c>
      <c r="D409" s="9" t="s">
        <v>195</v>
      </c>
      <c r="E409" s="39">
        <v>834.226</v>
      </c>
    </row>
    <row r="410" ht="16.5" spans="1:5">
      <c r="A410" s="101">
        <v>3045651</v>
      </c>
      <c r="B410" s="102">
        <v>400574.9</v>
      </c>
      <c r="C410" s="102">
        <v>670.2</v>
      </c>
      <c r="D410" s="9" t="s">
        <v>196</v>
      </c>
      <c r="E410" s="39">
        <v>845.246</v>
      </c>
    </row>
    <row r="411" ht="16.5" spans="1:5">
      <c r="A411" s="101">
        <v>3045651</v>
      </c>
      <c r="B411" s="102">
        <v>400574.9</v>
      </c>
      <c r="C411" s="102">
        <v>670.2</v>
      </c>
      <c r="D411" s="9" t="s">
        <v>197</v>
      </c>
      <c r="E411" s="39">
        <v>835.216</v>
      </c>
    </row>
    <row r="412" ht="16.5" spans="1:5">
      <c r="A412" s="101">
        <v>3045651</v>
      </c>
      <c r="B412" s="102">
        <v>400574.9</v>
      </c>
      <c r="C412" s="102">
        <v>670.2</v>
      </c>
      <c r="D412" s="9" t="s">
        <v>198</v>
      </c>
      <c r="E412" s="39">
        <v>835.536</v>
      </c>
    </row>
    <row r="413" ht="16.5" spans="1:5">
      <c r="A413" s="101">
        <v>3045651</v>
      </c>
      <c r="B413" s="102">
        <v>400574.9</v>
      </c>
      <c r="C413" s="102">
        <v>670.2</v>
      </c>
      <c r="D413" s="9" t="s">
        <v>199</v>
      </c>
      <c r="E413" s="39">
        <v>843.036</v>
      </c>
    </row>
    <row r="414" ht="16.5" spans="1:5">
      <c r="A414" s="101">
        <v>3045651</v>
      </c>
      <c r="B414" s="102">
        <v>400574.9</v>
      </c>
      <c r="C414" s="102">
        <v>670.2</v>
      </c>
      <c r="D414" s="9" t="s">
        <v>200</v>
      </c>
      <c r="E414" s="39">
        <v>844.516</v>
      </c>
    </row>
    <row r="415" ht="16.5" spans="1:5">
      <c r="A415" s="101">
        <v>3045651</v>
      </c>
      <c r="B415" s="102">
        <v>400574.9</v>
      </c>
      <c r="C415" s="102">
        <v>670.2</v>
      </c>
      <c r="D415" s="9" t="s">
        <v>201</v>
      </c>
      <c r="E415" s="39">
        <v>836.716</v>
      </c>
    </row>
    <row r="416" ht="16.5" spans="1:5">
      <c r="A416" s="101">
        <v>3045651</v>
      </c>
      <c r="B416" s="102">
        <v>400574.9</v>
      </c>
      <c r="C416" s="102">
        <v>670.2</v>
      </c>
      <c r="D416" s="9" t="s">
        <v>202</v>
      </c>
      <c r="E416" s="39">
        <v>842.986</v>
      </c>
    </row>
    <row r="417" ht="16.5" spans="1:5">
      <c r="A417" s="101">
        <v>3045651</v>
      </c>
      <c r="B417" s="102">
        <v>400574.9</v>
      </c>
      <c r="C417" s="102">
        <v>670.2</v>
      </c>
      <c r="D417" s="9" t="s">
        <v>203</v>
      </c>
      <c r="E417" s="39">
        <v>843.766</v>
      </c>
    </row>
    <row r="418" ht="16.5" spans="1:5">
      <c r="A418" s="101">
        <v>3045651</v>
      </c>
      <c r="B418" s="102">
        <v>400574.9</v>
      </c>
      <c r="C418" s="102">
        <v>670.2</v>
      </c>
      <c r="D418" s="9" t="s">
        <v>204</v>
      </c>
      <c r="E418" s="39">
        <v>844.066</v>
      </c>
    </row>
    <row r="419" ht="16.5" spans="1:5">
      <c r="A419" s="101">
        <v>3045651</v>
      </c>
      <c r="B419" s="102">
        <v>400574.9</v>
      </c>
      <c r="C419" s="102">
        <v>670.2</v>
      </c>
      <c r="D419" s="9" t="s">
        <v>205</v>
      </c>
      <c r="E419" s="39">
        <v>844.336</v>
      </c>
    </row>
    <row r="420" ht="16.5" spans="1:5">
      <c r="A420" s="101">
        <v>3045651</v>
      </c>
      <c r="B420" s="102">
        <v>400574.9</v>
      </c>
      <c r="C420" s="102">
        <v>670.2</v>
      </c>
      <c r="D420" s="9" t="s">
        <v>206</v>
      </c>
      <c r="E420" s="39">
        <v>844.456</v>
      </c>
    </row>
    <row r="421" ht="16.5" spans="1:5">
      <c r="A421" s="101">
        <v>3045651</v>
      </c>
      <c r="B421" s="102">
        <v>400574.9</v>
      </c>
      <c r="C421" s="102">
        <v>670.2</v>
      </c>
      <c r="D421" s="9" t="s">
        <v>207</v>
      </c>
      <c r="E421" s="39">
        <v>845.886</v>
      </c>
    </row>
    <row r="422" ht="16.5" spans="1:5">
      <c r="A422" s="101">
        <v>3045651</v>
      </c>
      <c r="B422" s="102">
        <v>400574.9</v>
      </c>
      <c r="C422" s="102">
        <v>670.2</v>
      </c>
      <c r="D422" s="9" t="s">
        <v>208</v>
      </c>
      <c r="E422" s="39">
        <v>846.326</v>
      </c>
    </row>
    <row r="423" ht="16.5" spans="1:5">
      <c r="A423" s="101">
        <v>3045651</v>
      </c>
      <c r="B423" s="102">
        <v>400574.9</v>
      </c>
      <c r="C423" s="102">
        <v>670.2</v>
      </c>
      <c r="D423" s="9" t="s">
        <v>209</v>
      </c>
      <c r="E423" s="39">
        <v>844.746</v>
      </c>
    </row>
    <row r="424" ht="16.5" spans="1:5">
      <c r="A424" s="101">
        <v>3045651</v>
      </c>
      <c r="B424" s="102">
        <v>400574.9</v>
      </c>
      <c r="C424" s="102">
        <v>670.2</v>
      </c>
      <c r="D424" s="9" t="s">
        <v>210</v>
      </c>
      <c r="E424" s="39">
        <v>847.696</v>
      </c>
    </row>
    <row r="425" ht="16.5" spans="1:5">
      <c r="A425" s="101">
        <v>3045651</v>
      </c>
      <c r="B425" s="102">
        <v>400574.9</v>
      </c>
      <c r="C425" s="102">
        <v>670.2</v>
      </c>
      <c r="D425" s="9" t="s">
        <v>211</v>
      </c>
      <c r="E425" s="39">
        <v>848.666</v>
      </c>
    </row>
    <row r="426" ht="16.5" spans="1:5">
      <c r="A426" s="101">
        <v>3045651</v>
      </c>
      <c r="B426" s="102">
        <v>400574.9</v>
      </c>
      <c r="C426" s="102">
        <v>670.2</v>
      </c>
      <c r="D426" s="9" t="s">
        <v>212</v>
      </c>
      <c r="E426" s="39">
        <v>838.286</v>
      </c>
    </row>
    <row r="427" ht="16.5" spans="1:5">
      <c r="A427" s="101">
        <v>3045651</v>
      </c>
      <c r="B427" s="102">
        <v>400574.9</v>
      </c>
      <c r="C427" s="102">
        <v>670.2</v>
      </c>
      <c r="D427" s="9" t="s">
        <v>213</v>
      </c>
      <c r="E427" s="39">
        <v>838.206</v>
      </c>
    </row>
    <row r="428" ht="16.5" spans="1:5">
      <c r="A428" s="101">
        <v>3045651</v>
      </c>
      <c r="B428" s="102">
        <v>400574.9</v>
      </c>
      <c r="C428" s="102">
        <v>670.2</v>
      </c>
      <c r="D428" s="9" t="s">
        <v>214</v>
      </c>
      <c r="E428" s="39">
        <v>835.436</v>
      </c>
    </row>
    <row r="429" ht="16.5" spans="1:5">
      <c r="A429" s="101">
        <v>3045651</v>
      </c>
      <c r="B429" s="102">
        <v>400574.9</v>
      </c>
      <c r="C429" s="102">
        <v>670.2</v>
      </c>
      <c r="D429" s="9" t="s">
        <v>215</v>
      </c>
      <c r="E429" s="39">
        <v>834.146</v>
      </c>
    </row>
    <row r="430" ht="16.5" spans="1:5">
      <c r="A430" s="101">
        <v>3045651</v>
      </c>
      <c r="B430" s="102">
        <v>400574.9</v>
      </c>
      <c r="C430" s="102">
        <v>670.2</v>
      </c>
      <c r="D430" s="9" t="s">
        <v>216</v>
      </c>
      <c r="E430" s="39">
        <v>833.446</v>
      </c>
    </row>
    <row r="431" ht="16.5" spans="1:5">
      <c r="A431" s="101">
        <v>3045651</v>
      </c>
      <c r="B431" s="102">
        <v>400574.9</v>
      </c>
      <c r="C431" s="102">
        <v>670.2</v>
      </c>
      <c r="D431" s="9" t="s">
        <v>217</v>
      </c>
      <c r="E431" s="39">
        <v>832.876</v>
      </c>
    </row>
    <row r="432" ht="16.5" spans="1:5">
      <c r="A432" s="101">
        <v>3045651</v>
      </c>
      <c r="B432" s="102">
        <v>400574.9</v>
      </c>
      <c r="C432" s="102">
        <v>670.2</v>
      </c>
      <c r="D432" s="9" t="s">
        <v>218</v>
      </c>
      <c r="E432" s="39">
        <v>832.236</v>
      </c>
    </row>
    <row r="433" ht="16.5" spans="1:5">
      <c r="A433" s="101">
        <v>3045651</v>
      </c>
      <c r="B433" s="102">
        <v>400574.9</v>
      </c>
      <c r="C433" s="102">
        <v>670.2</v>
      </c>
      <c r="D433" s="9" t="s">
        <v>219</v>
      </c>
      <c r="E433" s="39">
        <v>836.636</v>
      </c>
    </row>
    <row r="434" ht="16.5" spans="1:5">
      <c r="A434" s="101">
        <v>3045651</v>
      </c>
      <c r="B434" s="102">
        <v>400574.9</v>
      </c>
      <c r="C434" s="102">
        <v>670.2</v>
      </c>
      <c r="D434" s="9" t="s">
        <v>220</v>
      </c>
      <c r="E434" s="39">
        <v>832.336</v>
      </c>
    </row>
    <row r="435" ht="16.5" spans="1:5">
      <c r="A435" s="101">
        <v>3045651</v>
      </c>
      <c r="B435" s="102">
        <v>400574.9</v>
      </c>
      <c r="C435" s="102">
        <v>670.2</v>
      </c>
      <c r="D435" s="9" t="s">
        <v>221</v>
      </c>
      <c r="E435" s="39">
        <v>831.436</v>
      </c>
    </row>
    <row r="436" ht="16.5" spans="1:5">
      <c r="A436" s="101">
        <v>3045651</v>
      </c>
      <c r="B436" s="102">
        <v>400574.9</v>
      </c>
      <c r="C436" s="102">
        <v>670.2</v>
      </c>
      <c r="D436" s="9" t="s">
        <v>222</v>
      </c>
      <c r="E436" s="39">
        <v>830.496</v>
      </c>
    </row>
    <row r="437" ht="16.5" spans="1:5">
      <c r="A437" s="101">
        <v>3045651</v>
      </c>
      <c r="B437" s="102">
        <v>400574.9</v>
      </c>
      <c r="C437" s="102">
        <v>670.2</v>
      </c>
      <c r="D437" s="9" t="s">
        <v>223</v>
      </c>
      <c r="E437" s="39">
        <v>829.826</v>
      </c>
    </row>
    <row r="438" ht="16.5" spans="1:5">
      <c r="A438" s="101">
        <v>3045651</v>
      </c>
      <c r="B438" s="102">
        <v>400574.9</v>
      </c>
      <c r="C438" s="102">
        <v>670.2</v>
      </c>
      <c r="D438" s="9" t="s">
        <v>224</v>
      </c>
      <c r="E438" s="39">
        <v>830.276</v>
      </c>
    </row>
    <row r="439" ht="16.5" spans="1:5">
      <c r="A439" s="101">
        <v>3045651</v>
      </c>
      <c r="B439" s="102">
        <v>400574.9</v>
      </c>
      <c r="C439" s="102">
        <v>670.2</v>
      </c>
      <c r="D439" s="9" t="s">
        <v>225</v>
      </c>
      <c r="E439" s="39">
        <v>830.026</v>
      </c>
    </row>
    <row r="440" ht="16.5" spans="1:5">
      <c r="A440" s="101">
        <v>3045651</v>
      </c>
      <c r="B440" s="102">
        <v>400574.9</v>
      </c>
      <c r="C440" s="102">
        <v>670.2</v>
      </c>
      <c r="D440" s="9" t="s">
        <v>226</v>
      </c>
      <c r="E440" s="39">
        <v>830.306</v>
      </c>
    </row>
    <row r="441" ht="16.5" spans="1:5">
      <c r="A441" s="101">
        <v>3045651</v>
      </c>
      <c r="B441" s="102">
        <v>400574.9</v>
      </c>
      <c r="C441" s="102">
        <v>670.2</v>
      </c>
      <c r="D441" s="9" t="s">
        <v>227</v>
      </c>
      <c r="E441" s="39">
        <v>832.586</v>
      </c>
    </row>
    <row r="442" ht="16.5" spans="1:5">
      <c r="A442" s="101">
        <v>3045651</v>
      </c>
      <c r="B442" s="102">
        <v>400574.9</v>
      </c>
      <c r="C442" s="102">
        <v>670.2</v>
      </c>
      <c r="D442" s="9" t="s">
        <v>228</v>
      </c>
      <c r="E442" s="39"/>
    </row>
    <row r="443" ht="16.5" spans="1:5">
      <c r="A443" s="101">
        <v>3045651</v>
      </c>
      <c r="B443" s="102">
        <v>400574.9</v>
      </c>
      <c r="C443" s="102">
        <v>670.2</v>
      </c>
      <c r="D443" s="9" t="s">
        <v>229</v>
      </c>
      <c r="E443" s="39">
        <v>830.376</v>
      </c>
    </row>
    <row r="444" ht="16.5" spans="1:5">
      <c r="A444" s="101">
        <v>3045651</v>
      </c>
      <c r="B444" s="102">
        <v>400574.9</v>
      </c>
      <c r="C444" s="102">
        <v>670.2</v>
      </c>
      <c r="D444" s="9" t="s">
        <v>230</v>
      </c>
      <c r="E444" s="39">
        <v>837.846</v>
      </c>
    </row>
    <row r="445" ht="16.5" spans="1:5">
      <c r="A445" s="101">
        <v>3045651</v>
      </c>
      <c r="B445" s="102">
        <v>400574.9</v>
      </c>
      <c r="C445" s="102">
        <v>670.2</v>
      </c>
      <c r="D445" s="9" t="s">
        <v>231</v>
      </c>
      <c r="E445" s="39"/>
    </row>
    <row r="446" ht="16.5" spans="1:5">
      <c r="A446" s="101">
        <v>3045651</v>
      </c>
      <c r="B446" s="102">
        <v>400574.9</v>
      </c>
      <c r="C446" s="102">
        <v>670.2</v>
      </c>
      <c r="D446" s="9" t="s">
        <v>232</v>
      </c>
      <c r="E446" s="39"/>
    </row>
    <row r="447" ht="16.5" spans="1:5">
      <c r="A447" s="101">
        <v>3045651</v>
      </c>
      <c r="B447" s="102">
        <v>400574.9</v>
      </c>
      <c r="C447" s="102">
        <v>670.2</v>
      </c>
      <c r="D447" s="9" t="s">
        <v>233</v>
      </c>
      <c r="E447" s="39"/>
    </row>
    <row r="448" ht="16.5" spans="1:5">
      <c r="A448" s="101">
        <v>3045651</v>
      </c>
      <c r="B448" s="102">
        <v>400574.9</v>
      </c>
      <c r="C448" s="102">
        <v>670.2</v>
      </c>
      <c r="D448" s="9" t="s">
        <v>234</v>
      </c>
      <c r="E448" s="39"/>
    </row>
    <row r="449" ht="16.5" spans="1:5">
      <c r="A449" s="101">
        <v>3045651</v>
      </c>
      <c r="B449" s="102">
        <v>400574.9</v>
      </c>
      <c r="C449" s="102">
        <v>670.2</v>
      </c>
      <c r="D449" s="9" t="s">
        <v>235</v>
      </c>
      <c r="E449" s="39"/>
    </row>
    <row r="450" ht="16.5" spans="1:5">
      <c r="A450" s="101">
        <v>3045651</v>
      </c>
      <c r="B450" s="102">
        <v>400574.9</v>
      </c>
      <c r="C450" s="102">
        <v>670.2</v>
      </c>
      <c r="D450" s="9" t="s">
        <v>236</v>
      </c>
      <c r="E450" s="39"/>
    </row>
    <row r="451" ht="16.5" spans="1:5">
      <c r="A451" s="101">
        <v>3045651</v>
      </c>
      <c r="B451" s="102">
        <v>400574.9</v>
      </c>
      <c r="C451" s="102">
        <v>670.2</v>
      </c>
      <c r="D451" s="9" t="s">
        <v>237</v>
      </c>
      <c r="E451" s="39"/>
    </row>
    <row r="452" ht="16.5" spans="1:5">
      <c r="A452" s="101">
        <v>3045651</v>
      </c>
      <c r="B452" s="102">
        <v>400574.9</v>
      </c>
      <c r="C452" s="102">
        <v>670.2</v>
      </c>
      <c r="D452" s="9" t="s">
        <v>238</v>
      </c>
      <c r="E452" s="39"/>
    </row>
    <row r="453" ht="16.5" spans="1:5">
      <c r="A453" s="101">
        <v>3045651</v>
      </c>
      <c r="B453" s="102">
        <v>400574.9</v>
      </c>
      <c r="C453" s="102">
        <v>670.2</v>
      </c>
      <c r="D453" s="9" t="s">
        <v>239</v>
      </c>
      <c r="E453" s="39"/>
    </row>
    <row r="454" ht="16.5" spans="1:5">
      <c r="A454" s="101">
        <v>3045651</v>
      </c>
      <c r="B454" s="102">
        <v>400574.9</v>
      </c>
      <c r="C454" s="102">
        <v>670.2</v>
      </c>
      <c r="D454" s="9" t="s">
        <v>240</v>
      </c>
      <c r="E454" s="39"/>
    </row>
    <row r="455" ht="16.5" spans="1:5">
      <c r="A455" s="101">
        <v>3045651</v>
      </c>
      <c r="B455" s="102">
        <v>400574.9</v>
      </c>
      <c r="C455" s="102">
        <v>670.2</v>
      </c>
      <c r="D455" s="9" t="s">
        <v>241</v>
      </c>
      <c r="E455" s="39"/>
    </row>
    <row r="456" ht="16.5" spans="1:5">
      <c r="A456" s="101">
        <v>3045651</v>
      </c>
      <c r="B456" s="102">
        <v>400574.9</v>
      </c>
      <c r="C456" s="102">
        <v>670.2</v>
      </c>
      <c r="D456" s="9" t="s">
        <v>242</v>
      </c>
      <c r="E456" s="39"/>
    </row>
    <row r="457" ht="16.5" spans="1:5">
      <c r="A457" s="101">
        <v>3045651</v>
      </c>
      <c r="B457" s="102">
        <v>400574.9</v>
      </c>
      <c r="C457" s="102">
        <v>670.2</v>
      </c>
      <c r="D457" s="9" t="s">
        <v>243</v>
      </c>
      <c r="E457" s="39"/>
    </row>
    <row r="458" ht="16.5" spans="1:5">
      <c r="A458" s="101">
        <v>3045651</v>
      </c>
      <c r="B458" s="102">
        <v>400574.9</v>
      </c>
      <c r="C458" s="102">
        <v>670.2</v>
      </c>
      <c r="D458" s="9" t="s">
        <v>244</v>
      </c>
      <c r="E458" s="39"/>
    </row>
    <row r="459" ht="16.5" spans="1:5">
      <c r="A459" s="101">
        <v>3045651</v>
      </c>
      <c r="B459" s="102">
        <v>400574.9</v>
      </c>
      <c r="C459" s="102">
        <v>670.2</v>
      </c>
      <c r="D459" s="9" t="s">
        <v>245</v>
      </c>
      <c r="E459" s="39"/>
    </row>
    <row r="460" ht="16.5" spans="1:5">
      <c r="A460" s="101">
        <v>3045651</v>
      </c>
      <c r="B460" s="102">
        <v>400574.9</v>
      </c>
      <c r="C460" s="102">
        <v>670.2</v>
      </c>
      <c r="D460" s="9" t="s">
        <v>246</v>
      </c>
      <c r="E460" s="39"/>
    </row>
    <row r="461" ht="16.5" spans="1:5">
      <c r="A461" s="101">
        <v>3045651</v>
      </c>
      <c r="B461" s="102">
        <v>400574.9</v>
      </c>
      <c r="C461" s="102">
        <v>670.2</v>
      </c>
      <c r="D461" s="9" t="s">
        <v>247</v>
      </c>
      <c r="E461" s="39"/>
    </row>
    <row r="462" ht="16.5" spans="1:5">
      <c r="A462" s="101">
        <v>3045651</v>
      </c>
      <c r="B462" s="102">
        <v>400574.9</v>
      </c>
      <c r="C462" s="102">
        <v>670.2</v>
      </c>
      <c r="D462" s="9" t="s">
        <v>248</v>
      </c>
      <c r="E462" s="39">
        <v>833.146</v>
      </c>
    </row>
    <row r="463" ht="16.5" spans="1:5">
      <c r="A463" s="101">
        <v>3045651</v>
      </c>
      <c r="B463" s="102">
        <v>400574.9</v>
      </c>
      <c r="C463" s="102">
        <v>670.2</v>
      </c>
      <c r="D463" s="9" t="s">
        <v>249</v>
      </c>
      <c r="E463" s="39"/>
    </row>
    <row r="464" ht="16.5" spans="1:5">
      <c r="A464" s="101">
        <v>3045651</v>
      </c>
      <c r="B464" s="102">
        <v>400574.9</v>
      </c>
      <c r="C464" s="102">
        <v>670.2</v>
      </c>
      <c r="D464" s="9" t="s">
        <v>250</v>
      </c>
      <c r="E464" s="39"/>
    </row>
    <row r="465" ht="16.5" spans="1:5">
      <c r="A465" s="101">
        <v>3045651</v>
      </c>
      <c r="B465" s="102">
        <v>400574.9</v>
      </c>
      <c r="C465" s="102">
        <v>670.2</v>
      </c>
      <c r="D465" s="9" t="s">
        <v>251</v>
      </c>
      <c r="E465" s="39"/>
    </row>
    <row r="466" ht="16.5" spans="1:5">
      <c r="A466" s="101">
        <v>3045651</v>
      </c>
      <c r="B466" s="102">
        <v>400574.9</v>
      </c>
      <c r="C466" s="102">
        <v>670.2</v>
      </c>
      <c r="D466" s="9" t="s">
        <v>252</v>
      </c>
      <c r="E466" s="39">
        <v>836.686</v>
      </c>
    </row>
    <row r="467" ht="16.5" spans="1:5">
      <c r="A467" s="101">
        <v>3045651</v>
      </c>
      <c r="B467" s="102">
        <v>400574.9</v>
      </c>
      <c r="C467" s="102">
        <v>670.2</v>
      </c>
      <c r="D467" s="9" t="s">
        <v>253</v>
      </c>
      <c r="E467" s="39"/>
    </row>
    <row r="468" ht="16.5" spans="1:5">
      <c r="A468" s="101">
        <v>3045651</v>
      </c>
      <c r="B468" s="102">
        <v>400574.9</v>
      </c>
      <c r="C468" s="102">
        <v>670.2</v>
      </c>
      <c r="D468" s="9" t="s">
        <v>254</v>
      </c>
      <c r="E468" s="39"/>
    </row>
    <row r="469" ht="16.5" spans="1:5">
      <c r="A469" s="101">
        <v>3045651</v>
      </c>
      <c r="B469" s="102">
        <v>400574.9</v>
      </c>
      <c r="C469" s="102">
        <v>670.2</v>
      </c>
      <c r="D469" s="9" t="s">
        <v>255</v>
      </c>
      <c r="E469" s="39"/>
    </row>
    <row r="470" ht="16.5" spans="1:5">
      <c r="A470" s="101">
        <v>3045651</v>
      </c>
      <c r="B470" s="102">
        <v>400574.9</v>
      </c>
      <c r="C470" s="102">
        <v>670.2</v>
      </c>
      <c r="D470" s="9" t="s">
        <v>256</v>
      </c>
      <c r="E470" s="39">
        <v>850.646</v>
      </c>
    </row>
    <row r="471" ht="16.5" spans="1:5">
      <c r="A471" s="101">
        <v>3045651</v>
      </c>
      <c r="B471" s="102">
        <v>400574.9</v>
      </c>
      <c r="C471" s="102">
        <v>670.2</v>
      </c>
      <c r="D471" s="9" t="s">
        <v>257</v>
      </c>
      <c r="E471" s="39"/>
    </row>
    <row r="472" ht="16.5" spans="1:5">
      <c r="A472" s="101">
        <v>3045651</v>
      </c>
      <c r="B472" s="102">
        <v>400574.9</v>
      </c>
      <c r="C472" s="102">
        <v>670.2</v>
      </c>
      <c r="D472" s="9" t="s">
        <v>258</v>
      </c>
      <c r="E472" s="39"/>
    </row>
    <row r="473" ht="16.5" spans="1:5">
      <c r="A473" s="101">
        <v>3045651</v>
      </c>
      <c r="B473" s="102">
        <v>400574.9</v>
      </c>
      <c r="C473" s="102">
        <v>670.2</v>
      </c>
      <c r="D473" s="9" t="s">
        <v>259</v>
      </c>
      <c r="E473" s="39"/>
    </row>
    <row r="474" ht="16.5" spans="1:5">
      <c r="A474" s="101">
        <v>3045651</v>
      </c>
      <c r="B474" s="102">
        <v>400574.9</v>
      </c>
      <c r="C474" s="102">
        <v>670.2</v>
      </c>
      <c r="D474" s="9" t="s">
        <v>260</v>
      </c>
      <c r="E474" s="39">
        <v>833.516</v>
      </c>
    </row>
    <row r="475" ht="16.5" spans="1:5">
      <c r="A475" s="101">
        <v>3045651</v>
      </c>
      <c r="B475" s="102">
        <v>400574.9</v>
      </c>
      <c r="C475" s="102">
        <v>670.2</v>
      </c>
      <c r="D475" s="9" t="s">
        <v>261</v>
      </c>
      <c r="E475" s="39"/>
    </row>
    <row r="476" ht="16.5" spans="1:5">
      <c r="A476" s="101">
        <v>3045651</v>
      </c>
      <c r="B476" s="102">
        <v>400574.9</v>
      </c>
      <c r="C476" s="102">
        <v>670.2</v>
      </c>
      <c r="D476" s="9" t="s">
        <v>262</v>
      </c>
      <c r="E476" s="39"/>
    </row>
    <row r="477" ht="16.5" spans="1:5">
      <c r="A477" s="101">
        <v>3045651</v>
      </c>
      <c r="B477" s="102">
        <v>400574.9</v>
      </c>
      <c r="C477" s="102">
        <v>670.2</v>
      </c>
      <c r="D477" s="9" t="s">
        <v>263</v>
      </c>
      <c r="E477" s="39"/>
    </row>
    <row r="478" ht="16.5" spans="1:5">
      <c r="A478" s="101">
        <v>3045651</v>
      </c>
      <c r="B478" s="102">
        <v>400574.9</v>
      </c>
      <c r="C478" s="102">
        <v>670.2</v>
      </c>
      <c r="D478" s="9" t="s">
        <v>264</v>
      </c>
      <c r="E478" s="39"/>
    </row>
    <row r="479" ht="16.5" spans="1:5">
      <c r="A479" s="101">
        <v>3045651</v>
      </c>
      <c r="B479" s="102">
        <v>400574.9</v>
      </c>
      <c r="C479" s="102">
        <v>670.2</v>
      </c>
      <c r="D479" s="9" t="s">
        <v>265</v>
      </c>
      <c r="E479" s="39"/>
    </row>
    <row r="480" ht="16.5" spans="1:5">
      <c r="A480" s="101">
        <v>3045651</v>
      </c>
      <c r="B480" s="102">
        <v>400574.9</v>
      </c>
      <c r="C480" s="102">
        <v>670.2</v>
      </c>
      <c r="D480" s="9" t="s">
        <v>266</v>
      </c>
      <c r="E480" s="39"/>
    </row>
    <row r="481" ht="16.5" spans="1:5">
      <c r="A481" s="101">
        <v>3045651</v>
      </c>
      <c r="B481" s="102">
        <v>400574.9</v>
      </c>
      <c r="C481" s="102">
        <v>670.2</v>
      </c>
      <c r="D481" s="9" t="s">
        <v>267</v>
      </c>
      <c r="E481" s="39"/>
    </row>
    <row r="482" ht="16.5" spans="1:5">
      <c r="A482" s="101">
        <v>3045651</v>
      </c>
      <c r="B482" s="102">
        <v>400574.9</v>
      </c>
      <c r="C482" s="102">
        <v>670.2</v>
      </c>
      <c r="D482" s="9" t="s">
        <v>268</v>
      </c>
      <c r="E482" s="39"/>
    </row>
    <row r="483" ht="16.5" spans="1:5">
      <c r="A483" s="101">
        <v>3045651</v>
      </c>
      <c r="B483" s="102">
        <v>400574.9</v>
      </c>
      <c r="C483" s="102">
        <v>670.2</v>
      </c>
      <c r="D483" s="9" t="s">
        <v>269</v>
      </c>
      <c r="E483" s="39"/>
    </row>
    <row r="484" ht="16.5" spans="1:5">
      <c r="A484" s="101">
        <v>3045651</v>
      </c>
      <c r="B484" s="102">
        <v>400574.9</v>
      </c>
      <c r="C484" s="102">
        <v>670.2</v>
      </c>
      <c r="D484" s="9" t="s">
        <v>270</v>
      </c>
      <c r="E484" s="39"/>
    </row>
    <row r="485" ht="16.5" spans="1:5">
      <c r="A485" s="101">
        <v>3045651</v>
      </c>
      <c r="B485" s="102">
        <v>400574.9</v>
      </c>
      <c r="C485" s="102">
        <v>670.2</v>
      </c>
      <c r="D485" s="9" t="s">
        <v>271</v>
      </c>
      <c r="E485" s="39"/>
    </row>
    <row r="486" ht="16.5" spans="1:5">
      <c r="A486" s="101">
        <v>3045651</v>
      </c>
      <c r="B486" s="102">
        <v>400574.9</v>
      </c>
      <c r="C486" s="102">
        <v>670.2</v>
      </c>
      <c r="D486" s="9" t="s">
        <v>272</v>
      </c>
      <c r="E486" s="39"/>
    </row>
    <row r="487" ht="16.5" spans="1:5">
      <c r="A487" s="101">
        <v>3045651</v>
      </c>
      <c r="B487" s="102">
        <v>400574.9</v>
      </c>
      <c r="C487" s="102">
        <v>670.2</v>
      </c>
      <c r="D487" s="9" t="s">
        <v>273</v>
      </c>
      <c r="E487" s="39"/>
    </row>
    <row r="488" ht="16.5" spans="1:5">
      <c r="A488" s="101">
        <v>3045651</v>
      </c>
      <c r="B488" s="102">
        <v>400574.9</v>
      </c>
      <c r="C488" s="102">
        <v>670.2</v>
      </c>
      <c r="D488" s="9" t="s">
        <v>274</v>
      </c>
      <c r="E488" s="39"/>
    </row>
    <row r="489" ht="16.5" spans="1:5">
      <c r="A489" s="101">
        <v>3045651</v>
      </c>
      <c r="B489" s="102">
        <v>400574.9</v>
      </c>
      <c r="C489" s="102">
        <v>670.2</v>
      </c>
      <c r="D489" s="9" t="s">
        <v>275</v>
      </c>
      <c r="E489" s="39"/>
    </row>
    <row r="490" ht="16.5" spans="1:5">
      <c r="A490" s="101">
        <v>3045651</v>
      </c>
      <c r="B490" s="102">
        <v>400574.9</v>
      </c>
      <c r="C490" s="102">
        <v>670.2</v>
      </c>
      <c r="D490" s="9" t="s">
        <v>276</v>
      </c>
      <c r="E490" s="39">
        <v>831.836</v>
      </c>
    </row>
    <row r="491" ht="16.5" spans="1:5">
      <c r="A491" s="101">
        <v>3045651</v>
      </c>
      <c r="B491" s="102">
        <v>400574.9</v>
      </c>
      <c r="C491" s="102">
        <v>670.2</v>
      </c>
      <c r="D491" s="9" t="s">
        <v>277</v>
      </c>
      <c r="E491" s="39">
        <v>831.776</v>
      </c>
    </row>
    <row r="492" ht="16.5" spans="1:5">
      <c r="A492" s="101">
        <v>3045651</v>
      </c>
      <c r="B492" s="102">
        <v>400574.9</v>
      </c>
      <c r="C492" s="102">
        <v>670.2</v>
      </c>
      <c r="D492" s="9" t="s">
        <v>278</v>
      </c>
      <c r="E492" s="39">
        <v>825.436</v>
      </c>
    </row>
    <row r="493" ht="16.5" spans="1:5">
      <c r="A493" s="101">
        <v>3045651</v>
      </c>
      <c r="B493" s="102">
        <v>400574.9</v>
      </c>
      <c r="C493" s="102">
        <v>670.2</v>
      </c>
      <c r="D493" s="9" t="s">
        <v>279</v>
      </c>
      <c r="E493" s="39">
        <v>829.746</v>
      </c>
    </row>
    <row r="494" ht="16.5" spans="1:5">
      <c r="A494" s="101">
        <v>3045651</v>
      </c>
      <c r="B494" s="102">
        <v>400574.9</v>
      </c>
      <c r="C494" s="102">
        <v>670.2</v>
      </c>
      <c r="D494" s="9" t="s">
        <v>280</v>
      </c>
      <c r="E494" s="39">
        <v>829.516</v>
      </c>
    </row>
    <row r="495" ht="16.5" spans="1:5">
      <c r="A495" s="101">
        <v>3045651</v>
      </c>
      <c r="B495" s="102">
        <v>400574.9</v>
      </c>
      <c r="C495" s="102">
        <v>670.2</v>
      </c>
      <c r="D495" s="9" t="s">
        <v>281</v>
      </c>
      <c r="E495" s="39">
        <v>829.586</v>
      </c>
    </row>
    <row r="496" ht="16.5" spans="1:5">
      <c r="A496" s="101">
        <v>3045651</v>
      </c>
      <c r="B496" s="102">
        <v>400574.9</v>
      </c>
      <c r="C496" s="102">
        <v>670.2</v>
      </c>
      <c r="D496" s="9" t="s">
        <v>282</v>
      </c>
      <c r="E496" s="39">
        <v>829.956</v>
      </c>
    </row>
    <row r="497" ht="16.5" spans="1:5">
      <c r="A497" s="101">
        <v>3045651</v>
      </c>
      <c r="B497" s="102">
        <v>400574.9</v>
      </c>
      <c r="C497" s="102">
        <v>670.2</v>
      </c>
      <c r="D497" s="9" t="s">
        <v>283</v>
      </c>
      <c r="E497" s="39">
        <v>828.686</v>
      </c>
    </row>
    <row r="498" ht="16.5" spans="1:5">
      <c r="A498" s="101">
        <v>3045651</v>
      </c>
      <c r="B498" s="102">
        <v>400574.9</v>
      </c>
      <c r="C498" s="102">
        <v>670.2</v>
      </c>
      <c r="D498" s="9" t="s">
        <v>284</v>
      </c>
      <c r="E498" s="39">
        <v>828.816</v>
      </c>
    </row>
    <row r="499" ht="16.5" spans="1:5">
      <c r="A499" s="101">
        <v>3045651</v>
      </c>
      <c r="B499" s="102">
        <v>400574.9</v>
      </c>
      <c r="C499" s="102">
        <v>670.2</v>
      </c>
      <c r="D499" s="9" t="s">
        <v>285</v>
      </c>
      <c r="E499" s="39">
        <v>829.886</v>
      </c>
    </row>
    <row r="500" ht="16.5" spans="1:5">
      <c r="A500" s="101">
        <v>3045651</v>
      </c>
      <c r="B500" s="102">
        <v>400574.9</v>
      </c>
      <c r="C500" s="102">
        <v>670.2</v>
      </c>
      <c r="D500" s="9" t="s">
        <v>286</v>
      </c>
      <c r="E500" s="39">
        <v>829.286</v>
      </c>
    </row>
    <row r="501" ht="16.5" spans="1:5">
      <c r="A501" s="101">
        <v>3045651</v>
      </c>
      <c r="B501" s="102">
        <v>400574.9</v>
      </c>
      <c r="C501" s="102">
        <v>670.2</v>
      </c>
      <c r="D501" s="9" t="s">
        <v>287</v>
      </c>
      <c r="E501" s="39">
        <v>829.216</v>
      </c>
    </row>
    <row r="502" ht="16.5" spans="1:5">
      <c r="A502" s="101">
        <v>3045651</v>
      </c>
      <c r="B502" s="102">
        <v>400574.9</v>
      </c>
      <c r="C502" s="102">
        <v>670.2</v>
      </c>
      <c r="D502" s="9" t="s">
        <v>288</v>
      </c>
      <c r="E502" s="39">
        <v>829.406</v>
      </c>
    </row>
    <row r="503" ht="16.5" spans="1:5">
      <c r="A503" s="101">
        <v>3045651</v>
      </c>
      <c r="B503" s="102">
        <v>400574.9</v>
      </c>
      <c r="C503" s="102">
        <v>670.2</v>
      </c>
      <c r="D503" s="9" t="s">
        <v>289</v>
      </c>
      <c r="E503" s="39">
        <v>829.816</v>
      </c>
    </row>
    <row r="504" ht="16.5" spans="1:5">
      <c r="A504" s="101">
        <v>3045651</v>
      </c>
      <c r="B504" s="102">
        <v>400574.9</v>
      </c>
      <c r="C504" s="102">
        <v>670.2</v>
      </c>
      <c r="D504" s="9" t="s">
        <v>290</v>
      </c>
      <c r="E504" s="39">
        <v>829.096</v>
      </c>
    </row>
    <row r="505" ht="16.5" spans="1:5">
      <c r="A505" s="101">
        <v>3045651</v>
      </c>
      <c r="B505" s="102">
        <v>400574.9</v>
      </c>
      <c r="C505" s="102">
        <v>670.2</v>
      </c>
      <c r="D505" s="9" t="s">
        <v>291</v>
      </c>
      <c r="E505" s="39">
        <v>829.866</v>
      </c>
    </row>
    <row r="506" ht="16.5" spans="1:5">
      <c r="A506" s="101">
        <v>3045651</v>
      </c>
      <c r="B506" s="102">
        <v>400574.9</v>
      </c>
      <c r="C506" s="102">
        <v>670.2</v>
      </c>
      <c r="D506" s="9" t="s">
        <v>292</v>
      </c>
      <c r="E506" s="39">
        <v>829.636</v>
      </c>
    </row>
    <row r="507" ht="16.5" spans="1:5">
      <c r="A507" s="101">
        <v>3045651</v>
      </c>
      <c r="B507" s="102">
        <v>400574.9</v>
      </c>
      <c r="C507" s="102">
        <v>670.2</v>
      </c>
      <c r="D507" s="9" t="s">
        <v>293</v>
      </c>
      <c r="E507" s="39">
        <v>829.336</v>
      </c>
    </row>
    <row r="508" ht="16.5" spans="1:5">
      <c r="A508" s="101">
        <v>3045651</v>
      </c>
      <c r="B508" s="102">
        <v>400574.9</v>
      </c>
      <c r="C508" s="102">
        <v>670.2</v>
      </c>
      <c r="D508" s="9" t="s">
        <v>294</v>
      </c>
      <c r="E508" s="39">
        <v>828.766</v>
      </c>
    </row>
    <row r="509" ht="16.5" spans="1:5">
      <c r="A509" s="101">
        <v>3045651</v>
      </c>
      <c r="B509" s="102">
        <v>400574.9</v>
      </c>
      <c r="C509" s="102">
        <v>670.2</v>
      </c>
      <c r="D509" s="9" t="s">
        <v>295</v>
      </c>
      <c r="E509" s="39">
        <v>831.116</v>
      </c>
    </row>
    <row r="510" ht="16.5" spans="1:5">
      <c r="A510" s="101">
        <v>3045651</v>
      </c>
      <c r="B510" s="102">
        <v>400574.9</v>
      </c>
      <c r="C510" s="102">
        <v>670.2</v>
      </c>
      <c r="D510" s="9" t="s">
        <v>296</v>
      </c>
      <c r="E510" s="39">
        <v>830.656</v>
      </c>
    </row>
    <row r="511" ht="16.5" spans="1:5">
      <c r="A511" s="101">
        <v>3045651</v>
      </c>
      <c r="B511" s="102">
        <v>400574.9</v>
      </c>
      <c r="C511" s="102">
        <v>670.2</v>
      </c>
      <c r="D511" s="9" t="s">
        <v>297</v>
      </c>
      <c r="E511" s="39">
        <v>831.076</v>
      </c>
    </row>
    <row r="512" ht="16.5" spans="1:5">
      <c r="A512" s="101">
        <v>3045651</v>
      </c>
      <c r="B512" s="102">
        <v>400574.9</v>
      </c>
      <c r="C512" s="102">
        <v>670.2</v>
      </c>
      <c r="D512" s="9" t="s">
        <v>298</v>
      </c>
      <c r="E512" s="39">
        <v>831.116</v>
      </c>
    </row>
    <row r="513" ht="16.5" spans="1:5">
      <c r="A513" s="101">
        <v>3045651</v>
      </c>
      <c r="B513" s="102">
        <v>400574.9</v>
      </c>
      <c r="C513" s="102">
        <v>670.2</v>
      </c>
      <c r="D513" s="9" t="s">
        <v>299</v>
      </c>
      <c r="E513" s="39">
        <v>830.966</v>
      </c>
    </row>
    <row r="514" ht="16.5" spans="1:5">
      <c r="A514" s="101">
        <v>3045651</v>
      </c>
      <c r="B514" s="102">
        <v>400574.9</v>
      </c>
      <c r="C514" s="102">
        <v>670.2</v>
      </c>
      <c r="D514" s="9" t="s">
        <v>300</v>
      </c>
      <c r="E514" s="39">
        <v>830.316</v>
      </c>
    </row>
    <row r="515" ht="16.5" spans="1:5">
      <c r="A515" s="101">
        <v>3045651</v>
      </c>
      <c r="B515" s="102">
        <v>400574.9</v>
      </c>
      <c r="C515" s="102">
        <v>670.2</v>
      </c>
      <c r="D515" s="9" t="s">
        <v>301</v>
      </c>
      <c r="E515" s="39">
        <v>828.936</v>
      </c>
    </row>
    <row r="516" ht="16.5" spans="1:5">
      <c r="A516" s="101">
        <v>3045651</v>
      </c>
      <c r="B516" s="102">
        <v>400574.9</v>
      </c>
      <c r="C516" s="102">
        <v>670.2</v>
      </c>
      <c r="D516" s="9" t="s">
        <v>302</v>
      </c>
      <c r="E516" s="39"/>
    </row>
    <row r="517" ht="16.5" spans="1:5">
      <c r="A517" s="101">
        <v>3045651</v>
      </c>
      <c r="B517" s="102">
        <v>400574.9</v>
      </c>
      <c r="C517" s="102">
        <v>670.2</v>
      </c>
      <c r="D517" s="9" t="s">
        <v>303</v>
      </c>
      <c r="E517" s="39"/>
    </row>
    <row r="518" ht="16.5" spans="1:5">
      <c r="A518" s="101">
        <v>3045651</v>
      </c>
      <c r="B518" s="102">
        <v>400574.9</v>
      </c>
      <c r="C518" s="102">
        <v>670.2</v>
      </c>
      <c r="D518" s="9" t="s">
        <v>304</v>
      </c>
      <c r="E518" s="39"/>
    </row>
    <row r="519" ht="16.5" spans="1:5">
      <c r="A519" s="101">
        <v>3045651</v>
      </c>
      <c r="B519" s="102">
        <v>400574.9</v>
      </c>
      <c r="C519" s="102">
        <v>670.2</v>
      </c>
      <c r="D519" s="9" t="s">
        <v>305</v>
      </c>
      <c r="E519" s="39"/>
    </row>
    <row r="520" ht="16.5" spans="1:5">
      <c r="A520" s="101">
        <v>3045651</v>
      </c>
      <c r="B520" s="102">
        <v>400574.9</v>
      </c>
      <c r="C520" s="102">
        <v>670.2</v>
      </c>
      <c r="D520" s="9" t="s">
        <v>306</v>
      </c>
      <c r="E520" s="39"/>
    </row>
    <row r="521" ht="16.5" spans="1:5">
      <c r="A521" s="101">
        <v>3045651</v>
      </c>
      <c r="B521" s="102">
        <v>400574.9</v>
      </c>
      <c r="C521" s="102">
        <v>670.2</v>
      </c>
      <c r="D521" s="9" t="s">
        <v>307</v>
      </c>
      <c r="E521" s="39"/>
    </row>
    <row r="522" ht="16.5" spans="1:5">
      <c r="A522" s="101">
        <v>3045651</v>
      </c>
      <c r="B522" s="102">
        <v>400574.9</v>
      </c>
      <c r="C522" s="102">
        <v>670.2</v>
      </c>
      <c r="D522" s="9" t="s">
        <v>308</v>
      </c>
      <c r="E522" s="39"/>
    </row>
    <row r="523" ht="16.5" spans="1:5">
      <c r="A523" s="101">
        <v>3045651</v>
      </c>
      <c r="B523" s="102">
        <v>400574.9</v>
      </c>
      <c r="C523" s="102">
        <v>670.2</v>
      </c>
      <c r="D523" s="9" t="s">
        <v>309</v>
      </c>
      <c r="E523" s="39"/>
    </row>
    <row r="524" ht="16.5" spans="1:5">
      <c r="A524" s="101">
        <v>3045651</v>
      </c>
      <c r="B524" s="102">
        <v>400574.9</v>
      </c>
      <c r="C524" s="102">
        <v>670.2</v>
      </c>
      <c r="D524" s="9" t="s">
        <v>310</v>
      </c>
      <c r="E524" s="39"/>
    </row>
    <row r="525" ht="16.5" spans="1:5">
      <c r="A525" s="101">
        <v>3045651</v>
      </c>
      <c r="B525" s="102">
        <v>400574.9</v>
      </c>
      <c r="C525" s="102">
        <v>670.2</v>
      </c>
      <c r="D525" s="9" t="s">
        <v>311</v>
      </c>
      <c r="E525" s="39"/>
    </row>
    <row r="526" ht="16.5" spans="1:5">
      <c r="A526" s="101">
        <v>3045651</v>
      </c>
      <c r="B526" s="102">
        <v>400574.9</v>
      </c>
      <c r="C526" s="102">
        <v>670.2</v>
      </c>
      <c r="D526" s="9" t="s">
        <v>312</v>
      </c>
      <c r="E526" s="39">
        <v>837.206</v>
      </c>
    </row>
    <row r="527" ht="16.5" spans="1:5">
      <c r="A527" s="101">
        <v>3045651</v>
      </c>
      <c r="B527" s="102">
        <v>400574.9</v>
      </c>
      <c r="C527" s="102">
        <v>670.2</v>
      </c>
      <c r="D527" s="9" t="s">
        <v>313</v>
      </c>
      <c r="E527" s="39"/>
    </row>
    <row r="528" ht="16.5" spans="1:5">
      <c r="A528" s="101">
        <v>3045651</v>
      </c>
      <c r="B528" s="102">
        <v>400574.9</v>
      </c>
      <c r="C528" s="102">
        <v>670.2</v>
      </c>
      <c r="D528" s="9" t="s">
        <v>314</v>
      </c>
      <c r="E528" s="39"/>
    </row>
    <row r="529" ht="16.5" spans="1:5">
      <c r="A529" s="101">
        <v>3045651</v>
      </c>
      <c r="B529" s="102">
        <v>400574.9</v>
      </c>
      <c r="C529" s="102">
        <v>670.2</v>
      </c>
      <c r="D529" s="9" t="s">
        <v>315</v>
      </c>
      <c r="E529" s="39"/>
    </row>
    <row r="530" ht="16.5" spans="1:5">
      <c r="A530" s="101">
        <v>3045651</v>
      </c>
      <c r="B530" s="102">
        <v>400574.9</v>
      </c>
      <c r="C530" s="102">
        <v>670.2</v>
      </c>
      <c r="D530" s="9" t="s">
        <v>316</v>
      </c>
      <c r="E530" s="39"/>
    </row>
    <row r="531" ht="16.5" spans="1:5">
      <c r="A531" s="101">
        <v>3045651</v>
      </c>
      <c r="B531" s="102">
        <v>400574.9</v>
      </c>
      <c r="C531" s="102">
        <v>670.2</v>
      </c>
      <c r="D531" s="9" t="s">
        <v>317</v>
      </c>
      <c r="E531" s="39"/>
    </row>
    <row r="532" ht="16.5" spans="1:5">
      <c r="A532" s="101">
        <v>3045651</v>
      </c>
      <c r="B532" s="102">
        <v>400574.9</v>
      </c>
      <c r="C532" s="102">
        <v>670.2</v>
      </c>
      <c r="D532" s="9" t="s">
        <v>318</v>
      </c>
      <c r="E532" s="39"/>
    </row>
    <row r="533" ht="16.5" spans="1:5">
      <c r="A533" s="101">
        <v>3045651</v>
      </c>
      <c r="B533" s="102">
        <v>400574.9</v>
      </c>
      <c r="C533" s="102">
        <v>670.2</v>
      </c>
      <c r="D533" s="9" t="s">
        <v>319</v>
      </c>
      <c r="E533" s="39"/>
    </row>
    <row r="534" ht="16.5" spans="1:5">
      <c r="A534" s="101">
        <v>3045651</v>
      </c>
      <c r="B534" s="102">
        <v>400574.9</v>
      </c>
      <c r="C534" s="102">
        <v>670.2</v>
      </c>
      <c r="D534" s="9" t="s">
        <v>320</v>
      </c>
      <c r="E534" s="39"/>
    </row>
    <row r="535" ht="16.5" spans="1:5">
      <c r="A535" s="101">
        <v>3045651</v>
      </c>
      <c r="B535" s="102">
        <v>400574.9</v>
      </c>
      <c r="C535" s="102">
        <v>670.2</v>
      </c>
      <c r="D535" s="9" t="s">
        <v>321</v>
      </c>
      <c r="E535" s="39"/>
    </row>
    <row r="536" ht="16.5" spans="1:5">
      <c r="A536" s="101">
        <v>3045651</v>
      </c>
      <c r="B536" s="102">
        <v>400574.9</v>
      </c>
      <c r="C536" s="102">
        <v>670.2</v>
      </c>
      <c r="D536" s="9" t="s">
        <v>322</v>
      </c>
      <c r="E536" s="39"/>
    </row>
    <row r="537" ht="16.5" spans="1:5">
      <c r="A537" s="101">
        <v>3045651</v>
      </c>
      <c r="B537" s="102">
        <v>400574.9</v>
      </c>
      <c r="C537" s="102">
        <v>670.2</v>
      </c>
      <c r="D537" s="9" t="s">
        <v>323</v>
      </c>
      <c r="E537" s="39"/>
    </row>
    <row r="538" ht="16.5" spans="1:5">
      <c r="A538" s="101">
        <v>3045651</v>
      </c>
      <c r="B538" s="102">
        <v>400574.9</v>
      </c>
      <c r="C538" s="102">
        <v>670.2</v>
      </c>
      <c r="D538" s="9" t="s">
        <v>324</v>
      </c>
      <c r="E538" s="39"/>
    </row>
    <row r="539" ht="16.5" spans="1:5">
      <c r="A539" s="101">
        <v>3045651</v>
      </c>
      <c r="B539" s="102">
        <v>400574.9</v>
      </c>
      <c r="C539" s="102">
        <v>670.2</v>
      </c>
      <c r="D539" s="9" t="s">
        <v>325</v>
      </c>
      <c r="E539" s="39"/>
    </row>
    <row r="540" ht="16.5" spans="1:5">
      <c r="A540" s="101">
        <v>3045651</v>
      </c>
      <c r="B540" s="102">
        <v>400574.9</v>
      </c>
      <c r="C540" s="102">
        <v>670.2</v>
      </c>
      <c r="D540" s="9" t="s">
        <v>326</v>
      </c>
      <c r="E540" s="39"/>
    </row>
    <row r="541" ht="16.5" spans="1:5">
      <c r="A541" s="101">
        <v>3045651</v>
      </c>
      <c r="B541" s="102">
        <v>400574.9</v>
      </c>
      <c r="C541" s="102">
        <v>670.2</v>
      </c>
      <c r="D541" s="9" t="s">
        <v>327</v>
      </c>
      <c r="E541" s="39"/>
    </row>
    <row r="542" ht="16.5" spans="1:5">
      <c r="A542" s="101">
        <v>3045651</v>
      </c>
      <c r="B542" s="102">
        <v>400574.9</v>
      </c>
      <c r="C542" s="102">
        <v>670.2</v>
      </c>
      <c r="D542" s="9" t="s">
        <v>328</v>
      </c>
      <c r="E542" s="39"/>
    </row>
    <row r="543" ht="16.5" spans="1:5">
      <c r="A543" s="101">
        <v>3045651</v>
      </c>
      <c r="B543" s="102">
        <v>400574.9</v>
      </c>
      <c r="C543" s="102">
        <v>670.2</v>
      </c>
      <c r="D543" s="9" t="s">
        <v>329</v>
      </c>
      <c r="E543" s="39"/>
    </row>
    <row r="544" ht="16.5" spans="1:5">
      <c r="A544" s="101">
        <v>3045651</v>
      </c>
      <c r="B544" s="102">
        <v>400574.9</v>
      </c>
      <c r="C544" s="102">
        <v>670.2</v>
      </c>
      <c r="D544" s="9" t="s">
        <v>330</v>
      </c>
      <c r="E544" s="39"/>
    </row>
    <row r="545" ht="16.5" spans="1:5">
      <c r="A545" s="101">
        <v>3045651</v>
      </c>
      <c r="B545" s="102">
        <v>400574.9</v>
      </c>
      <c r="C545" s="102">
        <v>670.2</v>
      </c>
      <c r="D545" s="9" t="s">
        <v>331</v>
      </c>
      <c r="E545" s="39"/>
    </row>
    <row r="546" ht="16.5" spans="1:5">
      <c r="A546" s="101">
        <v>3045651</v>
      </c>
      <c r="B546" s="102">
        <v>400574.9</v>
      </c>
      <c r="C546" s="102">
        <v>670.2</v>
      </c>
      <c r="D546" s="9" t="s">
        <v>332</v>
      </c>
      <c r="E546" s="39"/>
    </row>
    <row r="547" ht="16.5" spans="1:5">
      <c r="A547" s="101">
        <v>3045651</v>
      </c>
      <c r="B547" s="102">
        <v>400574.9</v>
      </c>
      <c r="C547" s="102">
        <v>670.2</v>
      </c>
      <c r="D547" s="9" t="s">
        <v>333</v>
      </c>
      <c r="E547" s="39"/>
    </row>
    <row r="548" ht="16.5" spans="1:5">
      <c r="A548" s="101">
        <v>3045651</v>
      </c>
      <c r="B548" s="102">
        <v>400574.9</v>
      </c>
      <c r="C548" s="102">
        <v>670.2</v>
      </c>
      <c r="D548" s="9" t="s">
        <v>334</v>
      </c>
      <c r="E548" s="39"/>
    </row>
    <row r="549" ht="16.5" spans="1:5">
      <c r="A549" s="101">
        <v>3045651</v>
      </c>
      <c r="B549" s="102">
        <v>400574.9</v>
      </c>
      <c r="C549" s="102">
        <v>670.2</v>
      </c>
      <c r="D549" s="9" t="s">
        <v>335</v>
      </c>
      <c r="E549" s="39"/>
    </row>
    <row r="550" ht="16.5" spans="1:5">
      <c r="A550" s="101">
        <v>3045651</v>
      </c>
      <c r="B550" s="102">
        <v>400574.9</v>
      </c>
      <c r="C550" s="102">
        <v>670.2</v>
      </c>
      <c r="D550" s="9" t="s">
        <v>336</v>
      </c>
      <c r="E550" s="39"/>
    </row>
    <row r="551" ht="16.5" spans="1:5">
      <c r="A551" s="101">
        <v>3045651</v>
      </c>
      <c r="B551" s="102">
        <v>400574.9</v>
      </c>
      <c r="C551" s="102">
        <v>670.2</v>
      </c>
      <c r="D551" s="9" t="s">
        <v>337</v>
      </c>
      <c r="E551" s="39"/>
    </row>
    <row r="552" ht="16.5" spans="1:5">
      <c r="A552" s="101">
        <v>3045651</v>
      </c>
      <c r="B552" s="102">
        <v>400574.9</v>
      </c>
      <c r="C552" s="102">
        <v>670.2</v>
      </c>
      <c r="D552" s="9" t="s">
        <v>338</v>
      </c>
      <c r="E552" s="39"/>
    </row>
    <row r="553" ht="16.5" spans="1:5">
      <c r="A553" s="101">
        <v>3045651</v>
      </c>
      <c r="B553" s="102">
        <v>400574.9</v>
      </c>
      <c r="C553" s="102">
        <v>670.2</v>
      </c>
      <c r="D553" s="9" t="s">
        <v>339</v>
      </c>
      <c r="E553" s="39"/>
    </row>
    <row r="554" ht="16.5" spans="1:5">
      <c r="A554" s="101">
        <v>3045651</v>
      </c>
      <c r="B554" s="102">
        <v>400574.9</v>
      </c>
      <c r="C554" s="102">
        <v>670.2</v>
      </c>
      <c r="D554" s="9" t="s">
        <v>340</v>
      </c>
      <c r="E554" s="39"/>
    </row>
    <row r="555" ht="16.5" spans="1:5">
      <c r="A555" s="101">
        <v>3045651</v>
      </c>
      <c r="B555" s="102">
        <v>400574.9</v>
      </c>
      <c r="C555" s="102">
        <v>670.2</v>
      </c>
      <c r="D555" s="9" t="s">
        <v>341</v>
      </c>
      <c r="E555" s="39"/>
    </row>
    <row r="556" ht="16.5" spans="1:5">
      <c r="A556" s="101">
        <v>3045651</v>
      </c>
      <c r="B556" s="102">
        <v>400574.9</v>
      </c>
      <c r="C556" s="102">
        <v>670.2</v>
      </c>
      <c r="D556" s="9" t="s">
        <v>342</v>
      </c>
      <c r="E556" s="39">
        <v>804.156</v>
      </c>
    </row>
    <row r="557" ht="16.5" spans="1:5">
      <c r="A557" s="101">
        <v>3045651</v>
      </c>
      <c r="B557" s="102">
        <v>400574.9</v>
      </c>
      <c r="C557" s="102">
        <v>670.2</v>
      </c>
      <c r="D557" s="9" t="s">
        <v>343</v>
      </c>
      <c r="E557" s="39">
        <v>803.336</v>
      </c>
    </row>
    <row r="558" ht="16.5" spans="1:5">
      <c r="A558" s="101">
        <v>3045651</v>
      </c>
      <c r="B558" s="102">
        <v>400574.9</v>
      </c>
      <c r="C558" s="102">
        <v>670.2</v>
      </c>
      <c r="D558" s="9" t="s">
        <v>344</v>
      </c>
      <c r="E558" s="39">
        <v>804.206</v>
      </c>
    </row>
    <row r="559" ht="16.5" spans="1:5">
      <c r="A559" s="101">
        <v>3045651</v>
      </c>
      <c r="B559" s="102">
        <v>400574.9</v>
      </c>
      <c r="C559" s="102">
        <v>670.2</v>
      </c>
      <c r="D559" s="9" t="s">
        <v>345</v>
      </c>
      <c r="E559" s="39">
        <v>803.216</v>
      </c>
    </row>
    <row r="560" ht="16.5" spans="1:5">
      <c r="A560" s="101">
        <v>3045651</v>
      </c>
      <c r="B560" s="102">
        <v>400574.9</v>
      </c>
      <c r="C560" s="102">
        <v>670.2</v>
      </c>
      <c r="D560" s="9" t="s">
        <v>346</v>
      </c>
      <c r="E560" s="39">
        <v>801.056</v>
      </c>
    </row>
    <row r="561" ht="16.5" spans="1:5">
      <c r="A561" s="101">
        <v>3045651</v>
      </c>
      <c r="B561" s="102">
        <v>400574.9</v>
      </c>
      <c r="C561" s="102">
        <v>670.2</v>
      </c>
      <c r="D561" s="9" t="s">
        <v>347</v>
      </c>
      <c r="E561" s="39">
        <v>800.456</v>
      </c>
    </row>
    <row r="562" ht="16.5" spans="1:5">
      <c r="A562" s="101">
        <v>3045651</v>
      </c>
      <c r="B562" s="102">
        <v>400574.9</v>
      </c>
      <c r="C562" s="102">
        <v>670.2</v>
      </c>
      <c r="D562" s="9" t="s">
        <v>348</v>
      </c>
      <c r="E562" s="39">
        <v>800.536</v>
      </c>
    </row>
    <row r="563" ht="16.5" spans="1:5">
      <c r="A563" s="101">
        <v>3045651</v>
      </c>
      <c r="B563" s="102">
        <v>400574.9</v>
      </c>
      <c r="C563" s="102">
        <v>670.2</v>
      </c>
      <c r="D563" s="9" t="s">
        <v>349</v>
      </c>
      <c r="E563" s="39">
        <v>799.766</v>
      </c>
    </row>
    <row r="564" ht="16.5" spans="1:5">
      <c r="A564" s="101">
        <v>3045651</v>
      </c>
      <c r="B564" s="102">
        <v>400574.9</v>
      </c>
      <c r="C564" s="102">
        <v>670.2</v>
      </c>
      <c r="D564" s="9" t="s">
        <v>350</v>
      </c>
      <c r="E564" s="39">
        <v>801.376</v>
      </c>
    </row>
    <row r="565" ht="16.5" spans="1:5">
      <c r="A565" s="101">
        <v>3045651</v>
      </c>
      <c r="B565" s="102">
        <v>400574.9</v>
      </c>
      <c r="C565" s="102">
        <v>670.2</v>
      </c>
      <c r="D565" s="9" t="s">
        <v>351</v>
      </c>
      <c r="E565" s="39">
        <v>799.186</v>
      </c>
    </row>
    <row r="566" ht="16.5" spans="1:5">
      <c r="A566" s="101">
        <v>3045651</v>
      </c>
      <c r="B566" s="102">
        <v>400574.9</v>
      </c>
      <c r="C566" s="102">
        <v>670.2</v>
      </c>
      <c r="D566" s="9" t="s">
        <v>352</v>
      </c>
      <c r="E566" s="39">
        <v>800.436</v>
      </c>
    </row>
    <row r="567" ht="16.5" spans="1:5">
      <c r="A567" s="101">
        <v>3045651</v>
      </c>
      <c r="B567" s="102">
        <v>400574.9</v>
      </c>
      <c r="C567" s="102">
        <v>670.2</v>
      </c>
      <c r="D567" s="9" t="s">
        <v>353</v>
      </c>
      <c r="E567" s="39"/>
    </row>
    <row r="568" ht="16.5" spans="1:5">
      <c r="A568" s="101">
        <v>3045651</v>
      </c>
      <c r="B568" s="102">
        <v>400574.9</v>
      </c>
      <c r="C568" s="102">
        <v>670.2</v>
      </c>
      <c r="D568" s="9" t="s">
        <v>354</v>
      </c>
      <c r="E568" s="39"/>
    </row>
    <row r="569" ht="16.5" spans="1:5">
      <c r="A569" s="101">
        <v>3045651</v>
      </c>
      <c r="B569" s="102">
        <v>400574.9</v>
      </c>
      <c r="C569" s="102">
        <v>670.2</v>
      </c>
      <c r="D569" s="9" t="s">
        <v>355</v>
      </c>
      <c r="E569" s="39"/>
    </row>
    <row r="570" ht="16.5" spans="1:5">
      <c r="A570" s="101">
        <v>3045651</v>
      </c>
      <c r="B570" s="102">
        <v>400574.9</v>
      </c>
      <c r="C570" s="102">
        <v>670.2</v>
      </c>
      <c r="D570" s="9" t="s">
        <v>356</v>
      </c>
      <c r="E570" s="39"/>
    </row>
    <row r="571" ht="16.5" spans="1:5">
      <c r="A571" s="101">
        <v>3045651</v>
      </c>
      <c r="B571" s="102">
        <v>400574.9</v>
      </c>
      <c r="C571" s="102">
        <v>670.2</v>
      </c>
      <c r="D571" s="9" t="s">
        <v>357</v>
      </c>
      <c r="E571" s="39"/>
    </row>
    <row r="572" ht="16.5" spans="1:5">
      <c r="A572" s="101">
        <v>3045651</v>
      </c>
      <c r="B572" s="102">
        <v>400574.9</v>
      </c>
      <c r="C572" s="102">
        <v>670.2</v>
      </c>
      <c r="D572" s="9" t="s">
        <v>358</v>
      </c>
      <c r="E572" s="39"/>
    </row>
    <row r="573" ht="16.5" spans="1:5">
      <c r="A573" s="101">
        <v>3045651</v>
      </c>
      <c r="B573" s="102">
        <v>400574.9</v>
      </c>
      <c r="C573" s="102">
        <v>670.2</v>
      </c>
      <c r="D573" s="9" t="s">
        <v>359</v>
      </c>
      <c r="E573" s="39"/>
    </row>
    <row r="574" ht="16.5" spans="1:5">
      <c r="A574" s="101">
        <v>3045651</v>
      </c>
      <c r="B574" s="102">
        <v>400574.9</v>
      </c>
      <c r="C574" s="102">
        <v>670.2</v>
      </c>
      <c r="D574" s="9" t="s">
        <v>360</v>
      </c>
      <c r="E574" s="39"/>
    </row>
    <row r="575" ht="16.5" spans="1:5">
      <c r="A575" s="101">
        <v>3045651</v>
      </c>
      <c r="B575" s="102">
        <v>400574.9</v>
      </c>
      <c r="C575" s="102">
        <v>670.2</v>
      </c>
      <c r="D575" s="9" t="s">
        <v>361</v>
      </c>
      <c r="E575" s="39"/>
    </row>
    <row r="576" ht="16.5" spans="1:5">
      <c r="A576" s="101">
        <v>3045651</v>
      </c>
      <c r="B576" s="102">
        <v>400574.9</v>
      </c>
      <c r="C576" s="102">
        <v>670.2</v>
      </c>
      <c r="D576" s="9" t="s">
        <v>362</v>
      </c>
      <c r="E576" s="39"/>
    </row>
    <row r="577" ht="16.5" spans="1:5">
      <c r="A577" s="101">
        <v>3045651</v>
      </c>
      <c r="B577" s="102">
        <v>400574.9</v>
      </c>
      <c r="C577" s="102">
        <v>670.2</v>
      </c>
      <c r="D577" s="9" t="s">
        <v>363</v>
      </c>
      <c r="E577" s="39"/>
    </row>
    <row r="578" ht="16.5" spans="1:5">
      <c r="A578" s="101">
        <v>3045651</v>
      </c>
      <c r="B578" s="102">
        <v>400574.9</v>
      </c>
      <c r="C578" s="102">
        <v>670.2</v>
      </c>
      <c r="D578" s="9" t="s">
        <v>364</v>
      </c>
      <c r="E578" s="39"/>
    </row>
    <row r="579" ht="16.5" spans="1:5">
      <c r="A579" s="101">
        <v>3045651</v>
      </c>
      <c r="B579" s="102">
        <v>400574.9</v>
      </c>
      <c r="C579" s="102">
        <v>670.2</v>
      </c>
      <c r="D579" s="9" t="s">
        <v>365</v>
      </c>
      <c r="E579" s="39"/>
    </row>
    <row r="580" ht="16.5" spans="1:5">
      <c r="A580" s="101">
        <v>3045651</v>
      </c>
      <c r="B580" s="102">
        <v>400574.9</v>
      </c>
      <c r="C580" s="102">
        <v>670.2</v>
      </c>
      <c r="D580" s="9" t="s">
        <v>366</v>
      </c>
      <c r="E580" s="39"/>
    </row>
    <row r="581" ht="16.5" spans="1:5">
      <c r="A581" s="101">
        <v>3045651</v>
      </c>
      <c r="B581" s="102">
        <v>400574.9</v>
      </c>
      <c r="C581" s="102">
        <v>670.2</v>
      </c>
      <c r="D581" s="9" t="s">
        <v>367</v>
      </c>
      <c r="E581" s="39"/>
    </row>
    <row r="582" ht="16.5" spans="1:5">
      <c r="A582" s="101">
        <v>3045651</v>
      </c>
      <c r="B582" s="102">
        <v>400574.9</v>
      </c>
      <c r="C582" s="102">
        <v>670.2</v>
      </c>
      <c r="D582" s="9" t="s">
        <v>368</v>
      </c>
      <c r="E582" s="39"/>
    </row>
    <row r="583" ht="16.5" spans="1:5">
      <c r="A583" s="101">
        <v>3045651</v>
      </c>
      <c r="B583" s="102">
        <v>400574.9</v>
      </c>
      <c r="C583" s="102">
        <v>670.2</v>
      </c>
      <c r="D583" s="9" t="s">
        <v>369</v>
      </c>
      <c r="E583" s="39"/>
    </row>
    <row r="584" ht="16.5" spans="1:5">
      <c r="A584" s="101">
        <v>3045651</v>
      </c>
      <c r="B584" s="102">
        <v>400574.9</v>
      </c>
      <c r="C584" s="102">
        <v>670.2</v>
      </c>
      <c r="D584" s="9" t="s">
        <v>370</v>
      </c>
      <c r="E584" s="39"/>
    </row>
    <row r="585" ht="16.5" spans="1:5">
      <c r="A585" s="101">
        <v>3045651</v>
      </c>
      <c r="B585" s="102">
        <v>400574.9</v>
      </c>
      <c r="C585" s="102">
        <v>670.2</v>
      </c>
      <c r="D585" s="9" t="s">
        <v>371</v>
      </c>
      <c r="E585" s="39"/>
    </row>
    <row r="586" ht="16.5" spans="1:5">
      <c r="A586" s="101">
        <v>3045651</v>
      </c>
      <c r="B586" s="102">
        <v>400574.9</v>
      </c>
      <c r="C586" s="102">
        <v>670.2</v>
      </c>
      <c r="D586" s="9" t="s">
        <v>372</v>
      </c>
      <c r="E586" s="39"/>
    </row>
    <row r="587" ht="16.5" spans="1:5">
      <c r="A587" s="101">
        <v>3045651</v>
      </c>
      <c r="B587" s="102">
        <v>400574.9</v>
      </c>
      <c r="C587" s="102">
        <v>670.2</v>
      </c>
      <c r="D587" s="9" t="s">
        <v>373</v>
      </c>
      <c r="E587" s="39"/>
    </row>
    <row r="588" ht="16.5" spans="1:5">
      <c r="A588" s="101">
        <v>3045651</v>
      </c>
      <c r="B588" s="102">
        <v>400574.9</v>
      </c>
      <c r="C588" s="102">
        <v>670.2</v>
      </c>
      <c r="D588" s="9" t="s">
        <v>374</v>
      </c>
      <c r="E588" s="39"/>
    </row>
    <row r="589" ht="16.5" spans="1:5">
      <c r="A589" s="101">
        <v>3045651</v>
      </c>
      <c r="B589" s="102">
        <v>400574.9</v>
      </c>
      <c r="C589" s="102">
        <v>670.2</v>
      </c>
      <c r="D589" s="9" t="s">
        <v>375</v>
      </c>
      <c r="E589" s="39"/>
    </row>
    <row r="590" ht="16.5" spans="1:5">
      <c r="A590" s="101">
        <v>3045651</v>
      </c>
      <c r="B590" s="102">
        <v>400574.9</v>
      </c>
      <c r="C590" s="102">
        <v>670.2</v>
      </c>
      <c r="D590" s="9" t="s">
        <v>376</v>
      </c>
      <c r="E590" s="39"/>
    </row>
    <row r="591" ht="16.5" spans="1:5">
      <c r="A591" s="101">
        <v>3045651</v>
      </c>
      <c r="B591" s="102">
        <v>400574.9</v>
      </c>
      <c r="C591" s="102">
        <v>670.2</v>
      </c>
      <c r="D591" s="9" t="s">
        <v>377</v>
      </c>
      <c r="E591" s="39"/>
    </row>
    <row r="592" ht="16.5" spans="1:5">
      <c r="A592" s="101">
        <v>3045651</v>
      </c>
      <c r="B592" s="102">
        <v>400574.9</v>
      </c>
      <c r="C592" s="102">
        <v>670.2</v>
      </c>
      <c r="D592" s="9" t="s">
        <v>378</v>
      </c>
      <c r="E592" s="39"/>
    </row>
    <row r="593" ht="16.5" spans="1:5">
      <c r="A593" s="101">
        <v>3045651</v>
      </c>
      <c r="B593" s="102">
        <v>400574.9</v>
      </c>
      <c r="C593" s="102">
        <v>670.2</v>
      </c>
      <c r="D593" s="9" t="s">
        <v>379</v>
      </c>
      <c r="E593" s="39"/>
    </row>
    <row r="594" ht="16.5" spans="1:5">
      <c r="A594" s="101">
        <v>3045651</v>
      </c>
      <c r="B594" s="102">
        <v>400574.9</v>
      </c>
      <c r="C594" s="102">
        <v>670.2</v>
      </c>
      <c r="D594" s="9" t="s">
        <v>380</v>
      </c>
      <c r="E594" s="39"/>
    </row>
    <row r="595" ht="16.5" spans="1:5">
      <c r="A595" s="101">
        <v>3045651</v>
      </c>
      <c r="B595" s="102">
        <v>400574.9</v>
      </c>
      <c r="C595" s="102">
        <v>670.2</v>
      </c>
      <c r="D595" s="9" t="s">
        <v>381</v>
      </c>
      <c r="E595" s="39"/>
    </row>
    <row r="596" ht="16.5" spans="1:5">
      <c r="A596" s="101">
        <v>3045651</v>
      </c>
      <c r="B596" s="102">
        <v>400574.9</v>
      </c>
      <c r="C596" s="102">
        <v>670.2</v>
      </c>
      <c r="D596" s="9" t="s">
        <v>382</v>
      </c>
      <c r="E596" s="39"/>
    </row>
    <row r="597" ht="16.5" spans="1:5">
      <c r="A597" s="101">
        <v>3045651</v>
      </c>
      <c r="B597" s="102">
        <v>400574.9</v>
      </c>
      <c r="C597" s="102">
        <v>670.2</v>
      </c>
      <c r="D597" s="9" t="s">
        <v>383</v>
      </c>
      <c r="E597" s="39"/>
    </row>
    <row r="598" ht="16.5" spans="1:5">
      <c r="A598" s="101">
        <v>3045651</v>
      </c>
      <c r="B598" s="102">
        <v>400574.9</v>
      </c>
      <c r="C598" s="102">
        <v>670.2</v>
      </c>
      <c r="D598" s="9" t="s">
        <v>384</v>
      </c>
      <c r="E598" s="39"/>
    </row>
    <row r="599" ht="16.5" spans="1:5">
      <c r="A599" s="101">
        <v>3045651</v>
      </c>
      <c r="B599" s="102">
        <v>400574.9</v>
      </c>
      <c r="C599" s="102">
        <v>670.2</v>
      </c>
      <c r="D599" s="9" t="s">
        <v>385</v>
      </c>
      <c r="E599" s="39"/>
    </row>
    <row r="600" ht="16.5" spans="1:5">
      <c r="A600" s="101">
        <v>3045651</v>
      </c>
      <c r="B600" s="102">
        <v>400574.9</v>
      </c>
      <c r="C600" s="102">
        <v>670.2</v>
      </c>
      <c r="D600" s="9" t="s">
        <v>386</v>
      </c>
      <c r="E600" s="39"/>
    </row>
    <row r="601" ht="16.5" spans="1:5">
      <c r="A601" s="101">
        <v>3045651</v>
      </c>
      <c r="B601" s="102">
        <v>400574.9</v>
      </c>
      <c r="C601" s="102">
        <v>670.2</v>
      </c>
      <c r="D601" s="9" t="s">
        <v>387</v>
      </c>
      <c r="E601" s="39"/>
    </row>
    <row r="602" ht="16.5" spans="1:5">
      <c r="A602" s="101">
        <v>3045651</v>
      </c>
      <c r="B602" s="102">
        <v>400574.9</v>
      </c>
      <c r="C602" s="102">
        <v>670.2</v>
      </c>
      <c r="D602" s="9" t="s">
        <v>388</v>
      </c>
      <c r="E602" s="39"/>
    </row>
    <row r="603" ht="16.5" spans="1:5">
      <c r="A603" s="101">
        <v>3045651</v>
      </c>
      <c r="B603" s="102">
        <v>400574.9</v>
      </c>
      <c r="C603" s="102">
        <v>670.2</v>
      </c>
      <c r="D603" s="9" t="s">
        <v>389</v>
      </c>
      <c r="E603" s="39"/>
    </row>
    <row r="604" ht="16.5" spans="1:5">
      <c r="A604" s="101">
        <v>3045651</v>
      </c>
      <c r="B604" s="102">
        <v>400574.9</v>
      </c>
      <c r="C604" s="102">
        <v>670.2</v>
      </c>
      <c r="D604" s="9" t="s">
        <v>390</v>
      </c>
      <c r="E604" s="39"/>
    </row>
    <row r="605" ht="16.5" spans="1:5">
      <c r="A605" s="101">
        <v>3045651</v>
      </c>
      <c r="B605" s="102">
        <v>400574.9</v>
      </c>
      <c r="C605" s="102">
        <v>670.2</v>
      </c>
      <c r="D605" s="9" t="s">
        <v>391</v>
      </c>
      <c r="E605" s="39"/>
    </row>
    <row r="606" ht="16.5" spans="1:5">
      <c r="A606" s="101">
        <v>3045651</v>
      </c>
      <c r="B606" s="102">
        <v>400574.9</v>
      </c>
      <c r="C606" s="102">
        <v>670.2</v>
      </c>
      <c r="D606" s="9" t="s">
        <v>392</v>
      </c>
      <c r="E606" s="39">
        <v>804.706</v>
      </c>
    </row>
    <row r="607" ht="16.5" spans="1:5">
      <c r="A607" s="101">
        <v>3045651</v>
      </c>
      <c r="B607" s="102">
        <v>400574.9</v>
      </c>
      <c r="C607" s="102">
        <v>670.2</v>
      </c>
      <c r="D607" s="9" t="s">
        <v>393</v>
      </c>
      <c r="E607" s="39"/>
    </row>
    <row r="608" ht="16.5" spans="1:5">
      <c r="A608" s="101">
        <v>3045651</v>
      </c>
      <c r="B608" s="102">
        <v>400574.9</v>
      </c>
      <c r="C608" s="102">
        <v>670.2</v>
      </c>
      <c r="D608" s="9" t="s">
        <v>394</v>
      </c>
      <c r="E608" s="39"/>
    </row>
    <row r="609" ht="16.5" spans="1:5">
      <c r="A609" s="101">
        <v>3045651</v>
      </c>
      <c r="B609" s="102">
        <v>400574.9</v>
      </c>
      <c r="C609" s="102">
        <v>670.2</v>
      </c>
      <c r="D609" s="9" t="s">
        <v>395</v>
      </c>
      <c r="E609" s="39"/>
    </row>
    <row r="610" ht="16.5" spans="1:5">
      <c r="A610" s="101">
        <v>3045651</v>
      </c>
      <c r="B610" s="102">
        <v>400574.9</v>
      </c>
      <c r="C610" s="102">
        <v>670.2</v>
      </c>
      <c r="D610" s="9" t="s">
        <v>396</v>
      </c>
      <c r="E610" s="39">
        <v>804.206</v>
      </c>
    </row>
    <row r="611" ht="16.5" spans="1:5">
      <c r="A611" s="101">
        <v>3045651</v>
      </c>
      <c r="B611" s="102">
        <v>400574.9</v>
      </c>
      <c r="C611" s="102">
        <v>670.2</v>
      </c>
      <c r="D611" s="9" t="s">
        <v>397</v>
      </c>
      <c r="E611" s="39"/>
    </row>
    <row r="612" ht="16.5" spans="1:5">
      <c r="A612" s="101">
        <v>3045651</v>
      </c>
      <c r="B612" s="102">
        <v>400574.9</v>
      </c>
      <c r="C612" s="102">
        <v>670.2</v>
      </c>
      <c r="D612" s="9" t="s">
        <v>398</v>
      </c>
      <c r="E612" s="39"/>
    </row>
    <row r="613" ht="16.5" spans="1:5">
      <c r="A613" s="101">
        <v>3045651</v>
      </c>
      <c r="B613" s="102">
        <v>400574.9</v>
      </c>
      <c r="C613" s="102">
        <v>670.2</v>
      </c>
      <c r="D613" s="9" t="s">
        <v>399</v>
      </c>
      <c r="E613" s="39"/>
    </row>
    <row r="614" ht="16.5" spans="1:5">
      <c r="A614" s="101">
        <v>3045651</v>
      </c>
      <c r="B614" s="102">
        <v>400574.9</v>
      </c>
      <c r="C614" s="102">
        <v>670.2</v>
      </c>
      <c r="D614" s="9" t="s">
        <v>400</v>
      </c>
      <c r="E614" s="39"/>
    </row>
    <row r="615" ht="16.5" spans="1:5">
      <c r="A615" s="101">
        <v>3045651</v>
      </c>
      <c r="B615" s="102">
        <v>400574.9</v>
      </c>
      <c r="C615" s="102">
        <v>670.2</v>
      </c>
      <c r="D615" s="9" t="s">
        <v>401</v>
      </c>
      <c r="E615" s="39"/>
    </row>
    <row r="616" ht="16.5" spans="1:5">
      <c r="A616" s="101">
        <v>3045651</v>
      </c>
      <c r="B616" s="102">
        <v>400574.9</v>
      </c>
      <c r="C616" s="102">
        <v>670.2</v>
      </c>
      <c r="D616" s="9" t="s">
        <v>402</v>
      </c>
      <c r="E616" s="39"/>
    </row>
    <row r="617" ht="16.5" spans="1:5">
      <c r="A617" s="101">
        <v>3045651</v>
      </c>
      <c r="B617" s="102">
        <v>400574.9</v>
      </c>
      <c r="C617" s="102">
        <v>670.2</v>
      </c>
      <c r="D617" s="9" t="s">
        <v>403</v>
      </c>
      <c r="E617" s="39"/>
    </row>
    <row r="618" ht="16.5" spans="1:5">
      <c r="A618" s="101">
        <v>3045651</v>
      </c>
      <c r="B618" s="102">
        <v>400574.9</v>
      </c>
      <c r="C618" s="102">
        <v>670.2</v>
      </c>
      <c r="D618" s="9" t="s">
        <v>404</v>
      </c>
      <c r="E618" s="39"/>
    </row>
    <row r="619" ht="16.5" spans="1:5">
      <c r="A619" s="101">
        <v>3045651</v>
      </c>
      <c r="B619" s="102">
        <v>400574.9</v>
      </c>
      <c r="C619" s="102">
        <v>670.2</v>
      </c>
      <c r="D619" s="9" t="s">
        <v>405</v>
      </c>
      <c r="E619" s="39"/>
    </row>
    <row r="620" ht="16.5" spans="1:5">
      <c r="A620" s="101">
        <v>3045651</v>
      </c>
      <c r="B620" s="102">
        <v>400574.9</v>
      </c>
      <c r="C620" s="102">
        <v>670.2</v>
      </c>
      <c r="D620" s="9" t="s">
        <v>406</v>
      </c>
      <c r="E620" s="39"/>
    </row>
    <row r="621" ht="16.5" spans="1:5">
      <c r="A621" s="101">
        <v>3045651</v>
      </c>
      <c r="B621" s="102">
        <v>400574.9</v>
      </c>
      <c r="C621" s="102">
        <v>670.2</v>
      </c>
      <c r="D621" s="9" t="s">
        <v>407</v>
      </c>
      <c r="E621" s="39"/>
    </row>
    <row r="622" ht="16.5" spans="1:5">
      <c r="A622" s="101">
        <v>3045651</v>
      </c>
      <c r="B622" s="102">
        <v>400574.9</v>
      </c>
      <c r="C622" s="102">
        <v>670.2</v>
      </c>
      <c r="D622" s="9" t="s">
        <v>408</v>
      </c>
      <c r="E622" s="39"/>
    </row>
    <row r="623" ht="16.5" spans="1:5">
      <c r="A623" s="101">
        <v>3045651</v>
      </c>
      <c r="B623" s="102">
        <v>400574.9</v>
      </c>
      <c r="C623" s="102">
        <v>670.2</v>
      </c>
      <c r="D623" s="9" t="s">
        <v>409</v>
      </c>
      <c r="E623" s="39"/>
    </row>
    <row r="624" ht="16.5" spans="1:5">
      <c r="A624" s="101">
        <v>3045651</v>
      </c>
      <c r="B624" s="102">
        <v>400574.9</v>
      </c>
      <c r="C624" s="102">
        <v>670.2</v>
      </c>
      <c r="D624" s="9" t="s">
        <v>410</v>
      </c>
      <c r="E624" s="39">
        <v>803.706</v>
      </c>
    </row>
    <row r="625" ht="16.5" spans="1:5">
      <c r="A625" s="101">
        <v>3045651</v>
      </c>
      <c r="B625" s="102">
        <v>400574.9</v>
      </c>
      <c r="C625" s="102">
        <v>670.2</v>
      </c>
      <c r="D625" s="9" t="s">
        <v>411</v>
      </c>
      <c r="E625" s="39"/>
    </row>
    <row r="626" ht="16.5" spans="1:5">
      <c r="A626" s="101">
        <v>3045651</v>
      </c>
      <c r="B626" s="102">
        <v>400574.9</v>
      </c>
      <c r="C626" s="102">
        <v>670.2</v>
      </c>
      <c r="D626" s="9" t="s">
        <v>412</v>
      </c>
      <c r="E626" s="39"/>
    </row>
    <row r="627" ht="16.5" spans="1:5">
      <c r="A627" s="101">
        <v>3045651</v>
      </c>
      <c r="B627" s="102">
        <v>400574.9</v>
      </c>
      <c r="C627" s="102">
        <v>670.2</v>
      </c>
      <c r="D627" s="9" t="s">
        <v>413</v>
      </c>
      <c r="E627" s="39">
        <v>802.206</v>
      </c>
    </row>
    <row r="628" ht="16.5" spans="1:5">
      <c r="A628" s="101">
        <v>3045651</v>
      </c>
      <c r="B628" s="102">
        <v>400574.9</v>
      </c>
      <c r="C628" s="102">
        <v>670.2</v>
      </c>
      <c r="D628" s="9" t="s">
        <v>414</v>
      </c>
      <c r="E628" s="39"/>
    </row>
    <row r="629" ht="16.5" spans="1:5">
      <c r="A629" s="101">
        <v>3045651</v>
      </c>
      <c r="B629" s="102">
        <v>400574.9</v>
      </c>
      <c r="C629" s="102">
        <v>670.2</v>
      </c>
      <c r="D629" s="9" t="s">
        <v>415</v>
      </c>
      <c r="E629" s="39"/>
    </row>
    <row r="630" ht="16.5" spans="1:5">
      <c r="A630" s="101">
        <v>3045651</v>
      </c>
      <c r="B630" s="102">
        <v>400574.9</v>
      </c>
      <c r="C630" s="102">
        <v>670.2</v>
      </c>
      <c r="D630" s="9" t="s">
        <v>416</v>
      </c>
      <c r="E630" s="39"/>
    </row>
    <row r="631" ht="16.5" spans="1:5">
      <c r="A631" s="101">
        <v>3045651</v>
      </c>
      <c r="B631" s="102">
        <v>400574.9</v>
      </c>
      <c r="C631" s="102">
        <v>670.2</v>
      </c>
      <c r="D631" s="9" t="s">
        <v>417</v>
      </c>
      <c r="E631" s="39"/>
    </row>
    <row r="632" ht="16.5" spans="1:5">
      <c r="A632" s="101">
        <v>3045651</v>
      </c>
      <c r="B632" s="102">
        <v>400574.9</v>
      </c>
      <c r="C632" s="102">
        <v>670.2</v>
      </c>
      <c r="D632" s="9" t="s">
        <v>418</v>
      </c>
      <c r="E632" s="39"/>
    </row>
    <row r="633" ht="16.5" spans="1:5">
      <c r="A633" s="101">
        <v>3045651</v>
      </c>
      <c r="B633" s="102">
        <v>400574.9</v>
      </c>
      <c r="C633" s="102">
        <v>670.2</v>
      </c>
      <c r="D633" s="9" t="s">
        <v>419</v>
      </c>
      <c r="E633" s="39"/>
    </row>
    <row r="634" ht="16.5" spans="1:5">
      <c r="A634" s="101">
        <v>3045651</v>
      </c>
      <c r="B634" s="102">
        <v>400574.9</v>
      </c>
      <c r="C634" s="102">
        <v>670.2</v>
      </c>
      <c r="D634" s="9" t="s">
        <v>420</v>
      </c>
      <c r="E634" s="39"/>
    </row>
    <row r="635" ht="16.5" spans="1:5">
      <c r="A635" s="101">
        <v>3045651</v>
      </c>
      <c r="B635" s="102">
        <v>400574.9</v>
      </c>
      <c r="C635" s="102">
        <v>670.2</v>
      </c>
      <c r="D635" s="9" t="s">
        <v>421</v>
      </c>
      <c r="E635" s="39"/>
    </row>
    <row r="636" ht="16.5" spans="1:5">
      <c r="A636" s="101">
        <v>3045651</v>
      </c>
      <c r="B636" s="102">
        <v>400574.9</v>
      </c>
      <c r="C636" s="102">
        <v>670.2</v>
      </c>
      <c r="D636" s="9" t="s">
        <v>422</v>
      </c>
      <c r="E636" s="39"/>
    </row>
    <row r="637" ht="16.5" spans="1:5">
      <c r="A637" s="101">
        <v>3045651</v>
      </c>
      <c r="B637" s="102">
        <v>400574.9</v>
      </c>
      <c r="C637" s="102">
        <v>670.2</v>
      </c>
      <c r="D637" s="9" t="s">
        <v>423</v>
      </c>
      <c r="E637" s="39"/>
    </row>
    <row r="638" ht="16.5" spans="1:5">
      <c r="A638" s="101">
        <v>3045651</v>
      </c>
      <c r="B638" s="102">
        <v>400574.9</v>
      </c>
      <c r="C638" s="102">
        <v>670.2</v>
      </c>
      <c r="D638" s="9" t="s">
        <v>424</v>
      </c>
      <c r="E638" s="39"/>
    </row>
    <row r="639" ht="16.5" spans="1:5">
      <c r="A639" s="101">
        <v>3045651</v>
      </c>
      <c r="B639" s="102">
        <v>400574.9</v>
      </c>
      <c r="C639" s="102">
        <v>670.2</v>
      </c>
      <c r="D639" s="9" t="s">
        <v>425</v>
      </c>
      <c r="E639" s="39"/>
    </row>
    <row r="640" ht="16.5" spans="1:5">
      <c r="A640" s="101">
        <v>3045651</v>
      </c>
      <c r="B640" s="102">
        <v>400574.9</v>
      </c>
      <c r="C640" s="102">
        <v>670.2</v>
      </c>
      <c r="D640" s="9" t="s">
        <v>426</v>
      </c>
      <c r="E640" s="39"/>
    </row>
    <row r="641" ht="16.5" spans="1:5">
      <c r="A641" s="101">
        <v>3045651</v>
      </c>
      <c r="B641" s="102">
        <v>400574.9</v>
      </c>
      <c r="C641" s="102">
        <v>670.2</v>
      </c>
      <c r="D641" s="9" t="s">
        <v>427</v>
      </c>
      <c r="E641" s="39"/>
    </row>
    <row r="642" ht="16.5" spans="1:5">
      <c r="A642" s="101">
        <v>3045651</v>
      </c>
      <c r="B642" s="102">
        <v>400574.9</v>
      </c>
      <c r="C642" s="102">
        <v>670.2</v>
      </c>
      <c r="D642" s="9" t="s">
        <v>428</v>
      </c>
      <c r="E642" s="39"/>
    </row>
    <row r="643" ht="16.5" spans="1:5">
      <c r="A643" s="101">
        <v>3045651</v>
      </c>
      <c r="B643" s="102">
        <v>400574.9</v>
      </c>
      <c r="C643" s="102">
        <v>670.2</v>
      </c>
      <c r="D643" s="9" t="s">
        <v>429</v>
      </c>
      <c r="E643" s="39"/>
    </row>
    <row r="644" ht="16.5" spans="1:5">
      <c r="A644" s="101">
        <v>3045651</v>
      </c>
      <c r="B644" s="102">
        <v>400574.9</v>
      </c>
      <c r="C644" s="102">
        <v>670.2</v>
      </c>
      <c r="D644" s="9" t="s">
        <v>430</v>
      </c>
      <c r="E644" s="39"/>
    </row>
    <row r="645" ht="16.5" spans="1:5">
      <c r="A645" s="101">
        <v>3045651</v>
      </c>
      <c r="B645" s="102">
        <v>400574.9</v>
      </c>
      <c r="C645" s="102">
        <v>670.2</v>
      </c>
      <c r="D645" s="9" t="s">
        <v>431</v>
      </c>
      <c r="E645" s="39">
        <v>805.006</v>
      </c>
    </row>
    <row r="646" ht="16.5" spans="1:5">
      <c r="A646" s="101">
        <v>3045651</v>
      </c>
      <c r="B646" s="102">
        <v>400574.9</v>
      </c>
      <c r="C646" s="102">
        <v>670.2</v>
      </c>
      <c r="D646" s="9" t="s">
        <v>432</v>
      </c>
      <c r="E646" s="39"/>
    </row>
    <row r="647" ht="16.5" spans="1:5">
      <c r="A647" s="101">
        <v>3045651</v>
      </c>
      <c r="B647" s="102">
        <v>400574.9</v>
      </c>
      <c r="C647" s="102">
        <v>670.2</v>
      </c>
      <c r="D647" s="9" t="s">
        <v>433</v>
      </c>
      <c r="E647" s="39"/>
    </row>
    <row r="648" ht="16.5" spans="1:5">
      <c r="A648" s="101">
        <v>3045651</v>
      </c>
      <c r="B648" s="102">
        <v>400574.9</v>
      </c>
      <c r="C648" s="102">
        <v>670.2</v>
      </c>
      <c r="D648" s="9" t="s">
        <v>434</v>
      </c>
      <c r="E648" s="39">
        <v>812.206</v>
      </c>
    </row>
    <row r="649" ht="16.5" spans="1:5">
      <c r="A649" s="101">
        <v>3045651</v>
      </c>
      <c r="B649" s="102">
        <v>400574.9</v>
      </c>
      <c r="C649" s="102">
        <v>670.2</v>
      </c>
      <c r="D649" s="9" t="s">
        <v>435</v>
      </c>
      <c r="E649" s="39"/>
    </row>
    <row r="650" ht="16.5" spans="1:5">
      <c r="A650" s="101">
        <v>3045651</v>
      </c>
      <c r="B650" s="102">
        <v>400574.9</v>
      </c>
      <c r="C650" s="102">
        <v>670.2</v>
      </c>
      <c r="D650" s="9" t="s">
        <v>436</v>
      </c>
      <c r="E650" s="39"/>
    </row>
    <row r="651" ht="16.5" spans="1:5">
      <c r="A651" s="101">
        <v>3045651</v>
      </c>
      <c r="B651" s="102">
        <v>400574.9</v>
      </c>
      <c r="C651" s="102">
        <v>670.2</v>
      </c>
      <c r="D651" s="9" t="s">
        <v>437</v>
      </c>
      <c r="E651" s="39"/>
    </row>
    <row r="652" ht="16.5" spans="1:5">
      <c r="A652" s="101">
        <v>3045651</v>
      </c>
      <c r="B652" s="102">
        <v>400574.9</v>
      </c>
      <c r="C652" s="102">
        <v>670.2</v>
      </c>
      <c r="D652" s="9" t="s">
        <v>438</v>
      </c>
      <c r="E652" s="39">
        <v>805.206</v>
      </c>
    </row>
    <row r="653" ht="16.5" spans="1:5">
      <c r="A653" s="101">
        <v>3045651</v>
      </c>
      <c r="B653" s="102">
        <v>400574.9</v>
      </c>
      <c r="C653" s="102">
        <v>670.2</v>
      </c>
      <c r="D653" s="9" t="s">
        <v>439</v>
      </c>
      <c r="E653" s="39"/>
    </row>
    <row r="654" ht="16.5" spans="1:5">
      <c r="A654" s="101">
        <v>3045651</v>
      </c>
      <c r="B654" s="102">
        <v>400574.9</v>
      </c>
      <c r="C654" s="102">
        <v>670.2</v>
      </c>
      <c r="D654" s="9" t="s">
        <v>440</v>
      </c>
      <c r="E654" s="39">
        <v>802.706</v>
      </c>
    </row>
    <row r="655" ht="16.5" spans="1:5">
      <c r="A655" s="101">
        <v>3045651</v>
      </c>
      <c r="B655" s="102">
        <v>400574.9</v>
      </c>
      <c r="C655" s="102">
        <v>670.2</v>
      </c>
      <c r="D655" s="9" t="s">
        <v>441</v>
      </c>
      <c r="E655" s="39"/>
    </row>
    <row r="656" ht="16.5" spans="1:5">
      <c r="A656" s="101">
        <v>3045651</v>
      </c>
      <c r="B656" s="102">
        <v>400574.9</v>
      </c>
      <c r="C656" s="102">
        <v>670.2</v>
      </c>
      <c r="D656" s="9" t="s">
        <v>442</v>
      </c>
      <c r="E656" s="39"/>
    </row>
    <row r="657" ht="16.5" spans="1:5">
      <c r="A657" s="101">
        <v>3045651</v>
      </c>
      <c r="B657" s="102">
        <v>400574.9</v>
      </c>
      <c r="C657" s="102">
        <v>670.2</v>
      </c>
      <c r="D657" s="9" t="s">
        <v>443</v>
      </c>
      <c r="E657" s="39"/>
    </row>
    <row r="658" ht="16.5" spans="1:5">
      <c r="A658" s="101">
        <v>3045651</v>
      </c>
      <c r="B658" s="102">
        <v>400574.9</v>
      </c>
      <c r="C658" s="102">
        <v>670.2</v>
      </c>
      <c r="D658" s="9" t="s">
        <v>444</v>
      </c>
      <c r="E658" s="39"/>
    </row>
    <row r="659" ht="16.5" spans="1:5">
      <c r="A659" s="101">
        <v>3045651</v>
      </c>
      <c r="B659" s="102">
        <v>400574.9</v>
      </c>
      <c r="C659" s="102">
        <v>670.2</v>
      </c>
      <c r="D659" s="9" t="s">
        <v>445</v>
      </c>
      <c r="E659" s="39"/>
    </row>
    <row r="660" ht="16.5" spans="1:5">
      <c r="A660" s="101">
        <v>3045651</v>
      </c>
      <c r="B660" s="102">
        <v>400574.9</v>
      </c>
      <c r="C660" s="102">
        <v>670.2</v>
      </c>
      <c r="D660" s="9" t="s">
        <v>446</v>
      </c>
      <c r="E660" s="39"/>
    </row>
    <row r="661" ht="16.5" spans="1:5">
      <c r="A661" s="101">
        <v>3045651</v>
      </c>
      <c r="B661" s="102">
        <v>400574.9</v>
      </c>
      <c r="C661" s="102">
        <v>670.2</v>
      </c>
      <c r="D661" s="9" t="s">
        <v>447</v>
      </c>
      <c r="E661" s="39"/>
    </row>
    <row r="662" ht="16.5" spans="1:5">
      <c r="A662" s="101">
        <v>3045651</v>
      </c>
      <c r="B662" s="102">
        <v>400574.9</v>
      </c>
      <c r="C662" s="102">
        <v>670.2</v>
      </c>
      <c r="D662" s="9" t="s">
        <v>448</v>
      </c>
      <c r="E662" s="39">
        <v>801.206</v>
      </c>
    </row>
    <row r="663" ht="16.5" spans="1:5">
      <c r="A663" s="101">
        <v>3045651</v>
      </c>
      <c r="B663" s="102">
        <v>400574.9</v>
      </c>
      <c r="C663" s="102">
        <v>670.2</v>
      </c>
      <c r="D663" s="9" t="s">
        <v>449</v>
      </c>
      <c r="E663" s="39"/>
    </row>
    <row r="664" ht="16.5" spans="1:5">
      <c r="A664" s="101">
        <v>3045651</v>
      </c>
      <c r="B664" s="102">
        <v>400574.9</v>
      </c>
      <c r="C664" s="102">
        <v>670.2</v>
      </c>
      <c r="D664" s="9" t="s">
        <v>450</v>
      </c>
      <c r="E664" s="39"/>
    </row>
    <row r="665" ht="16.5" spans="1:5">
      <c r="A665" s="101">
        <v>3045651</v>
      </c>
      <c r="B665" s="102">
        <v>400574.9</v>
      </c>
      <c r="C665" s="102">
        <v>670.2</v>
      </c>
      <c r="D665" s="9" t="s">
        <v>451</v>
      </c>
      <c r="E665" s="39"/>
    </row>
    <row r="666" ht="16.5" spans="1:5">
      <c r="A666" s="101">
        <v>3045651</v>
      </c>
      <c r="B666" s="102">
        <v>400574.9</v>
      </c>
      <c r="C666" s="102">
        <v>670.2</v>
      </c>
      <c r="D666" s="9" t="s">
        <v>452</v>
      </c>
      <c r="E666" s="39">
        <v>810.206</v>
      </c>
    </row>
    <row r="667" ht="16.5" spans="1:5">
      <c r="A667" s="101">
        <v>3045651</v>
      </c>
      <c r="B667" s="102">
        <v>400574.9</v>
      </c>
      <c r="C667" s="102">
        <v>670.2</v>
      </c>
      <c r="D667" s="9" t="s">
        <v>453</v>
      </c>
      <c r="E667" s="39"/>
    </row>
    <row r="668" ht="16.5" spans="1:5">
      <c r="A668" s="101">
        <v>3045651</v>
      </c>
      <c r="B668" s="102">
        <v>400574.9</v>
      </c>
      <c r="C668" s="102">
        <v>670.2</v>
      </c>
      <c r="D668" s="9" t="s">
        <v>454</v>
      </c>
      <c r="E668" s="39">
        <v>809.706</v>
      </c>
    </row>
    <row r="669" ht="16.5" spans="1:5">
      <c r="A669" s="101">
        <v>3045651</v>
      </c>
      <c r="B669" s="102">
        <v>400574.9</v>
      </c>
      <c r="C669" s="102">
        <v>670.2</v>
      </c>
      <c r="D669" s="9" t="s">
        <v>455</v>
      </c>
      <c r="E669" s="39"/>
    </row>
    <row r="670" ht="16.5" spans="1:5">
      <c r="A670" s="101">
        <v>3045651</v>
      </c>
      <c r="B670" s="102">
        <v>400574.9</v>
      </c>
      <c r="C670" s="102">
        <v>670.2</v>
      </c>
      <c r="D670" s="9" t="s">
        <v>456</v>
      </c>
      <c r="E670" s="39"/>
    </row>
    <row r="671" ht="16.5" spans="1:5">
      <c r="A671" s="101">
        <v>3045651</v>
      </c>
      <c r="B671" s="102">
        <v>400574.9</v>
      </c>
      <c r="C671" s="102">
        <v>670.2</v>
      </c>
      <c r="D671" s="9" t="s">
        <v>457</v>
      </c>
      <c r="E671" s="39"/>
    </row>
    <row r="672" ht="16.5" spans="1:5">
      <c r="A672" s="101">
        <v>3045651</v>
      </c>
      <c r="B672" s="102">
        <v>400574.9</v>
      </c>
      <c r="C672" s="102">
        <v>670.2</v>
      </c>
      <c r="D672" s="9" t="s">
        <v>458</v>
      </c>
      <c r="E672" s="39"/>
    </row>
    <row r="673" ht="16.5" spans="1:5">
      <c r="A673" s="101">
        <v>3045651</v>
      </c>
      <c r="B673" s="102">
        <v>400574.9</v>
      </c>
      <c r="C673" s="102">
        <v>670.2</v>
      </c>
      <c r="D673" s="9" t="s">
        <v>459</v>
      </c>
      <c r="E673" s="39"/>
    </row>
    <row r="674" ht="16.5" spans="1:5">
      <c r="A674" s="101">
        <v>3045651</v>
      </c>
      <c r="B674" s="102">
        <v>400574.9</v>
      </c>
      <c r="C674" s="102">
        <v>670.2</v>
      </c>
      <c r="D674" s="9" t="s">
        <v>460</v>
      </c>
      <c r="E674" s="39"/>
    </row>
    <row r="675" ht="16.5" spans="1:5">
      <c r="A675" s="101">
        <v>3045651</v>
      </c>
      <c r="B675" s="102">
        <v>400574.9</v>
      </c>
      <c r="C675" s="102">
        <v>670.2</v>
      </c>
      <c r="D675" s="9" t="s">
        <v>461</v>
      </c>
      <c r="E675" s="39"/>
    </row>
    <row r="676" ht="16.5" spans="1:5">
      <c r="A676" s="101">
        <v>3045651</v>
      </c>
      <c r="B676" s="102">
        <v>400574.9</v>
      </c>
      <c r="C676" s="102">
        <v>670.2</v>
      </c>
      <c r="D676" s="9" t="s">
        <v>462</v>
      </c>
      <c r="E676" s="39">
        <v>796.806</v>
      </c>
    </row>
    <row r="677" ht="16.5" spans="1:5">
      <c r="A677" s="101">
        <v>3045651</v>
      </c>
      <c r="B677" s="102">
        <v>400574.9</v>
      </c>
      <c r="C677" s="102">
        <v>670.2</v>
      </c>
      <c r="D677" s="9" t="s">
        <v>463</v>
      </c>
      <c r="E677" s="39">
        <v>796.596</v>
      </c>
    </row>
    <row r="678" ht="16.5" spans="1:5">
      <c r="A678" s="101">
        <v>3045651</v>
      </c>
      <c r="B678" s="102">
        <v>400574.9</v>
      </c>
      <c r="C678" s="102">
        <v>670.2</v>
      </c>
      <c r="D678" s="9" t="s">
        <v>464</v>
      </c>
      <c r="E678" s="39">
        <v>801.736</v>
      </c>
    </row>
    <row r="679" ht="16.5" spans="1:5">
      <c r="A679" s="101">
        <v>3045651</v>
      </c>
      <c r="B679" s="102">
        <v>400574.9</v>
      </c>
      <c r="C679" s="102">
        <v>670.2</v>
      </c>
      <c r="D679" s="9" t="s">
        <v>465</v>
      </c>
      <c r="E679" s="39">
        <v>802.286</v>
      </c>
    </row>
    <row r="680" ht="16.5" spans="1:5">
      <c r="A680" s="101">
        <v>3045651</v>
      </c>
      <c r="B680" s="102">
        <v>400574.9</v>
      </c>
      <c r="C680" s="102">
        <v>670.2</v>
      </c>
      <c r="D680" s="9" t="s">
        <v>466</v>
      </c>
      <c r="E680" s="39">
        <v>799.886</v>
      </c>
    </row>
    <row r="681" ht="16.5" spans="1:5">
      <c r="A681" s="101">
        <v>3045651</v>
      </c>
      <c r="B681" s="102">
        <v>400574.9</v>
      </c>
      <c r="C681" s="102">
        <v>670.2</v>
      </c>
      <c r="D681" s="9" t="s">
        <v>467</v>
      </c>
      <c r="E681" s="39">
        <v>798.376</v>
      </c>
    </row>
    <row r="682" ht="16.5" spans="1:5">
      <c r="A682" s="101">
        <v>3045651</v>
      </c>
      <c r="B682" s="102">
        <v>400574.9</v>
      </c>
      <c r="C682" s="102">
        <v>670.2</v>
      </c>
      <c r="D682" s="9" t="s">
        <v>468</v>
      </c>
      <c r="E682" s="39">
        <v>796.836</v>
      </c>
    </row>
    <row r="683" ht="16.5" spans="1:5">
      <c r="A683" s="101">
        <v>3045651</v>
      </c>
      <c r="B683" s="102">
        <v>400574.9</v>
      </c>
      <c r="C683" s="102">
        <v>670.2</v>
      </c>
      <c r="D683" s="9" t="s">
        <v>469</v>
      </c>
      <c r="E683" s="39">
        <v>797.246</v>
      </c>
    </row>
    <row r="684" ht="16.5" spans="1:5">
      <c r="A684" s="101">
        <v>3045651</v>
      </c>
      <c r="B684" s="102">
        <v>400574.9</v>
      </c>
      <c r="C684" s="102">
        <v>670.2</v>
      </c>
      <c r="D684" s="9" t="s">
        <v>470</v>
      </c>
      <c r="E684" s="39"/>
    </row>
    <row r="685" ht="16.5" spans="1:5">
      <c r="A685" s="101">
        <v>3045651</v>
      </c>
      <c r="B685" s="102">
        <v>400574.9</v>
      </c>
      <c r="C685" s="102">
        <v>670.2</v>
      </c>
      <c r="D685" s="9" t="s">
        <v>471</v>
      </c>
      <c r="E685" s="39"/>
    </row>
    <row r="686" ht="16.5" spans="1:5">
      <c r="A686" s="101">
        <v>3045651</v>
      </c>
      <c r="B686" s="102">
        <v>400574.9</v>
      </c>
      <c r="C686" s="102">
        <v>670.2</v>
      </c>
      <c r="D686" s="9" t="s">
        <v>472</v>
      </c>
      <c r="E686" s="39"/>
    </row>
    <row r="687" ht="16.5" spans="1:5">
      <c r="A687" s="101">
        <v>3045651</v>
      </c>
      <c r="B687" s="102">
        <v>400574.9</v>
      </c>
      <c r="C687" s="102">
        <v>670.2</v>
      </c>
      <c r="D687" s="9" t="s">
        <v>473</v>
      </c>
      <c r="E687" s="39"/>
    </row>
    <row r="688" ht="16.5" spans="1:5">
      <c r="A688" s="101">
        <v>3045651</v>
      </c>
      <c r="B688" s="102">
        <v>400574.9</v>
      </c>
      <c r="C688" s="102">
        <v>670.2</v>
      </c>
      <c r="D688" s="9" t="s">
        <v>474</v>
      </c>
      <c r="E688" s="39">
        <v>797.206</v>
      </c>
    </row>
    <row r="689" ht="16.5" spans="1:5">
      <c r="A689" s="101">
        <v>3045651</v>
      </c>
      <c r="B689" s="102">
        <v>400574.9</v>
      </c>
      <c r="C689" s="102">
        <v>670.2</v>
      </c>
      <c r="D689" s="9" t="s">
        <v>475</v>
      </c>
      <c r="E689" s="39"/>
    </row>
    <row r="690" ht="16.5" spans="1:5">
      <c r="A690" s="101">
        <v>3045651</v>
      </c>
      <c r="B690" s="102">
        <v>400574.9</v>
      </c>
      <c r="C690" s="102">
        <v>670.2</v>
      </c>
      <c r="D690" s="9" t="s">
        <v>476</v>
      </c>
      <c r="E690" s="39">
        <v>803.206</v>
      </c>
    </row>
    <row r="691" ht="16.5" spans="1:5">
      <c r="A691" s="101">
        <v>3045651</v>
      </c>
      <c r="B691" s="102">
        <v>400574.9</v>
      </c>
      <c r="C691" s="102">
        <v>670.2</v>
      </c>
      <c r="D691" s="9" t="s">
        <v>477</v>
      </c>
      <c r="E691" s="39"/>
    </row>
    <row r="692" ht="16.5" spans="1:5">
      <c r="A692" s="101">
        <v>3045651</v>
      </c>
      <c r="B692" s="102">
        <v>400574.9</v>
      </c>
      <c r="C692" s="102">
        <v>670.2</v>
      </c>
      <c r="D692" s="9" t="s">
        <v>478</v>
      </c>
      <c r="E692" s="39"/>
    </row>
    <row r="693" ht="16.5" spans="1:5">
      <c r="A693" s="101">
        <v>3045651</v>
      </c>
      <c r="B693" s="102">
        <v>400574.9</v>
      </c>
      <c r="C693" s="102">
        <v>670.2</v>
      </c>
      <c r="D693" s="9" t="s">
        <v>479</v>
      </c>
      <c r="E693" s="39"/>
    </row>
    <row r="694" ht="16.5" spans="1:5">
      <c r="A694" s="101">
        <v>3045651</v>
      </c>
      <c r="B694" s="102">
        <v>400574.9</v>
      </c>
      <c r="C694" s="102">
        <v>670.2</v>
      </c>
      <c r="D694" s="9" t="s">
        <v>480</v>
      </c>
      <c r="E694" s="39"/>
    </row>
    <row r="695" ht="16.5" spans="1:5">
      <c r="A695" s="101">
        <v>3045651</v>
      </c>
      <c r="B695" s="102">
        <v>400574.9</v>
      </c>
      <c r="C695" s="102">
        <v>670.2</v>
      </c>
      <c r="D695" s="9" t="s">
        <v>481</v>
      </c>
      <c r="E695" s="39">
        <v>800.206</v>
      </c>
    </row>
    <row r="696" ht="16.5" spans="1:5">
      <c r="A696" s="101">
        <v>3045651</v>
      </c>
      <c r="B696" s="102">
        <v>400574.9</v>
      </c>
      <c r="C696" s="102">
        <v>670.2</v>
      </c>
      <c r="D696" s="9" t="s">
        <v>482</v>
      </c>
      <c r="E696" s="39"/>
    </row>
    <row r="697" ht="16.5" spans="1:5">
      <c r="A697" s="101">
        <v>3045651</v>
      </c>
      <c r="B697" s="102">
        <v>400574.9</v>
      </c>
      <c r="C697" s="102">
        <v>670.2</v>
      </c>
      <c r="D697" s="9" t="s">
        <v>483</v>
      </c>
      <c r="E697" s="39"/>
    </row>
    <row r="698" ht="16.5" spans="1:5">
      <c r="A698" s="101">
        <v>3045651</v>
      </c>
      <c r="B698" s="102">
        <v>400574.9</v>
      </c>
      <c r="C698" s="102">
        <v>670.2</v>
      </c>
      <c r="D698" s="9" t="s">
        <v>484</v>
      </c>
      <c r="E698" s="39"/>
    </row>
    <row r="699" ht="16.5" spans="1:5">
      <c r="A699" s="101">
        <v>3045651</v>
      </c>
      <c r="B699" s="102">
        <v>400574.9</v>
      </c>
      <c r="C699" s="102">
        <v>670.2</v>
      </c>
      <c r="D699" s="9" t="s">
        <v>485</v>
      </c>
      <c r="E699" s="39"/>
    </row>
    <row r="700" ht="16.5" spans="1:5">
      <c r="A700" s="101">
        <v>3045651</v>
      </c>
      <c r="B700" s="102">
        <v>400574.9</v>
      </c>
      <c r="C700" s="102">
        <v>670.2</v>
      </c>
      <c r="D700" s="9" t="s">
        <v>486</v>
      </c>
      <c r="E700" s="39"/>
    </row>
    <row r="701" ht="16.5" spans="1:5">
      <c r="A701" s="101">
        <v>3045651</v>
      </c>
      <c r="B701" s="102">
        <v>400574.9</v>
      </c>
      <c r="C701" s="102">
        <v>670.2</v>
      </c>
      <c r="D701" s="9" t="s">
        <v>487</v>
      </c>
      <c r="E701" s="39"/>
    </row>
    <row r="702" ht="16.5" spans="1:5">
      <c r="A702" s="101">
        <v>3045651</v>
      </c>
      <c r="B702" s="102">
        <v>400574.9</v>
      </c>
      <c r="C702" s="102">
        <v>670.2</v>
      </c>
      <c r="D702" s="9" t="s">
        <v>488</v>
      </c>
      <c r="E702" s="39"/>
    </row>
    <row r="703" ht="16.5" spans="1:5">
      <c r="A703" s="101">
        <v>3045651</v>
      </c>
      <c r="B703" s="102">
        <v>400574.9</v>
      </c>
      <c r="C703" s="102">
        <v>670.2</v>
      </c>
      <c r="D703" s="9" t="s">
        <v>489</v>
      </c>
      <c r="E703" s="39"/>
    </row>
    <row r="704" ht="16.5" spans="1:5">
      <c r="A704" s="101">
        <v>3045651</v>
      </c>
      <c r="B704" s="102">
        <v>400574.9</v>
      </c>
      <c r="C704" s="102">
        <v>670.2</v>
      </c>
      <c r="D704" s="9" t="s">
        <v>490</v>
      </c>
      <c r="E704" s="39"/>
    </row>
    <row r="705" ht="16.5" spans="1:5">
      <c r="A705" s="101">
        <v>3045651</v>
      </c>
      <c r="B705" s="102">
        <v>400574.9</v>
      </c>
      <c r="C705" s="102">
        <v>670.2</v>
      </c>
      <c r="D705" s="9" t="s">
        <v>491</v>
      </c>
      <c r="E705" s="39"/>
    </row>
    <row r="706" ht="16.5" spans="1:5">
      <c r="A706" s="101">
        <v>3045651</v>
      </c>
      <c r="B706" s="102">
        <v>400574.9</v>
      </c>
      <c r="C706" s="102">
        <v>670.2</v>
      </c>
      <c r="D706" s="11">
        <v>44682</v>
      </c>
      <c r="E706" s="39">
        <v>796.086</v>
      </c>
    </row>
    <row r="707" ht="16.5" spans="1:5">
      <c r="A707" s="101">
        <v>3045651</v>
      </c>
      <c r="B707" s="102">
        <v>400574.9</v>
      </c>
      <c r="C707" s="102">
        <v>670.2</v>
      </c>
      <c r="D707" s="11">
        <v>44683</v>
      </c>
      <c r="E707" s="39">
        <v>798.116</v>
      </c>
    </row>
    <row r="708" ht="16.5" spans="1:5">
      <c r="A708" s="101">
        <v>3045651</v>
      </c>
      <c r="B708" s="102">
        <v>400574.9</v>
      </c>
      <c r="C708" s="102">
        <v>670.2</v>
      </c>
      <c r="D708" s="11">
        <v>44684</v>
      </c>
      <c r="E708" s="39">
        <v>799.726</v>
      </c>
    </row>
    <row r="709" ht="16.5" spans="1:5">
      <c r="A709" s="101">
        <v>3045651</v>
      </c>
      <c r="B709" s="102">
        <v>400574.9</v>
      </c>
      <c r="C709" s="102">
        <v>670.2</v>
      </c>
      <c r="D709" s="11">
        <v>44685</v>
      </c>
      <c r="E709" s="39">
        <v>800.866</v>
      </c>
    </row>
    <row r="710" ht="16.5" spans="1:5">
      <c r="A710" s="101">
        <v>3045651</v>
      </c>
      <c r="B710" s="102">
        <v>400574.9</v>
      </c>
      <c r="C710" s="102">
        <v>670.2</v>
      </c>
      <c r="D710" s="11">
        <v>44686</v>
      </c>
      <c r="E710" s="39">
        <v>803.456</v>
      </c>
    </row>
    <row r="711" ht="16.5" spans="1:5">
      <c r="A711" s="101">
        <v>3045651</v>
      </c>
      <c r="B711" s="102">
        <v>400574.9</v>
      </c>
      <c r="C711" s="102">
        <v>670.2</v>
      </c>
      <c r="D711" s="11">
        <v>44687</v>
      </c>
      <c r="E711" s="39">
        <v>804.356</v>
      </c>
    </row>
    <row r="712" ht="16.5" spans="1:5">
      <c r="A712" s="101">
        <v>3045651</v>
      </c>
      <c r="B712" s="102">
        <v>400574.9</v>
      </c>
      <c r="C712" s="102">
        <v>670.2</v>
      </c>
      <c r="D712" s="11">
        <v>44688</v>
      </c>
      <c r="E712" s="39">
        <v>804.026</v>
      </c>
    </row>
    <row r="713" ht="16.5" spans="1:5">
      <c r="A713" s="101">
        <v>3045651</v>
      </c>
      <c r="B713" s="102">
        <v>400574.9</v>
      </c>
      <c r="C713" s="102">
        <v>670.2</v>
      </c>
      <c r="D713" s="11">
        <v>44689</v>
      </c>
      <c r="E713" s="39">
        <v>804.336</v>
      </c>
    </row>
    <row r="714" ht="16.5" spans="1:5">
      <c r="A714" s="101">
        <v>3045651</v>
      </c>
      <c r="B714" s="102">
        <v>400574.9</v>
      </c>
      <c r="C714" s="102">
        <v>670.2</v>
      </c>
      <c r="D714" s="11">
        <v>44690</v>
      </c>
      <c r="E714" s="39">
        <v>803.896</v>
      </c>
    </row>
    <row r="715" ht="16.5" spans="1:5">
      <c r="A715" s="101">
        <v>3045651</v>
      </c>
      <c r="B715" s="102">
        <v>400574.9</v>
      </c>
      <c r="C715" s="102">
        <v>670.2</v>
      </c>
      <c r="D715" s="11">
        <v>44691</v>
      </c>
      <c r="E715" s="39">
        <v>804.676</v>
      </c>
    </row>
    <row r="716" ht="16.5" spans="1:5">
      <c r="A716" s="101">
        <v>3045651</v>
      </c>
      <c r="B716" s="102">
        <v>400574.9</v>
      </c>
      <c r="C716" s="102">
        <v>670.2</v>
      </c>
      <c r="D716" s="11">
        <v>44692</v>
      </c>
      <c r="E716" s="39">
        <v>804.226</v>
      </c>
    </row>
    <row r="717" ht="16.5" spans="1:5">
      <c r="A717" s="101">
        <v>3045651</v>
      </c>
      <c r="B717" s="102">
        <v>400574.9</v>
      </c>
      <c r="C717" s="102">
        <v>670.2</v>
      </c>
      <c r="D717" s="11">
        <v>44693</v>
      </c>
      <c r="E717" s="39">
        <v>805.156</v>
      </c>
    </row>
    <row r="718" ht="16.5" spans="1:5">
      <c r="A718" s="101">
        <v>3045651</v>
      </c>
      <c r="B718" s="102">
        <v>400574.9</v>
      </c>
      <c r="C718" s="102">
        <v>670.2</v>
      </c>
      <c r="D718" s="11">
        <v>44694</v>
      </c>
      <c r="E718" s="39">
        <v>806.696</v>
      </c>
    </row>
    <row r="719" ht="16.5" spans="1:5">
      <c r="A719" s="101">
        <v>3045651</v>
      </c>
      <c r="B719" s="102">
        <v>400574.9</v>
      </c>
      <c r="C719" s="102">
        <v>670.2</v>
      </c>
      <c r="D719" s="11">
        <v>44695</v>
      </c>
      <c r="E719" s="39">
        <v>808.036</v>
      </c>
    </row>
    <row r="720" ht="16.5" spans="1:5">
      <c r="A720" s="101">
        <v>3045651</v>
      </c>
      <c r="B720" s="102">
        <v>400574.9</v>
      </c>
      <c r="C720" s="102">
        <v>670.2</v>
      </c>
      <c r="D720" s="11">
        <v>44696</v>
      </c>
      <c r="E720" s="39">
        <v>810.826</v>
      </c>
    </row>
    <row r="721" ht="16.5" spans="1:5">
      <c r="A721" s="101">
        <v>3045651</v>
      </c>
      <c r="B721" s="102">
        <v>400574.9</v>
      </c>
      <c r="C721" s="102">
        <v>670.2</v>
      </c>
      <c r="D721" s="11">
        <v>44697</v>
      </c>
      <c r="E721" s="39">
        <v>810.596</v>
      </c>
    </row>
    <row r="722" ht="16.5" spans="1:5">
      <c r="A722" s="101">
        <v>3045651</v>
      </c>
      <c r="B722" s="102">
        <v>400574.9</v>
      </c>
      <c r="C722" s="102">
        <v>670.2</v>
      </c>
      <c r="D722" s="11">
        <v>44698</v>
      </c>
      <c r="E722" s="39">
        <v>810.906</v>
      </c>
    </row>
    <row r="723" ht="16.5" spans="1:5">
      <c r="A723" s="101">
        <v>3045651</v>
      </c>
      <c r="B723" s="102">
        <v>400574.9</v>
      </c>
      <c r="C723" s="102">
        <v>670.2</v>
      </c>
      <c r="D723" s="11">
        <v>44699</v>
      </c>
      <c r="E723" s="39">
        <v>810.096</v>
      </c>
    </row>
    <row r="724" ht="16.5" spans="1:5">
      <c r="A724" s="101">
        <v>3045651</v>
      </c>
      <c r="B724" s="102">
        <v>400574.9</v>
      </c>
      <c r="C724" s="102">
        <v>670.2</v>
      </c>
      <c r="D724" s="11">
        <v>44700</v>
      </c>
      <c r="E724" s="39">
        <v>807.416</v>
      </c>
    </row>
    <row r="725" ht="16.5" spans="1:5">
      <c r="A725" s="101">
        <v>3045651</v>
      </c>
      <c r="B725" s="102">
        <v>400574.9</v>
      </c>
      <c r="C725" s="102">
        <v>670.2</v>
      </c>
      <c r="D725" s="11">
        <v>44701</v>
      </c>
      <c r="E725" s="39">
        <v>806.986</v>
      </c>
    </row>
    <row r="726" ht="16.5" spans="1:5">
      <c r="A726" s="101">
        <v>3045651</v>
      </c>
      <c r="B726" s="102">
        <v>400574.9</v>
      </c>
      <c r="C726" s="102">
        <v>670.2</v>
      </c>
      <c r="D726" s="11">
        <v>44702</v>
      </c>
      <c r="E726" s="39">
        <v>807.866</v>
      </c>
    </row>
    <row r="727" ht="16.5" spans="1:5">
      <c r="A727" s="101">
        <v>3045651</v>
      </c>
      <c r="B727" s="102">
        <v>400574.9</v>
      </c>
      <c r="C727" s="102">
        <v>670.2</v>
      </c>
      <c r="D727" s="11">
        <v>44703</v>
      </c>
      <c r="E727" s="39">
        <v>808.386</v>
      </c>
    </row>
    <row r="728" ht="16.5" spans="1:5">
      <c r="A728" s="101">
        <v>3045651</v>
      </c>
      <c r="B728" s="102">
        <v>400574.9</v>
      </c>
      <c r="C728" s="102">
        <v>670.2</v>
      </c>
      <c r="D728" s="11">
        <v>44704</v>
      </c>
      <c r="E728" s="39">
        <v>808.106</v>
      </c>
    </row>
    <row r="729" ht="16.5" spans="1:5">
      <c r="A729" s="101">
        <v>3045651</v>
      </c>
      <c r="B729" s="102">
        <v>400574.9</v>
      </c>
      <c r="C729" s="102">
        <v>670.2</v>
      </c>
      <c r="D729" s="11">
        <v>44705</v>
      </c>
      <c r="E729" s="39">
        <v>809.286</v>
      </c>
    </row>
    <row r="730" ht="16.5" spans="1:5">
      <c r="A730" s="101">
        <v>3045651</v>
      </c>
      <c r="B730" s="102">
        <v>400574.9</v>
      </c>
      <c r="C730" s="102">
        <v>670.2</v>
      </c>
      <c r="D730" s="11">
        <v>44706</v>
      </c>
      <c r="E730" s="39">
        <v>808.076</v>
      </c>
    </row>
    <row r="731" ht="16.5" spans="1:5">
      <c r="A731" s="101">
        <v>3045651</v>
      </c>
      <c r="B731" s="102">
        <v>400574.9</v>
      </c>
      <c r="C731" s="102">
        <v>670.2</v>
      </c>
      <c r="D731" s="11">
        <v>44707</v>
      </c>
      <c r="E731" s="39">
        <v>809.456</v>
      </c>
    </row>
    <row r="732" ht="16.5" spans="1:5">
      <c r="A732" s="101">
        <v>3045651</v>
      </c>
      <c r="B732" s="102">
        <v>400574.9</v>
      </c>
      <c r="C732" s="102">
        <v>670.2</v>
      </c>
      <c r="D732" s="11">
        <v>44708</v>
      </c>
      <c r="E732" s="39">
        <v>809.486</v>
      </c>
    </row>
    <row r="733" ht="16.5" spans="1:5">
      <c r="A733" s="101">
        <v>3045651</v>
      </c>
      <c r="B733" s="102">
        <v>400574.9</v>
      </c>
      <c r="C733" s="102">
        <v>670.2</v>
      </c>
      <c r="D733" s="11">
        <v>44709</v>
      </c>
      <c r="E733" s="39">
        <v>810.176</v>
      </c>
    </row>
    <row r="734" ht="16.5" spans="1:5">
      <c r="A734" s="101">
        <v>3045651</v>
      </c>
      <c r="B734" s="102">
        <v>400574.9</v>
      </c>
      <c r="C734" s="102">
        <v>670.2</v>
      </c>
      <c r="D734" s="11">
        <v>44710</v>
      </c>
      <c r="E734" s="39">
        <v>818.186</v>
      </c>
    </row>
    <row r="735" ht="16.5" spans="1:5">
      <c r="A735" s="101">
        <v>3045651</v>
      </c>
      <c r="B735" s="102">
        <v>400574.9</v>
      </c>
      <c r="C735" s="102">
        <v>670.2</v>
      </c>
      <c r="D735" s="11">
        <v>44711</v>
      </c>
      <c r="E735" s="39">
        <v>820.376</v>
      </c>
    </row>
    <row r="736" ht="16.5" spans="1:5">
      <c r="A736" s="101">
        <v>3045651</v>
      </c>
      <c r="B736" s="102">
        <v>400574.9</v>
      </c>
      <c r="C736" s="102">
        <v>670.2</v>
      </c>
      <c r="D736" s="11">
        <v>44712</v>
      </c>
      <c r="E736" s="39">
        <v>819.236</v>
      </c>
    </row>
    <row r="737" ht="16.5" spans="1:5">
      <c r="A737" s="101">
        <v>3045651</v>
      </c>
      <c r="B737" s="102">
        <v>400574.9</v>
      </c>
      <c r="C737" s="102">
        <v>670.2</v>
      </c>
      <c r="D737" s="11">
        <v>44713</v>
      </c>
      <c r="E737" s="39">
        <v>820.656</v>
      </c>
    </row>
    <row r="738" ht="16.5" spans="1:5">
      <c r="A738" s="101">
        <v>3045651</v>
      </c>
      <c r="B738" s="102">
        <v>400574.9</v>
      </c>
      <c r="C738" s="102">
        <v>670.2</v>
      </c>
      <c r="D738" s="11">
        <v>44714</v>
      </c>
      <c r="E738" s="39">
        <v>817.636</v>
      </c>
    </row>
    <row r="739" ht="16.5" spans="1:5">
      <c r="A739" s="101">
        <v>3045651</v>
      </c>
      <c r="B739" s="102">
        <v>400574.9</v>
      </c>
      <c r="C739" s="102">
        <v>670.2</v>
      </c>
      <c r="D739" s="11">
        <v>44715</v>
      </c>
      <c r="E739" s="39">
        <v>815.446</v>
      </c>
    </row>
    <row r="740" ht="16.5" spans="1:5">
      <c r="A740" s="101">
        <v>3045651</v>
      </c>
      <c r="B740" s="102">
        <v>400574.9</v>
      </c>
      <c r="C740" s="102">
        <v>670.2</v>
      </c>
      <c r="D740" s="11">
        <v>44716</v>
      </c>
      <c r="E740" s="39">
        <v>814.776</v>
      </c>
    </row>
    <row r="741" ht="16.5" spans="1:5">
      <c r="A741" s="101">
        <v>3045651</v>
      </c>
      <c r="B741" s="102">
        <v>400574.9</v>
      </c>
      <c r="C741" s="102">
        <v>670.2</v>
      </c>
      <c r="D741" s="11">
        <v>44717</v>
      </c>
      <c r="E741" s="39">
        <v>812.926</v>
      </c>
    </row>
    <row r="742" ht="16.5" spans="1:5">
      <c r="A742" s="101">
        <v>3045651</v>
      </c>
      <c r="B742" s="102">
        <v>400574.9</v>
      </c>
      <c r="C742" s="102">
        <v>670.2</v>
      </c>
      <c r="D742" s="11">
        <v>44718</v>
      </c>
      <c r="E742" s="39">
        <v>817.646</v>
      </c>
    </row>
    <row r="743" ht="16.5" spans="1:5">
      <c r="A743" s="101">
        <v>3045651</v>
      </c>
      <c r="B743" s="102">
        <v>400574.9</v>
      </c>
      <c r="C743" s="102">
        <v>670.2</v>
      </c>
      <c r="D743" s="11">
        <v>44719</v>
      </c>
      <c r="E743" s="39">
        <v>813.806</v>
      </c>
    </row>
    <row r="744" ht="16.5" spans="1:5">
      <c r="A744" s="101">
        <v>3045651</v>
      </c>
      <c r="B744" s="102">
        <v>400574.9</v>
      </c>
      <c r="C744" s="102">
        <v>670.2</v>
      </c>
      <c r="D744" s="11">
        <v>44720</v>
      </c>
      <c r="E744" s="39">
        <v>812.836</v>
      </c>
    </row>
    <row r="745" ht="16.5" spans="1:5">
      <c r="A745" s="101">
        <v>3045651</v>
      </c>
      <c r="B745" s="102">
        <v>400574.9</v>
      </c>
      <c r="C745" s="102">
        <v>670.2</v>
      </c>
      <c r="D745" s="11">
        <v>44721</v>
      </c>
      <c r="E745" s="39">
        <v>812.486</v>
      </c>
    </row>
    <row r="746" ht="16.5" spans="1:5">
      <c r="A746" s="101">
        <v>3045651</v>
      </c>
      <c r="B746" s="102">
        <v>400574.9</v>
      </c>
      <c r="C746" s="102">
        <v>670.2</v>
      </c>
      <c r="D746" s="11">
        <v>44722</v>
      </c>
      <c r="E746" s="39">
        <v>813.136</v>
      </c>
    </row>
    <row r="747" ht="16.5" spans="1:5">
      <c r="A747" s="101">
        <v>3045651</v>
      </c>
      <c r="B747" s="102">
        <v>400574.9</v>
      </c>
      <c r="C747" s="102">
        <v>670.2</v>
      </c>
      <c r="D747" s="11">
        <v>44723</v>
      </c>
      <c r="E747" s="39">
        <v>811.606</v>
      </c>
    </row>
    <row r="748" ht="16.5" spans="1:5">
      <c r="A748" s="101">
        <v>3045651</v>
      </c>
      <c r="B748" s="102">
        <v>400574.9</v>
      </c>
      <c r="C748" s="102">
        <v>670.2</v>
      </c>
      <c r="D748" s="11">
        <v>44724</v>
      </c>
      <c r="E748" s="39">
        <v>811.946</v>
      </c>
    </row>
    <row r="749" ht="16.5" spans="1:5">
      <c r="A749" s="101">
        <v>3045651</v>
      </c>
      <c r="B749" s="102">
        <v>400574.9</v>
      </c>
      <c r="C749" s="102">
        <v>670.2</v>
      </c>
      <c r="D749" s="11">
        <v>44725</v>
      </c>
      <c r="E749" s="39">
        <v>821.086</v>
      </c>
    </row>
    <row r="750" ht="16.5" spans="1:5">
      <c r="A750" s="101">
        <v>3045651</v>
      </c>
      <c r="B750" s="102">
        <v>400574.9</v>
      </c>
      <c r="C750" s="102">
        <v>670.2</v>
      </c>
      <c r="D750" s="11">
        <v>44726</v>
      </c>
      <c r="E750" s="39">
        <v>814.806</v>
      </c>
    </row>
    <row r="751" ht="16.5" spans="1:5">
      <c r="A751" s="101">
        <v>3045651</v>
      </c>
      <c r="B751" s="102">
        <v>400574.9</v>
      </c>
      <c r="C751" s="102">
        <v>670.2</v>
      </c>
      <c r="D751" s="11">
        <v>44727</v>
      </c>
      <c r="E751" s="39">
        <v>814.266</v>
      </c>
    </row>
    <row r="752" ht="16.5" spans="1:5">
      <c r="A752" s="101">
        <v>3045651</v>
      </c>
      <c r="B752" s="102">
        <v>400574.9</v>
      </c>
      <c r="C752" s="102">
        <v>670.2</v>
      </c>
      <c r="D752" s="11">
        <v>44728</v>
      </c>
      <c r="E752" s="39">
        <v>810.786</v>
      </c>
    </row>
    <row r="753" ht="16.5" spans="1:5">
      <c r="A753" s="101">
        <v>3045651</v>
      </c>
      <c r="B753" s="102">
        <v>400574.9</v>
      </c>
      <c r="C753" s="102">
        <v>670.2</v>
      </c>
      <c r="D753" s="11">
        <v>44729</v>
      </c>
      <c r="E753" s="39">
        <v>809.666</v>
      </c>
    </row>
    <row r="754" ht="16.5" spans="1:5">
      <c r="A754" s="101">
        <v>3045651</v>
      </c>
      <c r="B754" s="102">
        <v>400574.9</v>
      </c>
      <c r="C754" s="102">
        <v>670.2</v>
      </c>
      <c r="D754" s="11">
        <v>44730</v>
      </c>
      <c r="E754" s="39">
        <v>813.546</v>
      </c>
    </row>
    <row r="755" ht="16.5" spans="1:5">
      <c r="A755" s="101">
        <v>3045651</v>
      </c>
      <c r="B755" s="102">
        <v>400574.9</v>
      </c>
      <c r="C755" s="102">
        <v>670.2</v>
      </c>
      <c r="D755" s="11">
        <v>44731</v>
      </c>
      <c r="E755" s="39">
        <v>810.216</v>
      </c>
    </row>
    <row r="756" ht="16.5" spans="1:5">
      <c r="A756" s="101">
        <v>3045651</v>
      </c>
      <c r="B756" s="102">
        <v>400574.9</v>
      </c>
      <c r="C756" s="102">
        <v>670.2</v>
      </c>
      <c r="D756" s="13">
        <v>44732</v>
      </c>
      <c r="E756" s="39">
        <v>809.436</v>
      </c>
    </row>
    <row r="757" ht="16.5" spans="1:5">
      <c r="A757" s="101">
        <v>3045651</v>
      </c>
      <c r="B757" s="102">
        <v>400574.9</v>
      </c>
      <c r="C757" s="102">
        <v>670.2</v>
      </c>
      <c r="D757" s="13">
        <v>44733</v>
      </c>
      <c r="E757" s="39"/>
    </row>
    <row r="758" ht="16.5" spans="1:5">
      <c r="A758" s="101">
        <v>3045651</v>
      </c>
      <c r="B758" s="102">
        <v>400574.9</v>
      </c>
      <c r="C758" s="102">
        <v>670.2</v>
      </c>
      <c r="D758" s="13">
        <v>44734</v>
      </c>
      <c r="E758" s="39"/>
    </row>
    <row r="759" ht="16.5" spans="1:5">
      <c r="A759" s="101">
        <v>3045651</v>
      </c>
      <c r="B759" s="102">
        <v>400574.9</v>
      </c>
      <c r="C759" s="102">
        <v>670.2</v>
      </c>
      <c r="D759" s="13">
        <v>44735</v>
      </c>
      <c r="E759" s="39"/>
    </row>
    <row r="760" ht="16.5" spans="1:5">
      <c r="A760" s="101">
        <v>3045651</v>
      </c>
      <c r="B760" s="102">
        <v>400574.9</v>
      </c>
      <c r="C760" s="102">
        <v>670.2</v>
      </c>
      <c r="D760" s="13">
        <v>44736</v>
      </c>
      <c r="E760" s="39">
        <v>809.716</v>
      </c>
    </row>
    <row r="761" ht="16.5" spans="1:5">
      <c r="A761" s="101">
        <v>3045651</v>
      </c>
      <c r="B761" s="102">
        <v>400574.9</v>
      </c>
      <c r="C761" s="102">
        <v>670.2</v>
      </c>
      <c r="D761" s="13">
        <v>44737</v>
      </c>
      <c r="E761" s="39"/>
    </row>
    <row r="762" ht="16.5" spans="1:5">
      <c r="A762" s="101">
        <v>3045651</v>
      </c>
      <c r="B762" s="102">
        <v>400574.9</v>
      </c>
      <c r="C762" s="102">
        <v>670.2</v>
      </c>
      <c r="D762" s="13">
        <v>44738</v>
      </c>
      <c r="E762" s="39"/>
    </row>
    <row r="763" ht="16.5" spans="1:5">
      <c r="A763" s="101">
        <v>3045651</v>
      </c>
      <c r="B763" s="102">
        <v>400574.9</v>
      </c>
      <c r="C763" s="102">
        <v>670.2</v>
      </c>
      <c r="D763" s="13">
        <v>44739</v>
      </c>
      <c r="E763" s="37"/>
    </row>
    <row r="764" ht="16.5" spans="1:5">
      <c r="A764" s="101">
        <v>3045651</v>
      </c>
      <c r="B764" s="102">
        <v>400574.9</v>
      </c>
      <c r="C764" s="102">
        <v>670.2</v>
      </c>
      <c r="D764" s="13">
        <v>44740</v>
      </c>
      <c r="E764" s="37"/>
    </row>
    <row r="765" ht="16.5" spans="1:5">
      <c r="A765" s="101">
        <v>3045651</v>
      </c>
      <c r="B765" s="102">
        <v>400574.9</v>
      </c>
      <c r="C765" s="102">
        <v>670.2</v>
      </c>
      <c r="D765" s="13">
        <v>44741</v>
      </c>
      <c r="E765" s="37"/>
    </row>
    <row r="766" ht="16.5" spans="1:5">
      <c r="A766" s="101">
        <v>3045651</v>
      </c>
      <c r="B766" s="102">
        <v>400574.9</v>
      </c>
      <c r="C766" s="102">
        <v>670.2</v>
      </c>
      <c r="D766" s="13">
        <v>44742</v>
      </c>
      <c r="E766" s="37"/>
    </row>
    <row r="767" ht="16.5" spans="1:5">
      <c r="A767" s="101">
        <v>3045651</v>
      </c>
      <c r="B767" s="102">
        <v>400574.9</v>
      </c>
      <c r="C767" s="102">
        <v>670.2</v>
      </c>
      <c r="D767" s="13">
        <v>44743</v>
      </c>
      <c r="E767" s="37"/>
    </row>
    <row r="768" ht="16.5" spans="1:5">
      <c r="A768" s="101">
        <v>3045651</v>
      </c>
      <c r="B768" s="102">
        <v>400574.9</v>
      </c>
      <c r="C768" s="102">
        <v>670.2</v>
      </c>
      <c r="D768" s="13">
        <v>44744</v>
      </c>
      <c r="E768" s="37"/>
    </row>
    <row r="769" ht="16.5" spans="1:5">
      <c r="A769" s="101">
        <v>3045651</v>
      </c>
      <c r="B769" s="102">
        <v>400574.9</v>
      </c>
      <c r="C769" s="102">
        <v>670.2</v>
      </c>
      <c r="D769" s="13">
        <v>44745</v>
      </c>
      <c r="E769" s="37"/>
    </row>
    <row r="770" ht="16.5" spans="1:5">
      <c r="A770" s="101">
        <v>3045651</v>
      </c>
      <c r="B770" s="102">
        <v>400574.9</v>
      </c>
      <c r="C770" s="102">
        <v>670.2</v>
      </c>
      <c r="D770" s="13">
        <v>44746</v>
      </c>
      <c r="E770" s="39"/>
    </row>
    <row r="771" ht="16.5" spans="1:5">
      <c r="A771" s="101">
        <v>3045651</v>
      </c>
      <c r="B771" s="102">
        <v>400574.9</v>
      </c>
      <c r="C771" s="102">
        <v>670.2</v>
      </c>
      <c r="D771" s="13">
        <v>44747</v>
      </c>
      <c r="E771" s="37"/>
    </row>
    <row r="772" ht="16.5" spans="1:5">
      <c r="A772" s="101">
        <v>3045651</v>
      </c>
      <c r="B772" s="102">
        <v>400574.9</v>
      </c>
      <c r="C772" s="102">
        <v>670.2</v>
      </c>
      <c r="D772" s="13">
        <v>44748</v>
      </c>
      <c r="E772" s="39">
        <v>810.28</v>
      </c>
    </row>
    <row r="773" ht="16.5" spans="1:5">
      <c r="A773" s="101">
        <v>3045651</v>
      </c>
      <c r="B773" s="102">
        <v>400574.9</v>
      </c>
      <c r="C773" s="102">
        <v>670.2</v>
      </c>
      <c r="D773" s="13">
        <v>44749</v>
      </c>
      <c r="E773" s="37"/>
    </row>
    <row r="774" ht="16.5" spans="1:5">
      <c r="A774" s="101">
        <v>3045651</v>
      </c>
      <c r="B774" s="102">
        <v>400574.9</v>
      </c>
      <c r="C774" s="102">
        <v>670.2</v>
      </c>
      <c r="D774" s="13">
        <v>44750</v>
      </c>
      <c r="E774" s="37"/>
    </row>
    <row r="775" ht="16.5" spans="1:5">
      <c r="A775" s="101">
        <v>3045651</v>
      </c>
      <c r="B775" s="102">
        <v>400574.9</v>
      </c>
      <c r="C775" s="102">
        <v>670.2</v>
      </c>
      <c r="D775" s="13">
        <v>44751</v>
      </c>
      <c r="E775" s="37"/>
    </row>
    <row r="776" ht="16.5" spans="1:5">
      <c r="A776" s="101">
        <v>3045651</v>
      </c>
      <c r="B776" s="102">
        <v>400574.9</v>
      </c>
      <c r="C776" s="102">
        <v>670.2</v>
      </c>
      <c r="D776" s="13">
        <v>44752</v>
      </c>
      <c r="E776" s="37"/>
    </row>
    <row r="777" ht="16.5" spans="1:5">
      <c r="A777" s="101">
        <v>3045651</v>
      </c>
      <c r="B777" s="102">
        <v>400574.9</v>
      </c>
      <c r="C777" s="102">
        <v>670.2</v>
      </c>
      <c r="D777" s="13">
        <v>44753</v>
      </c>
      <c r="E777" s="37"/>
    </row>
    <row r="778" ht="16.5" spans="1:5">
      <c r="A778" s="101">
        <v>3045651</v>
      </c>
      <c r="B778" s="102">
        <v>400574.9</v>
      </c>
      <c r="C778" s="102">
        <v>670.2</v>
      </c>
      <c r="D778" s="13">
        <v>44754</v>
      </c>
      <c r="E778" s="37"/>
    </row>
    <row r="779" ht="16.5" spans="1:5">
      <c r="A779" s="101">
        <v>3045651</v>
      </c>
      <c r="B779" s="102">
        <v>400574.9</v>
      </c>
      <c r="C779" s="102">
        <v>670.2</v>
      </c>
      <c r="D779" s="13">
        <v>44755</v>
      </c>
      <c r="E779" s="37"/>
    </row>
    <row r="780" ht="16.5" spans="1:5">
      <c r="A780" s="101">
        <v>3045651</v>
      </c>
      <c r="B780" s="102">
        <v>400574.9</v>
      </c>
      <c r="C780" s="102">
        <v>670.2</v>
      </c>
      <c r="D780" s="13">
        <v>44756</v>
      </c>
      <c r="E780" s="37"/>
    </row>
    <row r="781" ht="16.5" spans="1:5">
      <c r="A781" s="101">
        <v>3045651</v>
      </c>
      <c r="B781" s="102">
        <v>400574.9</v>
      </c>
      <c r="C781" s="102">
        <v>670.2</v>
      </c>
      <c r="D781" s="13">
        <v>44757</v>
      </c>
      <c r="E781" s="37"/>
    </row>
    <row r="782" ht="16.5" spans="1:5">
      <c r="A782" s="101">
        <v>3045651</v>
      </c>
      <c r="B782" s="102">
        <v>400574.9</v>
      </c>
      <c r="C782" s="102">
        <v>670.2</v>
      </c>
      <c r="D782" s="13">
        <v>44758</v>
      </c>
      <c r="E782" s="37"/>
    </row>
    <row r="783" ht="16.5" spans="1:5">
      <c r="A783" s="101">
        <v>3045651</v>
      </c>
      <c r="B783" s="102">
        <v>400574.9</v>
      </c>
      <c r="C783" s="102">
        <v>670.2</v>
      </c>
      <c r="D783" s="13">
        <v>44759</v>
      </c>
      <c r="E783" s="37"/>
    </row>
    <row r="784" ht="16.5" spans="1:5">
      <c r="A784" s="101">
        <v>3045651</v>
      </c>
      <c r="B784" s="102">
        <v>400574.9</v>
      </c>
      <c r="C784" s="102">
        <v>670.2</v>
      </c>
      <c r="D784" s="13">
        <v>44760</v>
      </c>
      <c r="E784" s="37"/>
    </row>
    <row r="785" ht="16.5" spans="1:5">
      <c r="A785" s="101">
        <v>3045651</v>
      </c>
      <c r="B785" s="102">
        <v>400574.9</v>
      </c>
      <c r="C785" s="102">
        <v>670.2</v>
      </c>
      <c r="D785" s="13">
        <v>44761</v>
      </c>
      <c r="E785" s="39">
        <v>810.206</v>
      </c>
    </row>
    <row r="786" ht="16.5" spans="1:5">
      <c r="A786" s="101">
        <v>3045651</v>
      </c>
      <c r="B786" s="102">
        <v>400574.9</v>
      </c>
      <c r="C786" s="102">
        <v>670.2</v>
      </c>
      <c r="D786" s="13">
        <v>44762</v>
      </c>
      <c r="E786" s="37"/>
    </row>
    <row r="787" ht="16.5" spans="1:5">
      <c r="A787" s="101">
        <v>3045651</v>
      </c>
      <c r="B787" s="102">
        <v>400574.9</v>
      </c>
      <c r="C787" s="102">
        <v>670.2</v>
      </c>
      <c r="D787" s="13">
        <v>44763</v>
      </c>
      <c r="E787" s="37"/>
    </row>
    <row r="788" ht="16.5" spans="1:5">
      <c r="A788" s="101">
        <v>3045651</v>
      </c>
      <c r="B788" s="102">
        <v>400574.9</v>
      </c>
      <c r="C788" s="102">
        <v>670.2</v>
      </c>
      <c r="D788" s="13">
        <v>44764</v>
      </c>
      <c r="E788" s="37"/>
    </row>
    <row r="789" ht="16.5" spans="1:5">
      <c r="A789" s="101">
        <v>3045651</v>
      </c>
      <c r="B789" s="102">
        <v>400574.9</v>
      </c>
      <c r="C789" s="102">
        <v>670.2</v>
      </c>
      <c r="D789" s="13">
        <v>44765</v>
      </c>
      <c r="E789" s="37"/>
    </row>
    <row r="790" ht="16.5" spans="1:5">
      <c r="A790" s="101">
        <v>3045651</v>
      </c>
      <c r="B790" s="102">
        <v>400574.9</v>
      </c>
      <c r="C790" s="102">
        <v>670.2</v>
      </c>
      <c r="D790" s="13">
        <v>44766</v>
      </c>
      <c r="E790" s="37"/>
    </row>
    <row r="791" ht="16.5" spans="1:5">
      <c r="A791" s="101">
        <v>3045651</v>
      </c>
      <c r="B791" s="102">
        <v>400574.9</v>
      </c>
      <c r="C791" s="102">
        <v>670.2</v>
      </c>
      <c r="D791" s="13">
        <v>44767</v>
      </c>
      <c r="E791" s="37"/>
    </row>
    <row r="792" ht="16.5" spans="1:5">
      <c r="A792" s="101">
        <v>3045651</v>
      </c>
      <c r="B792" s="102">
        <v>400574.9</v>
      </c>
      <c r="C792" s="102">
        <v>670.2</v>
      </c>
      <c r="D792" s="13">
        <v>44768</v>
      </c>
      <c r="E792" s="37"/>
    </row>
    <row r="793" ht="16.5" spans="1:5">
      <c r="A793" s="101">
        <v>3045651</v>
      </c>
      <c r="B793" s="102">
        <v>400574.9</v>
      </c>
      <c r="C793" s="102">
        <v>670.2</v>
      </c>
      <c r="D793" s="13">
        <v>44769</v>
      </c>
      <c r="E793" s="37"/>
    </row>
    <row r="794" ht="16.5" spans="1:5">
      <c r="A794" s="101">
        <v>3045651</v>
      </c>
      <c r="B794" s="102">
        <v>400574.9</v>
      </c>
      <c r="C794" s="102">
        <v>670.2</v>
      </c>
      <c r="D794" s="13">
        <v>44770</v>
      </c>
      <c r="E794" s="37"/>
    </row>
    <row r="795" ht="16.5" spans="1:5">
      <c r="A795" s="101">
        <v>3045651</v>
      </c>
      <c r="B795" s="102">
        <v>400574.9</v>
      </c>
      <c r="C795" s="102">
        <v>670.2</v>
      </c>
      <c r="D795" s="13">
        <v>44771</v>
      </c>
      <c r="E795" s="39">
        <v>809.616</v>
      </c>
    </row>
    <row r="796" ht="16.5" spans="1:5">
      <c r="A796" s="101">
        <v>3045651</v>
      </c>
      <c r="B796" s="102">
        <v>400574.9</v>
      </c>
      <c r="C796" s="102">
        <v>670.2</v>
      </c>
      <c r="D796" s="13">
        <v>44772</v>
      </c>
      <c r="E796" s="37"/>
    </row>
    <row r="797" ht="16.5" spans="1:5">
      <c r="A797" s="101">
        <v>3045651</v>
      </c>
      <c r="B797" s="102">
        <v>400574.9</v>
      </c>
      <c r="C797" s="102">
        <v>670.2</v>
      </c>
      <c r="D797" s="13">
        <v>44773</v>
      </c>
      <c r="E797" s="37"/>
    </row>
    <row r="798" ht="16.5" spans="1:5">
      <c r="A798" s="101">
        <v>3045651</v>
      </c>
      <c r="B798" s="102">
        <v>400574.9</v>
      </c>
      <c r="C798" s="102">
        <v>670.2</v>
      </c>
      <c r="D798" s="13">
        <v>44774</v>
      </c>
      <c r="E798" s="37"/>
    </row>
    <row r="799" ht="16.5" spans="1:5">
      <c r="A799" s="101">
        <v>3045651</v>
      </c>
      <c r="B799" s="102">
        <v>400574.9</v>
      </c>
      <c r="C799" s="102">
        <v>670.2</v>
      </c>
      <c r="D799" s="13">
        <v>44775</v>
      </c>
      <c r="E799" s="37"/>
    </row>
    <row r="800" ht="16.5" spans="1:5">
      <c r="A800" s="101">
        <v>3045651</v>
      </c>
      <c r="B800" s="102">
        <v>400574.9</v>
      </c>
      <c r="C800" s="102">
        <v>670.2</v>
      </c>
      <c r="D800" s="13">
        <v>44776</v>
      </c>
      <c r="E800" s="37"/>
    </row>
    <row r="801" ht="16.5" spans="1:5">
      <c r="A801" s="101">
        <v>3045651</v>
      </c>
      <c r="B801" s="102">
        <v>400574.9</v>
      </c>
      <c r="C801" s="102">
        <v>670.2</v>
      </c>
      <c r="D801" s="13">
        <v>44777</v>
      </c>
      <c r="E801" s="37"/>
    </row>
    <row r="802" ht="16.5" spans="1:5">
      <c r="A802" s="101">
        <v>3045651</v>
      </c>
      <c r="B802" s="102">
        <v>400574.9</v>
      </c>
      <c r="C802" s="102">
        <v>670.2</v>
      </c>
      <c r="D802" s="13">
        <v>44778</v>
      </c>
      <c r="E802" s="37"/>
    </row>
    <row r="803" ht="16.5" spans="1:5">
      <c r="A803" s="101">
        <v>3045651</v>
      </c>
      <c r="B803" s="102">
        <v>400574.9</v>
      </c>
      <c r="C803" s="102">
        <v>670.2</v>
      </c>
      <c r="D803" s="13">
        <v>44779</v>
      </c>
      <c r="E803" s="37"/>
    </row>
    <row r="804" ht="16.5" spans="1:5">
      <c r="A804" s="101">
        <v>3045651</v>
      </c>
      <c r="B804" s="102">
        <v>400574.9</v>
      </c>
      <c r="C804" s="102">
        <v>670.2</v>
      </c>
      <c r="D804" s="13">
        <v>44780</v>
      </c>
      <c r="E804" s="37"/>
    </row>
    <row r="805" ht="16.5" spans="1:5">
      <c r="A805" s="101">
        <v>3045651</v>
      </c>
      <c r="B805" s="102">
        <v>400574.9</v>
      </c>
      <c r="C805" s="102">
        <v>670.2</v>
      </c>
      <c r="D805" s="13">
        <v>44781</v>
      </c>
      <c r="E805" s="37"/>
    </row>
    <row r="806" ht="16.5" spans="1:5">
      <c r="A806" s="101">
        <v>3045651</v>
      </c>
      <c r="B806" s="102">
        <v>400574.9</v>
      </c>
      <c r="C806" s="102">
        <v>670.2</v>
      </c>
      <c r="D806" s="13">
        <v>44782</v>
      </c>
      <c r="E806" s="37"/>
    </row>
    <row r="807" ht="16.5" spans="1:5">
      <c r="A807" s="101">
        <v>3045651</v>
      </c>
      <c r="B807" s="102">
        <v>400574.9</v>
      </c>
      <c r="C807" s="102">
        <v>670.2</v>
      </c>
      <c r="D807" s="13">
        <v>44783</v>
      </c>
      <c r="E807" s="39">
        <v>809.12</v>
      </c>
    </row>
    <row r="808" ht="16.5" spans="1:5">
      <c r="A808" s="101">
        <v>3045651</v>
      </c>
      <c r="B808" s="102">
        <v>400574.9</v>
      </c>
      <c r="C808" s="102">
        <v>670.2</v>
      </c>
      <c r="D808" s="13">
        <v>44784</v>
      </c>
      <c r="E808" s="37"/>
    </row>
    <row r="809" ht="16.5" spans="1:5">
      <c r="A809" s="101">
        <v>3045651</v>
      </c>
      <c r="B809" s="102">
        <v>400574.9</v>
      </c>
      <c r="C809" s="102">
        <v>670.2</v>
      </c>
      <c r="D809" s="13">
        <v>44785</v>
      </c>
      <c r="E809" s="37"/>
    </row>
    <row r="810" ht="16.5" spans="1:5">
      <c r="A810" s="101">
        <v>3045651</v>
      </c>
      <c r="B810" s="102">
        <v>400574.9</v>
      </c>
      <c r="C810" s="102">
        <v>670.2</v>
      </c>
      <c r="D810" s="13">
        <v>44786</v>
      </c>
      <c r="E810" s="37"/>
    </row>
    <row r="811" ht="16.5" spans="1:5">
      <c r="A811" s="101">
        <v>3045651</v>
      </c>
      <c r="B811" s="102">
        <v>400574.9</v>
      </c>
      <c r="C811" s="102">
        <v>670.2</v>
      </c>
      <c r="D811" s="13">
        <v>44787</v>
      </c>
      <c r="E811" s="37"/>
    </row>
    <row r="812" ht="16.5" spans="1:5">
      <c r="A812" s="101">
        <v>3045651</v>
      </c>
      <c r="B812" s="102">
        <v>400574.9</v>
      </c>
      <c r="C812" s="102">
        <v>670.2</v>
      </c>
      <c r="D812" s="13">
        <v>44788</v>
      </c>
      <c r="E812" s="37"/>
    </row>
    <row r="813" ht="16.5" spans="1:5">
      <c r="A813" s="101">
        <v>3045651</v>
      </c>
      <c r="B813" s="102">
        <v>400574.9</v>
      </c>
      <c r="C813" s="102">
        <v>670.2</v>
      </c>
      <c r="D813" s="13">
        <v>44789</v>
      </c>
      <c r="E813" s="37"/>
    </row>
    <row r="814" ht="16.5" spans="1:5">
      <c r="A814" s="101">
        <v>3045651</v>
      </c>
      <c r="B814" s="102">
        <v>400574.9</v>
      </c>
      <c r="C814" s="102">
        <v>670.2</v>
      </c>
      <c r="D814" s="13">
        <v>44790</v>
      </c>
      <c r="E814" s="39">
        <v>808.476</v>
      </c>
    </row>
    <row r="815" ht="16.5" spans="1:5">
      <c r="A815" s="101">
        <v>3045651</v>
      </c>
      <c r="B815" s="102">
        <v>400574.9</v>
      </c>
      <c r="C815" s="102">
        <v>670.2</v>
      </c>
      <c r="D815" s="13">
        <v>44791</v>
      </c>
      <c r="E815" s="37"/>
    </row>
    <row r="816" ht="16.5" spans="1:5">
      <c r="A816" s="101">
        <v>3045651</v>
      </c>
      <c r="B816" s="102">
        <v>400574.9</v>
      </c>
      <c r="C816" s="102">
        <v>670.2</v>
      </c>
      <c r="D816" s="13">
        <v>44792</v>
      </c>
      <c r="E816" s="37"/>
    </row>
    <row r="817" ht="16.5" spans="1:5">
      <c r="A817" s="101">
        <v>3045651</v>
      </c>
      <c r="B817" s="102">
        <v>400574.9</v>
      </c>
      <c r="C817" s="102">
        <v>670.2</v>
      </c>
      <c r="D817" s="13">
        <v>44793</v>
      </c>
      <c r="E817" s="37"/>
    </row>
    <row r="818" ht="16.5" spans="1:5">
      <c r="A818" s="101">
        <v>3045651</v>
      </c>
      <c r="B818" s="102">
        <v>400574.9</v>
      </c>
      <c r="C818" s="102">
        <v>670.2</v>
      </c>
      <c r="D818" s="13">
        <v>44794</v>
      </c>
      <c r="E818" s="37"/>
    </row>
    <row r="819" ht="16.5" spans="1:5">
      <c r="A819" s="101">
        <v>3045651</v>
      </c>
      <c r="B819" s="102">
        <v>400574.9</v>
      </c>
      <c r="C819" s="102">
        <v>670.2</v>
      </c>
      <c r="D819" s="13">
        <v>44795</v>
      </c>
      <c r="E819" s="37"/>
    </row>
    <row r="820" ht="16.5" spans="1:5">
      <c r="A820" s="101">
        <v>3045651</v>
      </c>
      <c r="B820" s="102">
        <v>400574.9</v>
      </c>
      <c r="C820" s="102">
        <v>670.2</v>
      </c>
      <c r="D820" s="13">
        <v>44796</v>
      </c>
      <c r="E820" s="39">
        <v>808.25</v>
      </c>
    </row>
    <row r="821" ht="16.5" spans="1:5">
      <c r="A821" s="101">
        <v>3045651</v>
      </c>
      <c r="B821" s="102">
        <v>400574.9</v>
      </c>
      <c r="C821" s="102">
        <v>670.2</v>
      </c>
      <c r="D821" s="13">
        <v>44797</v>
      </c>
      <c r="E821" s="37"/>
    </row>
    <row r="822" ht="16.5" spans="1:5">
      <c r="A822" s="101">
        <v>3045651</v>
      </c>
      <c r="B822" s="102">
        <v>400574.9</v>
      </c>
      <c r="C822" s="102">
        <v>670.2</v>
      </c>
      <c r="D822" s="13">
        <v>44798</v>
      </c>
      <c r="E822" s="37"/>
    </row>
    <row r="823" ht="16.5" spans="1:5">
      <c r="A823" s="101">
        <v>3045651</v>
      </c>
      <c r="B823" s="102">
        <v>400574.9</v>
      </c>
      <c r="C823" s="102">
        <v>670.2</v>
      </c>
      <c r="D823" s="13">
        <v>44799</v>
      </c>
      <c r="E823" s="37"/>
    </row>
    <row r="824" ht="16.5" spans="1:5">
      <c r="A824" s="101">
        <v>3045651</v>
      </c>
      <c r="B824" s="102">
        <v>400574.9</v>
      </c>
      <c r="C824" s="102">
        <v>670.2</v>
      </c>
      <c r="D824" s="13">
        <v>44800</v>
      </c>
      <c r="E824" s="37"/>
    </row>
    <row r="825" ht="16.5" spans="1:5">
      <c r="A825" s="101">
        <v>3045651</v>
      </c>
      <c r="B825" s="102">
        <v>400574.9</v>
      </c>
      <c r="C825" s="102">
        <v>670.2</v>
      </c>
      <c r="D825" s="13">
        <v>44801</v>
      </c>
      <c r="E825" s="37"/>
    </row>
    <row r="826" ht="16.5" spans="1:5">
      <c r="A826" s="101">
        <v>3045651</v>
      </c>
      <c r="B826" s="102">
        <v>400574.9</v>
      </c>
      <c r="C826" s="102">
        <v>670.2</v>
      </c>
      <c r="D826" s="13">
        <v>44802</v>
      </c>
      <c r="E826" s="37"/>
    </row>
    <row r="827" ht="16.5" spans="1:5">
      <c r="A827" s="101">
        <v>3045651</v>
      </c>
      <c r="B827" s="102">
        <v>400574.9</v>
      </c>
      <c r="C827" s="102">
        <v>670.2</v>
      </c>
      <c r="D827" s="13">
        <v>44803</v>
      </c>
      <c r="E827" s="37"/>
    </row>
    <row r="828" ht="16.5" spans="1:5">
      <c r="A828" s="101">
        <v>3045651</v>
      </c>
      <c r="B828" s="102">
        <v>400574.9</v>
      </c>
      <c r="C828" s="102">
        <v>670.2</v>
      </c>
      <c r="D828" s="13">
        <v>44804</v>
      </c>
      <c r="E828" s="39">
        <v>806.58</v>
      </c>
    </row>
    <row r="829" ht="16.5" spans="1:5">
      <c r="A829" s="101">
        <v>3045651</v>
      </c>
      <c r="B829" s="102">
        <v>400574.9</v>
      </c>
      <c r="C829" s="102">
        <v>670.2</v>
      </c>
      <c r="D829" s="13">
        <v>44805</v>
      </c>
      <c r="E829" s="37"/>
    </row>
    <row r="830" ht="16.5" spans="1:5">
      <c r="A830" s="101">
        <v>3045651</v>
      </c>
      <c r="B830" s="102">
        <v>400574.9</v>
      </c>
      <c r="C830" s="102">
        <v>670.2</v>
      </c>
      <c r="D830" s="13">
        <v>44806</v>
      </c>
      <c r="E830" s="37"/>
    </row>
    <row r="831" ht="16.5" spans="1:5">
      <c r="A831" s="101">
        <v>3045651</v>
      </c>
      <c r="B831" s="102">
        <v>400574.9</v>
      </c>
      <c r="C831" s="102">
        <v>670.2</v>
      </c>
      <c r="D831" s="13">
        <v>44807</v>
      </c>
      <c r="E831" s="37"/>
    </row>
    <row r="832" ht="16.5" spans="1:5">
      <c r="A832" s="101">
        <v>3045651</v>
      </c>
      <c r="B832" s="102">
        <v>400574.9</v>
      </c>
      <c r="C832" s="102">
        <v>670.2</v>
      </c>
      <c r="D832" s="13">
        <v>44808</v>
      </c>
      <c r="E832" s="37"/>
    </row>
    <row r="833" ht="16.5" spans="1:5">
      <c r="A833" s="101">
        <v>3045651</v>
      </c>
      <c r="B833" s="102">
        <v>400574.9</v>
      </c>
      <c r="C833" s="102">
        <v>670.2</v>
      </c>
      <c r="D833" s="13">
        <v>44809</v>
      </c>
      <c r="E833" s="37"/>
    </row>
    <row r="834" ht="16.5" spans="1:5">
      <c r="A834" s="101">
        <v>3045651</v>
      </c>
      <c r="B834" s="102">
        <v>400574.9</v>
      </c>
      <c r="C834" s="102">
        <v>670.2</v>
      </c>
      <c r="D834" s="13">
        <v>44810</v>
      </c>
      <c r="E834" s="37"/>
    </row>
    <row r="835" ht="16.5" spans="1:5">
      <c r="A835" s="101">
        <v>3045651</v>
      </c>
      <c r="B835" s="102">
        <v>400574.9</v>
      </c>
      <c r="C835" s="102">
        <v>670.2</v>
      </c>
      <c r="D835" s="13">
        <v>44811</v>
      </c>
      <c r="E835" s="37"/>
    </row>
    <row r="836" ht="16.5" spans="1:5">
      <c r="A836" s="101">
        <v>3045651</v>
      </c>
      <c r="B836" s="102">
        <v>400574.9</v>
      </c>
      <c r="C836" s="102">
        <v>670.2</v>
      </c>
      <c r="D836" s="13">
        <v>44812</v>
      </c>
      <c r="E836" s="37"/>
    </row>
    <row r="837" ht="16.5" spans="1:5">
      <c r="A837" s="101">
        <v>3045651</v>
      </c>
      <c r="B837" s="102">
        <v>400574.9</v>
      </c>
      <c r="C837" s="102">
        <v>670.2</v>
      </c>
      <c r="D837" s="13">
        <v>44813</v>
      </c>
      <c r="E837" s="37"/>
    </row>
    <row r="838" ht="16.5" spans="1:5">
      <c r="A838" s="101">
        <v>3045651</v>
      </c>
      <c r="B838" s="102">
        <v>400574.9</v>
      </c>
      <c r="C838" s="102">
        <v>670.2</v>
      </c>
      <c r="D838" s="13">
        <v>44814</v>
      </c>
      <c r="E838" s="37"/>
    </row>
    <row r="839" ht="16.5" spans="1:5">
      <c r="A839" s="101">
        <v>3045651</v>
      </c>
      <c r="B839" s="102">
        <v>400574.9</v>
      </c>
      <c r="C839" s="102">
        <v>670.2</v>
      </c>
      <c r="D839" s="13">
        <v>44815</v>
      </c>
      <c r="E839" s="37"/>
    </row>
    <row r="840" ht="16.5" spans="1:5">
      <c r="A840" s="101">
        <v>3045651</v>
      </c>
      <c r="B840" s="102">
        <v>400574.9</v>
      </c>
      <c r="C840" s="102">
        <v>670.2</v>
      </c>
      <c r="D840" s="13">
        <v>44816</v>
      </c>
      <c r="E840" s="39">
        <v>803.206</v>
      </c>
    </row>
    <row r="841" ht="16.5" spans="1:5">
      <c r="A841" s="101">
        <v>3045651</v>
      </c>
      <c r="B841" s="102">
        <v>400574.9</v>
      </c>
      <c r="C841" s="102">
        <v>670.2</v>
      </c>
      <c r="D841" s="13">
        <v>44817</v>
      </c>
      <c r="E841" s="37"/>
    </row>
    <row r="842" ht="16.5" spans="1:5">
      <c r="A842" s="101">
        <v>3045651</v>
      </c>
      <c r="B842" s="102">
        <v>400574.9</v>
      </c>
      <c r="C842" s="102">
        <v>670.2</v>
      </c>
      <c r="D842" s="13">
        <v>44818</v>
      </c>
      <c r="E842" s="37"/>
    </row>
    <row r="843" ht="16.5" spans="1:5">
      <c r="A843" s="101">
        <v>3045651</v>
      </c>
      <c r="B843" s="102">
        <v>400574.9</v>
      </c>
      <c r="C843" s="102">
        <v>670.2</v>
      </c>
      <c r="D843" s="11">
        <v>44819</v>
      </c>
      <c r="E843" s="37"/>
    </row>
    <row r="844" ht="16.5" spans="1:5">
      <c r="A844" s="101">
        <v>3045651</v>
      </c>
      <c r="B844" s="102">
        <v>400574.9</v>
      </c>
      <c r="C844" s="102">
        <v>670.2</v>
      </c>
      <c r="D844" s="11">
        <v>44820</v>
      </c>
      <c r="E844" s="37"/>
    </row>
    <row r="845" ht="16.5" spans="1:5">
      <c r="A845" s="101">
        <v>3045651</v>
      </c>
      <c r="B845" s="102">
        <v>400574.9</v>
      </c>
      <c r="C845" s="102">
        <v>670.2</v>
      </c>
      <c r="D845" s="11">
        <v>44821</v>
      </c>
      <c r="E845" s="37"/>
    </row>
    <row r="846" ht="16.5" spans="1:5">
      <c r="A846" s="101">
        <v>3045651</v>
      </c>
      <c r="B846" s="102">
        <v>400574.9</v>
      </c>
      <c r="C846" s="102">
        <v>670.2</v>
      </c>
      <c r="D846" s="11">
        <v>44822</v>
      </c>
      <c r="E846" s="37"/>
    </row>
    <row r="847" ht="16.5" spans="1:5">
      <c r="A847" s="101">
        <v>3045651</v>
      </c>
      <c r="B847" s="102">
        <v>400574.9</v>
      </c>
      <c r="C847" s="102">
        <v>670.2</v>
      </c>
      <c r="D847" s="11">
        <v>44823</v>
      </c>
      <c r="E847" s="39">
        <v>802.206</v>
      </c>
    </row>
    <row r="848" ht="16.5" spans="1:5">
      <c r="A848" s="101">
        <v>3045651</v>
      </c>
      <c r="B848" s="102">
        <v>400574.9</v>
      </c>
      <c r="C848" s="102">
        <v>670.2</v>
      </c>
      <c r="D848" s="11">
        <v>44824</v>
      </c>
      <c r="E848" s="37"/>
    </row>
    <row r="849" ht="16.5" spans="1:5">
      <c r="A849" s="101">
        <v>3045651</v>
      </c>
      <c r="B849" s="102">
        <v>400574.9</v>
      </c>
      <c r="C849" s="102">
        <v>670.2</v>
      </c>
      <c r="D849" s="11">
        <v>44825</v>
      </c>
      <c r="E849" s="37"/>
    </row>
    <row r="850" ht="16.5" spans="1:5">
      <c r="A850" s="101">
        <v>3045651</v>
      </c>
      <c r="B850" s="102">
        <v>400574.9</v>
      </c>
      <c r="C850" s="102">
        <v>670.2</v>
      </c>
      <c r="D850" s="11">
        <v>44826</v>
      </c>
      <c r="E850" s="37"/>
    </row>
    <row r="851" ht="16.5" spans="1:5">
      <c r="A851" s="101">
        <v>3045651</v>
      </c>
      <c r="B851" s="102">
        <v>400574.9</v>
      </c>
      <c r="C851" s="102">
        <v>670.2</v>
      </c>
      <c r="D851" s="11">
        <v>44827</v>
      </c>
      <c r="E851" s="37"/>
    </row>
    <row r="852" ht="16.5" spans="1:5">
      <c r="A852" s="101">
        <v>3045651</v>
      </c>
      <c r="B852" s="102">
        <v>400574.9</v>
      </c>
      <c r="C852" s="102">
        <v>670.2</v>
      </c>
      <c r="D852" s="11">
        <v>44828</v>
      </c>
      <c r="E852" s="39">
        <v>802.25</v>
      </c>
    </row>
    <row r="853" ht="16.5" spans="1:5">
      <c r="A853" s="101">
        <v>3045651</v>
      </c>
      <c r="B853" s="102">
        <v>400574.9</v>
      </c>
      <c r="C853" s="102">
        <v>670.2</v>
      </c>
      <c r="D853" s="11">
        <v>44829</v>
      </c>
      <c r="E853" s="37"/>
    </row>
    <row r="854" ht="16.5" spans="1:5">
      <c r="A854" s="101">
        <v>3045651</v>
      </c>
      <c r="B854" s="102">
        <v>400574.9</v>
      </c>
      <c r="C854" s="102">
        <v>670.2</v>
      </c>
      <c r="D854" s="11">
        <v>44830</v>
      </c>
      <c r="E854" s="42"/>
    </row>
    <row r="855" ht="16.5" spans="1:5">
      <c r="A855" s="101">
        <v>3045651</v>
      </c>
      <c r="B855" s="102">
        <v>400574.9</v>
      </c>
      <c r="C855" s="102">
        <v>670.2</v>
      </c>
      <c r="D855" s="11">
        <v>44831</v>
      </c>
      <c r="E855" s="39"/>
    </row>
    <row r="856" ht="16.5" spans="1:5">
      <c r="A856" s="101">
        <v>3045651</v>
      </c>
      <c r="B856" s="102">
        <v>400574.9</v>
      </c>
      <c r="C856" s="102">
        <v>670.2</v>
      </c>
      <c r="D856" s="11">
        <v>44832</v>
      </c>
      <c r="E856" s="39"/>
    </row>
    <row r="857" ht="16.5" spans="1:5">
      <c r="A857" s="101">
        <v>3045651</v>
      </c>
      <c r="B857" s="102">
        <v>400574.9</v>
      </c>
      <c r="C857" s="102">
        <v>670.2</v>
      </c>
      <c r="D857" s="11">
        <v>44833</v>
      </c>
      <c r="E857" s="39"/>
    </row>
    <row r="858" ht="16.5" spans="1:5">
      <c r="A858" s="101">
        <v>3045651</v>
      </c>
      <c r="B858" s="102">
        <v>400574.9</v>
      </c>
      <c r="C858" s="102">
        <v>670.2</v>
      </c>
      <c r="D858" s="11">
        <v>44834</v>
      </c>
      <c r="E858" s="39"/>
    </row>
    <row r="859" ht="16.5" spans="1:5">
      <c r="A859" s="101">
        <v>3045651</v>
      </c>
      <c r="B859" s="102">
        <v>400574.9</v>
      </c>
      <c r="C859" s="102">
        <v>670.2</v>
      </c>
      <c r="D859" s="11">
        <v>44835</v>
      </c>
      <c r="E859" s="39"/>
    </row>
    <row r="860" ht="16.5" spans="1:5">
      <c r="A860" s="101">
        <v>3045651</v>
      </c>
      <c r="B860" s="102">
        <v>400574.9</v>
      </c>
      <c r="C860" s="102">
        <v>670.2</v>
      </c>
      <c r="D860" s="11">
        <v>44836</v>
      </c>
      <c r="E860" s="39">
        <v>802.23</v>
      </c>
    </row>
    <row r="861" ht="16.5" spans="1:5">
      <c r="A861" s="101">
        <v>3045651</v>
      </c>
      <c r="B861" s="102">
        <v>400574.9</v>
      </c>
      <c r="C861" s="102">
        <v>670.2</v>
      </c>
      <c r="D861" s="11">
        <v>44837</v>
      </c>
      <c r="E861" s="39"/>
    </row>
    <row r="862" ht="16.5" spans="1:5">
      <c r="A862" s="101">
        <v>3045651</v>
      </c>
      <c r="B862" s="102">
        <v>400574.9</v>
      </c>
      <c r="C862" s="102">
        <v>670.2</v>
      </c>
      <c r="D862" s="11">
        <v>44838</v>
      </c>
      <c r="E862" s="39"/>
    </row>
    <row r="863" ht="16.5" spans="1:5">
      <c r="A863" s="101">
        <v>3045651</v>
      </c>
      <c r="B863" s="102">
        <v>400574.9</v>
      </c>
      <c r="C863" s="102">
        <v>670.2</v>
      </c>
      <c r="D863" s="11">
        <v>44839</v>
      </c>
      <c r="E863" s="39"/>
    </row>
    <row r="864" ht="16.5" spans="1:5">
      <c r="A864" s="101">
        <v>3045651</v>
      </c>
      <c r="B864" s="102">
        <v>400574.9</v>
      </c>
      <c r="C864" s="102">
        <v>670.2</v>
      </c>
      <c r="D864" s="11">
        <v>44840</v>
      </c>
      <c r="E864" s="39"/>
    </row>
    <row r="865" ht="16.5" spans="1:5">
      <c r="A865" s="101">
        <v>3045651</v>
      </c>
      <c r="B865" s="102">
        <v>400574.9</v>
      </c>
      <c r="C865" s="102">
        <v>670.2</v>
      </c>
      <c r="D865" s="11">
        <v>44841</v>
      </c>
      <c r="E865" s="39"/>
    </row>
    <row r="866" ht="16.5" spans="1:5">
      <c r="A866" s="101">
        <v>3045651</v>
      </c>
      <c r="B866" s="102">
        <v>400574.9</v>
      </c>
      <c r="C866" s="102">
        <v>670.2</v>
      </c>
      <c r="D866" s="11">
        <v>44842</v>
      </c>
      <c r="E866" s="39"/>
    </row>
    <row r="867" ht="16.5" spans="1:5">
      <c r="A867" s="101">
        <v>3045651</v>
      </c>
      <c r="B867" s="102">
        <v>400574.9</v>
      </c>
      <c r="C867" s="102">
        <v>670.2</v>
      </c>
      <c r="D867" s="11">
        <v>44843</v>
      </c>
      <c r="E867" s="37"/>
    </row>
    <row r="868" ht="16.5" spans="1:5">
      <c r="A868" s="101">
        <v>3045651</v>
      </c>
      <c r="B868" s="102">
        <v>400574.9</v>
      </c>
      <c r="C868" s="102">
        <v>670.2</v>
      </c>
      <c r="D868" s="11">
        <v>44844</v>
      </c>
      <c r="E868" s="37"/>
    </row>
    <row r="869" ht="16.5" spans="1:5">
      <c r="A869" s="101">
        <v>3045651</v>
      </c>
      <c r="B869" s="102">
        <v>400574.9</v>
      </c>
      <c r="C869" s="102">
        <v>670.2</v>
      </c>
      <c r="D869" s="11">
        <v>44845</v>
      </c>
      <c r="E869" s="39"/>
    </row>
    <row r="870" ht="16.5" spans="1:5">
      <c r="A870" s="101">
        <v>3045651</v>
      </c>
      <c r="B870" s="102">
        <v>400574.9</v>
      </c>
      <c r="C870" s="102">
        <v>670.2</v>
      </c>
      <c r="D870" s="11">
        <v>44846</v>
      </c>
      <c r="E870" s="39">
        <v>776.206</v>
      </c>
    </row>
    <row r="871" ht="16.5" spans="1:5">
      <c r="A871" s="101">
        <v>3045651</v>
      </c>
      <c r="B871" s="102">
        <v>400574.9</v>
      </c>
      <c r="C871" s="102">
        <v>670.2</v>
      </c>
      <c r="D871" s="11">
        <v>44847</v>
      </c>
      <c r="E871" s="39"/>
    </row>
    <row r="872" ht="16.5" spans="1:5">
      <c r="A872" s="101">
        <v>3045651</v>
      </c>
      <c r="B872" s="102">
        <v>400574.9</v>
      </c>
      <c r="C872" s="102">
        <v>670.2</v>
      </c>
      <c r="D872" s="11">
        <v>44848</v>
      </c>
      <c r="E872" s="39"/>
    </row>
    <row r="873" ht="16.5" spans="1:5">
      <c r="A873" s="101">
        <v>3045651</v>
      </c>
      <c r="B873" s="102">
        <v>400574.9</v>
      </c>
      <c r="C873" s="102">
        <v>670.2</v>
      </c>
      <c r="D873" s="11">
        <v>44849</v>
      </c>
      <c r="E873" s="39"/>
    </row>
    <row r="874" ht="16.5" spans="1:5">
      <c r="A874" s="101">
        <v>3045651</v>
      </c>
      <c r="B874" s="102">
        <v>400574.9</v>
      </c>
      <c r="C874" s="102">
        <v>670.2</v>
      </c>
      <c r="D874" s="11">
        <v>44850</v>
      </c>
      <c r="E874" s="39"/>
    </row>
    <row r="875" ht="16.5" spans="1:5">
      <c r="A875" s="101">
        <v>3045651</v>
      </c>
      <c r="B875" s="102">
        <v>400574.9</v>
      </c>
      <c r="C875" s="102">
        <v>670.2</v>
      </c>
      <c r="D875" s="11">
        <v>44851</v>
      </c>
      <c r="E875" s="39"/>
    </row>
    <row r="876" ht="16.5" spans="1:5">
      <c r="A876" s="101">
        <v>3045651</v>
      </c>
      <c r="B876" s="102">
        <v>400574.9</v>
      </c>
      <c r="C876" s="102">
        <v>670.2</v>
      </c>
      <c r="D876" s="11">
        <v>44852</v>
      </c>
      <c r="E876" s="39"/>
    </row>
    <row r="877" ht="16.5" spans="1:5">
      <c r="A877" s="101">
        <v>3045651</v>
      </c>
      <c r="B877" s="102">
        <v>400574.9</v>
      </c>
      <c r="C877" s="102">
        <v>670.2</v>
      </c>
      <c r="D877" s="11">
        <v>44853</v>
      </c>
      <c r="E877" s="39">
        <v>775.63</v>
      </c>
    </row>
    <row r="878" ht="16.5" spans="1:5">
      <c r="A878" s="101">
        <v>3045651</v>
      </c>
      <c r="B878" s="102">
        <v>400574.9</v>
      </c>
      <c r="C878" s="102">
        <v>670.2</v>
      </c>
      <c r="D878" s="11">
        <v>44854</v>
      </c>
      <c r="E878" s="39"/>
    </row>
    <row r="879" ht="16.5" spans="1:5">
      <c r="A879" s="101">
        <v>3045651</v>
      </c>
      <c r="B879" s="102">
        <v>400574.9</v>
      </c>
      <c r="C879" s="102">
        <v>670.2</v>
      </c>
      <c r="D879" s="11">
        <v>44855</v>
      </c>
      <c r="E879" s="39"/>
    </row>
    <row r="880" ht="16.5" spans="1:5">
      <c r="A880" s="101">
        <v>3045651</v>
      </c>
      <c r="B880" s="102">
        <v>400574.9</v>
      </c>
      <c r="C880" s="102">
        <v>670.2</v>
      </c>
      <c r="D880" s="11">
        <v>44856</v>
      </c>
      <c r="E880" s="39">
        <v>767.906</v>
      </c>
    </row>
    <row r="881" ht="16.5" spans="1:5">
      <c r="A881" s="101">
        <v>3045651</v>
      </c>
      <c r="B881" s="102">
        <v>400574.9</v>
      </c>
      <c r="C881" s="102">
        <v>670.2</v>
      </c>
      <c r="D881" s="11">
        <v>44857</v>
      </c>
      <c r="E881" s="39">
        <v>766.606</v>
      </c>
    </row>
    <row r="882" ht="16.5" spans="1:5">
      <c r="A882" s="101">
        <v>3045651</v>
      </c>
      <c r="B882" s="102">
        <v>400574.9</v>
      </c>
      <c r="C882" s="102">
        <v>670.2</v>
      </c>
      <c r="D882" s="11">
        <v>44858</v>
      </c>
      <c r="E882" s="39">
        <v>766.106</v>
      </c>
    </row>
    <row r="883" ht="16.5" spans="1:5">
      <c r="A883" s="101">
        <v>3045651</v>
      </c>
      <c r="B883" s="102">
        <v>400574.9</v>
      </c>
      <c r="C883" s="102">
        <v>670.2</v>
      </c>
      <c r="D883" s="11">
        <v>44859</v>
      </c>
      <c r="E883" s="39">
        <v>765.406</v>
      </c>
    </row>
    <row r="884" ht="16.5" spans="1:5">
      <c r="A884" s="101">
        <v>3045651</v>
      </c>
      <c r="B884" s="102">
        <v>400574.9</v>
      </c>
      <c r="C884" s="102">
        <v>670.2</v>
      </c>
      <c r="D884" s="11">
        <v>44860</v>
      </c>
      <c r="E884" s="39">
        <v>764.906</v>
      </c>
    </row>
    <row r="885" ht="16.5" spans="1:5">
      <c r="A885" s="101">
        <v>3045651</v>
      </c>
      <c r="B885" s="102">
        <v>400574.9</v>
      </c>
      <c r="C885" s="102">
        <v>670.2</v>
      </c>
      <c r="D885" s="11">
        <v>44861</v>
      </c>
      <c r="E885" s="39">
        <v>764.706</v>
      </c>
    </row>
    <row r="886" ht="16.5" spans="1:5">
      <c r="A886" s="101">
        <v>3045651</v>
      </c>
      <c r="B886" s="102">
        <v>400574.9</v>
      </c>
      <c r="C886" s="102">
        <v>670.2</v>
      </c>
      <c r="D886" s="11">
        <v>44862</v>
      </c>
      <c r="E886" s="39">
        <v>763.606</v>
      </c>
    </row>
    <row r="887" ht="16.5" spans="1:5">
      <c r="A887" s="101">
        <v>3045651</v>
      </c>
      <c r="B887" s="102">
        <v>400574.9</v>
      </c>
      <c r="C887" s="102">
        <v>670.2</v>
      </c>
      <c r="D887" s="11">
        <v>44863</v>
      </c>
      <c r="E887" s="39">
        <v>762.706</v>
      </c>
    </row>
    <row r="888" ht="16.5" spans="1:5">
      <c r="A888" s="101">
        <v>3045651</v>
      </c>
      <c r="B888" s="102">
        <v>400574.9</v>
      </c>
      <c r="C888" s="102">
        <v>670.2</v>
      </c>
      <c r="D888" s="11">
        <v>44864</v>
      </c>
      <c r="E888" s="39">
        <v>762.106</v>
      </c>
    </row>
    <row r="889" ht="16.5" spans="1:5">
      <c r="A889" s="101">
        <v>3045651</v>
      </c>
      <c r="B889" s="102">
        <v>400574.9</v>
      </c>
      <c r="C889" s="102">
        <v>670.2</v>
      </c>
      <c r="D889" s="11">
        <v>44865</v>
      </c>
      <c r="E889" s="39">
        <v>761.606</v>
      </c>
    </row>
    <row r="890" ht="16.5" spans="1:5">
      <c r="A890" s="101">
        <v>3045651</v>
      </c>
      <c r="B890" s="102">
        <v>400574.9</v>
      </c>
      <c r="C890" s="102">
        <v>670.2</v>
      </c>
      <c r="D890" s="11">
        <v>44866</v>
      </c>
      <c r="E890" s="39">
        <v>761.106</v>
      </c>
    </row>
    <row r="891" ht="16.5" spans="1:5">
      <c r="A891" s="101">
        <v>3045651</v>
      </c>
      <c r="B891" s="102">
        <v>400574.9</v>
      </c>
      <c r="C891" s="102">
        <v>670.2</v>
      </c>
      <c r="D891" s="11">
        <v>44867</v>
      </c>
      <c r="E891" s="39">
        <v>761.006</v>
      </c>
    </row>
    <row r="892" ht="16.5" spans="1:5">
      <c r="A892" s="101">
        <v>3045651</v>
      </c>
      <c r="B892" s="102">
        <v>400574.9</v>
      </c>
      <c r="C892" s="102">
        <v>670.2</v>
      </c>
      <c r="D892" s="11">
        <v>44868</v>
      </c>
      <c r="E892" s="37">
        <v>760.606</v>
      </c>
    </row>
    <row r="893" ht="16.5" spans="1:5">
      <c r="A893" s="101">
        <v>3045651</v>
      </c>
      <c r="B893" s="102">
        <v>400574.9</v>
      </c>
      <c r="C893" s="102">
        <v>670.2</v>
      </c>
      <c r="D893" s="11">
        <v>44869</v>
      </c>
      <c r="E893" s="39">
        <v>760.406</v>
      </c>
    </row>
    <row r="894" ht="16.5" spans="1:5">
      <c r="A894" s="101">
        <v>3045651</v>
      </c>
      <c r="B894" s="102">
        <v>400574.9</v>
      </c>
      <c r="C894" s="102">
        <v>670.2</v>
      </c>
      <c r="D894" s="11">
        <v>44870</v>
      </c>
      <c r="E894" s="39">
        <v>760.406</v>
      </c>
    </row>
    <row r="895" ht="16.5" spans="1:5">
      <c r="A895" s="101">
        <v>3045651</v>
      </c>
      <c r="B895" s="102">
        <v>400574.9</v>
      </c>
      <c r="C895" s="102">
        <v>670.2</v>
      </c>
      <c r="D895" s="11">
        <v>44871</v>
      </c>
      <c r="E895" s="39">
        <v>760.206</v>
      </c>
    </row>
    <row r="896" ht="16.5" spans="1:5">
      <c r="A896" s="101">
        <v>3045651</v>
      </c>
      <c r="B896" s="102">
        <v>400574.9</v>
      </c>
      <c r="C896" s="102">
        <v>670.2</v>
      </c>
      <c r="D896" s="11">
        <v>44872</v>
      </c>
      <c r="E896" s="39">
        <v>759.906</v>
      </c>
    </row>
    <row r="897" ht="16.5" spans="1:5">
      <c r="A897" s="101">
        <v>3045651</v>
      </c>
      <c r="B897" s="102">
        <v>400574.9</v>
      </c>
      <c r="C897" s="102">
        <v>670.2</v>
      </c>
      <c r="D897" s="11">
        <v>44873</v>
      </c>
      <c r="E897" s="39">
        <v>756.506</v>
      </c>
    </row>
    <row r="898" ht="16.5" spans="1:5">
      <c r="A898" s="101">
        <v>3045651</v>
      </c>
      <c r="B898" s="102">
        <v>400574.9</v>
      </c>
      <c r="C898" s="102">
        <v>670.2</v>
      </c>
      <c r="D898" s="11">
        <v>44874</v>
      </c>
      <c r="E898" s="39">
        <v>754.906</v>
      </c>
    </row>
    <row r="899" ht="16.5" spans="1:5">
      <c r="A899" s="101">
        <v>3045651</v>
      </c>
      <c r="B899" s="102">
        <v>400574.9</v>
      </c>
      <c r="C899" s="102">
        <v>670.2</v>
      </c>
      <c r="D899" s="11">
        <v>44875</v>
      </c>
      <c r="E899" s="39">
        <v>754.506</v>
      </c>
    </row>
    <row r="900" ht="16.5" spans="1:5">
      <c r="A900" s="101">
        <v>3045651</v>
      </c>
      <c r="B900" s="102">
        <v>400574.9</v>
      </c>
      <c r="C900" s="102">
        <v>670.2</v>
      </c>
      <c r="D900" s="11">
        <v>44876</v>
      </c>
      <c r="E900" s="39">
        <v>752.306</v>
      </c>
    </row>
    <row r="901" ht="16.5" spans="1:5">
      <c r="A901" s="101">
        <v>3045651</v>
      </c>
      <c r="B901" s="102">
        <v>400574.9</v>
      </c>
      <c r="C901" s="102">
        <v>670.2</v>
      </c>
      <c r="D901" s="11">
        <v>44877</v>
      </c>
      <c r="E901" s="39">
        <v>751.906</v>
      </c>
    </row>
    <row r="902" ht="16.5" spans="1:5">
      <c r="A902" s="101">
        <v>3045651</v>
      </c>
      <c r="B902" s="102">
        <v>400574.9</v>
      </c>
      <c r="C902" s="102">
        <v>670.2</v>
      </c>
      <c r="D902" s="11">
        <v>44878</v>
      </c>
      <c r="E902" s="39">
        <v>745.606</v>
      </c>
    </row>
    <row r="903" ht="16.5" spans="1:5">
      <c r="A903" s="101">
        <v>3045651</v>
      </c>
      <c r="B903" s="102">
        <v>400574.9</v>
      </c>
      <c r="C903" s="102">
        <v>670.2</v>
      </c>
      <c r="D903" s="11">
        <v>44879</v>
      </c>
      <c r="E903" s="39">
        <v>747.306</v>
      </c>
    </row>
    <row r="904" ht="16.5" spans="1:5">
      <c r="A904" s="101">
        <v>3045651</v>
      </c>
      <c r="B904" s="102">
        <v>400574.9</v>
      </c>
      <c r="C904" s="102">
        <v>670.2</v>
      </c>
      <c r="D904" s="11">
        <v>44880</v>
      </c>
      <c r="E904" s="39">
        <v>746.806</v>
      </c>
    </row>
    <row r="905" ht="16.5" spans="1:5">
      <c r="A905" s="101">
        <v>3045651</v>
      </c>
      <c r="B905" s="102">
        <v>400574.9</v>
      </c>
      <c r="C905" s="102">
        <v>670.2</v>
      </c>
      <c r="D905" s="11">
        <v>44881</v>
      </c>
      <c r="E905" s="39">
        <v>745.406</v>
      </c>
    </row>
    <row r="906" ht="16.5" spans="1:5">
      <c r="A906" s="101">
        <v>3045651</v>
      </c>
      <c r="B906" s="102">
        <v>400574.9</v>
      </c>
      <c r="C906" s="102">
        <v>670.2</v>
      </c>
      <c r="D906" s="11">
        <v>44882</v>
      </c>
      <c r="E906" s="39">
        <v>743.706</v>
      </c>
    </row>
    <row r="907" ht="16.5" spans="1:5">
      <c r="A907" s="101">
        <v>3045651</v>
      </c>
      <c r="B907" s="102">
        <v>400574.9</v>
      </c>
      <c r="C907" s="102">
        <v>670.2</v>
      </c>
      <c r="D907" s="11">
        <v>44883</v>
      </c>
      <c r="E907" s="39">
        <v>742.206</v>
      </c>
    </row>
    <row r="908" ht="16.5" spans="1:5">
      <c r="A908" s="101">
        <v>3045651</v>
      </c>
      <c r="B908" s="102">
        <v>400574.9</v>
      </c>
      <c r="C908" s="102">
        <v>670.2</v>
      </c>
      <c r="D908" s="11">
        <v>44884</v>
      </c>
      <c r="E908" s="39">
        <v>740.606</v>
      </c>
    </row>
    <row r="909" ht="16.5" spans="1:5">
      <c r="A909" s="101">
        <v>3045651</v>
      </c>
      <c r="B909" s="102">
        <v>400574.9</v>
      </c>
      <c r="C909" s="102">
        <v>670.2</v>
      </c>
      <c r="D909" s="11">
        <v>44885</v>
      </c>
      <c r="E909" s="39">
        <v>740.106</v>
      </c>
    </row>
    <row r="910" ht="16.5" spans="1:5">
      <c r="A910" s="101">
        <v>3045651</v>
      </c>
      <c r="B910" s="102">
        <v>400574.9</v>
      </c>
      <c r="C910" s="102">
        <v>670.2</v>
      </c>
      <c r="D910" s="11">
        <v>44886</v>
      </c>
      <c r="E910" s="39">
        <v>739.306</v>
      </c>
    </row>
    <row r="911" ht="16.5" spans="1:5">
      <c r="A911" s="101">
        <v>3045651</v>
      </c>
      <c r="B911" s="102">
        <v>400574.9</v>
      </c>
      <c r="C911" s="102">
        <v>670.2</v>
      </c>
      <c r="D911" s="11">
        <v>44887</v>
      </c>
      <c r="E911" s="38">
        <v>739.206</v>
      </c>
    </row>
    <row r="912" ht="16.5" spans="1:5">
      <c r="A912" s="101">
        <v>3045651</v>
      </c>
      <c r="B912" s="102">
        <v>400574.9</v>
      </c>
      <c r="C912" s="102">
        <v>670.2</v>
      </c>
      <c r="D912" s="11">
        <v>44888</v>
      </c>
      <c r="E912" s="39">
        <v>738.506</v>
      </c>
    </row>
    <row r="913" ht="16.5" spans="1:5">
      <c r="A913" s="101">
        <v>3045651</v>
      </c>
      <c r="B913" s="102">
        <v>400574.9</v>
      </c>
      <c r="C913" s="102">
        <v>670.2</v>
      </c>
      <c r="D913" s="11">
        <v>44889</v>
      </c>
      <c r="E913" s="39">
        <v>738.006</v>
      </c>
    </row>
    <row r="914" ht="16.5" spans="1:5">
      <c r="A914" s="101">
        <v>3045651</v>
      </c>
      <c r="B914" s="102">
        <v>400574.9</v>
      </c>
      <c r="C914" s="102">
        <v>670.2</v>
      </c>
      <c r="D914" s="11">
        <v>44890</v>
      </c>
      <c r="E914" s="39">
        <v>738.706</v>
      </c>
    </row>
    <row r="915" ht="16.5" spans="1:5">
      <c r="A915" s="101">
        <v>3045651</v>
      </c>
      <c r="B915" s="102">
        <v>400574.9</v>
      </c>
      <c r="C915" s="102">
        <v>670.2</v>
      </c>
      <c r="D915" s="11">
        <v>44891</v>
      </c>
      <c r="E915" s="39">
        <v>738.906</v>
      </c>
    </row>
    <row r="916" ht="16.5" spans="1:5">
      <c r="A916" s="101">
        <v>3045651</v>
      </c>
      <c r="B916" s="102">
        <v>400574.9</v>
      </c>
      <c r="C916" s="102">
        <v>670.2</v>
      </c>
      <c r="D916" s="11">
        <v>44892</v>
      </c>
      <c r="E916" s="39">
        <v>737.106</v>
      </c>
    </row>
    <row r="917" ht="16.5" spans="1:5">
      <c r="A917" s="101">
        <v>3045651</v>
      </c>
      <c r="B917" s="102">
        <v>400574.9</v>
      </c>
      <c r="C917" s="102">
        <v>670.2</v>
      </c>
      <c r="D917" s="11">
        <v>44893</v>
      </c>
      <c r="E917" s="39">
        <v>736.506</v>
      </c>
    </row>
    <row r="918" ht="16.5" spans="1:5">
      <c r="A918" s="101">
        <v>3045651</v>
      </c>
      <c r="B918" s="102">
        <v>400574.9</v>
      </c>
      <c r="C918" s="102">
        <v>670.2</v>
      </c>
      <c r="D918" s="11">
        <v>44894</v>
      </c>
      <c r="E918" s="39">
        <v>736.006</v>
      </c>
    </row>
    <row r="919" ht="16.5" spans="1:5">
      <c r="A919" s="101">
        <v>3045651</v>
      </c>
      <c r="B919" s="102">
        <v>400574.9</v>
      </c>
      <c r="C919" s="102">
        <v>670.2</v>
      </c>
      <c r="D919" s="11">
        <v>44895</v>
      </c>
      <c r="E919" s="39">
        <v>735.706</v>
      </c>
    </row>
    <row r="920" ht="16.5" spans="1:5">
      <c r="A920" s="101">
        <v>3045651</v>
      </c>
      <c r="B920" s="102">
        <v>400574.9</v>
      </c>
      <c r="C920" s="102">
        <v>670.2</v>
      </c>
      <c r="D920" s="11">
        <v>44896</v>
      </c>
      <c r="E920" s="39">
        <v>735.206</v>
      </c>
    </row>
    <row r="921" ht="16.5" spans="1:5">
      <c r="A921" s="101">
        <v>3045651</v>
      </c>
      <c r="B921" s="102">
        <v>400574.9</v>
      </c>
      <c r="C921" s="102">
        <v>670.2</v>
      </c>
      <c r="D921" s="11">
        <v>44897</v>
      </c>
      <c r="E921" s="39">
        <v>734.906</v>
      </c>
    </row>
    <row r="922" ht="16.5" spans="1:5">
      <c r="A922" s="101">
        <v>3045651</v>
      </c>
      <c r="B922" s="102">
        <v>400574.9</v>
      </c>
      <c r="C922" s="102">
        <v>670.2</v>
      </c>
      <c r="D922" s="11">
        <v>44898</v>
      </c>
      <c r="E922" s="39">
        <v>734.606</v>
      </c>
    </row>
    <row r="923" ht="16.5" spans="1:5">
      <c r="A923" s="101">
        <v>3045651</v>
      </c>
      <c r="B923" s="102">
        <v>400574.9</v>
      </c>
      <c r="C923" s="102">
        <v>670.2</v>
      </c>
      <c r="D923" s="11">
        <v>44899</v>
      </c>
      <c r="E923" s="39"/>
    </row>
    <row r="924" ht="16.5" spans="1:5">
      <c r="A924" s="101">
        <v>3045651</v>
      </c>
      <c r="B924" s="102">
        <v>400574.9</v>
      </c>
      <c r="C924" s="102">
        <v>670.2</v>
      </c>
      <c r="D924" s="11">
        <v>44900</v>
      </c>
      <c r="E924" s="39">
        <v>736.506</v>
      </c>
    </row>
    <row r="925" ht="16.5" spans="1:5">
      <c r="A925" s="101">
        <v>3045651</v>
      </c>
      <c r="B925" s="102">
        <v>400574.9</v>
      </c>
      <c r="C925" s="102">
        <v>670.2</v>
      </c>
      <c r="D925" s="11">
        <v>44901</v>
      </c>
      <c r="E925" s="39">
        <v>736.406</v>
      </c>
    </row>
    <row r="926" ht="16.5" spans="1:5">
      <c r="A926" s="101">
        <v>3045651</v>
      </c>
      <c r="B926" s="102">
        <v>400574.9</v>
      </c>
      <c r="C926" s="102">
        <v>670.2</v>
      </c>
      <c r="D926" s="11">
        <v>44902</v>
      </c>
      <c r="E926" s="39">
        <v>736.006</v>
      </c>
    </row>
    <row r="927" ht="16.5" spans="1:5">
      <c r="A927" s="101">
        <v>3045651</v>
      </c>
      <c r="B927" s="102">
        <v>400574.9</v>
      </c>
      <c r="C927" s="102">
        <v>670.2</v>
      </c>
      <c r="D927" s="11">
        <v>44903</v>
      </c>
      <c r="E927" s="37"/>
    </row>
    <row r="928" ht="16.5" spans="1:5">
      <c r="A928" s="101">
        <v>3045651</v>
      </c>
      <c r="B928" s="102">
        <v>400574.9</v>
      </c>
      <c r="C928" s="102">
        <v>670.2</v>
      </c>
      <c r="D928" s="11">
        <v>44904</v>
      </c>
      <c r="E928" s="37"/>
    </row>
    <row r="929" ht="16.5" spans="1:5">
      <c r="A929" s="101">
        <v>3045651</v>
      </c>
      <c r="B929" s="102">
        <v>400574.9</v>
      </c>
      <c r="C929" s="102">
        <v>670.2</v>
      </c>
      <c r="D929" s="11">
        <v>44905</v>
      </c>
      <c r="E929" s="37"/>
    </row>
    <row r="930" ht="16.5" spans="1:5">
      <c r="A930" s="101">
        <v>3045651</v>
      </c>
      <c r="B930" s="102">
        <v>400574.9</v>
      </c>
      <c r="C930" s="102">
        <v>670.2</v>
      </c>
      <c r="D930" s="11">
        <v>44906</v>
      </c>
      <c r="E930" s="37"/>
    </row>
    <row r="931" ht="16.5" spans="1:5">
      <c r="A931" s="101">
        <v>3045651</v>
      </c>
      <c r="B931" s="102">
        <v>400574.9</v>
      </c>
      <c r="C931" s="102">
        <v>670.2</v>
      </c>
      <c r="D931" s="11">
        <v>44907</v>
      </c>
      <c r="E931" s="37"/>
    </row>
    <row r="932" ht="16.5" spans="1:5">
      <c r="A932" s="101">
        <v>3045651</v>
      </c>
      <c r="B932" s="102">
        <v>400574.9</v>
      </c>
      <c r="C932" s="102">
        <v>670.2</v>
      </c>
      <c r="D932" s="11">
        <v>44908</v>
      </c>
      <c r="E932" s="37"/>
    </row>
    <row r="933" ht="16.5" spans="1:5">
      <c r="A933" s="101">
        <v>3045651</v>
      </c>
      <c r="B933" s="102">
        <v>400574.9</v>
      </c>
      <c r="C933" s="102">
        <v>670.2</v>
      </c>
      <c r="D933" s="11">
        <v>44909</v>
      </c>
      <c r="E933" s="37"/>
    </row>
    <row r="934" ht="16.5" spans="1:5">
      <c r="A934" s="101">
        <v>3045651</v>
      </c>
      <c r="B934" s="102">
        <v>400574.9</v>
      </c>
      <c r="C934" s="102">
        <v>670.2</v>
      </c>
      <c r="D934" s="11">
        <v>44910</v>
      </c>
      <c r="E934" s="37"/>
    </row>
    <row r="935" ht="16.5" spans="1:5">
      <c r="A935" s="101">
        <v>3045651</v>
      </c>
      <c r="B935" s="102">
        <v>400574.9</v>
      </c>
      <c r="C935" s="102">
        <v>670.2</v>
      </c>
      <c r="D935" s="11">
        <v>44911</v>
      </c>
      <c r="E935" s="37"/>
    </row>
    <row r="936" ht="16.5" spans="1:5">
      <c r="A936" s="101">
        <v>3045651</v>
      </c>
      <c r="B936" s="102">
        <v>400574.9</v>
      </c>
      <c r="C936" s="102">
        <v>670.2</v>
      </c>
      <c r="D936" s="11">
        <v>44912</v>
      </c>
      <c r="E936" s="37"/>
    </row>
    <row r="937" ht="16.5" spans="1:5">
      <c r="A937" s="101">
        <v>3045651</v>
      </c>
      <c r="B937" s="102">
        <v>400574.9</v>
      </c>
      <c r="C937" s="102">
        <v>670.2</v>
      </c>
      <c r="D937" s="11">
        <v>44913</v>
      </c>
      <c r="E937" s="37"/>
    </row>
    <row r="938" ht="16.5" spans="1:5">
      <c r="A938" s="101">
        <v>3045651</v>
      </c>
      <c r="B938" s="102">
        <v>400574.9</v>
      </c>
      <c r="C938" s="102">
        <v>670.2</v>
      </c>
      <c r="D938" s="11">
        <v>44914</v>
      </c>
      <c r="E938" s="37"/>
    </row>
    <row r="939" ht="16.5" spans="1:5">
      <c r="A939" s="101">
        <v>3045651</v>
      </c>
      <c r="B939" s="102">
        <v>400574.9</v>
      </c>
      <c r="C939" s="102">
        <v>670.2</v>
      </c>
      <c r="D939" s="11">
        <v>44915</v>
      </c>
      <c r="E939" s="37"/>
    </row>
    <row r="940" ht="16.5" spans="1:5">
      <c r="A940" s="101">
        <v>3045651</v>
      </c>
      <c r="B940" s="102">
        <v>400574.9</v>
      </c>
      <c r="C940" s="102">
        <v>670.2</v>
      </c>
      <c r="D940" s="11">
        <v>44916</v>
      </c>
      <c r="E940" s="37"/>
    </row>
    <row r="941" ht="16.5" spans="1:5">
      <c r="A941" s="101">
        <v>3045651</v>
      </c>
      <c r="B941" s="102">
        <v>400574.9</v>
      </c>
      <c r="C941" s="102">
        <v>670.2</v>
      </c>
      <c r="D941" s="11">
        <v>44917</v>
      </c>
      <c r="E941" s="37"/>
    </row>
    <row r="942" ht="16.5" spans="1:5">
      <c r="A942" s="101">
        <v>3045651</v>
      </c>
      <c r="B942" s="102">
        <v>400574.9</v>
      </c>
      <c r="C942" s="102">
        <v>670.2</v>
      </c>
      <c r="D942" s="11">
        <v>44918</v>
      </c>
      <c r="E942" s="37"/>
    </row>
    <row r="943" ht="16.5" spans="1:5">
      <c r="A943" s="101">
        <v>3045651</v>
      </c>
      <c r="B943" s="102">
        <v>400574.9</v>
      </c>
      <c r="C943" s="102">
        <v>670.2</v>
      </c>
      <c r="D943" s="11">
        <v>44919</v>
      </c>
      <c r="E943" s="37"/>
    </row>
    <row r="944" ht="16.5" spans="1:5">
      <c r="A944" s="101">
        <v>3045651</v>
      </c>
      <c r="B944" s="102">
        <v>400574.9</v>
      </c>
      <c r="C944" s="102">
        <v>670.2</v>
      </c>
      <c r="D944" s="11">
        <v>44920</v>
      </c>
      <c r="E944" s="37"/>
    </row>
    <row r="945" ht="16.5" spans="1:5">
      <c r="A945" s="101">
        <v>3045651</v>
      </c>
      <c r="B945" s="102">
        <v>400574.9</v>
      </c>
      <c r="C945" s="102">
        <v>670.2</v>
      </c>
      <c r="D945" s="11">
        <v>44921</v>
      </c>
      <c r="E945" s="37"/>
    </row>
    <row r="946" ht="16.5" spans="1:5">
      <c r="A946" s="101">
        <v>3045651</v>
      </c>
      <c r="B946" s="102">
        <v>400574.9</v>
      </c>
      <c r="C946" s="102">
        <v>670.2</v>
      </c>
      <c r="D946" s="11">
        <v>44922</v>
      </c>
      <c r="E946" s="37"/>
    </row>
    <row r="947" ht="16.5" spans="1:5">
      <c r="A947" s="101">
        <v>3045651</v>
      </c>
      <c r="B947" s="102">
        <v>400574.9</v>
      </c>
      <c r="C947" s="102">
        <v>670.2</v>
      </c>
      <c r="D947" s="11">
        <v>44923</v>
      </c>
      <c r="E947" s="37"/>
    </row>
    <row r="948" ht="16.5" spans="1:5">
      <c r="A948" s="101">
        <v>3045651</v>
      </c>
      <c r="B948" s="102">
        <v>400574.9</v>
      </c>
      <c r="C948" s="102">
        <v>670.2</v>
      </c>
      <c r="D948" s="11">
        <v>44924</v>
      </c>
      <c r="E948" s="37"/>
    </row>
    <row r="949" ht="16.5" spans="1:5">
      <c r="A949" s="101">
        <v>3045651</v>
      </c>
      <c r="B949" s="102">
        <v>400574.9</v>
      </c>
      <c r="C949" s="102">
        <v>670.2</v>
      </c>
      <c r="D949" s="11">
        <v>44925</v>
      </c>
      <c r="E949" s="37"/>
    </row>
    <row r="950" ht="16.5" spans="1:5">
      <c r="A950" s="101">
        <v>3045651</v>
      </c>
      <c r="B950" s="102">
        <v>400574.9</v>
      </c>
      <c r="C950" s="102">
        <v>670.2</v>
      </c>
      <c r="D950" s="11">
        <v>44926</v>
      </c>
      <c r="E950" s="37"/>
    </row>
    <row r="951" ht="16.5" spans="1:5">
      <c r="A951" s="101">
        <v>3045651</v>
      </c>
      <c r="B951" s="102">
        <v>400574.9</v>
      </c>
      <c r="C951" s="102">
        <v>670.2</v>
      </c>
      <c r="D951" s="11">
        <v>44927</v>
      </c>
      <c r="E951" s="37"/>
    </row>
    <row r="952" ht="16.5" spans="1:5">
      <c r="A952" s="101">
        <v>3045651</v>
      </c>
      <c r="B952" s="102">
        <v>400574.9</v>
      </c>
      <c r="C952" s="102">
        <v>670.2</v>
      </c>
      <c r="D952" s="11">
        <v>44928</v>
      </c>
      <c r="E952" s="37"/>
    </row>
    <row r="953" ht="16.5" spans="1:5">
      <c r="A953" s="101">
        <v>3045651</v>
      </c>
      <c r="B953" s="102">
        <v>400574.9</v>
      </c>
      <c r="C953" s="102">
        <v>670.2</v>
      </c>
      <c r="D953" s="11">
        <v>44929</v>
      </c>
      <c r="E953" s="37"/>
    </row>
    <row r="954" ht="16.5" spans="1:5">
      <c r="A954" s="101">
        <v>3045651</v>
      </c>
      <c r="B954" s="102">
        <v>400574.9</v>
      </c>
      <c r="C954" s="102">
        <v>670.2</v>
      </c>
      <c r="D954" s="11">
        <v>44930</v>
      </c>
      <c r="E954" s="37"/>
    </row>
    <row r="955" ht="16.5" spans="1:5">
      <c r="A955" s="101">
        <v>3045651</v>
      </c>
      <c r="B955" s="102">
        <v>400574.9</v>
      </c>
      <c r="C955" s="102">
        <v>670.2</v>
      </c>
      <c r="D955" s="11">
        <v>44931</v>
      </c>
      <c r="E955" s="105"/>
    </row>
    <row r="956" ht="16.5" spans="1:5">
      <c r="A956" s="101">
        <v>3045651</v>
      </c>
      <c r="B956" s="102">
        <v>400574.9</v>
      </c>
      <c r="C956" s="102">
        <v>670.2</v>
      </c>
      <c r="D956" s="11">
        <v>44932</v>
      </c>
      <c r="E956" s="39"/>
    </row>
    <row r="957" ht="16.5" spans="1:5">
      <c r="A957" s="101">
        <v>3045651</v>
      </c>
      <c r="B957" s="102">
        <v>400574.9</v>
      </c>
      <c r="C957" s="102">
        <v>670.2</v>
      </c>
      <c r="D957" s="11">
        <v>44933</v>
      </c>
      <c r="E957" s="39"/>
    </row>
    <row r="958" ht="16.5" spans="1:5">
      <c r="A958" s="101">
        <v>3045651</v>
      </c>
      <c r="B958" s="102">
        <v>400574.9</v>
      </c>
      <c r="C958" s="102">
        <v>670.2</v>
      </c>
      <c r="D958" s="11">
        <v>44934</v>
      </c>
      <c r="E958" s="39"/>
    </row>
    <row r="959" ht="16.5" spans="1:5">
      <c r="A959" s="101">
        <v>3045651</v>
      </c>
      <c r="B959" s="102">
        <v>400574.9</v>
      </c>
      <c r="C959" s="102">
        <v>670.2</v>
      </c>
      <c r="D959" s="11">
        <v>44935</v>
      </c>
      <c r="E959" s="39"/>
    </row>
    <row r="960" ht="16.5" spans="1:5">
      <c r="A960" s="101">
        <v>3045651</v>
      </c>
      <c r="B960" s="102">
        <v>400574.9</v>
      </c>
      <c r="C960" s="102">
        <v>670.2</v>
      </c>
      <c r="D960" s="11">
        <v>44936</v>
      </c>
      <c r="E960" s="39"/>
    </row>
    <row r="961" ht="16.5" spans="1:5">
      <c r="A961" s="101">
        <v>3045651</v>
      </c>
      <c r="B961" s="102">
        <v>400574.9</v>
      </c>
      <c r="C961" s="102">
        <v>670.2</v>
      </c>
      <c r="D961" s="11">
        <v>44937</v>
      </c>
      <c r="E961" s="39"/>
    </row>
    <row r="962" ht="16.5" spans="1:5">
      <c r="A962" s="101">
        <v>3045651</v>
      </c>
      <c r="B962" s="102">
        <v>400574.9</v>
      </c>
      <c r="C962" s="102">
        <v>670.2</v>
      </c>
      <c r="D962" s="11">
        <v>44938</v>
      </c>
      <c r="E962" s="37"/>
    </row>
    <row r="963" ht="16.5" spans="1:5">
      <c r="A963" s="101">
        <v>3045651</v>
      </c>
      <c r="B963" s="102">
        <v>400574.9</v>
      </c>
      <c r="C963" s="102">
        <v>670.2</v>
      </c>
      <c r="D963" s="11">
        <v>44939</v>
      </c>
      <c r="E963" s="37"/>
    </row>
    <row r="964" ht="16.5" spans="1:5">
      <c r="A964" s="101">
        <v>3045651</v>
      </c>
      <c r="B964" s="102">
        <v>400574.9</v>
      </c>
      <c r="C964" s="102">
        <v>670.2</v>
      </c>
      <c r="D964" s="11">
        <v>44940</v>
      </c>
      <c r="E964" s="37"/>
    </row>
    <row r="965" ht="16.5" spans="1:5">
      <c r="A965" s="101">
        <v>3045651</v>
      </c>
      <c r="B965" s="102">
        <v>400574.9</v>
      </c>
      <c r="C965" s="102">
        <v>670.2</v>
      </c>
      <c r="D965" s="11">
        <v>44941</v>
      </c>
      <c r="E965" s="37"/>
    </row>
    <row r="966" ht="16.5" spans="1:5">
      <c r="A966" s="101">
        <v>3045651</v>
      </c>
      <c r="B966" s="102">
        <v>400574.9</v>
      </c>
      <c r="C966" s="102">
        <v>670.2</v>
      </c>
      <c r="D966" s="11">
        <v>44942</v>
      </c>
      <c r="E966" s="37"/>
    </row>
    <row r="967" ht="16.5" spans="1:5">
      <c r="A967" s="101">
        <v>3045651</v>
      </c>
      <c r="B967" s="102">
        <v>400574.9</v>
      </c>
      <c r="C967" s="102">
        <v>670.2</v>
      </c>
      <c r="D967" s="11">
        <v>44943</v>
      </c>
      <c r="E967" s="37"/>
    </row>
    <row r="968" ht="16.5" spans="1:5">
      <c r="A968" s="101">
        <v>3045651</v>
      </c>
      <c r="B968" s="102">
        <v>400574.9</v>
      </c>
      <c r="C968" s="102">
        <v>670.2</v>
      </c>
      <c r="D968" s="11">
        <v>44944</v>
      </c>
      <c r="E968" s="37"/>
    </row>
    <row r="969" ht="16.5" spans="1:5">
      <c r="A969" s="101">
        <v>3045651</v>
      </c>
      <c r="B969" s="102">
        <v>400574.9</v>
      </c>
      <c r="C969" s="102">
        <v>670.2</v>
      </c>
      <c r="D969" s="11">
        <v>44945</v>
      </c>
      <c r="E969" s="40"/>
    </row>
    <row r="970" ht="16.5" spans="1:5">
      <c r="A970" s="101">
        <v>3045651</v>
      </c>
      <c r="B970" s="102">
        <v>400574.9</v>
      </c>
      <c r="C970" s="102">
        <v>670.2</v>
      </c>
      <c r="D970" s="11">
        <v>44946</v>
      </c>
      <c r="E970" s="40"/>
    </row>
    <row r="971" ht="16.5" spans="1:5">
      <c r="A971" s="101">
        <v>3045651</v>
      </c>
      <c r="B971" s="102">
        <v>400574.9</v>
      </c>
      <c r="C971" s="102">
        <v>670.2</v>
      </c>
      <c r="D971" s="11">
        <v>44947</v>
      </c>
      <c r="E971" s="40"/>
    </row>
    <row r="972" ht="16.5" spans="1:5">
      <c r="A972" s="101">
        <v>3045651</v>
      </c>
      <c r="B972" s="102">
        <v>400574.9</v>
      </c>
      <c r="C972" s="102">
        <v>670.2</v>
      </c>
      <c r="D972" s="11">
        <v>44948</v>
      </c>
      <c r="E972" s="40"/>
    </row>
    <row r="973" ht="16.5" spans="1:5">
      <c r="A973" s="101">
        <v>3045651</v>
      </c>
      <c r="B973" s="102">
        <v>400574.9</v>
      </c>
      <c r="C973" s="102">
        <v>670.2</v>
      </c>
      <c r="D973" s="11">
        <v>44949</v>
      </c>
      <c r="E973" s="40"/>
    </row>
    <row r="974" ht="16.5" spans="1:5">
      <c r="A974" s="101">
        <v>3045651</v>
      </c>
      <c r="B974" s="102">
        <v>400574.9</v>
      </c>
      <c r="C974" s="102">
        <v>670.2</v>
      </c>
      <c r="D974" s="11">
        <v>44950</v>
      </c>
      <c r="E974" s="40"/>
    </row>
    <row r="975" ht="16.5" spans="1:5">
      <c r="A975" s="101">
        <v>3045651</v>
      </c>
      <c r="B975" s="102">
        <v>400574.9</v>
      </c>
      <c r="C975" s="102">
        <v>670.2</v>
      </c>
      <c r="D975" s="11">
        <v>44951</v>
      </c>
      <c r="E975" s="40"/>
    </row>
    <row r="976" ht="16.5" spans="1:5">
      <c r="A976" s="101">
        <v>3045651</v>
      </c>
      <c r="B976" s="102">
        <v>400574.9</v>
      </c>
      <c r="C976" s="102">
        <v>670.2</v>
      </c>
      <c r="D976" s="11">
        <v>44952</v>
      </c>
      <c r="E976" s="40"/>
    </row>
    <row r="977" ht="16.5" spans="1:5">
      <c r="A977" s="101">
        <v>3045651</v>
      </c>
      <c r="B977" s="102">
        <v>400574.9</v>
      </c>
      <c r="C977" s="102">
        <v>670.2</v>
      </c>
      <c r="D977" s="11">
        <v>44953</v>
      </c>
      <c r="E977" s="40"/>
    </row>
    <row r="978" ht="16.5" spans="1:5">
      <c r="A978" s="101">
        <v>3045651</v>
      </c>
      <c r="B978" s="102">
        <v>400574.9</v>
      </c>
      <c r="C978" s="102">
        <v>670.2</v>
      </c>
      <c r="D978" s="11">
        <v>44954</v>
      </c>
      <c r="E978" s="40"/>
    </row>
    <row r="979" ht="16.5" spans="1:5">
      <c r="A979" s="101">
        <v>3045651</v>
      </c>
      <c r="B979" s="102">
        <v>400574.9</v>
      </c>
      <c r="C979" s="102">
        <v>670.2</v>
      </c>
      <c r="D979" s="11">
        <v>44955</v>
      </c>
      <c r="E979" s="40"/>
    </row>
    <row r="980" ht="16.5" spans="1:5">
      <c r="A980" s="101">
        <v>3045651</v>
      </c>
      <c r="B980" s="102">
        <v>400574.9</v>
      </c>
      <c r="C980" s="102">
        <v>670.2</v>
      </c>
      <c r="D980" s="11">
        <v>44956</v>
      </c>
      <c r="E980" s="40"/>
    </row>
    <row r="981" ht="16.5" spans="1:5">
      <c r="A981" s="101">
        <v>3045651</v>
      </c>
      <c r="B981" s="102">
        <v>400574.9</v>
      </c>
      <c r="C981" s="102">
        <v>670.2</v>
      </c>
      <c r="D981" s="11">
        <v>44957</v>
      </c>
      <c r="E981" s="40"/>
    </row>
    <row r="982" ht="16.5" spans="1:5">
      <c r="A982" s="101">
        <v>3045651</v>
      </c>
      <c r="B982" s="102">
        <v>400574.9</v>
      </c>
      <c r="C982" s="102">
        <v>670.2</v>
      </c>
      <c r="D982" s="11">
        <v>44958</v>
      </c>
      <c r="E982" s="40"/>
    </row>
    <row r="983" ht="16.5" spans="1:5">
      <c r="A983" s="101">
        <v>3045651</v>
      </c>
      <c r="B983" s="102">
        <v>400574.9</v>
      </c>
      <c r="C983" s="102">
        <v>670.2</v>
      </c>
      <c r="D983" s="11">
        <v>44959</v>
      </c>
      <c r="E983" s="40"/>
    </row>
    <row r="984" ht="16.5" spans="1:5">
      <c r="A984" s="101">
        <v>3045651</v>
      </c>
      <c r="B984" s="102">
        <v>400574.9</v>
      </c>
      <c r="C984" s="102">
        <v>670.2</v>
      </c>
      <c r="D984" s="11">
        <v>44960</v>
      </c>
      <c r="E984" s="39">
        <v>723.706</v>
      </c>
    </row>
    <row r="985" ht="16.5" spans="1:5">
      <c r="A985" s="101">
        <v>3045651</v>
      </c>
      <c r="B985" s="102">
        <v>400574.9</v>
      </c>
      <c r="C985" s="102">
        <v>670.2</v>
      </c>
      <c r="D985" s="11">
        <v>44961</v>
      </c>
      <c r="E985" s="39">
        <v>726.006</v>
      </c>
    </row>
    <row r="986" ht="16.5" spans="1:5">
      <c r="A986" s="101">
        <v>3045651</v>
      </c>
      <c r="B986" s="102">
        <v>400574.9</v>
      </c>
      <c r="C986" s="102">
        <v>670.2</v>
      </c>
      <c r="D986" s="11">
        <v>44962</v>
      </c>
      <c r="E986" s="39">
        <v>726.506</v>
      </c>
    </row>
    <row r="987" ht="16.5" spans="1:5">
      <c r="A987" s="101">
        <v>3045651</v>
      </c>
      <c r="B987" s="102">
        <v>400574.9</v>
      </c>
      <c r="C987" s="102">
        <v>670.2</v>
      </c>
      <c r="D987" s="11">
        <v>44963</v>
      </c>
      <c r="E987" s="39">
        <v>726.706</v>
      </c>
    </row>
    <row r="988" ht="16.5" spans="1:5">
      <c r="A988" s="101">
        <v>3045651</v>
      </c>
      <c r="B988" s="102">
        <v>400574.9</v>
      </c>
      <c r="C988" s="102">
        <v>670.2</v>
      </c>
      <c r="D988" s="11">
        <v>44964</v>
      </c>
      <c r="E988" s="39">
        <v>726.706</v>
      </c>
    </row>
    <row r="989" ht="16.5" spans="1:5">
      <c r="A989" s="101">
        <v>3045651</v>
      </c>
      <c r="B989" s="102">
        <v>400574.9</v>
      </c>
      <c r="C989" s="102">
        <v>670.2</v>
      </c>
      <c r="D989" s="11">
        <v>44965</v>
      </c>
      <c r="E989" s="39">
        <v>726.606</v>
      </c>
    </row>
    <row r="990" ht="16.5" spans="1:5">
      <c r="A990" s="101">
        <v>3045651</v>
      </c>
      <c r="B990" s="102">
        <v>400574.9</v>
      </c>
      <c r="C990" s="102">
        <v>670.2</v>
      </c>
      <c r="D990" s="11">
        <v>44966</v>
      </c>
      <c r="E990" s="39">
        <v>726.406</v>
      </c>
    </row>
    <row r="991" ht="16.5" spans="1:5">
      <c r="A991" s="101">
        <v>3045651</v>
      </c>
      <c r="B991" s="102">
        <v>400574.9</v>
      </c>
      <c r="C991" s="102">
        <v>670.2</v>
      </c>
      <c r="D991" s="11">
        <v>44967</v>
      </c>
      <c r="E991" s="39">
        <v>726.406</v>
      </c>
    </row>
    <row r="992" ht="16.5" spans="1:5">
      <c r="A992" s="101">
        <v>3045651</v>
      </c>
      <c r="B992" s="102">
        <v>400574.9</v>
      </c>
      <c r="C992" s="102">
        <v>670.2</v>
      </c>
      <c r="D992" s="11">
        <v>44968</v>
      </c>
      <c r="E992" s="39">
        <v>726.306</v>
      </c>
    </row>
    <row r="993" ht="16.5" spans="1:5">
      <c r="A993" s="101">
        <v>3045651</v>
      </c>
      <c r="B993" s="102">
        <v>400574.9</v>
      </c>
      <c r="C993" s="102">
        <v>670.2</v>
      </c>
      <c r="D993" s="11">
        <v>44969</v>
      </c>
      <c r="E993" s="39">
        <v>726.306</v>
      </c>
    </row>
    <row r="994" ht="16.5" spans="1:5">
      <c r="A994" s="101">
        <v>3045651</v>
      </c>
      <c r="B994" s="102">
        <v>400574.9</v>
      </c>
      <c r="C994" s="102">
        <v>670.2</v>
      </c>
      <c r="D994" s="11">
        <v>44970</v>
      </c>
      <c r="E994" s="38">
        <v>726.106</v>
      </c>
    </row>
    <row r="995" ht="16.5" spans="1:5">
      <c r="A995" s="101">
        <v>3045651</v>
      </c>
      <c r="B995" s="102">
        <v>400574.9</v>
      </c>
      <c r="C995" s="102">
        <v>670.2</v>
      </c>
      <c r="D995" s="11">
        <v>44971</v>
      </c>
      <c r="E995" s="39">
        <v>725.806</v>
      </c>
    </row>
    <row r="996" ht="16.5" spans="1:5">
      <c r="A996" s="101">
        <v>3045651</v>
      </c>
      <c r="B996" s="102">
        <v>400574.9</v>
      </c>
      <c r="C996" s="102">
        <v>670.2</v>
      </c>
      <c r="D996" s="11">
        <v>44972</v>
      </c>
      <c r="E996" s="39">
        <v>725.506</v>
      </c>
    </row>
    <row r="997" ht="16.5" spans="1:5">
      <c r="A997" s="101">
        <v>3045651</v>
      </c>
      <c r="B997" s="102">
        <v>400574.9</v>
      </c>
      <c r="C997" s="102">
        <v>670.2</v>
      </c>
      <c r="D997" s="11">
        <v>44973</v>
      </c>
      <c r="E997" s="39"/>
    </row>
    <row r="998" ht="16.5" spans="1:5">
      <c r="A998" s="101">
        <v>3045651</v>
      </c>
      <c r="B998" s="102">
        <v>400574.9</v>
      </c>
      <c r="C998" s="102">
        <v>670.2</v>
      </c>
      <c r="D998" s="11">
        <v>44974</v>
      </c>
      <c r="E998" s="39"/>
    </row>
    <row r="999" ht="16.5" spans="1:5">
      <c r="A999" s="101">
        <v>3045651</v>
      </c>
      <c r="B999" s="102">
        <v>400574.9</v>
      </c>
      <c r="C999" s="102">
        <v>670.2</v>
      </c>
      <c r="D999" s="11">
        <v>44975</v>
      </c>
      <c r="E999" s="39"/>
    </row>
    <row r="1000" ht="16.5" spans="1:5">
      <c r="A1000" s="101">
        <v>3045651</v>
      </c>
      <c r="B1000" s="102">
        <v>400574.9</v>
      </c>
      <c r="C1000" s="102">
        <v>670.2</v>
      </c>
      <c r="D1000" s="11">
        <v>44976</v>
      </c>
      <c r="E1000" s="39"/>
    </row>
    <row r="1001" ht="16.5" spans="1:5">
      <c r="A1001" s="101">
        <v>3045651</v>
      </c>
      <c r="B1001" s="102">
        <v>400574.9</v>
      </c>
      <c r="C1001" s="102">
        <v>670.2</v>
      </c>
      <c r="D1001" s="11">
        <v>44977</v>
      </c>
      <c r="E1001" s="39">
        <v>722.506</v>
      </c>
    </row>
    <row r="1002" ht="16.5" spans="1:5">
      <c r="A1002" s="101">
        <v>3045651</v>
      </c>
      <c r="B1002" s="102">
        <v>400574.9</v>
      </c>
      <c r="C1002" s="102">
        <v>670.2</v>
      </c>
      <c r="D1002" s="11">
        <v>44978</v>
      </c>
      <c r="E1002" s="39"/>
    </row>
    <row r="1003" ht="16.5" spans="1:5">
      <c r="A1003" s="101">
        <v>3045651</v>
      </c>
      <c r="B1003" s="102">
        <v>400574.9</v>
      </c>
      <c r="C1003" s="102">
        <v>670.2</v>
      </c>
      <c r="D1003" s="11">
        <v>44979</v>
      </c>
      <c r="E1003" s="39"/>
    </row>
    <row r="1004" ht="16.5" spans="1:5">
      <c r="A1004" s="101">
        <v>3045651</v>
      </c>
      <c r="B1004" s="102">
        <v>400574.9</v>
      </c>
      <c r="C1004" s="102">
        <v>670.2</v>
      </c>
      <c r="D1004" s="11">
        <v>44980</v>
      </c>
      <c r="E1004" s="39"/>
    </row>
    <row r="1005" ht="16.5" spans="1:5">
      <c r="A1005" s="101">
        <v>3045651</v>
      </c>
      <c r="B1005" s="102">
        <v>400574.9</v>
      </c>
      <c r="C1005" s="102">
        <v>670.2</v>
      </c>
      <c r="D1005" s="11">
        <v>44981</v>
      </c>
      <c r="E1005" s="37"/>
    </row>
    <row r="1006" ht="16.5" spans="1:5">
      <c r="A1006" s="101">
        <v>3045651</v>
      </c>
      <c r="B1006" s="102">
        <v>400574.9</v>
      </c>
      <c r="C1006" s="102">
        <v>670.2</v>
      </c>
      <c r="D1006" s="11">
        <v>44982</v>
      </c>
      <c r="E1006" s="37"/>
    </row>
    <row r="1007" ht="16.5" spans="1:5">
      <c r="A1007" s="101">
        <v>3045651</v>
      </c>
      <c r="B1007" s="102">
        <v>400574.9</v>
      </c>
      <c r="C1007" s="102">
        <v>670.2</v>
      </c>
      <c r="D1007" s="11">
        <v>44983</v>
      </c>
      <c r="E1007" s="37"/>
    </row>
    <row r="1008" ht="16.5" spans="1:5">
      <c r="A1008" s="101">
        <v>3045651</v>
      </c>
      <c r="B1008" s="102">
        <v>400574.9</v>
      </c>
      <c r="C1008" s="102">
        <v>670.2</v>
      </c>
      <c r="D1008" s="11">
        <v>44984</v>
      </c>
      <c r="E1008" s="37"/>
    </row>
    <row r="1009" ht="16.5" spans="1:5">
      <c r="A1009" s="101">
        <v>3045651</v>
      </c>
      <c r="B1009" s="102">
        <v>400574.9</v>
      </c>
      <c r="C1009" s="102">
        <v>670.2</v>
      </c>
      <c r="D1009" s="11">
        <v>44985</v>
      </c>
      <c r="E1009" s="37"/>
    </row>
    <row r="1010" ht="16.5" spans="1:5">
      <c r="A1010" s="101">
        <v>3045651</v>
      </c>
      <c r="B1010" s="102">
        <v>400574.9</v>
      </c>
      <c r="C1010" s="102">
        <v>670.2</v>
      </c>
      <c r="D1010" s="11">
        <v>44986</v>
      </c>
      <c r="E1010" s="37"/>
    </row>
    <row r="1011" ht="16.5" spans="1:5">
      <c r="A1011" s="101">
        <v>3045651</v>
      </c>
      <c r="B1011" s="102">
        <v>400574.9</v>
      </c>
      <c r="C1011" s="102">
        <v>670.2</v>
      </c>
      <c r="D1011" s="11">
        <v>44987</v>
      </c>
      <c r="E1011" s="37"/>
    </row>
    <row r="1012" ht="16.5" spans="1:5">
      <c r="A1012" s="101">
        <v>3045651</v>
      </c>
      <c r="B1012" s="102">
        <v>400574.9</v>
      </c>
      <c r="C1012" s="102">
        <v>670.2</v>
      </c>
      <c r="D1012" s="11">
        <v>44988</v>
      </c>
      <c r="E1012" s="37"/>
    </row>
    <row r="1013" ht="16.5" spans="1:5">
      <c r="A1013" s="101">
        <v>3045651</v>
      </c>
      <c r="B1013" s="102">
        <v>400574.9</v>
      </c>
      <c r="C1013" s="102">
        <v>670.2</v>
      </c>
      <c r="D1013" s="11">
        <v>44989</v>
      </c>
      <c r="E1013" s="37"/>
    </row>
    <row r="1014" ht="16.5" spans="1:5">
      <c r="A1014" s="101">
        <v>3045651</v>
      </c>
      <c r="B1014" s="102">
        <v>400574.9</v>
      </c>
      <c r="C1014" s="102">
        <v>670.2</v>
      </c>
      <c r="D1014" s="11">
        <v>44990</v>
      </c>
      <c r="E1014" s="37"/>
    </row>
    <row r="1015" ht="16.5" spans="1:5">
      <c r="A1015" s="101">
        <v>3045651</v>
      </c>
      <c r="B1015" s="102">
        <v>400574.9</v>
      </c>
      <c r="C1015" s="102">
        <v>670.2</v>
      </c>
      <c r="D1015" s="11">
        <v>44991</v>
      </c>
      <c r="E1015" s="37"/>
    </row>
    <row r="1016" ht="16.5" spans="1:5">
      <c r="A1016" s="101">
        <v>3045651</v>
      </c>
      <c r="B1016" s="102">
        <v>400574.9</v>
      </c>
      <c r="C1016" s="102">
        <v>670.2</v>
      </c>
      <c r="D1016" s="11">
        <v>44992</v>
      </c>
      <c r="E1016" s="37"/>
    </row>
    <row r="1017" ht="16.5" spans="1:5">
      <c r="A1017" s="101">
        <v>3045651</v>
      </c>
      <c r="B1017" s="102">
        <v>400574.9</v>
      </c>
      <c r="C1017" s="102">
        <v>670.2</v>
      </c>
      <c r="D1017" s="11">
        <v>44993</v>
      </c>
      <c r="E1017" s="37"/>
    </row>
    <row r="1018" ht="16.5" spans="1:5">
      <c r="A1018" s="101">
        <v>3045651</v>
      </c>
      <c r="B1018" s="102">
        <v>400574.9</v>
      </c>
      <c r="C1018" s="102">
        <v>670.2</v>
      </c>
      <c r="D1018" s="11">
        <v>44994</v>
      </c>
      <c r="E1018" s="37"/>
    </row>
    <row r="1019" ht="16.5" spans="1:5">
      <c r="A1019" s="101">
        <v>3045651</v>
      </c>
      <c r="B1019" s="102">
        <v>400574.9</v>
      </c>
      <c r="C1019" s="102">
        <v>670.2</v>
      </c>
      <c r="D1019" s="11">
        <v>44995</v>
      </c>
      <c r="E1019" s="37"/>
    </row>
    <row r="1020" ht="16.5" spans="1:5">
      <c r="A1020" s="101">
        <v>3045651</v>
      </c>
      <c r="B1020" s="102">
        <v>400574.9</v>
      </c>
      <c r="C1020" s="102">
        <v>670.2</v>
      </c>
      <c r="D1020" s="11">
        <v>44996</v>
      </c>
      <c r="E1020" s="37"/>
    </row>
    <row r="1021" ht="16.5" spans="1:5">
      <c r="A1021" s="101">
        <v>3045651</v>
      </c>
      <c r="B1021" s="102">
        <v>400574.9</v>
      </c>
      <c r="C1021" s="102">
        <v>670.2</v>
      </c>
      <c r="D1021" s="11">
        <v>44997</v>
      </c>
      <c r="E1021" s="37"/>
    </row>
    <row r="1022" ht="16.5" spans="1:5">
      <c r="A1022" s="101">
        <v>3045651</v>
      </c>
      <c r="B1022" s="102">
        <v>400574.9</v>
      </c>
      <c r="C1022" s="102">
        <v>670.2</v>
      </c>
      <c r="D1022" s="11">
        <v>44998</v>
      </c>
      <c r="E1022" s="37"/>
    </row>
    <row r="1023" ht="16.5" spans="1:5">
      <c r="A1023" s="101">
        <v>3045651</v>
      </c>
      <c r="B1023" s="102">
        <v>400574.9</v>
      </c>
      <c r="C1023" s="102">
        <v>670.2</v>
      </c>
      <c r="D1023" s="11">
        <v>44999</v>
      </c>
      <c r="E1023" s="37"/>
    </row>
    <row r="1024" ht="16.5" spans="1:5">
      <c r="A1024" s="101">
        <v>3045651</v>
      </c>
      <c r="B1024" s="102">
        <v>400574.9</v>
      </c>
      <c r="C1024" s="102">
        <v>670.2</v>
      </c>
      <c r="D1024" s="11">
        <v>45000</v>
      </c>
      <c r="E1024" s="37"/>
    </row>
    <row r="1025" ht="16.5" spans="1:5">
      <c r="A1025" s="101">
        <v>3045651</v>
      </c>
      <c r="B1025" s="102">
        <v>400574.9</v>
      </c>
      <c r="C1025" s="102">
        <v>670.2</v>
      </c>
      <c r="D1025" s="11">
        <v>45001</v>
      </c>
      <c r="E1025" s="37"/>
    </row>
    <row r="1026" ht="16.5" spans="1:5">
      <c r="A1026" s="101">
        <v>3045651</v>
      </c>
      <c r="B1026" s="102">
        <v>400574.9</v>
      </c>
      <c r="C1026" s="102">
        <v>670.2</v>
      </c>
      <c r="D1026" s="11">
        <v>45002</v>
      </c>
      <c r="E1026" s="40"/>
    </row>
    <row r="1027" ht="16.5" spans="1:5">
      <c r="A1027" s="101">
        <v>3045651</v>
      </c>
      <c r="B1027" s="102">
        <v>400574.9</v>
      </c>
      <c r="C1027" s="102">
        <v>670.2</v>
      </c>
      <c r="D1027" s="11">
        <v>45003</v>
      </c>
      <c r="E1027" s="39"/>
    </row>
    <row r="1028" ht="16.5" spans="1:5">
      <c r="A1028" s="101">
        <v>3045651</v>
      </c>
      <c r="B1028" s="102">
        <v>400574.9</v>
      </c>
      <c r="C1028" s="102">
        <v>670.2</v>
      </c>
      <c r="D1028" s="11">
        <v>45004</v>
      </c>
      <c r="E1028" s="39"/>
    </row>
    <row r="1029" ht="16.5" spans="1:5">
      <c r="A1029" s="101">
        <v>3045651</v>
      </c>
      <c r="B1029" s="102">
        <v>400574.9</v>
      </c>
      <c r="C1029" s="102">
        <v>670.2</v>
      </c>
      <c r="D1029" s="11">
        <v>45005</v>
      </c>
      <c r="E1029" s="39"/>
    </row>
    <row r="1030" ht="16.5" spans="1:5">
      <c r="A1030" s="101">
        <v>3045651</v>
      </c>
      <c r="B1030" s="102">
        <v>400574.9</v>
      </c>
      <c r="C1030" s="102">
        <v>670.2</v>
      </c>
      <c r="D1030" s="11">
        <v>45006</v>
      </c>
      <c r="E1030" s="39"/>
    </row>
    <row r="1031" ht="16.5" spans="1:5">
      <c r="A1031" s="101">
        <v>3045651</v>
      </c>
      <c r="B1031" s="102">
        <v>400574.9</v>
      </c>
      <c r="C1031" s="102">
        <v>670.2</v>
      </c>
      <c r="D1031" s="11">
        <v>45007</v>
      </c>
      <c r="E1031" s="39"/>
    </row>
    <row r="1032" ht="16.5" spans="1:5">
      <c r="A1032" s="101">
        <v>3045651</v>
      </c>
      <c r="B1032" s="102">
        <v>400574.9</v>
      </c>
      <c r="C1032" s="102">
        <v>670.2</v>
      </c>
      <c r="D1032" s="11">
        <v>45008</v>
      </c>
      <c r="E1032" s="39"/>
    </row>
    <row r="1033" ht="16.5" spans="1:5">
      <c r="A1033" s="101">
        <v>3045651</v>
      </c>
      <c r="B1033" s="102">
        <v>400574.9</v>
      </c>
      <c r="C1033" s="102">
        <v>670.2</v>
      </c>
      <c r="D1033" s="11">
        <v>45009</v>
      </c>
      <c r="E1033" s="37"/>
    </row>
    <row r="1034" ht="16.5" spans="1:5">
      <c r="A1034" s="101">
        <v>3045651</v>
      </c>
      <c r="B1034" s="102">
        <v>400574.9</v>
      </c>
      <c r="C1034" s="102">
        <v>670.2</v>
      </c>
      <c r="D1034" s="11">
        <v>45010</v>
      </c>
      <c r="E1034" s="37"/>
    </row>
    <row r="1035" ht="16.5" spans="1:5">
      <c r="A1035" s="101">
        <v>3045651</v>
      </c>
      <c r="B1035" s="102">
        <v>400574.9</v>
      </c>
      <c r="C1035" s="102">
        <v>670.2</v>
      </c>
      <c r="D1035" s="11">
        <v>45011</v>
      </c>
      <c r="E1035" s="37"/>
    </row>
    <row r="1036" ht="16.5" spans="1:5">
      <c r="A1036" s="101">
        <v>3045651</v>
      </c>
      <c r="B1036" s="102">
        <v>400574.9</v>
      </c>
      <c r="C1036" s="102">
        <v>670.2</v>
      </c>
      <c r="D1036" s="11">
        <v>45012</v>
      </c>
      <c r="E1036" s="37"/>
    </row>
    <row r="1037" ht="16.5" spans="1:5">
      <c r="A1037" s="101">
        <v>3045651</v>
      </c>
      <c r="B1037" s="102">
        <v>400574.9</v>
      </c>
      <c r="C1037" s="102">
        <v>670.2</v>
      </c>
      <c r="D1037" s="11">
        <v>45013</v>
      </c>
      <c r="E1037" s="37"/>
    </row>
    <row r="1038" ht="16.5" spans="1:5">
      <c r="A1038" s="101">
        <v>3045651</v>
      </c>
      <c r="B1038" s="102">
        <v>400574.9</v>
      </c>
      <c r="C1038" s="102">
        <v>670.2</v>
      </c>
      <c r="D1038" s="11">
        <v>45014</v>
      </c>
      <c r="E1038" s="37"/>
    </row>
    <row r="1039" ht="16.5" spans="1:5">
      <c r="A1039" s="101">
        <v>3045651</v>
      </c>
      <c r="B1039" s="102">
        <v>400574.9</v>
      </c>
      <c r="C1039" s="102">
        <v>670.2</v>
      </c>
      <c r="D1039" s="11">
        <v>45015</v>
      </c>
      <c r="E1039" s="37"/>
    </row>
    <row r="1040" ht="16.5" spans="1:5">
      <c r="A1040" s="101">
        <v>3045651</v>
      </c>
      <c r="B1040" s="102">
        <v>400574.9</v>
      </c>
      <c r="C1040" s="102">
        <v>670.2</v>
      </c>
      <c r="D1040" s="11">
        <v>45016</v>
      </c>
      <c r="E1040" s="37"/>
    </row>
    <row r="1041" ht="16.5" spans="1:5">
      <c r="A1041" s="101">
        <v>3045651</v>
      </c>
      <c r="B1041" s="102">
        <v>400574.9</v>
      </c>
      <c r="C1041" s="102">
        <v>670.2</v>
      </c>
      <c r="D1041" s="11">
        <v>45017</v>
      </c>
      <c r="E1041" s="37"/>
    </row>
    <row r="1042" ht="16.5" spans="1:5">
      <c r="A1042" s="101">
        <v>3045651</v>
      </c>
      <c r="B1042" s="102">
        <v>400574.9</v>
      </c>
      <c r="C1042" s="102">
        <v>670.2</v>
      </c>
      <c r="D1042" s="11">
        <v>45018</v>
      </c>
      <c r="E1042" s="37"/>
    </row>
    <row r="1043" ht="16.5" spans="1:5">
      <c r="A1043" s="101">
        <v>3045651</v>
      </c>
      <c r="B1043" s="102">
        <v>400574.9</v>
      </c>
      <c r="C1043" s="102">
        <v>670.2</v>
      </c>
      <c r="D1043" s="11">
        <v>45019</v>
      </c>
      <c r="E1043" s="37"/>
    </row>
    <row r="1044" ht="16.5" spans="1:5">
      <c r="A1044" s="101">
        <v>3045651</v>
      </c>
      <c r="B1044" s="102">
        <v>400574.9</v>
      </c>
      <c r="C1044" s="102">
        <v>670.2</v>
      </c>
      <c r="D1044" s="11">
        <v>45020</v>
      </c>
      <c r="E1044" s="37"/>
    </row>
    <row r="1045" ht="16.5" spans="1:5">
      <c r="A1045" s="101">
        <v>3045651</v>
      </c>
      <c r="B1045" s="102">
        <v>400574.9</v>
      </c>
      <c r="C1045" s="102">
        <v>670.2</v>
      </c>
      <c r="D1045" s="11">
        <v>45021</v>
      </c>
      <c r="E1045" s="37"/>
    </row>
    <row r="1046" ht="16.5" spans="1:5">
      <c r="A1046" s="101">
        <v>3045651</v>
      </c>
      <c r="B1046" s="102">
        <v>400574.9</v>
      </c>
      <c r="C1046" s="102">
        <v>670.2</v>
      </c>
      <c r="D1046" s="11">
        <v>45022</v>
      </c>
      <c r="E1046" s="37"/>
    </row>
    <row r="1047" ht="16.5" spans="1:5">
      <c r="A1047" s="101">
        <v>3045651</v>
      </c>
      <c r="B1047" s="102">
        <v>400574.9</v>
      </c>
      <c r="C1047" s="102">
        <v>670.2</v>
      </c>
      <c r="D1047" s="11">
        <v>45023</v>
      </c>
      <c r="E1047" s="39"/>
    </row>
    <row r="1048" ht="16.5" spans="1:5">
      <c r="A1048" s="101">
        <v>3045651</v>
      </c>
      <c r="B1048" s="102">
        <v>400574.9</v>
      </c>
      <c r="C1048" s="102">
        <v>670.2</v>
      </c>
      <c r="D1048" s="11">
        <v>45024</v>
      </c>
      <c r="E1048" s="39"/>
    </row>
    <row r="1049" ht="16.5" spans="1:5">
      <c r="A1049" s="101">
        <v>3045651</v>
      </c>
      <c r="B1049" s="102">
        <v>400574.9</v>
      </c>
      <c r="C1049" s="102">
        <v>670.2</v>
      </c>
      <c r="D1049" s="11">
        <v>45025</v>
      </c>
      <c r="E1049" s="39"/>
    </row>
    <row r="1050" ht="16.5" spans="1:5">
      <c r="A1050" s="101">
        <v>3045651</v>
      </c>
      <c r="B1050" s="102">
        <v>400574.9</v>
      </c>
      <c r="C1050" s="102">
        <v>670.2</v>
      </c>
      <c r="D1050" s="11">
        <v>45026</v>
      </c>
      <c r="E1050" s="39"/>
    </row>
    <row r="1051" ht="16.5" spans="1:5">
      <c r="A1051" s="101">
        <v>3045651</v>
      </c>
      <c r="B1051" s="102">
        <v>400574.9</v>
      </c>
      <c r="C1051" s="102">
        <v>670.2</v>
      </c>
      <c r="D1051" s="11">
        <v>45027</v>
      </c>
      <c r="E1051" s="39"/>
    </row>
    <row r="1052" ht="16.5" spans="1:5">
      <c r="A1052" s="101">
        <v>3045651</v>
      </c>
      <c r="B1052" s="102">
        <v>400574.9</v>
      </c>
      <c r="C1052" s="102">
        <v>670.2</v>
      </c>
      <c r="D1052" s="11">
        <v>45028</v>
      </c>
      <c r="E1052" s="39"/>
    </row>
    <row r="1053" ht="16.5" spans="1:5">
      <c r="A1053" s="101">
        <v>3045651</v>
      </c>
      <c r="B1053" s="102">
        <v>400574.9</v>
      </c>
      <c r="C1053" s="102">
        <v>670.2</v>
      </c>
      <c r="D1053" s="11">
        <v>45029</v>
      </c>
      <c r="E1053" s="39"/>
    </row>
    <row r="1054" ht="16.5" spans="1:5">
      <c r="A1054" s="101">
        <v>3045651</v>
      </c>
      <c r="B1054" s="102">
        <v>400574.9</v>
      </c>
      <c r="C1054" s="102">
        <v>670.2</v>
      </c>
      <c r="D1054" s="11">
        <v>45030</v>
      </c>
      <c r="E1054" s="39"/>
    </row>
    <row r="1055" ht="16.5" spans="1:5">
      <c r="A1055" s="101">
        <v>3045651</v>
      </c>
      <c r="B1055" s="102">
        <v>400574.9</v>
      </c>
      <c r="C1055" s="102">
        <v>670.2</v>
      </c>
      <c r="D1055" s="11">
        <v>45031</v>
      </c>
      <c r="E1055" s="39"/>
    </row>
    <row r="1056" ht="16.5" spans="1:5">
      <c r="A1056" s="101">
        <v>3045651</v>
      </c>
      <c r="B1056" s="102">
        <v>400574.9</v>
      </c>
      <c r="C1056" s="102">
        <v>670.2</v>
      </c>
      <c r="D1056" s="11">
        <v>45032</v>
      </c>
      <c r="E1056" s="39"/>
    </row>
    <row r="1057" ht="16.5" spans="1:5">
      <c r="A1057" s="101">
        <v>3045651</v>
      </c>
      <c r="B1057" s="102">
        <v>400574.9</v>
      </c>
      <c r="C1057" s="102">
        <v>670.2</v>
      </c>
      <c r="D1057" s="11">
        <v>45033</v>
      </c>
      <c r="E1057" s="39"/>
    </row>
    <row r="1058" ht="16.5" spans="1:5">
      <c r="A1058" s="101">
        <v>3045651</v>
      </c>
      <c r="B1058" s="102">
        <v>400574.9</v>
      </c>
      <c r="C1058" s="102">
        <v>670.2</v>
      </c>
      <c r="D1058" s="11">
        <v>45034</v>
      </c>
      <c r="E1058" s="39"/>
    </row>
    <row r="1059" ht="16.5" spans="1:5">
      <c r="A1059" s="101">
        <v>3045651</v>
      </c>
      <c r="B1059" s="102">
        <v>400574.9</v>
      </c>
      <c r="C1059" s="102">
        <v>670.2</v>
      </c>
      <c r="D1059" s="11">
        <v>45035</v>
      </c>
      <c r="E1059" s="39"/>
    </row>
    <row r="1060" ht="16.5" spans="1:5">
      <c r="A1060" s="101">
        <v>3045651</v>
      </c>
      <c r="B1060" s="102">
        <v>400574.9</v>
      </c>
      <c r="C1060" s="102">
        <v>670.2</v>
      </c>
      <c r="D1060" s="11">
        <v>45036</v>
      </c>
      <c r="E1060" s="39"/>
    </row>
    <row r="1061" ht="16.5" spans="1:5">
      <c r="A1061" s="101">
        <v>3045651</v>
      </c>
      <c r="B1061" s="102">
        <v>400574.9</v>
      </c>
      <c r="C1061" s="102">
        <v>670.2</v>
      </c>
      <c r="D1061" s="11">
        <v>45037</v>
      </c>
      <c r="E1061" s="39"/>
    </row>
    <row r="1062" ht="16.5" spans="1:5">
      <c r="A1062" s="101">
        <v>3045651</v>
      </c>
      <c r="B1062" s="102">
        <v>400574.9</v>
      </c>
      <c r="C1062" s="102">
        <v>670.2</v>
      </c>
      <c r="D1062" s="11">
        <v>45038</v>
      </c>
      <c r="E1062" s="39">
        <v>704</v>
      </c>
    </row>
    <row r="1063" ht="16.5" spans="1:5">
      <c r="A1063" s="101">
        <v>3045651</v>
      </c>
      <c r="B1063" s="102">
        <v>400574.9</v>
      </c>
      <c r="C1063" s="102">
        <v>670.2</v>
      </c>
      <c r="D1063" s="11">
        <v>45039</v>
      </c>
      <c r="E1063" s="39">
        <v>703.6</v>
      </c>
    </row>
    <row r="1064" ht="16.5" spans="1:5">
      <c r="A1064" s="101">
        <v>3045651</v>
      </c>
      <c r="B1064" s="102">
        <v>400574.9</v>
      </c>
      <c r="C1064" s="102">
        <v>670.2</v>
      </c>
      <c r="D1064" s="11">
        <v>45040</v>
      </c>
      <c r="E1064" s="39">
        <v>703.1</v>
      </c>
    </row>
    <row r="1065" ht="16.5" spans="1:5">
      <c r="A1065" s="101">
        <v>3045651</v>
      </c>
      <c r="B1065" s="102">
        <v>400574.9</v>
      </c>
      <c r="C1065" s="102">
        <v>670.2</v>
      </c>
      <c r="D1065" s="11">
        <v>45041</v>
      </c>
      <c r="E1065" s="39">
        <v>702.6</v>
      </c>
    </row>
    <row r="1066" ht="16.5" spans="1:5">
      <c r="A1066" s="101">
        <v>3045651</v>
      </c>
      <c r="B1066" s="102">
        <v>400574.9</v>
      </c>
      <c r="C1066" s="102">
        <v>670.2</v>
      </c>
      <c r="D1066" s="11">
        <v>45042</v>
      </c>
      <c r="E1066" s="39">
        <v>702.25</v>
      </c>
    </row>
    <row r="1067" ht="16.5" spans="1:5">
      <c r="A1067" s="101">
        <v>3045651</v>
      </c>
      <c r="B1067" s="102">
        <v>400574.9</v>
      </c>
      <c r="C1067" s="102">
        <v>670.2</v>
      </c>
      <c r="D1067" s="11">
        <v>45043</v>
      </c>
      <c r="E1067" s="39">
        <v>701.9</v>
      </c>
    </row>
    <row r="1068" ht="16.5" spans="1:5">
      <c r="A1068" s="101">
        <v>3045651</v>
      </c>
      <c r="B1068" s="102">
        <v>400574.9</v>
      </c>
      <c r="C1068" s="102">
        <v>670.2</v>
      </c>
      <c r="D1068" s="11">
        <v>45044</v>
      </c>
      <c r="E1068" s="39">
        <v>701.4</v>
      </c>
    </row>
    <row r="1069" ht="16.5" spans="1:5">
      <c r="A1069" s="101">
        <v>3045651</v>
      </c>
      <c r="B1069" s="102">
        <v>400574.9</v>
      </c>
      <c r="C1069" s="102">
        <v>670.2</v>
      </c>
      <c r="D1069" s="11">
        <v>45045</v>
      </c>
      <c r="E1069" s="39">
        <v>701</v>
      </c>
    </row>
    <row r="1070" ht="16.5" spans="1:5">
      <c r="A1070" s="101">
        <v>3045651</v>
      </c>
      <c r="B1070" s="102">
        <v>400574.9</v>
      </c>
      <c r="C1070" s="102">
        <v>670.2</v>
      </c>
      <c r="D1070" s="11">
        <v>45046</v>
      </c>
      <c r="E1070" s="39">
        <v>700.8</v>
      </c>
    </row>
    <row r="1071" ht="16.5" spans="1:5">
      <c r="A1071" s="101">
        <v>3045651</v>
      </c>
      <c r="B1071" s="102">
        <v>400574.9</v>
      </c>
      <c r="C1071" s="102">
        <v>670.2</v>
      </c>
      <c r="D1071" s="11">
        <v>45047</v>
      </c>
      <c r="E1071" s="39">
        <v>700.6</v>
      </c>
    </row>
    <row r="1072" ht="16.5" spans="1:5">
      <c r="A1072" s="101">
        <v>3045651</v>
      </c>
      <c r="B1072" s="102">
        <v>400574.9</v>
      </c>
      <c r="C1072" s="102">
        <v>670.2</v>
      </c>
      <c r="D1072" s="11">
        <v>45048</v>
      </c>
      <c r="E1072" s="39">
        <v>700.1</v>
      </c>
    </row>
    <row r="1073" ht="16.5" spans="1:5">
      <c r="A1073" s="101">
        <v>3045651</v>
      </c>
      <c r="B1073" s="102">
        <v>400574.9</v>
      </c>
      <c r="C1073" s="102">
        <v>670.2</v>
      </c>
      <c r="D1073" s="11">
        <v>45049</v>
      </c>
      <c r="E1073" s="39"/>
    </row>
    <row r="1074" ht="16.5" spans="1:5">
      <c r="A1074" s="101">
        <v>3045651</v>
      </c>
      <c r="B1074" s="102">
        <v>400574.9</v>
      </c>
      <c r="C1074" s="102">
        <v>670.2</v>
      </c>
      <c r="D1074" s="11">
        <v>45050</v>
      </c>
      <c r="E1074" s="39"/>
    </row>
    <row r="1075" ht="16.5" spans="1:5">
      <c r="A1075" s="101">
        <v>3045651</v>
      </c>
      <c r="B1075" s="102">
        <v>400574.9</v>
      </c>
      <c r="C1075" s="102">
        <v>670.2</v>
      </c>
      <c r="D1075" s="11">
        <v>45051</v>
      </c>
      <c r="E1075" s="39"/>
    </row>
    <row r="1076" ht="16.5" spans="1:5">
      <c r="A1076" s="101">
        <v>3045651</v>
      </c>
      <c r="B1076" s="102">
        <v>400574.9</v>
      </c>
      <c r="C1076" s="102">
        <v>670.2</v>
      </c>
      <c r="D1076" s="11">
        <v>45052</v>
      </c>
      <c r="E1076" s="39"/>
    </row>
    <row r="1077" ht="16.5" spans="1:5">
      <c r="A1077" s="101">
        <v>3045651</v>
      </c>
      <c r="B1077" s="102">
        <v>400574.9</v>
      </c>
      <c r="C1077" s="102">
        <v>670.2</v>
      </c>
      <c r="D1077" s="11">
        <v>45053</v>
      </c>
      <c r="E1077" s="39"/>
    </row>
    <row r="1078" ht="16.5" spans="1:5">
      <c r="A1078" s="101">
        <v>3045651</v>
      </c>
      <c r="B1078" s="102">
        <v>400574.9</v>
      </c>
      <c r="C1078" s="102">
        <v>670.2</v>
      </c>
      <c r="D1078" s="11">
        <v>45054</v>
      </c>
      <c r="E1078" s="39"/>
    </row>
    <row r="1079" ht="16.5" spans="1:5">
      <c r="A1079" s="101">
        <v>3045651</v>
      </c>
      <c r="B1079" s="102">
        <v>400574.9</v>
      </c>
      <c r="C1079" s="102">
        <v>670.2</v>
      </c>
      <c r="D1079" s="11">
        <v>45055</v>
      </c>
      <c r="E1079" s="39"/>
    </row>
    <row r="1080" ht="16.5" spans="1:5">
      <c r="A1080" s="101">
        <v>3045651</v>
      </c>
      <c r="B1080" s="102">
        <v>400574.9</v>
      </c>
      <c r="C1080" s="102">
        <v>670.2</v>
      </c>
      <c r="D1080" s="11">
        <v>45056</v>
      </c>
      <c r="E1080" s="39">
        <v>698.4</v>
      </c>
    </row>
    <row r="1081" ht="16.5" spans="1:5">
      <c r="A1081" s="101">
        <v>3045651</v>
      </c>
      <c r="B1081" s="102">
        <v>400574.9</v>
      </c>
      <c r="C1081" s="102">
        <v>670.2</v>
      </c>
      <c r="D1081" s="11">
        <v>45057</v>
      </c>
      <c r="E1081" s="39">
        <v>698.2</v>
      </c>
    </row>
    <row r="1082" ht="16.5" spans="1:5">
      <c r="A1082" s="101">
        <v>3045651</v>
      </c>
      <c r="B1082" s="102">
        <v>400574.9</v>
      </c>
      <c r="C1082" s="102">
        <v>670.2</v>
      </c>
      <c r="D1082" s="11">
        <v>45058</v>
      </c>
      <c r="E1082" s="39"/>
    </row>
    <row r="1083" ht="16.5" spans="1:5">
      <c r="A1083" s="101">
        <v>3045651</v>
      </c>
      <c r="B1083" s="102">
        <v>400574.9</v>
      </c>
      <c r="C1083" s="102">
        <v>670.2</v>
      </c>
      <c r="D1083" s="11">
        <v>45059</v>
      </c>
      <c r="E1083" s="39">
        <v>698</v>
      </c>
    </row>
    <row r="1084" ht="16.5" spans="1:5">
      <c r="A1084" s="101">
        <v>3045651</v>
      </c>
      <c r="B1084" s="102">
        <v>400574.9</v>
      </c>
      <c r="C1084" s="102">
        <v>670.2</v>
      </c>
      <c r="D1084" s="11">
        <v>45060</v>
      </c>
      <c r="E1084" s="39">
        <v>697.8</v>
      </c>
    </row>
    <row r="1085" ht="16.5" spans="1:5">
      <c r="A1085" s="101">
        <v>3045651</v>
      </c>
      <c r="B1085" s="102">
        <v>400574.9</v>
      </c>
      <c r="C1085" s="102">
        <v>670.2</v>
      </c>
      <c r="D1085" s="11">
        <v>45061</v>
      </c>
      <c r="E1085" s="39">
        <v>697.9</v>
      </c>
    </row>
    <row r="1086" ht="16.5" spans="1:5">
      <c r="A1086" s="101">
        <v>3045651</v>
      </c>
      <c r="B1086" s="102">
        <v>400574.9</v>
      </c>
      <c r="C1086" s="102">
        <v>670.2</v>
      </c>
      <c r="D1086" s="11">
        <v>45062</v>
      </c>
      <c r="E1086" s="39">
        <v>697.9</v>
      </c>
    </row>
    <row r="1087" ht="16.5" spans="1:5">
      <c r="A1087" s="101">
        <v>3045651</v>
      </c>
      <c r="B1087" s="102">
        <v>400574.9</v>
      </c>
      <c r="C1087" s="102">
        <v>670.2</v>
      </c>
      <c r="D1087" s="11">
        <v>45063</v>
      </c>
      <c r="E1087" s="39">
        <v>697.9</v>
      </c>
    </row>
    <row r="1088" ht="16.5" spans="1:5">
      <c r="A1088" s="101">
        <v>3045651</v>
      </c>
      <c r="B1088" s="102">
        <v>400574.9</v>
      </c>
      <c r="C1088" s="102">
        <v>670.2</v>
      </c>
      <c r="D1088" s="11">
        <v>45064</v>
      </c>
      <c r="E1088" s="39">
        <v>698</v>
      </c>
    </row>
    <row r="1089" ht="16.5" spans="1:5">
      <c r="A1089" s="101">
        <v>3045651</v>
      </c>
      <c r="B1089" s="102">
        <v>400574.9</v>
      </c>
      <c r="C1089" s="102">
        <v>670.2</v>
      </c>
      <c r="D1089" s="11">
        <v>45065</v>
      </c>
      <c r="E1089" s="39">
        <v>697.8</v>
      </c>
    </row>
    <row r="1090" ht="16.5" spans="1:5">
      <c r="A1090" s="101">
        <v>3045651</v>
      </c>
      <c r="B1090" s="102">
        <v>400574.9</v>
      </c>
      <c r="C1090" s="102">
        <v>670.2</v>
      </c>
      <c r="D1090" s="11">
        <v>45066</v>
      </c>
      <c r="E1090" s="39">
        <v>697.7</v>
      </c>
    </row>
    <row r="1091" ht="16.5" spans="1:5">
      <c r="A1091" s="101">
        <v>3045651</v>
      </c>
      <c r="B1091" s="102">
        <v>400574.9</v>
      </c>
      <c r="C1091" s="102">
        <v>670.2</v>
      </c>
      <c r="D1091" s="11">
        <v>45067</v>
      </c>
      <c r="E1091" s="39">
        <v>697.7</v>
      </c>
    </row>
    <row r="1092" ht="16.5" spans="1:5">
      <c r="A1092" s="101">
        <v>3045651</v>
      </c>
      <c r="B1092" s="102">
        <v>400574.9</v>
      </c>
      <c r="C1092" s="102">
        <v>670.2</v>
      </c>
      <c r="D1092" s="11">
        <v>45068</v>
      </c>
      <c r="E1092" s="39">
        <v>697.7</v>
      </c>
    </row>
    <row r="1093" ht="16.5" spans="1:5">
      <c r="A1093" s="101">
        <v>3045651</v>
      </c>
      <c r="B1093" s="102">
        <v>400574.9</v>
      </c>
      <c r="C1093" s="102">
        <v>670.2</v>
      </c>
      <c r="D1093" s="11">
        <v>45069</v>
      </c>
      <c r="E1093" s="39">
        <v>697.3</v>
      </c>
    </row>
    <row r="1094" ht="16.5" spans="1:5">
      <c r="A1094" s="101">
        <v>3045651</v>
      </c>
      <c r="B1094" s="102">
        <v>400574.9</v>
      </c>
      <c r="C1094" s="102">
        <v>670.2</v>
      </c>
      <c r="D1094" s="11">
        <v>45070</v>
      </c>
      <c r="E1094" s="39">
        <v>697</v>
      </c>
    </row>
    <row r="1095" ht="16.5" spans="1:5">
      <c r="A1095" s="101">
        <v>3045651</v>
      </c>
      <c r="B1095" s="102">
        <v>400574.9</v>
      </c>
      <c r="C1095" s="102">
        <v>670.2</v>
      </c>
      <c r="D1095" s="11">
        <v>45071</v>
      </c>
      <c r="E1095" s="39">
        <v>697.2</v>
      </c>
    </row>
    <row r="1096" ht="16.5" spans="1:5">
      <c r="A1096" s="101">
        <v>3045651</v>
      </c>
      <c r="B1096" s="102">
        <v>400574.9</v>
      </c>
      <c r="C1096" s="102">
        <v>670.2</v>
      </c>
      <c r="D1096" s="11">
        <v>45072</v>
      </c>
      <c r="E1096" s="39">
        <v>697.2</v>
      </c>
    </row>
    <row r="1097" ht="16.5" spans="1:5">
      <c r="A1097" s="101">
        <v>3045651</v>
      </c>
      <c r="B1097" s="102">
        <v>400574.9</v>
      </c>
      <c r="C1097" s="102">
        <v>670.2</v>
      </c>
      <c r="D1097" s="11">
        <v>45073</v>
      </c>
      <c r="E1097" s="39">
        <v>697.2</v>
      </c>
    </row>
    <row r="1098" ht="16.5" spans="1:5">
      <c r="A1098" s="101">
        <v>3045651</v>
      </c>
      <c r="B1098" s="102">
        <v>400574.9</v>
      </c>
      <c r="C1098" s="102">
        <v>670.2</v>
      </c>
      <c r="D1098" s="11">
        <v>45074</v>
      </c>
      <c r="E1098" s="39">
        <v>697</v>
      </c>
    </row>
    <row r="1099" ht="16.5" spans="1:5">
      <c r="A1099" s="101">
        <v>3045651</v>
      </c>
      <c r="B1099" s="102">
        <v>400574.9</v>
      </c>
      <c r="C1099" s="102">
        <v>670.2</v>
      </c>
      <c r="D1099" s="11">
        <v>45075</v>
      </c>
      <c r="E1099" s="39">
        <v>696.7</v>
      </c>
    </row>
    <row r="1100" ht="16.5" spans="1:5">
      <c r="A1100" s="101">
        <v>3045651</v>
      </c>
      <c r="B1100" s="102">
        <v>400574.9</v>
      </c>
      <c r="C1100" s="102">
        <v>670.2</v>
      </c>
      <c r="D1100" s="11">
        <v>45076</v>
      </c>
      <c r="E1100" s="39">
        <v>696.3</v>
      </c>
    </row>
    <row r="1101" ht="16.5" spans="1:5">
      <c r="A1101" s="101">
        <v>3045651</v>
      </c>
      <c r="B1101" s="102">
        <v>400574.9</v>
      </c>
      <c r="C1101" s="102">
        <v>670.2</v>
      </c>
      <c r="D1101" s="11">
        <v>45077</v>
      </c>
      <c r="E1101" s="39">
        <v>696</v>
      </c>
    </row>
    <row r="1102" ht="16.5" spans="1:5">
      <c r="A1102" s="101">
        <v>3045651</v>
      </c>
      <c r="B1102" s="102">
        <v>400574.9</v>
      </c>
      <c r="C1102" s="102">
        <v>670.2</v>
      </c>
      <c r="D1102" s="11">
        <v>45078</v>
      </c>
      <c r="E1102" s="39">
        <v>695.68</v>
      </c>
    </row>
    <row r="1103" ht="16.5" spans="1:5">
      <c r="A1103" s="101">
        <v>3045651</v>
      </c>
      <c r="B1103" s="102">
        <v>400574.9</v>
      </c>
      <c r="C1103" s="102">
        <v>670.2</v>
      </c>
      <c r="D1103" s="11">
        <v>45079</v>
      </c>
      <c r="E1103" s="39">
        <v>695.6</v>
      </c>
    </row>
    <row r="1104" ht="16.5" spans="1:5">
      <c r="A1104" s="101">
        <v>3045651</v>
      </c>
      <c r="B1104" s="102">
        <v>400574.9</v>
      </c>
      <c r="C1104" s="102">
        <v>670.2</v>
      </c>
      <c r="D1104" s="11">
        <v>45080</v>
      </c>
      <c r="E1104" s="39">
        <v>695.5</v>
      </c>
    </row>
    <row r="1105" ht="16.5" spans="1:5">
      <c r="A1105" s="101">
        <v>3045651</v>
      </c>
      <c r="B1105" s="102">
        <v>400574.9</v>
      </c>
      <c r="C1105" s="102">
        <v>670.2</v>
      </c>
      <c r="D1105" s="11">
        <v>45081</v>
      </c>
      <c r="E1105" s="39">
        <v>694.1</v>
      </c>
    </row>
    <row r="1106" ht="16.5" spans="1:5">
      <c r="A1106" s="101">
        <v>3045651</v>
      </c>
      <c r="B1106" s="102">
        <v>400574.9</v>
      </c>
      <c r="C1106" s="102">
        <v>670.2</v>
      </c>
      <c r="D1106" s="11">
        <v>45082</v>
      </c>
      <c r="E1106" s="39">
        <v>692.7</v>
      </c>
    </row>
    <row r="1107" ht="16.5" spans="1:5">
      <c r="A1107" s="101">
        <v>3045651</v>
      </c>
      <c r="B1107" s="102">
        <v>400574.9</v>
      </c>
      <c r="C1107" s="102">
        <v>670.2</v>
      </c>
      <c r="D1107" s="11">
        <v>45083</v>
      </c>
      <c r="E1107" s="39">
        <v>692.3</v>
      </c>
    </row>
    <row r="1108" ht="16.5" spans="1:5">
      <c r="A1108" s="101">
        <v>3045651</v>
      </c>
      <c r="B1108" s="102">
        <v>400574.9</v>
      </c>
      <c r="C1108" s="102">
        <v>670.2</v>
      </c>
      <c r="D1108" s="11">
        <v>45084</v>
      </c>
      <c r="E1108" s="39">
        <v>690.8</v>
      </c>
    </row>
    <row r="1109" ht="16.5" spans="1:5">
      <c r="A1109" s="101">
        <v>3045651</v>
      </c>
      <c r="B1109" s="102">
        <v>400574.9</v>
      </c>
      <c r="C1109" s="102">
        <v>670.2</v>
      </c>
      <c r="D1109" s="11">
        <v>45085</v>
      </c>
      <c r="E1109" s="39">
        <v>688.4</v>
      </c>
    </row>
    <row r="1110" ht="16.5" spans="1:5">
      <c r="A1110" s="101">
        <v>3045651</v>
      </c>
      <c r="B1110" s="102">
        <v>400574.9</v>
      </c>
      <c r="C1110" s="102">
        <v>670.2</v>
      </c>
      <c r="D1110" s="11">
        <v>45086</v>
      </c>
      <c r="E1110" s="39">
        <v>688.6</v>
      </c>
    </row>
    <row r="1111" ht="16.5" spans="1:5">
      <c r="A1111" s="101">
        <v>3045651</v>
      </c>
      <c r="B1111" s="102">
        <v>400574.9</v>
      </c>
      <c r="C1111" s="102">
        <v>670.2</v>
      </c>
      <c r="D1111" s="11">
        <v>45087</v>
      </c>
      <c r="E1111" s="39">
        <v>686.9</v>
      </c>
    </row>
    <row r="1112" ht="16.5" spans="1:5">
      <c r="A1112" s="101">
        <v>3045651</v>
      </c>
      <c r="B1112" s="102">
        <v>400574.9</v>
      </c>
      <c r="C1112" s="102">
        <v>670.2</v>
      </c>
      <c r="D1112" s="11">
        <v>45088</v>
      </c>
      <c r="E1112" s="39">
        <v>686.6</v>
      </c>
    </row>
    <row r="1113" ht="16.5" spans="1:5">
      <c r="A1113" s="101">
        <v>3045651</v>
      </c>
      <c r="B1113" s="102">
        <v>400574.9</v>
      </c>
      <c r="C1113" s="102">
        <v>670.2</v>
      </c>
      <c r="D1113" s="11">
        <v>45089</v>
      </c>
      <c r="E1113" s="39">
        <v>686.2</v>
      </c>
    </row>
    <row r="1114" ht="16.5" spans="1:5">
      <c r="A1114" s="101">
        <v>3045651</v>
      </c>
      <c r="B1114" s="102">
        <v>400574.9</v>
      </c>
      <c r="C1114" s="102">
        <v>670.2</v>
      </c>
      <c r="D1114" s="11">
        <v>45090</v>
      </c>
      <c r="E1114" s="39">
        <v>685.4</v>
      </c>
    </row>
    <row r="1115" ht="16.5" spans="1:5">
      <c r="A1115" s="101">
        <v>3045651</v>
      </c>
      <c r="B1115" s="102">
        <v>400574.9</v>
      </c>
      <c r="C1115" s="102">
        <v>670.2</v>
      </c>
      <c r="D1115" s="11">
        <v>45091</v>
      </c>
      <c r="E1115" s="39">
        <v>685.2</v>
      </c>
    </row>
    <row r="1116" ht="16.5" spans="1:5">
      <c r="A1116" s="101">
        <v>3045651</v>
      </c>
      <c r="B1116" s="102">
        <v>400574.9</v>
      </c>
      <c r="C1116" s="102">
        <v>670.2</v>
      </c>
      <c r="D1116" s="11">
        <v>45092</v>
      </c>
      <c r="E1116" s="39">
        <v>685</v>
      </c>
    </row>
    <row r="1117" ht="16.5" spans="1:5">
      <c r="A1117" s="101">
        <v>3045651</v>
      </c>
      <c r="B1117" s="102">
        <v>400574.9</v>
      </c>
      <c r="C1117" s="102">
        <v>670.2</v>
      </c>
      <c r="D1117" s="11">
        <v>45093</v>
      </c>
      <c r="E1117" s="39">
        <v>684.7</v>
      </c>
    </row>
    <row r="1118" ht="16.5" spans="1:5">
      <c r="A1118" s="101">
        <v>3045651</v>
      </c>
      <c r="B1118" s="102">
        <v>400574.9</v>
      </c>
      <c r="C1118" s="102">
        <v>670.2</v>
      </c>
      <c r="D1118" s="11">
        <v>45094</v>
      </c>
      <c r="E1118" s="39">
        <v>684.9</v>
      </c>
    </row>
    <row r="1119" ht="16.5" spans="1:5">
      <c r="A1119" s="101">
        <v>3045651</v>
      </c>
      <c r="B1119" s="102">
        <v>400574.9</v>
      </c>
      <c r="C1119" s="102">
        <v>670.2</v>
      </c>
      <c r="D1119" s="11">
        <v>45095</v>
      </c>
      <c r="E1119" s="39">
        <v>685.4</v>
      </c>
    </row>
    <row r="1120" ht="16.5" spans="1:5">
      <c r="A1120" s="101">
        <v>3045651</v>
      </c>
      <c r="B1120" s="102">
        <v>400574.9</v>
      </c>
      <c r="C1120" s="102">
        <v>670.2</v>
      </c>
      <c r="D1120" s="11">
        <v>45096</v>
      </c>
      <c r="E1120" s="39">
        <v>685.1</v>
      </c>
    </row>
    <row r="1121" ht="16.5" spans="1:5">
      <c r="A1121" s="101">
        <v>3045651</v>
      </c>
      <c r="B1121" s="102">
        <v>400574.9</v>
      </c>
      <c r="C1121" s="102">
        <v>670.2</v>
      </c>
      <c r="D1121" s="11">
        <v>45097</v>
      </c>
      <c r="E1121" s="39">
        <v>684.8</v>
      </c>
    </row>
    <row r="1122" ht="16.5" spans="1:5">
      <c r="A1122" s="101">
        <v>3045651</v>
      </c>
      <c r="B1122" s="102">
        <v>400574.9</v>
      </c>
      <c r="C1122" s="102">
        <v>670.2</v>
      </c>
      <c r="D1122" s="11">
        <v>45098</v>
      </c>
      <c r="E1122" s="39">
        <v>684.1</v>
      </c>
    </row>
    <row r="1123" ht="16.5" spans="1:5">
      <c r="A1123" s="101">
        <v>3045651</v>
      </c>
      <c r="B1123" s="102">
        <v>400574.9</v>
      </c>
      <c r="C1123" s="102">
        <v>670.2</v>
      </c>
      <c r="D1123" s="11">
        <v>45099</v>
      </c>
      <c r="E1123" s="39">
        <v>686.1</v>
      </c>
    </row>
    <row r="1124" ht="16.5" spans="1:5">
      <c r="A1124" s="101">
        <v>3045651</v>
      </c>
      <c r="B1124" s="102">
        <v>400574.9</v>
      </c>
      <c r="C1124" s="102">
        <v>670.2</v>
      </c>
      <c r="D1124" s="11">
        <v>45100</v>
      </c>
      <c r="E1124" s="39">
        <v>686.6</v>
      </c>
    </row>
    <row r="1125" ht="16.5" spans="1:5">
      <c r="A1125" s="101">
        <v>3045651</v>
      </c>
      <c r="B1125" s="102">
        <v>400574.9</v>
      </c>
      <c r="C1125" s="102">
        <v>670.2</v>
      </c>
      <c r="D1125" s="11">
        <v>45101</v>
      </c>
      <c r="E1125" s="39">
        <v>684.8</v>
      </c>
    </row>
    <row r="1126" ht="16.5" spans="1:5">
      <c r="A1126" s="101">
        <v>3045651</v>
      </c>
      <c r="B1126" s="102">
        <v>400574.9</v>
      </c>
      <c r="C1126" s="102">
        <v>670.2</v>
      </c>
      <c r="D1126" s="11">
        <v>45102</v>
      </c>
      <c r="E1126" s="39">
        <v>683.7</v>
      </c>
    </row>
    <row r="1127" ht="16.5" spans="1:5">
      <c r="A1127" s="101">
        <v>3045651</v>
      </c>
      <c r="B1127" s="102">
        <v>400574.9</v>
      </c>
      <c r="C1127" s="102">
        <v>670.2</v>
      </c>
      <c r="D1127" s="11">
        <v>45103</v>
      </c>
      <c r="E1127" s="39">
        <v>684.4</v>
      </c>
    </row>
    <row r="1128" ht="16.5" spans="1:5">
      <c r="A1128" s="101">
        <v>3045651</v>
      </c>
      <c r="B1128" s="102">
        <v>400574.9</v>
      </c>
      <c r="C1128" s="102">
        <v>670.2</v>
      </c>
      <c r="D1128" s="11">
        <v>45104</v>
      </c>
      <c r="E1128" s="39">
        <v>684.3</v>
      </c>
    </row>
    <row r="1129" ht="16.5" spans="1:5">
      <c r="A1129" s="101">
        <v>3045651</v>
      </c>
      <c r="B1129" s="102">
        <v>400574.9</v>
      </c>
      <c r="C1129" s="102">
        <v>670.2</v>
      </c>
      <c r="D1129" s="11">
        <v>45105</v>
      </c>
      <c r="E1129" s="39">
        <v>684.9</v>
      </c>
    </row>
    <row r="1130" ht="16.5" spans="1:5">
      <c r="A1130" s="101">
        <v>3045651</v>
      </c>
      <c r="B1130" s="102">
        <v>400574.9</v>
      </c>
      <c r="C1130" s="102">
        <v>670.2</v>
      </c>
      <c r="D1130" s="11">
        <v>45106</v>
      </c>
      <c r="E1130" s="39">
        <v>686.1</v>
      </c>
    </row>
    <row r="1131" ht="16.5" spans="1:5">
      <c r="A1131" s="101">
        <v>3045651</v>
      </c>
      <c r="B1131" s="102">
        <v>400574.9</v>
      </c>
      <c r="C1131" s="102">
        <v>670.2</v>
      </c>
      <c r="D1131" s="11">
        <v>45107</v>
      </c>
      <c r="E1131" s="39">
        <v>684.5</v>
      </c>
    </row>
    <row r="1132" ht="16.5" spans="1:5">
      <c r="A1132" s="101">
        <v>3045651</v>
      </c>
      <c r="B1132" s="102">
        <v>400574.9</v>
      </c>
      <c r="C1132" s="102">
        <v>670.2</v>
      </c>
      <c r="D1132" s="11">
        <v>45108</v>
      </c>
      <c r="E1132" s="39">
        <v>679.8</v>
      </c>
    </row>
    <row r="1133" ht="16.5" spans="1:5">
      <c r="A1133" s="101">
        <v>3045651</v>
      </c>
      <c r="B1133" s="102">
        <v>400574.9</v>
      </c>
      <c r="C1133" s="102">
        <v>670.2</v>
      </c>
      <c r="D1133" s="11">
        <v>45109</v>
      </c>
      <c r="E1133" s="39">
        <v>681.2</v>
      </c>
    </row>
    <row r="1134" ht="16.5" spans="1:5">
      <c r="A1134" s="101">
        <v>3045651</v>
      </c>
      <c r="B1134" s="102">
        <v>400574.9</v>
      </c>
      <c r="C1134" s="102">
        <v>670.2</v>
      </c>
      <c r="D1134" s="11">
        <v>45110</v>
      </c>
      <c r="E1134" s="39">
        <v>681.7</v>
      </c>
    </row>
    <row r="1135" ht="16.5" spans="1:5">
      <c r="A1135" s="101">
        <v>3045651</v>
      </c>
      <c r="B1135" s="102">
        <v>400574.9</v>
      </c>
      <c r="C1135" s="102">
        <v>670.2</v>
      </c>
      <c r="D1135" s="11">
        <v>45111</v>
      </c>
      <c r="E1135" s="39">
        <v>680.1</v>
      </c>
    </row>
    <row r="1136" ht="16.5" spans="1:5">
      <c r="A1136" s="101">
        <v>3045651</v>
      </c>
      <c r="B1136" s="102">
        <v>400574.9</v>
      </c>
      <c r="C1136" s="102">
        <v>670.2</v>
      </c>
      <c r="D1136" s="11">
        <v>45112</v>
      </c>
      <c r="E1136" s="39">
        <v>681</v>
      </c>
    </row>
    <row r="1137" ht="16.5" spans="1:5">
      <c r="A1137" s="101">
        <v>3045651</v>
      </c>
      <c r="B1137" s="102">
        <v>400574.9</v>
      </c>
      <c r="C1137" s="102">
        <v>670.2</v>
      </c>
      <c r="D1137" s="11">
        <v>45113</v>
      </c>
      <c r="E1137" s="39">
        <v>682.4</v>
      </c>
    </row>
    <row r="1138" ht="16.5" spans="1:5">
      <c r="A1138" s="101">
        <v>3045651</v>
      </c>
      <c r="B1138" s="102">
        <v>400574.9</v>
      </c>
      <c r="C1138" s="102">
        <v>670.2</v>
      </c>
      <c r="D1138" s="11">
        <v>45114</v>
      </c>
      <c r="E1138" s="39">
        <v>682.1</v>
      </c>
    </row>
    <row r="1139" ht="16.5" spans="1:5">
      <c r="A1139" s="101">
        <v>3045651</v>
      </c>
      <c r="B1139" s="102">
        <v>400574.9</v>
      </c>
      <c r="C1139" s="102">
        <v>670.2</v>
      </c>
      <c r="D1139" s="11">
        <v>45115</v>
      </c>
      <c r="E1139" s="39">
        <v>682.9</v>
      </c>
    </row>
    <row r="1140" ht="16.5" spans="1:5">
      <c r="A1140" s="101">
        <v>3045651</v>
      </c>
      <c r="B1140" s="102">
        <v>400574.9</v>
      </c>
      <c r="C1140" s="102">
        <v>670.2</v>
      </c>
      <c r="D1140" s="11">
        <v>45116</v>
      </c>
      <c r="E1140" s="39">
        <v>680.9</v>
      </c>
    </row>
    <row r="1141" ht="16.5" spans="1:5">
      <c r="A1141" s="101">
        <v>3045651</v>
      </c>
      <c r="B1141" s="102">
        <v>400574.9</v>
      </c>
      <c r="C1141" s="102">
        <v>670.2</v>
      </c>
      <c r="D1141" s="11">
        <v>45117</v>
      </c>
      <c r="E1141" s="39">
        <v>681</v>
      </c>
    </row>
    <row r="1142" ht="16.5" spans="1:5">
      <c r="A1142" s="101">
        <v>3045651</v>
      </c>
      <c r="B1142" s="102">
        <v>400574.9</v>
      </c>
      <c r="C1142" s="102">
        <v>670.2</v>
      </c>
      <c r="D1142" s="11">
        <v>45118</v>
      </c>
      <c r="E1142" s="39">
        <v>681.4</v>
      </c>
    </row>
    <row r="1143" ht="16.5" spans="1:5">
      <c r="A1143" s="101">
        <v>3045651</v>
      </c>
      <c r="B1143" s="102">
        <v>400574.9</v>
      </c>
      <c r="C1143" s="102">
        <v>670.2</v>
      </c>
      <c r="D1143" s="11">
        <v>45119</v>
      </c>
      <c r="E1143" s="39">
        <v>678.9</v>
      </c>
    </row>
    <row r="1144" ht="16.5" spans="1:5">
      <c r="A1144" s="101">
        <v>3045651</v>
      </c>
      <c r="B1144" s="102">
        <v>400574.9</v>
      </c>
      <c r="C1144" s="102">
        <v>670.2</v>
      </c>
      <c r="D1144" s="11">
        <v>45120</v>
      </c>
      <c r="E1144" s="39">
        <v>678.206</v>
      </c>
    </row>
    <row r="1145" ht="16.5" spans="1:5">
      <c r="A1145" s="101">
        <v>3045651</v>
      </c>
      <c r="B1145" s="102">
        <v>400574.9</v>
      </c>
      <c r="C1145" s="102">
        <v>670.2</v>
      </c>
      <c r="D1145" s="11">
        <v>45121</v>
      </c>
      <c r="E1145" s="39">
        <v>677.806</v>
      </c>
    </row>
    <row r="1146" ht="16.5" spans="1:5">
      <c r="A1146" s="101">
        <v>3045651</v>
      </c>
      <c r="B1146" s="102">
        <v>400574.9</v>
      </c>
      <c r="C1146" s="102">
        <v>670.2</v>
      </c>
      <c r="D1146" s="11">
        <v>45122</v>
      </c>
      <c r="E1146" s="39">
        <v>677.806</v>
      </c>
    </row>
    <row r="1147" ht="16.5" spans="1:5">
      <c r="A1147" s="101">
        <v>3045651</v>
      </c>
      <c r="B1147" s="102">
        <v>400574.9</v>
      </c>
      <c r="C1147" s="102">
        <v>670.2</v>
      </c>
      <c r="D1147" s="11">
        <v>45123</v>
      </c>
      <c r="E1147" s="39">
        <v>677.806</v>
      </c>
    </row>
    <row r="1148" ht="16.5" spans="1:5">
      <c r="A1148" s="101">
        <v>3045651</v>
      </c>
      <c r="B1148" s="102">
        <v>400574.9</v>
      </c>
      <c r="C1148" s="102">
        <v>670.2</v>
      </c>
      <c r="D1148" s="11">
        <v>45124</v>
      </c>
      <c r="E1148" s="39">
        <v>678.606</v>
      </c>
    </row>
    <row r="1149" ht="16.5" spans="1:5">
      <c r="A1149" s="101">
        <v>3045651</v>
      </c>
      <c r="B1149" s="102">
        <v>400574.9</v>
      </c>
      <c r="C1149" s="102">
        <v>670.2</v>
      </c>
      <c r="D1149" s="11">
        <v>45125</v>
      </c>
      <c r="E1149" s="39">
        <v>679.106</v>
      </c>
    </row>
    <row r="1150" ht="16.5" spans="1:5">
      <c r="A1150" s="101">
        <v>3045651</v>
      </c>
      <c r="B1150" s="102">
        <v>400574.9</v>
      </c>
      <c r="C1150" s="102">
        <v>670.2</v>
      </c>
      <c r="D1150" s="11">
        <v>45126</v>
      </c>
      <c r="E1150" s="39">
        <v>679.006</v>
      </c>
    </row>
    <row r="1151" ht="16.5" spans="1:5">
      <c r="A1151" s="101">
        <v>3045651</v>
      </c>
      <c r="B1151" s="102">
        <v>400574.9</v>
      </c>
      <c r="C1151" s="102">
        <v>670.2</v>
      </c>
      <c r="D1151" s="11">
        <v>45127</v>
      </c>
      <c r="E1151" s="39">
        <v>678.2</v>
      </c>
    </row>
    <row r="1152" ht="16.5" spans="1:5">
      <c r="A1152" s="101">
        <v>3045651</v>
      </c>
      <c r="B1152" s="102">
        <v>400574.9</v>
      </c>
      <c r="C1152" s="102">
        <v>670.2</v>
      </c>
      <c r="D1152" s="11">
        <v>45128</v>
      </c>
      <c r="E1152" s="39">
        <v>678.2</v>
      </c>
    </row>
    <row r="1153" ht="16.5" spans="1:5">
      <c r="A1153" s="101">
        <v>3045651</v>
      </c>
      <c r="B1153" s="102">
        <v>400574.9</v>
      </c>
      <c r="C1153" s="102">
        <v>670.2</v>
      </c>
      <c r="D1153" s="11">
        <v>45129</v>
      </c>
      <c r="E1153" s="39">
        <v>677.6</v>
      </c>
    </row>
    <row r="1154" ht="16.5" spans="1:5">
      <c r="A1154" s="101">
        <v>3045651</v>
      </c>
      <c r="B1154" s="102">
        <v>400574.9</v>
      </c>
      <c r="C1154" s="102">
        <v>670.2</v>
      </c>
      <c r="D1154" s="11">
        <v>45130</v>
      </c>
      <c r="E1154" s="39">
        <v>678.8</v>
      </c>
    </row>
    <row r="1155" ht="16.5" spans="1:5">
      <c r="A1155" s="101">
        <v>3045651</v>
      </c>
      <c r="B1155" s="102">
        <v>400574.9</v>
      </c>
      <c r="C1155" s="102">
        <v>670.2</v>
      </c>
      <c r="D1155" s="11">
        <v>45131</v>
      </c>
      <c r="E1155" s="39">
        <v>676.6</v>
      </c>
    </row>
    <row r="1156" ht="16.5" spans="1:5">
      <c r="A1156" s="101">
        <v>3045651</v>
      </c>
      <c r="B1156" s="102">
        <v>400574.9</v>
      </c>
      <c r="C1156" s="102">
        <v>670.2</v>
      </c>
      <c r="D1156" s="11">
        <v>45132</v>
      </c>
      <c r="E1156" s="39">
        <v>676.8</v>
      </c>
    </row>
    <row r="1157" ht="16.5" spans="1:5">
      <c r="A1157" s="101">
        <v>3045651</v>
      </c>
      <c r="B1157" s="102">
        <v>400574.9</v>
      </c>
      <c r="C1157" s="102">
        <v>670.2</v>
      </c>
      <c r="D1157" s="11">
        <v>45133</v>
      </c>
      <c r="E1157" s="39">
        <v>677.8</v>
      </c>
    </row>
    <row r="1158" ht="16.5" spans="1:5">
      <c r="A1158" s="101">
        <v>3045651</v>
      </c>
      <c r="B1158" s="102">
        <v>400574.9</v>
      </c>
      <c r="C1158" s="102">
        <v>670.2</v>
      </c>
      <c r="D1158" s="11">
        <v>45134</v>
      </c>
      <c r="E1158" s="39">
        <v>677.9</v>
      </c>
    </row>
    <row r="1159" ht="16.5" spans="1:5">
      <c r="A1159" s="101">
        <v>3045651</v>
      </c>
      <c r="B1159" s="102">
        <v>400574.9</v>
      </c>
      <c r="C1159" s="102">
        <v>670.2</v>
      </c>
      <c r="D1159" s="11">
        <v>45135</v>
      </c>
      <c r="E1159" s="39">
        <v>677.7</v>
      </c>
    </row>
    <row r="1160" ht="16.5" spans="1:5">
      <c r="A1160" s="101">
        <v>3045651</v>
      </c>
      <c r="B1160" s="102">
        <v>400574.9</v>
      </c>
      <c r="C1160" s="102">
        <v>670.2</v>
      </c>
      <c r="D1160" s="11">
        <v>45136</v>
      </c>
      <c r="E1160" s="39">
        <v>677.6</v>
      </c>
    </row>
    <row r="1161" ht="16.5" spans="1:5">
      <c r="A1161" s="101">
        <v>3045651</v>
      </c>
      <c r="B1161" s="102">
        <v>400574.9</v>
      </c>
      <c r="C1161" s="102">
        <v>670.2</v>
      </c>
      <c r="D1161" s="11">
        <v>45137</v>
      </c>
      <c r="E1161" s="39">
        <v>677.3</v>
      </c>
    </row>
    <row r="1162" ht="16.5" spans="1:5">
      <c r="A1162" s="101">
        <v>3045651</v>
      </c>
      <c r="B1162" s="102">
        <v>400574.9</v>
      </c>
      <c r="C1162" s="102">
        <v>670.2</v>
      </c>
      <c r="D1162" s="11">
        <v>45138</v>
      </c>
      <c r="E1162" s="39">
        <v>677.3</v>
      </c>
    </row>
    <row r="1163" ht="16.5" spans="1:5">
      <c r="A1163" s="101">
        <v>3045651</v>
      </c>
      <c r="B1163" s="102">
        <v>400574.9</v>
      </c>
      <c r="C1163" s="102">
        <v>670.2</v>
      </c>
      <c r="D1163" s="11">
        <v>45139</v>
      </c>
      <c r="E1163" s="39">
        <v>676.6</v>
      </c>
    </row>
    <row r="1164" ht="16.5" spans="1:5">
      <c r="A1164" s="101">
        <v>3045651</v>
      </c>
      <c r="B1164" s="102">
        <v>400574.9</v>
      </c>
      <c r="C1164" s="102">
        <v>670.2</v>
      </c>
      <c r="D1164" s="11">
        <v>45140</v>
      </c>
      <c r="E1164" s="39">
        <v>676.5</v>
      </c>
    </row>
    <row r="1165" ht="16.5" spans="1:5">
      <c r="A1165" s="101">
        <v>3045651</v>
      </c>
      <c r="B1165" s="102">
        <v>400574.9</v>
      </c>
      <c r="C1165" s="102">
        <v>670.2</v>
      </c>
      <c r="D1165" s="11">
        <v>45141</v>
      </c>
      <c r="E1165" s="39">
        <v>675.981</v>
      </c>
    </row>
    <row r="1166" ht="16.5" spans="1:5">
      <c r="A1166" s="101">
        <v>3045651</v>
      </c>
      <c r="B1166" s="102">
        <v>400574.9</v>
      </c>
      <c r="C1166" s="102">
        <v>670.2</v>
      </c>
      <c r="D1166" s="11">
        <v>45142</v>
      </c>
      <c r="E1166" s="39">
        <v>675.506</v>
      </c>
    </row>
    <row r="1167" ht="16.5" spans="1:5">
      <c r="A1167" s="101">
        <v>3045651</v>
      </c>
      <c r="B1167" s="102">
        <v>400574.9</v>
      </c>
      <c r="C1167" s="102">
        <v>670.2</v>
      </c>
      <c r="D1167" s="11">
        <v>45143</v>
      </c>
      <c r="E1167" s="39">
        <v>676.756</v>
      </c>
    </row>
    <row r="1168" ht="16.5" spans="1:5">
      <c r="A1168" s="101">
        <v>3045651</v>
      </c>
      <c r="B1168" s="102">
        <v>400574.9</v>
      </c>
      <c r="C1168" s="102">
        <v>670.2</v>
      </c>
      <c r="D1168" s="11">
        <v>45144</v>
      </c>
      <c r="E1168" s="39">
        <v>677.206</v>
      </c>
    </row>
    <row r="1169" ht="16.5" spans="1:5">
      <c r="A1169" s="101">
        <v>3045651</v>
      </c>
      <c r="B1169" s="102">
        <v>400574.9</v>
      </c>
      <c r="C1169" s="102">
        <v>670.2</v>
      </c>
      <c r="D1169" s="11">
        <v>45145</v>
      </c>
      <c r="E1169" s="39">
        <v>677.506</v>
      </c>
    </row>
    <row r="1170" ht="16.5" spans="1:5">
      <c r="A1170" s="101">
        <v>3045651</v>
      </c>
      <c r="B1170" s="102">
        <v>400574.9</v>
      </c>
      <c r="C1170" s="102">
        <v>670.2</v>
      </c>
      <c r="D1170" s="11">
        <v>45146</v>
      </c>
      <c r="E1170" s="39">
        <v>677.706</v>
      </c>
    </row>
    <row r="1171" ht="16.5" spans="1:5">
      <c r="A1171" s="101">
        <v>3045651</v>
      </c>
      <c r="B1171" s="102">
        <v>400574.9</v>
      </c>
      <c r="C1171" s="102">
        <v>670.2</v>
      </c>
      <c r="D1171" s="11">
        <v>45147</v>
      </c>
      <c r="E1171" s="39">
        <v>677.306</v>
      </c>
    </row>
    <row r="1172" ht="16.5" spans="1:5">
      <c r="A1172" s="101">
        <v>3045651</v>
      </c>
      <c r="B1172" s="102">
        <v>400574.9</v>
      </c>
      <c r="C1172" s="102">
        <v>670.2</v>
      </c>
      <c r="D1172" s="11">
        <v>45148</v>
      </c>
      <c r="E1172" s="37"/>
    </row>
    <row r="1173" ht="16.5" spans="1:5">
      <c r="A1173" s="101">
        <v>3045651</v>
      </c>
      <c r="B1173" s="102">
        <v>400574.9</v>
      </c>
      <c r="C1173" s="102">
        <v>670.2</v>
      </c>
      <c r="D1173" s="11">
        <v>45149</v>
      </c>
      <c r="E1173" s="39">
        <v>677.406</v>
      </c>
    </row>
    <row r="1174" ht="16.5" spans="1:5">
      <c r="A1174" s="101">
        <v>3045651</v>
      </c>
      <c r="B1174" s="102">
        <v>400574.9</v>
      </c>
      <c r="C1174" s="102">
        <v>670.2</v>
      </c>
      <c r="D1174" s="11">
        <v>45150</v>
      </c>
      <c r="E1174" s="39">
        <v>677.906</v>
      </c>
    </row>
    <row r="1175" ht="16.5" spans="1:5">
      <c r="A1175" s="101">
        <v>3045651</v>
      </c>
      <c r="B1175" s="102">
        <v>400574.9</v>
      </c>
      <c r="C1175" s="102">
        <v>670.2</v>
      </c>
      <c r="D1175" s="11">
        <v>45151</v>
      </c>
      <c r="E1175" s="39">
        <v>677.806</v>
      </c>
    </row>
    <row r="1176" ht="16.5" spans="1:5">
      <c r="A1176" s="101">
        <v>3045651</v>
      </c>
      <c r="B1176" s="102">
        <v>400574.9</v>
      </c>
      <c r="C1176" s="102">
        <v>670.2</v>
      </c>
      <c r="D1176" s="11">
        <v>45152</v>
      </c>
      <c r="E1176" s="39">
        <v>677.906</v>
      </c>
    </row>
    <row r="1177" ht="16.5" spans="1:5">
      <c r="A1177" s="101">
        <v>3045651</v>
      </c>
      <c r="B1177" s="102">
        <v>400574.9</v>
      </c>
      <c r="C1177" s="102">
        <v>670.2</v>
      </c>
      <c r="D1177" s="11">
        <v>45153</v>
      </c>
      <c r="E1177" s="42">
        <v>677.606</v>
      </c>
    </row>
    <row r="1178" ht="16.5" spans="1:5">
      <c r="A1178" s="101">
        <v>3045651</v>
      </c>
      <c r="B1178" s="102">
        <v>400574.9</v>
      </c>
      <c r="C1178" s="102">
        <v>670.2</v>
      </c>
      <c r="D1178" s="11">
        <v>45154</v>
      </c>
      <c r="E1178" s="39">
        <v>677.406</v>
      </c>
    </row>
    <row r="1179" ht="16.5" spans="1:5">
      <c r="A1179" s="101">
        <v>3045651</v>
      </c>
      <c r="B1179" s="102">
        <v>400574.9</v>
      </c>
      <c r="C1179" s="102">
        <v>670.2</v>
      </c>
      <c r="D1179" s="11">
        <v>45155</v>
      </c>
      <c r="E1179" s="39">
        <v>677.006</v>
      </c>
    </row>
    <row r="1180" ht="16.5" spans="1:5">
      <c r="A1180" s="101">
        <v>3045651</v>
      </c>
      <c r="B1180" s="102">
        <v>400574.9</v>
      </c>
      <c r="C1180" s="102">
        <v>670.2</v>
      </c>
      <c r="D1180" s="11">
        <v>45156</v>
      </c>
      <c r="E1180" s="39">
        <v>676.506</v>
      </c>
    </row>
    <row r="1181" ht="16.5" spans="1:5">
      <c r="A1181" s="101">
        <v>3045651</v>
      </c>
      <c r="B1181" s="102">
        <v>400574.9</v>
      </c>
      <c r="C1181" s="102">
        <v>670.2</v>
      </c>
      <c r="D1181" s="11">
        <v>45157</v>
      </c>
      <c r="E1181" s="39">
        <v>676.606</v>
      </c>
    </row>
    <row r="1182" ht="16.5" spans="1:5">
      <c r="A1182" s="101">
        <v>3045651</v>
      </c>
      <c r="B1182" s="102">
        <v>400574.9</v>
      </c>
      <c r="C1182" s="102">
        <v>670.2</v>
      </c>
      <c r="D1182" s="11">
        <v>45158</v>
      </c>
      <c r="E1182" s="39">
        <v>676.606</v>
      </c>
    </row>
    <row r="1183" ht="16.5" spans="1:5">
      <c r="A1183" s="101">
        <v>3045651</v>
      </c>
      <c r="B1183" s="102">
        <v>400574.9</v>
      </c>
      <c r="C1183" s="102">
        <v>670.2</v>
      </c>
      <c r="D1183" s="11">
        <v>45159</v>
      </c>
      <c r="E1183" s="39">
        <v>676.206</v>
      </c>
    </row>
    <row r="1184" ht="16.5" spans="1:5">
      <c r="A1184" s="101">
        <v>3045651</v>
      </c>
      <c r="B1184" s="102">
        <v>400574.9</v>
      </c>
      <c r="C1184" s="102">
        <v>670.2</v>
      </c>
      <c r="D1184" s="11">
        <v>45160</v>
      </c>
      <c r="E1184" s="39">
        <v>676.706</v>
      </c>
    </row>
    <row r="1185" ht="16.5" spans="1:5">
      <c r="A1185" s="101">
        <v>3045651</v>
      </c>
      <c r="B1185" s="102">
        <v>400574.9</v>
      </c>
      <c r="C1185" s="102">
        <v>670.2</v>
      </c>
      <c r="D1185" s="11">
        <v>45161</v>
      </c>
      <c r="E1185" s="39">
        <v>676.706</v>
      </c>
    </row>
    <row r="1186" ht="16.5" spans="1:5">
      <c r="A1186" s="101">
        <v>3045651</v>
      </c>
      <c r="B1186" s="102">
        <v>400574.9</v>
      </c>
      <c r="C1186" s="102">
        <v>670.2</v>
      </c>
      <c r="D1186" s="11">
        <v>45162</v>
      </c>
      <c r="E1186" s="39">
        <v>676.506</v>
      </c>
    </row>
    <row r="1187" ht="16.5" spans="1:5">
      <c r="A1187" s="101">
        <v>3045651</v>
      </c>
      <c r="B1187" s="102">
        <v>400574.9</v>
      </c>
      <c r="C1187" s="102">
        <v>670.2</v>
      </c>
      <c r="D1187" s="11">
        <v>45163</v>
      </c>
      <c r="E1187" s="39">
        <v>676.906</v>
      </c>
    </row>
    <row r="1188" ht="16.5" spans="1:5">
      <c r="A1188" s="101">
        <v>3045651</v>
      </c>
      <c r="B1188" s="102">
        <v>400574.9</v>
      </c>
      <c r="C1188" s="102">
        <v>670.2</v>
      </c>
      <c r="D1188" s="11">
        <v>45164</v>
      </c>
      <c r="E1188" s="39">
        <v>676.806</v>
      </c>
    </row>
    <row r="1189" ht="16.5" spans="1:5">
      <c r="A1189" s="101">
        <v>3045651</v>
      </c>
      <c r="B1189" s="102">
        <v>400574.9</v>
      </c>
      <c r="C1189" s="102">
        <v>670.2</v>
      </c>
      <c r="D1189" s="11">
        <v>45165</v>
      </c>
      <c r="E1189" s="39">
        <v>677.006</v>
      </c>
    </row>
    <row r="1190" ht="16.5" spans="1:5">
      <c r="A1190" s="101">
        <v>3045651</v>
      </c>
      <c r="B1190" s="102">
        <v>400574.9</v>
      </c>
      <c r="C1190" s="102">
        <v>670.2</v>
      </c>
      <c r="D1190" s="11">
        <v>45166</v>
      </c>
      <c r="E1190" s="39">
        <v>677.406</v>
      </c>
    </row>
    <row r="1191" ht="16.5" spans="1:5">
      <c r="A1191" s="101">
        <v>3045651</v>
      </c>
      <c r="B1191" s="102">
        <v>400574.9</v>
      </c>
      <c r="C1191" s="102">
        <v>670.2</v>
      </c>
      <c r="D1191" s="11">
        <v>45167</v>
      </c>
      <c r="E1191" s="39">
        <v>677.406</v>
      </c>
    </row>
    <row r="1192" ht="16.5" spans="1:5">
      <c r="A1192" s="101">
        <v>3045651</v>
      </c>
      <c r="B1192" s="102">
        <v>400574.9</v>
      </c>
      <c r="C1192" s="102">
        <v>670.2</v>
      </c>
      <c r="D1192" s="11">
        <v>45168</v>
      </c>
      <c r="E1192" s="39">
        <v>677.506</v>
      </c>
    </row>
    <row r="1193" ht="16.5" spans="1:5">
      <c r="A1193" s="101">
        <v>3045651</v>
      </c>
      <c r="B1193" s="102">
        <v>400574.9</v>
      </c>
      <c r="C1193" s="102">
        <v>670.2</v>
      </c>
      <c r="D1193" s="11">
        <v>45169</v>
      </c>
      <c r="E1193" s="37"/>
    </row>
    <row r="1194" ht="16.5" spans="1:5">
      <c r="A1194" s="101">
        <v>3045651</v>
      </c>
      <c r="B1194" s="102">
        <v>400574.9</v>
      </c>
      <c r="C1194" s="102">
        <v>670.2</v>
      </c>
      <c r="D1194" s="11">
        <v>45170</v>
      </c>
      <c r="E1194" s="39">
        <v>677.406</v>
      </c>
    </row>
    <row r="1195" ht="16.5" spans="1:5">
      <c r="A1195" s="101">
        <v>3045651</v>
      </c>
      <c r="B1195" s="102">
        <v>400574.9</v>
      </c>
      <c r="C1195" s="102">
        <v>670.2</v>
      </c>
      <c r="D1195" s="11">
        <v>45171</v>
      </c>
      <c r="E1195" s="39">
        <v>677.606</v>
      </c>
    </row>
    <row r="1196" ht="16.5" spans="1:5">
      <c r="A1196" s="101">
        <v>3045651</v>
      </c>
      <c r="B1196" s="102">
        <v>400574.9</v>
      </c>
      <c r="C1196" s="102">
        <v>670.2</v>
      </c>
      <c r="D1196" s="11">
        <v>45172</v>
      </c>
      <c r="E1196" s="39">
        <v>678.006</v>
      </c>
    </row>
    <row r="1197" ht="16.5" spans="1:5">
      <c r="A1197" s="101">
        <v>3045651</v>
      </c>
      <c r="B1197" s="102">
        <v>400574.9</v>
      </c>
      <c r="C1197" s="102">
        <v>670.2</v>
      </c>
      <c r="D1197" s="11">
        <v>45173</v>
      </c>
      <c r="E1197" s="39">
        <v>677.906</v>
      </c>
    </row>
    <row r="1198" ht="16.5" spans="1:5">
      <c r="A1198" s="101">
        <v>3045651</v>
      </c>
      <c r="B1198" s="102">
        <v>400574.9</v>
      </c>
      <c r="C1198" s="102">
        <v>670.2</v>
      </c>
      <c r="D1198" s="11">
        <v>45174</v>
      </c>
      <c r="E1198" s="39">
        <v>677.806</v>
      </c>
    </row>
    <row r="1199" ht="16.5" spans="1:5">
      <c r="A1199" s="101">
        <v>3045651</v>
      </c>
      <c r="B1199" s="102">
        <v>400574.9</v>
      </c>
      <c r="C1199" s="102">
        <v>670.2</v>
      </c>
      <c r="D1199" s="11">
        <v>45175</v>
      </c>
      <c r="E1199" s="39">
        <v>677.906</v>
      </c>
    </row>
    <row r="1200" ht="16.5" spans="1:5">
      <c r="A1200" s="101">
        <v>3045651</v>
      </c>
      <c r="B1200" s="102">
        <v>400574.9</v>
      </c>
      <c r="C1200" s="102">
        <v>670.2</v>
      </c>
      <c r="D1200" s="11">
        <v>45176</v>
      </c>
      <c r="E1200" s="39">
        <v>677.406</v>
      </c>
    </row>
    <row r="1201" ht="16.5" spans="1:5">
      <c r="A1201" s="101">
        <v>3045651</v>
      </c>
      <c r="B1201" s="102">
        <v>400574.9</v>
      </c>
      <c r="C1201" s="102">
        <v>670.2</v>
      </c>
      <c r="D1201" s="11">
        <v>45177</v>
      </c>
      <c r="E1201" s="39">
        <v>677.806</v>
      </c>
    </row>
    <row r="1202" ht="16.5" spans="1:5">
      <c r="A1202" s="101">
        <v>3045651</v>
      </c>
      <c r="B1202" s="102">
        <v>400574.9</v>
      </c>
      <c r="C1202" s="102">
        <v>670.2</v>
      </c>
      <c r="D1202" s="11">
        <v>45178</v>
      </c>
      <c r="E1202" s="39"/>
    </row>
    <row r="1203" ht="16.5" spans="1:5">
      <c r="A1203" s="101">
        <v>3045651</v>
      </c>
      <c r="B1203" s="102">
        <v>400574.9</v>
      </c>
      <c r="C1203" s="102">
        <v>670.2</v>
      </c>
      <c r="D1203" s="11">
        <v>45179</v>
      </c>
      <c r="E1203" s="39"/>
    </row>
    <row r="1204" ht="16.5" spans="1:5">
      <c r="A1204" s="101">
        <v>3045651</v>
      </c>
      <c r="B1204" s="102">
        <v>400574.9</v>
      </c>
      <c r="C1204" s="102">
        <v>670.2</v>
      </c>
      <c r="D1204" s="11">
        <v>45180</v>
      </c>
      <c r="E1204" s="39"/>
    </row>
    <row r="1205" ht="16.5" spans="1:5">
      <c r="A1205" s="101">
        <v>3045651</v>
      </c>
      <c r="B1205" s="102">
        <v>400574.9</v>
      </c>
      <c r="C1205" s="102">
        <v>670.2</v>
      </c>
      <c r="D1205" s="11">
        <v>45181</v>
      </c>
      <c r="E1205" s="39"/>
    </row>
    <row r="1206" ht="16.5" spans="1:5">
      <c r="A1206" s="101">
        <v>3045651</v>
      </c>
      <c r="B1206" s="102">
        <v>400574.9</v>
      </c>
      <c r="C1206" s="102">
        <v>670.2</v>
      </c>
      <c r="D1206" s="11">
        <v>45182</v>
      </c>
      <c r="E1206" s="39"/>
    </row>
    <row r="1207" ht="16.5" spans="1:5">
      <c r="A1207" s="101">
        <v>3045651</v>
      </c>
      <c r="B1207" s="102">
        <v>400574.9</v>
      </c>
      <c r="C1207" s="102">
        <v>670.2</v>
      </c>
      <c r="D1207" s="11">
        <v>45183</v>
      </c>
      <c r="E1207" s="39">
        <v>677.986</v>
      </c>
    </row>
    <row r="1208" ht="16.5" spans="1:5">
      <c r="A1208" s="101">
        <v>3045651</v>
      </c>
      <c r="B1208" s="102">
        <v>400574.9</v>
      </c>
      <c r="C1208" s="102">
        <v>670.2</v>
      </c>
      <c r="D1208" s="11">
        <v>45184</v>
      </c>
      <c r="E1208" s="37"/>
    </row>
    <row r="1209" ht="16.5" spans="1:5">
      <c r="A1209" s="101">
        <v>3045651</v>
      </c>
      <c r="B1209" s="102">
        <v>400574.9</v>
      </c>
      <c r="C1209" s="102">
        <v>670.2</v>
      </c>
      <c r="D1209" s="11">
        <v>45185</v>
      </c>
      <c r="E1209" s="37"/>
    </row>
    <row r="1210" ht="16.5" spans="1:5">
      <c r="A1210" s="101">
        <v>3045651</v>
      </c>
      <c r="B1210" s="102">
        <v>400574.9</v>
      </c>
      <c r="C1210" s="102">
        <v>670.2</v>
      </c>
      <c r="D1210" s="11">
        <v>45186</v>
      </c>
      <c r="E1210" s="37"/>
    </row>
    <row r="1211" ht="16.5" spans="1:5">
      <c r="A1211" s="101">
        <v>3045651</v>
      </c>
      <c r="B1211" s="102">
        <v>400574.9</v>
      </c>
      <c r="C1211" s="102">
        <v>670.2</v>
      </c>
      <c r="D1211" s="11">
        <v>45187</v>
      </c>
      <c r="E1211" s="37"/>
    </row>
    <row r="1212" ht="16.5" spans="1:5">
      <c r="A1212" s="101">
        <v>3045651</v>
      </c>
      <c r="B1212" s="102">
        <v>400574.9</v>
      </c>
      <c r="C1212" s="102">
        <v>670.2</v>
      </c>
      <c r="D1212" s="11">
        <v>45188</v>
      </c>
      <c r="E1212" s="37"/>
    </row>
    <row r="1213" ht="16.5" spans="1:5">
      <c r="A1213" s="101">
        <v>3045651</v>
      </c>
      <c r="B1213" s="102">
        <v>400574.9</v>
      </c>
      <c r="C1213" s="102">
        <v>670.2</v>
      </c>
      <c r="D1213" s="11">
        <v>45189</v>
      </c>
      <c r="E1213" s="39">
        <v>677.006</v>
      </c>
    </row>
    <row r="1214" ht="16.5" spans="1:5">
      <c r="A1214" s="101">
        <v>3045651</v>
      </c>
      <c r="B1214" s="102">
        <v>400574.9</v>
      </c>
      <c r="C1214" s="102">
        <v>670.2</v>
      </c>
      <c r="D1214" s="11">
        <v>45190</v>
      </c>
      <c r="E1214" s="39">
        <v>676.906</v>
      </c>
    </row>
    <row r="1215" ht="16.5" spans="1:5">
      <c r="A1215" s="101">
        <v>3045651</v>
      </c>
      <c r="B1215" s="102">
        <v>400574.9</v>
      </c>
      <c r="C1215" s="102">
        <v>670.2</v>
      </c>
      <c r="D1215" s="11">
        <v>45191</v>
      </c>
      <c r="E1215" s="39">
        <v>676.706</v>
      </c>
    </row>
    <row r="1216" ht="16.5" spans="1:5">
      <c r="A1216" s="101">
        <v>3045651</v>
      </c>
      <c r="B1216" s="102">
        <v>400574.9</v>
      </c>
      <c r="C1216" s="102">
        <v>670.2</v>
      </c>
      <c r="D1216" s="11">
        <v>45192</v>
      </c>
      <c r="E1216" s="39">
        <v>676.606</v>
      </c>
    </row>
    <row r="1217" ht="16.5" spans="1:5">
      <c r="A1217" s="101">
        <v>3045651</v>
      </c>
      <c r="B1217" s="102">
        <v>400574.9</v>
      </c>
      <c r="C1217" s="102">
        <v>670.2</v>
      </c>
      <c r="D1217" s="11">
        <v>45193</v>
      </c>
      <c r="E1217" s="39">
        <v>676.706</v>
      </c>
    </row>
    <row r="1218" ht="16.5" spans="1:5">
      <c r="A1218" s="101">
        <v>3045651</v>
      </c>
      <c r="B1218" s="102">
        <v>400574.9</v>
      </c>
      <c r="C1218" s="102">
        <v>670.2</v>
      </c>
      <c r="D1218" s="11">
        <v>45194</v>
      </c>
      <c r="E1218" s="39">
        <v>676.906</v>
      </c>
    </row>
    <row r="1219" ht="16.5" spans="1:5">
      <c r="A1219" s="101">
        <v>3045651</v>
      </c>
      <c r="B1219" s="102">
        <v>400574.9</v>
      </c>
      <c r="C1219" s="102">
        <v>670.2</v>
      </c>
      <c r="D1219" s="11">
        <v>45195</v>
      </c>
      <c r="E1219" s="39">
        <v>676.581</v>
      </c>
    </row>
    <row r="1220" ht="16.5" spans="1:5">
      <c r="A1220" s="101">
        <v>3045651</v>
      </c>
      <c r="B1220" s="102">
        <v>400574.9</v>
      </c>
      <c r="C1220" s="102">
        <v>670.2</v>
      </c>
      <c r="D1220" s="11">
        <v>45196</v>
      </c>
      <c r="E1220" s="39">
        <v>676.206</v>
      </c>
    </row>
    <row r="1221" ht="16.5" spans="1:5">
      <c r="A1221" s="101">
        <v>3045651</v>
      </c>
      <c r="B1221" s="102">
        <v>400574.9</v>
      </c>
      <c r="C1221" s="102">
        <v>670.2</v>
      </c>
      <c r="D1221" s="11">
        <v>45197</v>
      </c>
      <c r="E1221" s="39">
        <v>675.106</v>
      </c>
    </row>
    <row r="1222" ht="16.5" spans="1:5">
      <c r="A1222" s="101">
        <v>3045651</v>
      </c>
      <c r="B1222" s="102">
        <v>400574.9</v>
      </c>
      <c r="C1222" s="102">
        <v>670.2</v>
      </c>
      <c r="D1222" s="11">
        <v>45198</v>
      </c>
      <c r="E1222" s="39">
        <v>674.206</v>
      </c>
    </row>
    <row r="1223" ht="16.5" spans="1:5">
      <c r="A1223" s="101">
        <v>3045651</v>
      </c>
      <c r="B1223" s="102">
        <v>400574.9</v>
      </c>
      <c r="C1223" s="102">
        <v>670.2</v>
      </c>
      <c r="D1223" s="11">
        <v>45199</v>
      </c>
      <c r="E1223" s="39">
        <v>673.606</v>
      </c>
    </row>
    <row r="1224" ht="16.5" spans="1:5">
      <c r="A1224" s="101">
        <v>3045651</v>
      </c>
      <c r="B1224" s="102">
        <v>400574.9</v>
      </c>
      <c r="C1224" s="102">
        <v>670.2</v>
      </c>
      <c r="D1224" s="11">
        <v>45200</v>
      </c>
      <c r="E1224" s="39">
        <v>673.406</v>
      </c>
    </row>
    <row r="1225" ht="16.5" spans="1:5">
      <c r="A1225" s="101">
        <v>3045651</v>
      </c>
      <c r="B1225" s="102">
        <v>400574.9</v>
      </c>
      <c r="C1225" s="102">
        <v>670.2</v>
      </c>
      <c r="D1225" s="11">
        <v>45201</v>
      </c>
      <c r="E1225" s="39">
        <v>673.306</v>
      </c>
    </row>
    <row r="1226" ht="16.5" spans="1:5">
      <c r="A1226" s="101">
        <v>3045651</v>
      </c>
      <c r="B1226" s="102">
        <v>400574.9</v>
      </c>
      <c r="C1226" s="102">
        <v>670.2</v>
      </c>
      <c r="D1226" s="11">
        <v>45202</v>
      </c>
      <c r="E1226" s="39">
        <v>673.106</v>
      </c>
    </row>
    <row r="1227" ht="16.5" spans="1:5">
      <c r="A1227" s="101">
        <v>3045651</v>
      </c>
      <c r="B1227" s="102">
        <v>400574.9</v>
      </c>
      <c r="C1227" s="102">
        <v>670.2</v>
      </c>
      <c r="D1227" s="11">
        <v>45203</v>
      </c>
      <c r="E1227" s="39">
        <v>672.906</v>
      </c>
    </row>
    <row r="1228" ht="16.5" spans="1:5">
      <c r="A1228" s="101">
        <v>3045651</v>
      </c>
      <c r="B1228" s="102">
        <v>400574.9</v>
      </c>
      <c r="C1228" s="102">
        <v>670.2</v>
      </c>
      <c r="D1228" s="11">
        <v>45204</v>
      </c>
      <c r="E1228" s="39">
        <v>672.806</v>
      </c>
    </row>
    <row r="1229" ht="16.5" spans="1:5">
      <c r="A1229" s="101">
        <v>3045651</v>
      </c>
      <c r="B1229" s="102">
        <v>400574.9</v>
      </c>
      <c r="C1229" s="102">
        <v>670.2</v>
      </c>
      <c r="D1229" s="11">
        <v>45205</v>
      </c>
      <c r="E1229" s="39">
        <v>672.806</v>
      </c>
    </row>
    <row r="1230" ht="16.5" spans="1:5">
      <c r="A1230" s="101">
        <v>3045651</v>
      </c>
      <c r="B1230" s="102">
        <v>400574.9</v>
      </c>
      <c r="C1230" s="102">
        <v>670.2</v>
      </c>
      <c r="D1230" s="11">
        <v>45206</v>
      </c>
      <c r="E1230" s="39">
        <v>672.306</v>
      </c>
    </row>
    <row r="1231" ht="16.5" spans="1:5">
      <c r="A1231" s="101">
        <v>3045651</v>
      </c>
      <c r="B1231" s="102">
        <v>400574.9</v>
      </c>
      <c r="C1231" s="102">
        <v>670.2</v>
      </c>
      <c r="D1231" s="11">
        <v>45207</v>
      </c>
      <c r="E1231" s="39">
        <v>671.906</v>
      </c>
    </row>
    <row r="1232" ht="16.5" spans="1:5">
      <c r="A1232" s="101">
        <v>3045651</v>
      </c>
      <c r="B1232" s="102">
        <v>400574.9</v>
      </c>
      <c r="C1232" s="102">
        <v>670.2</v>
      </c>
      <c r="D1232" s="11">
        <v>45208</v>
      </c>
      <c r="E1232" s="39">
        <v>671.406</v>
      </c>
    </row>
    <row r="1233" ht="16.5" spans="1:5">
      <c r="A1233" s="101">
        <v>3045651</v>
      </c>
      <c r="B1233" s="102">
        <v>400574.9</v>
      </c>
      <c r="C1233" s="102">
        <v>670.2</v>
      </c>
      <c r="D1233" s="11">
        <v>45209</v>
      </c>
      <c r="E1233" s="39">
        <v>671.406</v>
      </c>
    </row>
    <row r="1234" ht="16.5" spans="1:5">
      <c r="A1234" s="101">
        <v>3045651</v>
      </c>
      <c r="B1234" s="102">
        <v>400574.9</v>
      </c>
      <c r="C1234" s="102">
        <v>670.2</v>
      </c>
      <c r="D1234" s="11">
        <v>45210</v>
      </c>
      <c r="E1234" s="39">
        <v>671.406</v>
      </c>
    </row>
    <row r="1235" ht="16.5" spans="1:5">
      <c r="A1235" s="101">
        <v>3045651</v>
      </c>
      <c r="B1235" s="102">
        <v>400574.9</v>
      </c>
      <c r="C1235" s="102">
        <v>670.2</v>
      </c>
      <c r="D1235" s="11">
        <v>45211</v>
      </c>
      <c r="E1235" s="39">
        <v>671.206</v>
      </c>
    </row>
    <row r="1236" ht="16.5" spans="1:5">
      <c r="A1236" s="101">
        <v>3045651</v>
      </c>
      <c r="B1236" s="102">
        <v>400574.9</v>
      </c>
      <c r="C1236" s="102">
        <v>670.2</v>
      </c>
      <c r="D1236" s="11">
        <v>45212</v>
      </c>
      <c r="E1236" s="39">
        <v>671.406</v>
      </c>
    </row>
    <row r="1237" ht="16.5" spans="1:5">
      <c r="A1237" s="101">
        <v>3045651</v>
      </c>
      <c r="B1237" s="102">
        <v>400574.9</v>
      </c>
      <c r="C1237" s="102">
        <v>670.2</v>
      </c>
      <c r="D1237" s="11">
        <v>45213</v>
      </c>
      <c r="E1237" s="39">
        <v>671.381</v>
      </c>
    </row>
    <row r="1238" ht="16.5" spans="1:5">
      <c r="A1238" s="101">
        <v>3045651</v>
      </c>
      <c r="B1238" s="102">
        <v>400574.9</v>
      </c>
      <c r="C1238" s="102">
        <v>670.2</v>
      </c>
      <c r="D1238" s="11">
        <v>45214</v>
      </c>
      <c r="E1238" s="39">
        <v>671.106</v>
      </c>
    </row>
    <row r="1239" ht="16.5" spans="1:5">
      <c r="A1239" s="101">
        <v>3045651</v>
      </c>
      <c r="B1239" s="102">
        <v>400574.9</v>
      </c>
      <c r="C1239" s="102">
        <v>670.2</v>
      </c>
      <c r="D1239" s="11">
        <v>45215</v>
      </c>
      <c r="E1239" s="39">
        <v>671.006</v>
      </c>
    </row>
    <row r="1240" ht="16.5" spans="1:5">
      <c r="A1240" s="101">
        <v>3045651</v>
      </c>
      <c r="B1240" s="102">
        <v>400574.9</v>
      </c>
      <c r="C1240" s="102">
        <v>670.2</v>
      </c>
      <c r="D1240" s="11">
        <v>45216</v>
      </c>
      <c r="E1240" s="39">
        <v>670.806</v>
      </c>
    </row>
    <row r="1241" ht="16.5" spans="1:5">
      <c r="A1241" s="101">
        <v>3045651</v>
      </c>
      <c r="B1241" s="102">
        <v>400574.9</v>
      </c>
      <c r="C1241" s="102">
        <v>670.2</v>
      </c>
      <c r="D1241" s="11">
        <v>45217</v>
      </c>
      <c r="E1241" s="39">
        <v>670.206</v>
      </c>
    </row>
    <row r="1242" ht="16.5" spans="1:5">
      <c r="A1242" s="101">
        <v>3045651</v>
      </c>
      <c r="B1242" s="102">
        <v>400574.9</v>
      </c>
      <c r="C1242" s="102">
        <v>670.2</v>
      </c>
      <c r="D1242" s="11">
        <v>45218</v>
      </c>
      <c r="E1242" s="39"/>
    </row>
    <row r="1243" ht="16.5" spans="1:5">
      <c r="A1243" s="101">
        <v>3045651</v>
      </c>
      <c r="B1243" s="102">
        <v>400574.9</v>
      </c>
      <c r="C1243" s="102">
        <v>670.2</v>
      </c>
      <c r="D1243" s="11">
        <v>45219</v>
      </c>
      <c r="E1243" s="39">
        <v>670.206</v>
      </c>
    </row>
    <row r="1244" ht="16.5" spans="1:5">
      <c r="A1244" s="101">
        <v>3045651</v>
      </c>
      <c r="B1244" s="102">
        <v>400574.9</v>
      </c>
      <c r="C1244" s="102">
        <v>670.2</v>
      </c>
      <c r="D1244" s="11">
        <v>45220</v>
      </c>
      <c r="E1244" s="39">
        <v>670.206</v>
      </c>
    </row>
    <row r="1245" ht="16.5" spans="1:5">
      <c r="A1245" s="101">
        <v>3045651</v>
      </c>
      <c r="B1245" s="102">
        <v>400574.9</v>
      </c>
      <c r="C1245" s="102">
        <v>670.2</v>
      </c>
      <c r="D1245" s="11">
        <v>45221</v>
      </c>
      <c r="E1245" s="39">
        <v>670.206</v>
      </c>
    </row>
    <row r="1246" ht="16.5" spans="1:5">
      <c r="A1246" s="101">
        <v>3045651</v>
      </c>
      <c r="B1246" s="102">
        <v>400574.9</v>
      </c>
      <c r="C1246" s="102">
        <v>670.2</v>
      </c>
      <c r="D1246" s="11">
        <v>45222</v>
      </c>
      <c r="E1246" s="39">
        <v>670.206</v>
      </c>
    </row>
    <row r="1247" ht="16.5" spans="1:5">
      <c r="A1247" s="101">
        <v>3045651</v>
      </c>
      <c r="B1247" s="102">
        <v>400574.9</v>
      </c>
      <c r="C1247" s="102">
        <v>670.2</v>
      </c>
      <c r="D1247" s="11">
        <v>45223</v>
      </c>
      <c r="E1247" s="39">
        <v>670.206</v>
      </c>
    </row>
    <row r="1248" ht="16.5" spans="1:5">
      <c r="A1248" s="101">
        <v>3045651</v>
      </c>
      <c r="B1248" s="102">
        <v>400574.9</v>
      </c>
      <c r="C1248" s="102">
        <v>670.2</v>
      </c>
      <c r="D1248" s="11">
        <v>45224</v>
      </c>
      <c r="E1248" s="39">
        <v>670.206</v>
      </c>
    </row>
    <row r="1249" ht="16.5" spans="1:5">
      <c r="A1249" s="101">
        <v>3045651</v>
      </c>
      <c r="B1249" s="102">
        <v>400574.9</v>
      </c>
      <c r="C1249" s="102">
        <v>670.2</v>
      </c>
      <c r="D1249" s="11">
        <v>45225</v>
      </c>
      <c r="E1249" s="39">
        <v>670.206</v>
      </c>
    </row>
    <row r="1250" ht="16.5" spans="1:5">
      <c r="A1250" s="101">
        <v>3045651</v>
      </c>
      <c r="B1250" s="102">
        <v>400574.9</v>
      </c>
      <c r="C1250" s="102">
        <v>670.2</v>
      </c>
      <c r="D1250" s="11">
        <v>45226</v>
      </c>
      <c r="E1250" s="37"/>
    </row>
    <row r="1251" ht="16.5" spans="1:5">
      <c r="A1251" s="101">
        <v>3045651</v>
      </c>
      <c r="B1251" s="102">
        <v>400574.9</v>
      </c>
      <c r="C1251" s="102">
        <v>670.2</v>
      </c>
      <c r="D1251" s="11">
        <v>45227</v>
      </c>
      <c r="E1251" s="37"/>
    </row>
    <row r="1252" ht="16.5" spans="1:5">
      <c r="A1252" s="101">
        <v>3045651</v>
      </c>
      <c r="B1252" s="102">
        <v>400574.9</v>
      </c>
      <c r="C1252" s="102">
        <v>670.2</v>
      </c>
      <c r="D1252" s="11">
        <v>45228</v>
      </c>
      <c r="E1252" s="37"/>
    </row>
    <row r="1253" ht="16.5" spans="1:5">
      <c r="A1253" s="101">
        <v>3045651</v>
      </c>
      <c r="B1253" s="102">
        <v>400574.9</v>
      </c>
      <c r="C1253" s="102">
        <v>670.2</v>
      </c>
      <c r="D1253" s="11">
        <v>45229</v>
      </c>
      <c r="E1253" s="37"/>
    </row>
    <row r="1254" ht="16.5" spans="1:5">
      <c r="A1254" s="101">
        <v>3045651</v>
      </c>
      <c r="B1254" s="102">
        <v>400574.9</v>
      </c>
      <c r="C1254" s="102">
        <v>670.2</v>
      </c>
      <c r="D1254" s="11">
        <v>45230</v>
      </c>
      <c r="E1254" s="37"/>
    </row>
    <row r="1255" ht="16.5" spans="1:5">
      <c r="A1255" s="101">
        <v>3045651</v>
      </c>
      <c r="B1255" s="102">
        <v>400574.9</v>
      </c>
      <c r="C1255" s="102">
        <v>670.2</v>
      </c>
      <c r="D1255" s="11">
        <v>45231</v>
      </c>
      <c r="E1255" s="37"/>
    </row>
    <row r="1256" ht="16.5" spans="1:5">
      <c r="A1256" s="101">
        <v>3045651</v>
      </c>
      <c r="B1256" s="102">
        <v>400574.9</v>
      </c>
      <c r="C1256" s="102">
        <v>670.2</v>
      </c>
      <c r="D1256" s="11">
        <v>45232</v>
      </c>
      <c r="E1256" s="39">
        <v>670.206</v>
      </c>
    </row>
    <row r="1257" ht="16.5" spans="1:5">
      <c r="A1257" s="101">
        <v>3045651</v>
      </c>
      <c r="B1257" s="102">
        <v>400574.9</v>
      </c>
      <c r="C1257" s="102">
        <v>670.2</v>
      </c>
      <c r="D1257" s="11">
        <v>45233</v>
      </c>
      <c r="E1257" s="37"/>
    </row>
    <row r="1258" ht="16.5" spans="1:5">
      <c r="A1258" s="101">
        <v>3045651</v>
      </c>
      <c r="B1258" s="102">
        <v>400574.9</v>
      </c>
      <c r="C1258" s="102">
        <v>670.2</v>
      </c>
      <c r="D1258" s="11">
        <v>45234</v>
      </c>
      <c r="E1258" s="37"/>
    </row>
    <row r="1259" ht="16.5" spans="1:5">
      <c r="A1259" s="101">
        <v>3045651</v>
      </c>
      <c r="B1259" s="102">
        <v>400574.9</v>
      </c>
      <c r="C1259" s="102">
        <v>670.2</v>
      </c>
      <c r="D1259" s="11">
        <v>45235</v>
      </c>
      <c r="E1259" s="37"/>
    </row>
    <row r="1260" ht="16.5" spans="1:5">
      <c r="A1260" s="101">
        <v>3045651</v>
      </c>
      <c r="B1260" s="102">
        <v>400574.9</v>
      </c>
      <c r="C1260" s="102">
        <v>670.2</v>
      </c>
      <c r="D1260" s="11">
        <v>45236</v>
      </c>
      <c r="E1260" s="37"/>
    </row>
    <row r="1261" ht="16.5" spans="1:5">
      <c r="A1261" s="101">
        <v>3045651</v>
      </c>
      <c r="B1261" s="102">
        <v>400574.9</v>
      </c>
      <c r="C1261" s="102">
        <v>670.2</v>
      </c>
      <c r="D1261" s="11">
        <v>45237</v>
      </c>
      <c r="E1261" s="37"/>
    </row>
    <row r="1262" ht="16.5" spans="1:5">
      <c r="A1262" s="101">
        <v>3045651</v>
      </c>
      <c r="B1262" s="102">
        <v>400574.9</v>
      </c>
      <c r="C1262" s="102">
        <v>670.2</v>
      </c>
      <c r="D1262" s="11">
        <v>45238</v>
      </c>
      <c r="E1262" s="37"/>
    </row>
    <row r="1263" ht="16.5" spans="1:5">
      <c r="A1263" s="101">
        <v>3045651</v>
      </c>
      <c r="B1263" s="102">
        <v>400574.9</v>
      </c>
      <c r="C1263" s="102">
        <v>670.2</v>
      </c>
      <c r="D1263" s="11">
        <v>45239</v>
      </c>
      <c r="E1263" s="37"/>
    </row>
    <row r="1264" ht="16.5" spans="1:5">
      <c r="A1264" s="101">
        <v>3045651</v>
      </c>
      <c r="B1264" s="102">
        <v>400574.9</v>
      </c>
      <c r="C1264" s="102">
        <v>670.2</v>
      </c>
      <c r="D1264" s="11">
        <v>45240</v>
      </c>
      <c r="E1264" s="39">
        <v>670.206</v>
      </c>
    </row>
    <row r="1265" ht="16.5" spans="1:5">
      <c r="A1265" s="101">
        <v>3045651</v>
      </c>
      <c r="B1265" s="102">
        <v>400574.9</v>
      </c>
      <c r="C1265" s="102">
        <v>670.2</v>
      </c>
      <c r="D1265" s="11">
        <v>45241</v>
      </c>
      <c r="E1265" s="39"/>
    </row>
    <row r="1266" ht="16.5" spans="1:5">
      <c r="A1266" s="101">
        <v>3045651</v>
      </c>
      <c r="B1266" s="102">
        <v>400574.9</v>
      </c>
      <c r="C1266" s="102">
        <v>670.2</v>
      </c>
      <c r="D1266" s="11">
        <v>45242</v>
      </c>
      <c r="E1266" s="39"/>
    </row>
    <row r="1267" ht="16.5" spans="1:5">
      <c r="A1267" s="101">
        <v>3045651</v>
      </c>
      <c r="B1267" s="102">
        <v>400574.9</v>
      </c>
      <c r="C1267" s="102">
        <v>670.2</v>
      </c>
      <c r="D1267" s="11">
        <v>45243</v>
      </c>
      <c r="E1267" s="39"/>
    </row>
    <row r="1268" ht="16.5" spans="1:5">
      <c r="A1268" s="101">
        <v>3045651</v>
      </c>
      <c r="B1268" s="102">
        <v>400574.9</v>
      </c>
      <c r="C1268" s="102">
        <v>670.2</v>
      </c>
      <c r="D1268" s="11">
        <v>45244</v>
      </c>
      <c r="E1268" s="39"/>
    </row>
    <row r="1269" ht="16.5" spans="1:5">
      <c r="A1269" s="101">
        <v>3045651</v>
      </c>
      <c r="B1269" s="102">
        <v>400574.9</v>
      </c>
      <c r="C1269" s="102">
        <v>670.2</v>
      </c>
      <c r="D1269" s="11">
        <v>45245</v>
      </c>
      <c r="E1269" s="39"/>
    </row>
    <row r="1270" ht="16.5" spans="1:5">
      <c r="A1270" s="101">
        <v>3045651</v>
      </c>
      <c r="B1270" s="102">
        <v>400574.9</v>
      </c>
      <c r="C1270" s="102">
        <v>670.2</v>
      </c>
      <c r="D1270" s="11">
        <v>45246</v>
      </c>
      <c r="E1270" s="39">
        <f>670.206-14.55</f>
        <v>655.656</v>
      </c>
    </row>
    <row r="1271" ht="16.5" spans="1:5">
      <c r="A1271" s="101">
        <v>3045651</v>
      </c>
      <c r="B1271" s="102">
        <v>400574.9</v>
      </c>
      <c r="C1271" s="102">
        <v>670.2</v>
      </c>
      <c r="D1271" s="11">
        <v>45247</v>
      </c>
      <c r="E1271" s="39"/>
    </row>
    <row r="1272" ht="16.5" spans="1:5">
      <c r="A1272" s="101">
        <v>3045651</v>
      </c>
      <c r="B1272" s="102">
        <v>400574.9</v>
      </c>
      <c r="C1272" s="102">
        <v>670.2</v>
      </c>
      <c r="D1272" s="11">
        <v>45248</v>
      </c>
      <c r="E1272" s="39"/>
    </row>
    <row r="1273" ht="16.5" spans="1:5">
      <c r="A1273" s="101">
        <v>3045651</v>
      </c>
      <c r="B1273" s="102">
        <v>400574.9</v>
      </c>
      <c r="C1273" s="102">
        <v>670.2</v>
      </c>
      <c r="D1273" s="11">
        <v>45249</v>
      </c>
      <c r="E1273" s="39"/>
    </row>
    <row r="1274" ht="16.5" spans="1:5">
      <c r="A1274" s="101">
        <v>3045651</v>
      </c>
      <c r="B1274" s="102">
        <v>400574.9</v>
      </c>
      <c r="C1274" s="102">
        <v>670.2</v>
      </c>
      <c r="D1274" s="11">
        <v>45250</v>
      </c>
      <c r="E1274" s="39"/>
    </row>
    <row r="1275" ht="16.5" spans="1:5">
      <c r="A1275" s="101">
        <v>3045651</v>
      </c>
      <c r="B1275" s="102">
        <v>400574.9</v>
      </c>
      <c r="C1275" s="102">
        <v>670.2</v>
      </c>
      <c r="D1275" s="11">
        <v>45251</v>
      </c>
      <c r="E1275" s="39"/>
    </row>
    <row r="1276" ht="16.5" spans="1:5">
      <c r="A1276" s="101">
        <v>3045651</v>
      </c>
      <c r="B1276" s="102">
        <v>400574.9</v>
      </c>
      <c r="C1276" s="102">
        <v>670.2</v>
      </c>
      <c r="D1276" s="11">
        <v>45252</v>
      </c>
      <c r="E1276" s="39"/>
    </row>
    <row r="1277" ht="16.5" spans="1:5">
      <c r="A1277" s="101">
        <v>3045651</v>
      </c>
      <c r="B1277" s="102">
        <v>400574.9</v>
      </c>
      <c r="C1277" s="102">
        <v>670.2</v>
      </c>
      <c r="D1277" s="11">
        <v>45253</v>
      </c>
      <c r="E1277" s="39">
        <f>670.206-14.73</f>
        <v>655.476</v>
      </c>
    </row>
    <row r="1278" ht="16.5" spans="1:5">
      <c r="A1278" s="101">
        <v>3045651</v>
      </c>
      <c r="B1278" s="102">
        <v>400574.9</v>
      </c>
      <c r="C1278" s="102">
        <v>670.2</v>
      </c>
      <c r="D1278" s="11">
        <v>45254</v>
      </c>
      <c r="E1278" s="39"/>
    </row>
    <row r="1279" ht="16.5" spans="1:5">
      <c r="A1279" s="101">
        <v>3045651</v>
      </c>
      <c r="B1279" s="102">
        <v>400574.9</v>
      </c>
      <c r="C1279" s="102">
        <v>670.2</v>
      </c>
      <c r="D1279" s="11">
        <v>45255</v>
      </c>
      <c r="E1279" s="39"/>
    </row>
    <row r="1280" ht="16.5" spans="1:5">
      <c r="A1280" s="101">
        <v>3045651</v>
      </c>
      <c r="B1280" s="102">
        <v>400574.9</v>
      </c>
      <c r="C1280" s="102">
        <v>670.2</v>
      </c>
      <c r="D1280" s="11">
        <v>45256</v>
      </c>
      <c r="E1280" s="39"/>
    </row>
    <row r="1281" ht="16.5" spans="1:5">
      <c r="A1281" s="101">
        <v>3045651</v>
      </c>
      <c r="B1281" s="102">
        <v>400574.9</v>
      </c>
      <c r="C1281" s="102">
        <v>670.2</v>
      </c>
      <c r="D1281" s="11">
        <v>45257</v>
      </c>
      <c r="E1281" s="39"/>
    </row>
    <row r="1282" ht="16.5" spans="1:5">
      <c r="A1282" s="101">
        <v>3045651</v>
      </c>
      <c r="B1282" s="102">
        <v>400574.9</v>
      </c>
      <c r="C1282" s="102">
        <v>670.2</v>
      </c>
      <c r="D1282" s="11">
        <v>45258</v>
      </c>
      <c r="E1282" s="39"/>
    </row>
    <row r="1283" ht="16.5" spans="1:5">
      <c r="A1283" s="101">
        <v>3045651</v>
      </c>
      <c r="B1283" s="102">
        <v>400574.9</v>
      </c>
      <c r="C1283" s="102">
        <v>670.2</v>
      </c>
      <c r="D1283" s="11">
        <v>45259</v>
      </c>
      <c r="E1283" s="39"/>
    </row>
    <row r="1284" ht="16.5" spans="1:5">
      <c r="A1284" s="101">
        <v>3045651</v>
      </c>
      <c r="B1284" s="102">
        <v>400574.9</v>
      </c>
      <c r="C1284" s="102">
        <v>670.2</v>
      </c>
      <c r="D1284" s="11">
        <v>45260</v>
      </c>
      <c r="E1284" s="39">
        <f>670.206-18.33</f>
        <v>651.876</v>
      </c>
    </row>
    <row r="1285" ht="16.5" spans="1:5">
      <c r="A1285" s="101">
        <v>3045651</v>
      </c>
      <c r="B1285" s="102">
        <v>400574.9</v>
      </c>
      <c r="C1285" s="102">
        <v>670.2</v>
      </c>
      <c r="D1285" s="11">
        <v>45261</v>
      </c>
      <c r="E1285" s="39"/>
    </row>
    <row r="1286" ht="16.5" spans="1:5">
      <c r="A1286" s="101">
        <v>3045651</v>
      </c>
      <c r="B1286" s="102">
        <v>400574.9</v>
      </c>
      <c r="C1286" s="102">
        <v>670.2</v>
      </c>
      <c r="D1286" s="11">
        <v>45262</v>
      </c>
      <c r="E1286" s="39"/>
    </row>
    <row r="1287" ht="16.5" spans="1:5">
      <c r="A1287" s="101">
        <v>3045651</v>
      </c>
      <c r="B1287" s="102">
        <v>400574.9</v>
      </c>
      <c r="C1287" s="102">
        <v>670.2</v>
      </c>
      <c r="D1287" s="11">
        <v>45263</v>
      </c>
      <c r="E1287" s="39"/>
    </row>
    <row r="1288" ht="16.5" spans="1:5">
      <c r="A1288" s="101">
        <v>3045651</v>
      </c>
      <c r="B1288" s="102">
        <v>400574.9</v>
      </c>
      <c r="C1288" s="102">
        <v>670.2</v>
      </c>
      <c r="D1288" s="11">
        <v>45264</v>
      </c>
      <c r="E1288" s="39"/>
    </row>
    <row r="1289" ht="16.5" spans="1:5">
      <c r="A1289" s="101">
        <v>3045651</v>
      </c>
      <c r="B1289" s="102">
        <v>400574.9</v>
      </c>
      <c r="C1289" s="102">
        <v>670.2</v>
      </c>
      <c r="D1289" s="11">
        <v>45265</v>
      </c>
      <c r="E1289" s="39">
        <f>670.206-20.33</f>
        <v>649.876</v>
      </c>
    </row>
    <row r="1290" ht="16.5" spans="1:5">
      <c r="A1290" s="101">
        <v>3045651</v>
      </c>
      <c r="B1290" s="102">
        <v>400574.9</v>
      </c>
      <c r="C1290" s="102">
        <v>670.2</v>
      </c>
      <c r="D1290" s="11">
        <v>45266</v>
      </c>
      <c r="E1290" s="39"/>
    </row>
    <row r="1291" ht="16.5" spans="1:5">
      <c r="A1291" s="101">
        <v>3045651</v>
      </c>
      <c r="B1291" s="102">
        <v>400574.9</v>
      </c>
      <c r="C1291" s="102">
        <v>670.2</v>
      </c>
      <c r="D1291" s="11">
        <v>45267</v>
      </c>
      <c r="E1291" s="39"/>
    </row>
    <row r="1292" ht="16.5" spans="1:5">
      <c r="A1292" s="101">
        <v>3045651</v>
      </c>
      <c r="B1292" s="102">
        <v>400574.9</v>
      </c>
      <c r="C1292" s="102">
        <v>670.2</v>
      </c>
      <c r="D1292" s="11">
        <v>45268</v>
      </c>
      <c r="E1292" s="39"/>
    </row>
    <row r="1293" ht="16.5" spans="1:5">
      <c r="A1293" s="101">
        <v>3045651</v>
      </c>
      <c r="B1293" s="102">
        <v>400574.9</v>
      </c>
      <c r="C1293" s="102">
        <v>670.2</v>
      </c>
      <c r="D1293" s="11">
        <v>45269</v>
      </c>
      <c r="E1293" s="39"/>
    </row>
    <row r="1294" ht="16.5" spans="1:5">
      <c r="A1294" s="101">
        <v>3045651</v>
      </c>
      <c r="B1294" s="102">
        <v>400574.9</v>
      </c>
      <c r="C1294" s="102">
        <v>670.2</v>
      </c>
      <c r="D1294" s="11">
        <v>45270</v>
      </c>
      <c r="E1294" s="39"/>
    </row>
    <row r="1295" ht="16.5" spans="1:5">
      <c r="A1295" s="101">
        <v>3045651</v>
      </c>
      <c r="B1295" s="102">
        <v>400574.9</v>
      </c>
      <c r="C1295" s="102">
        <v>670.2</v>
      </c>
      <c r="D1295" s="11">
        <v>45271</v>
      </c>
      <c r="E1295" s="39"/>
    </row>
    <row r="1296" ht="16.5" spans="1:5">
      <c r="A1296" s="101">
        <v>3045651</v>
      </c>
      <c r="B1296" s="102">
        <v>400574.9</v>
      </c>
      <c r="C1296" s="102">
        <v>670.2</v>
      </c>
      <c r="D1296" s="11">
        <v>45272</v>
      </c>
      <c r="E1296" s="39"/>
    </row>
    <row r="1297" ht="16.5" spans="1:5">
      <c r="A1297" s="101">
        <v>3045651</v>
      </c>
      <c r="B1297" s="102">
        <v>400574.9</v>
      </c>
      <c r="C1297" s="102">
        <v>670.2</v>
      </c>
      <c r="D1297" s="11">
        <v>45273</v>
      </c>
      <c r="E1297" s="39"/>
    </row>
    <row r="1298" ht="16.5" spans="1:5">
      <c r="A1298" s="101">
        <v>3045651</v>
      </c>
      <c r="B1298" s="102">
        <v>400574.9</v>
      </c>
      <c r="C1298" s="102">
        <v>670.2</v>
      </c>
      <c r="D1298" s="11">
        <v>45274</v>
      </c>
      <c r="E1298" s="39"/>
    </row>
    <row r="1299" ht="16.5" spans="1:5">
      <c r="A1299" s="101">
        <v>3045651</v>
      </c>
      <c r="B1299" s="102">
        <v>400574.9</v>
      </c>
      <c r="C1299" s="102">
        <v>670.2</v>
      </c>
      <c r="D1299" s="11">
        <v>45275</v>
      </c>
      <c r="E1299" s="39">
        <v>647.052</v>
      </c>
    </row>
    <row r="1300" ht="16.5" spans="1:5">
      <c r="A1300" s="101">
        <v>3045651</v>
      </c>
      <c r="B1300" s="102">
        <v>400574.9</v>
      </c>
      <c r="C1300" s="102">
        <v>670.2</v>
      </c>
      <c r="D1300" s="11">
        <v>45276</v>
      </c>
      <c r="E1300" s="39">
        <v>648.323</v>
      </c>
    </row>
    <row r="1301" ht="16.5" spans="1:5">
      <c r="A1301" s="101">
        <v>3045651</v>
      </c>
      <c r="B1301" s="102">
        <v>400574.9</v>
      </c>
      <c r="C1301" s="102">
        <v>670.2</v>
      </c>
      <c r="D1301" s="11">
        <v>45277</v>
      </c>
      <c r="E1301" s="39">
        <v>650.296</v>
      </c>
    </row>
    <row r="1302" ht="16.5" spans="1:5">
      <c r="A1302" s="101">
        <v>3045651</v>
      </c>
      <c r="B1302" s="102">
        <v>400574.9</v>
      </c>
      <c r="C1302" s="102">
        <v>670.2</v>
      </c>
      <c r="D1302" s="11">
        <v>45278</v>
      </c>
      <c r="E1302" s="39">
        <v>662.339</v>
      </c>
    </row>
    <row r="1303" ht="16.5" spans="1:5">
      <c r="A1303" s="101">
        <v>3045651</v>
      </c>
      <c r="B1303" s="102">
        <v>400574.9</v>
      </c>
      <c r="C1303" s="102">
        <v>670.2</v>
      </c>
      <c r="D1303" s="11">
        <v>45279</v>
      </c>
      <c r="E1303" s="39">
        <v>665.606</v>
      </c>
    </row>
    <row r="1304" ht="16.5" spans="1:5">
      <c r="A1304" s="101">
        <v>3045651</v>
      </c>
      <c r="B1304" s="102">
        <v>400574.9</v>
      </c>
      <c r="C1304" s="102">
        <v>670.2</v>
      </c>
      <c r="D1304" s="11">
        <v>45280</v>
      </c>
      <c r="E1304" s="39">
        <v>665.024</v>
      </c>
    </row>
    <row r="1305" ht="16.5" spans="1:5">
      <c r="A1305" s="101">
        <v>3045651</v>
      </c>
      <c r="B1305" s="102">
        <v>400574.9</v>
      </c>
      <c r="C1305" s="102">
        <v>670.2</v>
      </c>
      <c r="D1305" s="11">
        <v>45281</v>
      </c>
      <c r="E1305" s="39">
        <v>664.345</v>
      </c>
    </row>
    <row r="1306" ht="16.5" spans="1:5">
      <c r="A1306" s="101">
        <v>3045651</v>
      </c>
      <c r="B1306" s="102">
        <v>400574.9</v>
      </c>
      <c r="C1306" s="102">
        <v>670.2</v>
      </c>
      <c r="D1306" s="11">
        <v>45282</v>
      </c>
      <c r="E1306" s="39">
        <v>661.522</v>
      </c>
    </row>
    <row r="1307" ht="16.5" spans="1:5">
      <c r="A1307" s="101">
        <v>3045651</v>
      </c>
      <c r="B1307" s="102">
        <v>400574.9</v>
      </c>
      <c r="C1307" s="102">
        <v>670.2</v>
      </c>
      <c r="D1307" s="11">
        <v>45283</v>
      </c>
      <c r="E1307" s="39">
        <v>660.234</v>
      </c>
    </row>
    <row r="1308" ht="16.5" spans="1:5">
      <c r="A1308" s="101">
        <v>3045651</v>
      </c>
      <c r="B1308" s="102">
        <v>400574.9</v>
      </c>
      <c r="C1308" s="102">
        <v>670.2</v>
      </c>
      <c r="D1308" s="11">
        <v>45284</v>
      </c>
      <c r="E1308" s="39">
        <v>659.344</v>
      </c>
    </row>
    <row r="1309" ht="16.5" spans="1:5">
      <c r="A1309" s="101">
        <v>3045651</v>
      </c>
      <c r="B1309" s="102">
        <v>400574.9</v>
      </c>
      <c r="C1309" s="102">
        <v>670.2</v>
      </c>
      <c r="D1309" s="11">
        <v>45285</v>
      </c>
      <c r="E1309" s="39">
        <v>659.121</v>
      </c>
    </row>
    <row r="1310" ht="16.5" spans="1:5">
      <c r="A1310" s="101">
        <v>3045651</v>
      </c>
      <c r="B1310" s="102">
        <v>400574.9</v>
      </c>
      <c r="C1310" s="102">
        <v>670.2</v>
      </c>
      <c r="D1310" s="11">
        <v>45286</v>
      </c>
      <c r="E1310" s="39">
        <v>658.949</v>
      </c>
    </row>
    <row r="1311" ht="16.5" spans="1:5">
      <c r="A1311" s="101">
        <v>3045651</v>
      </c>
      <c r="B1311" s="102">
        <v>400574.9</v>
      </c>
      <c r="C1311" s="102">
        <v>670.2</v>
      </c>
      <c r="D1311" s="11">
        <v>45287</v>
      </c>
      <c r="E1311" s="39">
        <v>658.706</v>
      </c>
    </row>
    <row r="1312" ht="16.5" spans="1:5">
      <c r="A1312" s="101">
        <v>3045651</v>
      </c>
      <c r="B1312" s="102">
        <v>400574.9</v>
      </c>
      <c r="C1312" s="102">
        <v>670.2</v>
      </c>
      <c r="D1312" s="11">
        <v>45288</v>
      </c>
      <c r="E1312" s="39">
        <v>658.57</v>
      </c>
    </row>
    <row r="1313" ht="16.5" spans="1:5">
      <c r="A1313" s="101">
        <v>3045651</v>
      </c>
      <c r="B1313" s="102">
        <v>400574.9</v>
      </c>
      <c r="C1313" s="102">
        <v>670.2</v>
      </c>
      <c r="D1313" s="11">
        <v>45289</v>
      </c>
      <c r="E1313" s="39">
        <v>657.677</v>
      </c>
    </row>
    <row r="1314" ht="16.5" spans="1:5">
      <c r="A1314" s="101">
        <v>3045651</v>
      </c>
      <c r="B1314" s="102">
        <v>400574.9</v>
      </c>
      <c r="C1314" s="102">
        <v>670.2</v>
      </c>
      <c r="D1314" s="11">
        <v>45290</v>
      </c>
      <c r="E1314" s="39">
        <v>657.631</v>
      </c>
    </row>
    <row r="1315" ht="16.5" spans="1:5">
      <c r="A1315" s="101">
        <v>3045651</v>
      </c>
      <c r="B1315" s="102">
        <v>400574.9</v>
      </c>
      <c r="C1315" s="102">
        <v>670.2</v>
      </c>
      <c r="D1315" s="11">
        <v>45291</v>
      </c>
      <c r="E1315" s="39">
        <v>658.034</v>
      </c>
    </row>
    <row r="1316" ht="16.5" spans="1:5">
      <c r="A1316" s="101">
        <v>3045651</v>
      </c>
      <c r="B1316" s="102">
        <v>400574.9</v>
      </c>
      <c r="C1316" s="102">
        <v>670.2</v>
      </c>
      <c r="D1316" s="11">
        <v>45292</v>
      </c>
      <c r="E1316" s="39">
        <v>660.775</v>
      </c>
    </row>
    <row r="1317" ht="16.5" spans="1:5">
      <c r="A1317" s="101">
        <v>3045651</v>
      </c>
      <c r="B1317" s="102">
        <v>400574.9</v>
      </c>
      <c r="C1317" s="102">
        <v>670.2</v>
      </c>
      <c r="D1317" s="11">
        <v>45293</v>
      </c>
      <c r="E1317" s="39">
        <v>662.038</v>
      </c>
    </row>
    <row r="1318" ht="16.5" spans="1:5">
      <c r="A1318" s="101">
        <v>3045651</v>
      </c>
      <c r="B1318" s="102">
        <v>400574.9</v>
      </c>
      <c r="C1318" s="102">
        <v>670.2</v>
      </c>
      <c r="D1318" s="11">
        <v>45294</v>
      </c>
      <c r="E1318" s="38">
        <v>662.27</v>
      </c>
    </row>
    <row r="1319" ht="16.5" spans="1:5">
      <c r="A1319" s="101">
        <v>3045651</v>
      </c>
      <c r="B1319" s="102">
        <v>400574.9</v>
      </c>
      <c r="C1319" s="102">
        <v>670.2</v>
      </c>
      <c r="D1319" s="11">
        <v>45295</v>
      </c>
      <c r="E1319" s="44">
        <v>662.294</v>
      </c>
    </row>
    <row r="1320" ht="16.5" spans="1:5">
      <c r="A1320" s="101">
        <v>3045651</v>
      </c>
      <c r="B1320" s="102">
        <v>400574.9</v>
      </c>
      <c r="C1320" s="102">
        <v>670.2</v>
      </c>
      <c r="D1320" s="11">
        <v>45296</v>
      </c>
      <c r="E1320" s="44">
        <v>662.243</v>
      </c>
    </row>
    <row r="1321" ht="16.5" spans="1:5">
      <c r="A1321" s="101">
        <v>3045651</v>
      </c>
      <c r="B1321" s="102">
        <v>400574.9</v>
      </c>
      <c r="C1321" s="102">
        <v>670.2</v>
      </c>
      <c r="D1321" s="11">
        <v>45297</v>
      </c>
      <c r="E1321" s="44">
        <v>662.127</v>
      </c>
    </row>
    <row r="1322" ht="16.5" spans="1:5">
      <c r="A1322" s="101">
        <v>3045651</v>
      </c>
      <c r="B1322" s="102">
        <v>400574.9</v>
      </c>
      <c r="C1322" s="102">
        <v>670.2</v>
      </c>
      <c r="D1322" s="11">
        <v>45298</v>
      </c>
      <c r="E1322" s="44">
        <v>662.07</v>
      </c>
    </row>
    <row r="1323" ht="16.5" spans="1:5">
      <c r="A1323" s="101">
        <v>3045651</v>
      </c>
      <c r="B1323" s="102">
        <v>400574.9</v>
      </c>
      <c r="C1323" s="102">
        <v>670.2</v>
      </c>
      <c r="D1323" s="11">
        <v>45299</v>
      </c>
      <c r="E1323" s="44">
        <v>661.398</v>
      </c>
    </row>
    <row r="1324" ht="16.5" spans="1:5">
      <c r="A1324" s="101">
        <v>3045651</v>
      </c>
      <c r="B1324" s="102">
        <v>400574.9</v>
      </c>
      <c r="C1324" s="102">
        <v>670.2</v>
      </c>
      <c r="D1324" s="11">
        <v>45300</v>
      </c>
      <c r="E1324" s="44">
        <v>660.789</v>
      </c>
    </row>
    <row r="1325" ht="16.5" spans="1:5">
      <c r="A1325" s="101">
        <v>3045651</v>
      </c>
      <c r="B1325" s="102">
        <v>400574.9</v>
      </c>
      <c r="C1325" s="102">
        <v>670.2</v>
      </c>
      <c r="D1325" s="11">
        <v>45301</v>
      </c>
      <c r="E1325" s="44">
        <v>660.542</v>
      </c>
    </row>
    <row r="1326" ht="16.5" spans="1:5">
      <c r="A1326" s="101">
        <v>3045651</v>
      </c>
      <c r="B1326" s="102">
        <v>400574.9</v>
      </c>
      <c r="C1326" s="102">
        <v>670.2</v>
      </c>
      <c r="D1326" s="11">
        <v>45302</v>
      </c>
      <c r="E1326" s="44">
        <v>660.488</v>
      </c>
    </row>
    <row r="1327" ht="16.5" spans="1:5">
      <c r="A1327" s="101">
        <v>3045651</v>
      </c>
      <c r="B1327" s="102">
        <v>400574.9</v>
      </c>
      <c r="C1327" s="102">
        <v>670.2</v>
      </c>
      <c r="D1327" s="11">
        <v>45303</v>
      </c>
      <c r="E1327" s="43">
        <v>659.695</v>
      </c>
    </row>
    <row r="1328" ht="16.5" spans="1:5">
      <c r="A1328" s="101">
        <v>3045651</v>
      </c>
      <c r="B1328" s="102">
        <v>400574.9</v>
      </c>
      <c r="C1328" s="102">
        <v>670.2</v>
      </c>
      <c r="D1328" s="11">
        <v>45304</v>
      </c>
      <c r="E1328" s="43">
        <v>659.526</v>
      </c>
    </row>
    <row r="1329" ht="16.5" spans="1:5">
      <c r="A1329" s="101">
        <v>3045651</v>
      </c>
      <c r="B1329" s="102">
        <v>400574.9</v>
      </c>
      <c r="C1329" s="102">
        <v>670.2</v>
      </c>
      <c r="D1329" s="11">
        <v>45305</v>
      </c>
      <c r="E1329" s="43">
        <v>657.194</v>
      </c>
    </row>
    <row r="1330" ht="16.5" spans="1:5">
      <c r="A1330" s="101">
        <v>3045651</v>
      </c>
      <c r="B1330" s="102">
        <v>400574.9</v>
      </c>
      <c r="C1330" s="102">
        <v>670.2</v>
      </c>
      <c r="D1330" s="11">
        <v>45306</v>
      </c>
      <c r="E1330" s="43">
        <v>640.936</v>
      </c>
    </row>
    <row r="1331" ht="16.5" spans="1:5">
      <c r="A1331" s="101">
        <v>3045651</v>
      </c>
      <c r="B1331" s="102">
        <v>400574.9</v>
      </c>
      <c r="C1331" s="102">
        <v>670.2</v>
      </c>
      <c r="D1331" s="11">
        <v>45307</v>
      </c>
      <c r="E1331" s="43">
        <v>638.396</v>
      </c>
    </row>
    <row r="1332" ht="16.5" spans="1:5">
      <c r="A1332" s="101">
        <v>3045651</v>
      </c>
      <c r="B1332" s="102">
        <v>400574.9</v>
      </c>
      <c r="C1332" s="102">
        <v>670.2</v>
      </c>
      <c r="D1332" s="11">
        <v>45308</v>
      </c>
      <c r="E1332" s="44">
        <v>637.123</v>
      </c>
    </row>
    <row r="1333" ht="16.5" spans="1:5">
      <c r="A1333" s="101">
        <v>3045651</v>
      </c>
      <c r="B1333" s="102">
        <v>400574.9</v>
      </c>
      <c r="C1333" s="102">
        <v>670.2</v>
      </c>
      <c r="D1333" s="11">
        <v>45309</v>
      </c>
      <c r="E1333" s="44">
        <v>636.874</v>
      </c>
    </row>
    <row r="1334" ht="16.5" spans="1:5">
      <c r="A1334" s="101">
        <v>3045651</v>
      </c>
      <c r="B1334" s="102">
        <v>400574.9</v>
      </c>
      <c r="C1334" s="102">
        <v>670.2</v>
      </c>
      <c r="D1334" s="11">
        <v>45310</v>
      </c>
      <c r="E1334" s="44">
        <v>636.683</v>
      </c>
    </row>
    <row r="1335" ht="16.5" spans="1:5">
      <c r="A1335" s="101">
        <v>3045651</v>
      </c>
      <c r="B1335" s="102">
        <v>400574.9</v>
      </c>
      <c r="C1335" s="102">
        <v>670.2</v>
      </c>
      <c r="D1335" s="11">
        <v>45311</v>
      </c>
      <c r="E1335" s="44">
        <v>636.391</v>
      </c>
    </row>
    <row r="1336" ht="16.5" spans="1:5">
      <c r="A1336" s="101">
        <v>3045651</v>
      </c>
      <c r="B1336" s="102">
        <v>400574.9</v>
      </c>
      <c r="C1336" s="102">
        <v>670.2</v>
      </c>
      <c r="D1336" s="11">
        <v>45312</v>
      </c>
      <c r="E1336" s="39"/>
    </row>
    <row r="1337" ht="16.5" spans="1:5">
      <c r="A1337" s="101">
        <v>3045651</v>
      </c>
      <c r="B1337" s="102">
        <v>400574.9</v>
      </c>
      <c r="C1337" s="102">
        <v>670.2</v>
      </c>
      <c r="D1337" s="11">
        <v>45313</v>
      </c>
      <c r="E1337" s="44">
        <v>636.047</v>
      </c>
    </row>
    <row r="1338" ht="16.5" spans="1:5">
      <c r="A1338" s="101">
        <v>3045651</v>
      </c>
      <c r="B1338" s="102">
        <v>400574.9</v>
      </c>
      <c r="C1338" s="102">
        <v>670.2</v>
      </c>
      <c r="D1338" s="11">
        <v>45314</v>
      </c>
      <c r="E1338" s="44">
        <v>636.191</v>
      </c>
    </row>
    <row r="1339" ht="16.5" spans="1:5">
      <c r="A1339" s="101">
        <v>3045651</v>
      </c>
      <c r="B1339" s="102">
        <v>400574.9</v>
      </c>
      <c r="C1339" s="102">
        <v>670.2</v>
      </c>
      <c r="D1339" s="11">
        <v>45315</v>
      </c>
      <c r="E1339" s="44">
        <v>636.473</v>
      </c>
    </row>
    <row r="1340" ht="16.5" spans="1:5">
      <c r="A1340" s="101">
        <v>3045651</v>
      </c>
      <c r="B1340" s="102">
        <v>400574.9</v>
      </c>
      <c r="C1340" s="102">
        <v>670.2</v>
      </c>
      <c r="D1340" s="11">
        <v>45316</v>
      </c>
      <c r="E1340" s="44">
        <v>636.931</v>
      </c>
    </row>
    <row r="1341" ht="16.5" spans="1:5">
      <c r="A1341" s="101">
        <v>3045651</v>
      </c>
      <c r="B1341" s="102">
        <v>400574.9</v>
      </c>
      <c r="C1341" s="102">
        <v>670.2</v>
      </c>
      <c r="D1341" s="11">
        <v>45317</v>
      </c>
      <c r="E1341" s="44">
        <v>637.775</v>
      </c>
    </row>
    <row r="1342" ht="16.5" spans="1:5">
      <c r="A1342" s="101">
        <v>3045651</v>
      </c>
      <c r="B1342" s="102">
        <v>400574.9</v>
      </c>
      <c r="C1342" s="102">
        <v>670.2</v>
      </c>
      <c r="D1342" s="11">
        <v>45318</v>
      </c>
      <c r="E1342" s="44">
        <v>638.45</v>
      </c>
    </row>
    <row r="1343" ht="16.5" spans="1:5">
      <c r="A1343" s="101">
        <v>3045651</v>
      </c>
      <c r="B1343" s="102">
        <v>400574.9</v>
      </c>
      <c r="C1343" s="102">
        <v>670.2</v>
      </c>
      <c r="D1343" s="11">
        <v>45319</v>
      </c>
      <c r="E1343" s="44">
        <v>639.039</v>
      </c>
    </row>
    <row r="1344" ht="16.5" spans="1:5">
      <c r="A1344" s="101">
        <v>3045651</v>
      </c>
      <c r="B1344" s="102">
        <v>400574.9</v>
      </c>
      <c r="C1344" s="102">
        <v>670.2</v>
      </c>
      <c r="D1344" s="11">
        <v>45320</v>
      </c>
      <c r="E1344" s="44">
        <v>654.19</v>
      </c>
    </row>
    <row r="1345" ht="16.5" spans="1:5">
      <c r="A1345" s="101">
        <v>3045651</v>
      </c>
      <c r="B1345" s="102">
        <v>400574.9</v>
      </c>
      <c r="C1345" s="102">
        <v>670.2</v>
      </c>
      <c r="D1345" s="11">
        <v>45321</v>
      </c>
      <c r="E1345" s="44">
        <v>657.259</v>
      </c>
    </row>
    <row r="1346" ht="16.5" spans="1:5">
      <c r="A1346" s="101">
        <v>3045651</v>
      </c>
      <c r="B1346" s="102">
        <v>400574.9</v>
      </c>
      <c r="C1346" s="102">
        <v>670.2</v>
      </c>
      <c r="D1346" s="11">
        <v>45322</v>
      </c>
      <c r="E1346" s="44">
        <v>660.622</v>
      </c>
    </row>
    <row r="1347" ht="16.5" spans="1:5">
      <c r="A1347" s="101">
        <v>3045651</v>
      </c>
      <c r="B1347" s="102">
        <v>400574.9</v>
      </c>
      <c r="C1347" s="102">
        <v>670.2</v>
      </c>
      <c r="D1347" s="11">
        <v>45323</v>
      </c>
      <c r="E1347" s="44">
        <v>661.927</v>
      </c>
    </row>
    <row r="1348" ht="16.5" spans="1:5">
      <c r="A1348" s="101">
        <v>3045651</v>
      </c>
      <c r="B1348" s="102">
        <v>400574.9</v>
      </c>
      <c r="C1348" s="102">
        <v>670.2</v>
      </c>
      <c r="D1348" s="11">
        <v>45324</v>
      </c>
      <c r="E1348" s="44">
        <v>662.284</v>
      </c>
    </row>
    <row r="1349" ht="16.5" spans="1:5">
      <c r="A1349" s="101">
        <v>3045651</v>
      </c>
      <c r="B1349" s="102">
        <v>400574.9</v>
      </c>
      <c r="C1349" s="102">
        <v>670.2</v>
      </c>
      <c r="D1349" s="11">
        <v>45325</v>
      </c>
      <c r="E1349" s="44">
        <v>656.444</v>
      </c>
    </row>
    <row r="1350" ht="16.5" spans="1:5">
      <c r="A1350" s="101">
        <v>3045651</v>
      </c>
      <c r="B1350" s="102">
        <v>400574.9</v>
      </c>
      <c r="C1350" s="102">
        <v>670.2</v>
      </c>
      <c r="D1350" s="11">
        <v>45326</v>
      </c>
      <c r="E1350" s="44">
        <v>655.212</v>
      </c>
    </row>
    <row r="1351" ht="16.5" spans="1:5">
      <c r="A1351" s="101">
        <v>3045651</v>
      </c>
      <c r="B1351" s="102">
        <v>400574.9</v>
      </c>
      <c r="C1351" s="102">
        <v>670.2</v>
      </c>
      <c r="D1351" s="11">
        <v>45327</v>
      </c>
      <c r="E1351" s="44">
        <v>654.78</v>
      </c>
    </row>
    <row r="1352" ht="16.5" spans="1:5">
      <c r="A1352" s="101">
        <v>3045651</v>
      </c>
      <c r="B1352" s="102">
        <v>400574.9</v>
      </c>
      <c r="C1352" s="102">
        <v>670.2</v>
      </c>
      <c r="D1352" s="11">
        <v>45328</v>
      </c>
      <c r="E1352" s="44">
        <v>654.515</v>
      </c>
    </row>
    <row r="1353" ht="16.5" spans="1:5">
      <c r="A1353" s="101">
        <v>3045651</v>
      </c>
      <c r="B1353" s="102">
        <v>400574.9</v>
      </c>
      <c r="C1353" s="102">
        <v>670.2</v>
      </c>
      <c r="D1353" s="11">
        <v>45329</v>
      </c>
      <c r="E1353" s="44">
        <v>654.365</v>
      </c>
    </row>
    <row r="1354" ht="16.5" spans="1:5">
      <c r="A1354" s="101">
        <v>3045651</v>
      </c>
      <c r="B1354" s="102">
        <v>400574.9</v>
      </c>
      <c r="C1354" s="102">
        <v>670.2</v>
      </c>
      <c r="D1354" s="11">
        <v>45330</v>
      </c>
      <c r="E1354" s="44">
        <v>654.247</v>
      </c>
    </row>
    <row r="1355" ht="16.5" spans="1:5">
      <c r="A1355" s="101">
        <v>3045651</v>
      </c>
      <c r="B1355" s="102">
        <v>400574.9</v>
      </c>
      <c r="C1355" s="102">
        <v>670.2</v>
      </c>
      <c r="D1355" s="11">
        <v>45331</v>
      </c>
      <c r="E1355" s="44">
        <v>654.049</v>
      </c>
    </row>
    <row r="1356" ht="16.5" spans="1:5">
      <c r="A1356" s="101">
        <v>3045651</v>
      </c>
      <c r="B1356" s="102">
        <v>400574.9</v>
      </c>
      <c r="C1356" s="102">
        <v>670.2</v>
      </c>
      <c r="D1356" s="11">
        <v>45332</v>
      </c>
      <c r="E1356" s="44">
        <v>653.885</v>
      </c>
    </row>
    <row r="1357" ht="16.5" spans="1:5">
      <c r="A1357" s="101">
        <v>3045651</v>
      </c>
      <c r="B1357" s="102">
        <v>400574.9</v>
      </c>
      <c r="C1357" s="102">
        <v>670.2</v>
      </c>
      <c r="D1357" s="11">
        <v>45333</v>
      </c>
      <c r="E1357" s="44">
        <v>658.523</v>
      </c>
    </row>
    <row r="1358" ht="16.5" spans="1:5">
      <c r="A1358" s="101">
        <v>3045651</v>
      </c>
      <c r="B1358" s="102">
        <v>400574.9</v>
      </c>
      <c r="C1358" s="102">
        <v>670.2</v>
      </c>
      <c r="D1358" s="11">
        <v>45334</v>
      </c>
      <c r="E1358" s="44">
        <v>660.639</v>
      </c>
    </row>
    <row r="1359" ht="16.5" spans="1:5">
      <c r="A1359" s="101">
        <v>3045651</v>
      </c>
      <c r="B1359" s="102">
        <v>400574.9</v>
      </c>
      <c r="C1359" s="102">
        <v>670.2</v>
      </c>
      <c r="D1359" s="11">
        <v>45335</v>
      </c>
      <c r="E1359" s="44">
        <v>661.139</v>
      </c>
    </row>
    <row r="1360" ht="16.5" spans="1:5">
      <c r="A1360" s="101">
        <v>3045651</v>
      </c>
      <c r="B1360" s="102">
        <v>400574.9</v>
      </c>
      <c r="C1360" s="102">
        <v>670.2</v>
      </c>
      <c r="D1360" s="11">
        <v>45336</v>
      </c>
      <c r="E1360" s="45">
        <v>661.229</v>
      </c>
    </row>
    <row r="1361" ht="16.5" spans="1:5">
      <c r="A1361" s="101">
        <v>3045651</v>
      </c>
      <c r="B1361" s="102">
        <v>400574.9</v>
      </c>
      <c r="C1361" s="102">
        <v>670.2</v>
      </c>
      <c r="D1361" s="11">
        <v>45337</v>
      </c>
      <c r="E1361" s="37"/>
    </row>
    <row r="1362" ht="16.5" spans="1:5">
      <c r="A1362" s="101">
        <v>3045651</v>
      </c>
      <c r="B1362" s="102">
        <v>400574.9</v>
      </c>
      <c r="C1362" s="102">
        <v>670.2</v>
      </c>
      <c r="D1362" s="11">
        <v>45338</v>
      </c>
      <c r="E1362" s="37"/>
    </row>
    <row r="1363" ht="16.5" spans="1:5">
      <c r="A1363" s="101">
        <v>3045651</v>
      </c>
      <c r="B1363" s="102">
        <v>400574.9</v>
      </c>
      <c r="C1363" s="102">
        <v>670.2</v>
      </c>
      <c r="D1363" s="11">
        <v>45339</v>
      </c>
      <c r="E1363" s="37"/>
    </row>
    <row r="1364" ht="16.5" spans="1:5">
      <c r="A1364" s="101">
        <v>3045651</v>
      </c>
      <c r="B1364" s="102">
        <v>400574.9</v>
      </c>
      <c r="C1364" s="102">
        <v>670.2</v>
      </c>
      <c r="D1364" s="11">
        <v>45340</v>
      </c>
      <c r="E1364" s="37"/>
    </row>
    <row r="1365" ht="16.5" spans="1:5">
      <c r="A1365" s="101">
        <v>3045651</v>
      </c>
      <c r="B1365" s="102">
        <v>400574.9</v>
      </c>
      <c r="C1365" s="102">
        <v>670.2</v>
      </c>
      <c r="D1365" s="11">
        <v>45341</v>
      </c>
      <c r="E1365" s="44"/>
    </row>
    <row r="1366" ht="16.5" spans="1:5">
      <c r="A1366" s="101">
        <v>3045651</v>
      </c>
      <c r="B1366" s="102">
        <v>400574.9</v>
      </c>
      <c r="C1366" s="102">
        <v>670.2</v>
      </c>
      <c r="D1366" s="11">
        <v>45342</v>
      </c>
      <c r="E1366" s="44"/>
    </row>
    <row r="1367" ht="16.5" spans="1:5">
      <c r="A1367" s="101">
        <v>3045651</v>
      </c>
      <c r="B1367" s="102">
        <v>400574.9</v>
      </c>
      <c r="C1367" s="102">
        <v>670.2</v>
      </c>
      <c r="D1367" s="11">
        <v>45343</v>
      </c>
      <c r="E1367" s="44"/>
    </row>
    <row r="1368" ht="16.5" spans="1:5">
      <c r="A1368" s="101">
        <v>3045651</v>
      </c>
      <c r="B1368" s="102">
        <v>400574.9</v>
      </c>
      <c r="C1368" s="102">
        <v>670.2</v>
      </c>
      <c r="D1368" s="11">
        <v>45344</v>
      </c>
      <c r="E1368" s="44"/>
    </row>
    <row r="1369" ht="16.5" spans="1:5">
      <c r="A1369" s="101">
        <v>3045651</v>
      </c>
      <c r="B1369" s="102">
        <v>400574.9</v>
      </c>
      <c r="C1369" s="102">
        <v>670.2</v>
      </c>
      <c r="D1369" s="11">
        <v>45345</v>
      </c>
      <c r="E1369" s="44"/>
    </row>
    <row r="1370" ht="16.5" spans="1:5">
      <c r="A1370" s="101">
        <v>3045651</v>
      </c>
      <c r="B1370" s="102">
        <v>400574.9</v>
      </c>
      <c r="C1370" s="102">
        <v>670.2</v>
      </c>
      <c r="D1370" s="11">
        <v>45346</v>
      </c>
      <c r="E1370" s="44">
        <v>655.965</v>
      </c>
    </row>
    <row r="1371" ht="16.5" spans="1:5">
      <c r="A1371" s="101">
        <v>3045651</v>
      </c>
      <c r="B1371" s="102">
        <v>400574.9</v>
      </c>
      <c r="C1371" s="102">
        <v>670.2</v>
      </c>
      <c r="D1371" s="11">
        <v>45347</v>
      </c>
      <c r="E1371" s="44">
        <v>658.3</v>
      </c>
    </row>
    <row r="1372" ht="16.5" spans="1:5">
      <c r="A1372" s="101">
        <v>3045651</v>
      </c>
      <c r="B1372" s="102">
        <v>400574.9</v>
      </c>
      <c r="C1372" s="102">
        <v>670.2</v>
      </c>
      <c r="D1372" s="11">
        <v>45348</v>
      </c>
      <c r="E1372" s="44">
        <v>657.448</v>
      </c>
    </row>
    <row r="1373" ht="16.5" spans="1:5">
      <c r="A1373" s="101">
        <v>3045651</v>
      </c>
      <c r="B1373" s="102">
        <v>400574.9</v>
      </c>
      <c r="C1373" s="102">
        <v>670.2</v>
      </c>
      <c r="D1373" s="11">
        <v>45349</v>
      </c>
      <c r="E1373" s="44">
        <v>646.361</v>
      </c>
    </row>
    <row r="1374" ht="16.5" spans="1:5">
      <c r="A1374" s="101">
        <v>3045651</v>
      </c>
      <c r="B1374" s="102">
        <v>400574.9</v>
      </c>
      <c r="C1374" s="102">
        <v>670.2</v>
      </c>
      <c r="D1374" s="11">
        <v>45350</v>
      </c>
      <c r="E1374" s="44">
        <v>645.254</v>
      </c>
    </row>
    <row r="1375" ht="16.5" spans="1:5">
      <c r="A1375" s="101">
        <v>3045651</v>
      </c>
      <c r="B1375" s="102">
        <v>400574.9</v>
      </c>
      <c r="C1375" s="102">
        <v>670.2</v>
      </c>
      <c r="D1375" s="11">
        <v>45351</v>
      </c>
      <c r="E1375" s="44">
        <v>658.348</v>
      </c>
    </row>
    <row r="1376" ht="16.5" spans="1:5">
      <c r="A1376" s="101">
        <v>3045651</v>
      </c>
      <c r="B1376" s="102">
        <v>400574.9</v>
      </c>
      <c r="C1376" s="102">
        <v>670.2</v>
      </c>
      <c r="D1376" s="11">
        <v>45352</v>
      </c>
      <c r="E1376" s="44">
        <v>658.821</v>
      </c>
    </row>
    <row r="1377" ht="16.5" spans="1:5">
      <c r="A1377" s="101">
        <v>3045651</v>
      </c>
      <c r="B1377" s="102">
        <v>400574.9</v>
      </c>
      <c r="C1377" s="102">
        <v>670.2</v>
      </c>
      <c r="D1377" s="11">
        <v>45353</v>
      </c>
      <c r="E1377" s="44">
        <v>658.348</v>
      </c>
    </row>
    <row r="1378" ht="16.5" spans="1:5">
      <c r="A1378" s="101">
        <v>3045651</v>
      </c>
      <c r="B1378" s="102">
        <v>400574.9</v>
      </c>
      <c r="C1378" s="102">
        <v>670.2</v>
      </c>
      <c r="D1378" s="11">
        <v>45354</v>
      </c>
      <c r="E1378" s="44">
        <v>658.821</v>
      </c>
    </row>
    <row r="1379" ht="16.5" spans="1:5">
      <c r="A1379" s="101">
        <v>3045651</v>
      </c>
      <c r="B1379" s="102">
        <v>400574.9</v>
      </c>
      <c r="C1379" s="102">
        <v>670.2</v>
      </c>
      <c r="D1379" s="11">
        <v>45355</v>
      </c>
      <c r="E1379" s="44">
        <v>658.94</v>
      </c>
    </row>
    <row r="1380" ht="16.5" spans="1:5">
      <c r="A1380" s="101">
        <v>3045651</v>
      </c>
      <c r="B1380" s="102">
        <v>400574.9</v>
      </c>
      <c r="C1380" s="102">
        <v>670.2</v>
      </c>
      <c r="D1380" s="11">
        <v>45356</v>
      </c>
      <c r="E1380" s="44">
        <v>658.83</v>
      </c>
    </row>
    <row r="1381" ht="16.5" spans="1:5">
      <c r="A1381" s="101">
        <v>3045651</v>
      </c>
      <c r="B1381" s="102">
        <v>400574.9</v>
      </c>
      <c r="C1381" s="102">
        <v>670.2</v>
      </c>
      <c r="D1381" s="11">
        <v>45357</v>
      </c>
      <c r="E1381" s="44">
        <v>658.648</v>
      </c>
    </row>
    <row r="1382" ht="16.5" spans="1:5">
      <c r="A1382" s="101">
        <v>3045651</v>
      </c>
      <c r="B1382" s="102">
        <v>400574.9</v>
      </c>
      <c r="C1382" s="102">
        <v>670.2</v>
      </c>
      <c r="D1382" s="11">
        <v>45358</v>
      </c>
      <c r="E1382" s="44">
        <v>658.494</v>
      </c>
    </row>
    <row r="1383" ht="16.5" spans="1:5">
      <c r="A1383" s="101">
        <v>3045651</v>
      </c>
      <c r="B1383" s="102">
        <v>400574.9</v>
      </c>
      <c r="C1383" s="102">
        <v>670.2</v>
      </c>
      <c r="D1383" s="11">
        <v>45359</v>
      </c>
      <c r="E1383" s="44">
        <v>658.359</v>
      </c>
    </row>
    <row r="1384" ht="16.5" spans="1:5">
      <c r="A1384" s="101">
        <v>3045651</v>
      </c>
      <c r="B1384" s="102">
        <v>400574.9</v>
      </c>
      <c r="C1384" s="102">
        <v>670.2</v>
      </c>
      <c r="D1384" s="11">
        <v>45360</v>
      </c>
      <c r="E1384" s="44">
        <v>655.656</v>
      </c>
    </row>
    <row r="1385" ht="16.5" spans="1:5">
      <c r="A1385" s="101">
        <v>3045651</v>
      </c>
      <c r="B1385" s="102">
        <v>400574.9</v>
      </c>
      <c r="C1385" s="102">
        <v>670.2</v>
      </c>
      <c r="D1385" s="11">
        <v>45361</v>
      </c>
      <c r="E1385" s="44"/>
    </row>
    <row r="1386" ht="16.5" spans="1:5">
      <c r="A1386" s="101">
        <v>3045651</v>
      </c>
      <c r="B1386" s="102">
        <v>400574.9</v>
      </c>
      <c r="C1386" s="102">
        <v>670.2</v>
      </c>
      <c r="D1386" s="11">
        <v>45362</v>
      </c>
      <c r="E1386" s="44"/>
    </row>
    <row r="1387" ht="16.5" spans="1:5">
      <c r="A1387" s="101">
        <v>3045651</v>
      </c>
      <c r="B1387" s="102">
        <v>400574.9</v>
      </c>
      <c r="C1387" s="102">
        <v>670.2</v>
      </c>
      <c r="D1387" s="11">
        <v>45363</v>
      </c>
      <c r="E1387" s="44">
        <v>654.167</v>
      </c>
    </row>
    <row r="1388" ht="16.5" spans="1:5">
      <c r="A1388" s="101">
        <v>3045651</v>
      </c>
      <c r="B1388" s="102">
        <v>400574.9</v>
      </c>
      <c r="C1388" s="102">
        <v>670.2</v>
      </c>
      <c r="D1388" s="11">
        <v>45364</v>
      </c>
      <c r="E1388" s="44">
        <v>654.122</v>
      </c>
    </row>
    <row r="1389" ht="16.5" spans="1:5">
      <c r="A1389" s="101">
        <v>3045651</v>
      </c>
      <c r="B1389" s="102">
        <v>400574.9</v>
      </c>
      <c r="C1389" s="102">
        <v>670.2</v>
      </c>
      <c r="D1389" s="11">
        <v>45365</v>
      </c>
      <c r="E1389" s="44">
        <v>654.048</v>
      </c>
    </row>
    <row r="1390" ht="16.5" spans="1:5">
      <c r="A1390" s="101">
        <v>3045651</v>
      </c>
      <c r="B1390" s="102">
        <v>400574.9</v>
      </c>
      <c r="C1390" s="102">
        <v>670.2</v>
      </c>
      <c r="D1390" s="11">
        <v>45366</v>
      </c>
      <c r="E1390" s="44"/>
    </row>
    <row r="1391" ht="16.5" spans="1:5">
      <c r="A1391" s="101">
        <v>3045651</v>
      </c>
      <c r="B1391" s="102">
        <v>400574.9</v>
      </c>
      <c r="C1391" s="102">
        <v>670.2</v>
      </c>
      <c r="D1391" s="11">
        <v>45367</v>
      </c>
      <c r="E1391" s="44">
        <v>637.777</v>
      </c>
    </row>
    <row r="1392" ht="16.5" spans="1:5">
      <c r="A1392" s="101">
        <v>3045651</v>
      </c>
      <c r="B1392" s="102">
        <v>400574.9</v>
      </c>
      <c r="C1392" s="102">
        <v>670.2</v>
      </c>
      <c r="D1392" s="11">
        <v>45368</v>
      </c>
      <c r="E1392" s="44">
        <v>634.785</v>
      </c>
    </row>
    <row r="1393" ht="16.5" spans="1:5">
      <c r="A1393" s="101">
        <v>3045651</v>
      </c>
      <c r="B1393" s="102">
        <v>400574.9</v>
      </c>
      <c r="C1393" s="102">
        <v>670.2</v>
      </c>
      <c r="D1393" s="11">
        <v>45369</v>
      </c>
      <c r="E1393" s="44">
        <v>634.246</v>
      </c>
    </row>
    <row r="1394" ht="16.5" spans="1:5">
      <c r="A1394" s="101">
        <v>3045651</v>
      </c>
      <c r="B1394" s="102">
        <v>400574.9</v>
      </c>
      <c r="C1394" s="102">
        <v>670.2</v>
      </c>
      <c r="D1394" s="11">
        <v>45370</v>
      </c>
      <c r="E1394" s="44"/>
    </row>
    <row r="1395" ht="16.5" spans="1:5">
      <c r="A1395" s="101">
        <v>3045651</v>
      </c>
      <c r="B1395" s="102">
        <v>400574.9</v>
      </c>
      <c r="C1395" s="102">
        <v>670.2</v>
      </c>
      <c r="D1395" s="11">
        <v>45371</v>
      </c>
      <c r="E1395" s="44">
        <v>634.142</v>
      </c>
    </row>
    <row r="1396" ht="16.5" spans="1:5">
      <c r="A1396" s="101">
        <v>3045651</v>
      </c>
      <c r="B1396" s="102">
        <v>400574.9</v>
      </c>
      <c r="C1396" s="102">
        <v>670.2</v>
      </c>
      <c r="D1396" s="11">
        <v>45372</v>
      </c>
      <c r="E1396" s="44">
        <v>634.112</v>
      </c>
    </row>
    <row r="1397" ht="16.5" spans="1:5">
      <c r="A1397" s="101">
        <v>3045651</v>
      </c>
      <c r="B1397" s="102">
        <v>400574.9</v>
      </c>
      <c r="C1397" s="102">
        <v>670.2</v>
      </c>
      <c r="D1397" s="11">
        <v>45373</v>
      </c>
      <c r="E1397" s="44">
        <v>634.004</v>
      </c>
    </row>
    <row r="1398" ht="16.5" spans="1:5">
      <c r="A1398" s="101">
        <v>3045651</v>
      </c>
      <c r="B1398" s="102">
        <v>400574.9</v>
      </c>
      <c r="C1398" s="102">
        <v>670.2</v>
      </c>
      <c r="D1398" s="11">
        <v>45374</v>
      </c>
      <c r="E1398" s="44"/>
    </row>
    <row r="1399" ht="16.5" spans="1:5">
      <c r="A1399" s="101">
        <v>3045651</v>
      </c>
      <c r="B1399" s="102">
        <v>400574.9</v>
      </c>
      <c r="C1399" s="102">
        <v>670.2</v>
      </c>
      <c r="D1399" s="11">
        <v>45375</v>
      </c>
      <c r="E1399" s="44"/>
    </row>
    <row r="1400" ht="16.5" spans="1:5">
      <c r="A1400" s="101">
        <v>3045651</v>
      </c>
      <c r="B1400" s="102">
        <v>400574.9</v>
      </c>
      <c r="C1400" s="102">
        <v>670.2</v>
      </c>
      <c r="D1400" s="11">
        <v>45376</v>
      </c>
      <c r="E1400" s="44"/>
    </row>
    <row r="1401" ht="16.5" spans="1:5">
      <c r="A1401" s="101">
        <v>3045651</v>
      </c>
      <c r="B1401" s="102">
        <v>400574.9</v>
      </c>
      <c r="C1401" s="102">
        <v>670.2</v>
      </c>
      <c r="D1401" s="11">
        <v>45377</v>
      </c>
      <c r="E1401" s="44"/>
    </row>
    <row r="1402" ht="16.5" spans="1:5">
      <c r="A1402" s="101">
        <v>3045651</v>
      </c>
      <c r="B1402" s="102">
        <v>400574.9</v>
      </c>
      <c r="C1402" s="102">
        <v>670.2</v>
      </c>
      <c r="D1402" s="11">
        <v>45378</v>
      </c>
      <c r="E1402" s="44"/>
    </row>
    <row r="1403" ht="16.5" spans="1:5">
      <c r="A1403" s="101">
        <v>3045651</v>
      </c>
      <c r="B1403" s="102">
        <v>400574.9</v>
      </c>
      <c r="C1403" s="102">
        <v>670.2</v>
      </c>
      <c r="D1403" s="11">
        <v>45379</v>
      </c>
      <c r="E1403" s="44"/>
    </row>
    <row r="1404" ht="16.5" spans="1:5">
      <c r="A1404" s="101">
        <v>3045651</v>
      </c>
      <c r="B1404" s="102">
        <v>400574.9</v>
      </c>
      <c r="C1404" s="102">
        <v>670.2</v>
      </c>
      <c r="D1404" s="11">
        <v>45380</v>
      </c>
      <c r="E1404" s="44"/>
    </row>
    <row r="1405" ht="16.5" spans="1:5">
      <c r="A1405" s="101">
        <v>3045651</v>
      </c>
      <c r="B1405" s="102">
        <v>400574.9</v>
      </c>
      <c r="C1405" s="102">
        <v>670.2</v>
      </c>
      <c r="D1405" s="11">
        <v>45381</v>
      </c>
      <c r="E1405" s="44"/>
    </row>
    <row r="1406" ht="16.5" spans="1:5">
      <c r="A1406" s="101">
        <v>3045651</v>
      </c>
      <c r="B1406" s="102">
        <v>400574.9</v>
      </c>
      <c r="C1406" s="102">
        <v>670.2</v>
      </c>
      <c r="D1406" s="11">
        <v>45382</v>
      </c>
      <c r="E1406" s="44"/>
    </row>
    <row r="1407" ht="16.5" spans="1:5">
      <c r="A1407" s="101">
        <v>3045651</v>
      </c>
      <c r="B1407" s="102">
        <v>400574.9</v>
      </c>
      <c r="C1407" s="102">
        <v>670.2</v>
      </c>
      <c r="D1407" s="11">
        <v>45383</v>
      </c>
      <c r="E1407" s="44"/>
    </row>
    <row r="1408" ht="16.5" spans="1:5">
      <c r="A1408" s="101">
        <v>3045651</v>
      </c>
      <c r="B1408" s="102">
        <v>400574.9</v>
      </c>
      <c r="C1408" s="102">
        <v>670.2</v>
      </c>
      <c r="D1408" s="11">
        <v>45384</v>
      </c>
      <c r="E1408" s="44">
        <v>629.971</v>
      </c>
    </row>
    <row r="1409" ht="16.5" spans="1:5">
      <c r="A1409" s="101">
        <v>3045651</v>
      </c>
      <c r="B1409" s="102">
        <v>400574.9</v>
      </c>
      <c r="C1409" s="102">
        <v>670.2</v>
      </c>
      <c r="D1409" s="11">
        <v>45385</v>
      </c>
      <c r="E1409" s="44">
        <v>626.23</v>
      </c>
    </row>
    <row r="1410" ht="16.5" spans="1:5">
      <c r="A1410" s="101">
        <v>3045651</v>
      </c>
      <c r="B1410" s="102">
        <v>400574.9</v>
      </c>
      <c r="C1410" s="102">
        <v>670.2</v>
      </c>
      <c r="D1410" s="11">
        <v>45386</v>
      </c>
      <c r="E1410" s="44">
        <v>625.368</v>
      </c>
    </row>
    <row r="1411" ht="16.5" spans="1:5">
      <c r="A1411" s="101">
        <v>3045651</v>
      </c>
      <c r="B1411" s="102">
        <v>400574.9</v>
      </c>
      <c r="C1411" s="102">
        <v>670.2</v>
      </c>
      <c r="D1411" s="11">
        <v>45387</v>
      </c>
      <c r="E1411" s="44">
        <v>625.221</v>
      </c>
    </row>
    <row r="1412" ht="16.5" spans="1:5">
      <c r="A1412" s="101">
        <v>3045651</v>
      </c>
      <c r="B1412" s="102">
        <v>400574.9</v>
      </c>
      <c r="C1412" s="102">
        <v>670.2</v>
      </c>
      <c r="D1412" s="11">
        <v>45388</v>
      </c>
      <c r="E1412" s="44">
        <v>625.188</v>
      </c>
    </row>
    <row r="1413" ht="16.5" spans="1:5">
      <c r="A1413" s="101">
        <v>3045651</v>
      </c>
      <c r="B1413" s="102">
        <v>400574.9</v>
      </c>
      <c r="C1413" s="102">
        <v>670.2</v>
      </c>
      <c r="D1413" s="11">
        <v>45389</v>
      </c>
      <c r="E1413" s="44">
        <v>625.284</v>
      </c>
    </row>
    <row r="1414" ht="16.5" spans="1:5">
      <c r="A1414" s="101">
        <v>3045651</v>
      </c>
      <c r="B1414" s="102">
        <v>400574.9</v>
      </c>
      <c r="C1414" s="102">
        <v>670.2</v>
      </c>
      <c r="D1414" s="11">
        <v>45390</v>
      </c>
      <c r="E1414" s="44">
        <v>625.105</v>
      </c>
    </row>
    <row r="1415" ht="16.5" spans="1:5">
      <c r="A1415" s="101">
        <v>3045651</v>
      </c>
      <c r="B1415" s="102">
        <v>400574.9</v>
      </c>
      <c r="C1415" s="102">
        <v>670.2</v>
      </c>
      <c r="D1415" s="11">
        <v>45391</v>
      </c>
      <c r="E1415" s="44">
        <v>625.089</v>
      </c>
    </row>
    <row r="1416" ht="16.5" spans="1:5">
      <c r="A1416" s="101">
        <v>3045651</v>
      </c>
      <c r="B1416" s="102">
        <v>400574.9</v>
      </c>
      <c r="C1416" s="102">
        <v>670.2</v>
      </c>
      <c r="D1416" s="11">
        <v>45392</v>
      </c>
      <c r="E1416" s="44"/>
    </row>
    <row r="1417" ht="16.5" spans="1:5">
      <c r="A1417" s="101">
        <v>3045651</v>
      </c>
      <c r="B1417" s="102">
        <v>400574.9</v>
      </c>
      <c r="C1417" s="102">
        <v>670.2</v>
      </c>
      <c r="D1417" s="11">
        <v>45393</v>
      </c>
      <c r="E1417" s="44">
        <v>625.062</v>
      </c>
    </row>
    <row r="1418" ht="16.5" spans="1:5">
      <c r="A1418" s="101">
        <v>3045651</v>
      </c>
      <c r="B1418" s="102">
        <v>400574.9</v>
      </c>
      <c r="C1418" s="102">
        <v>670.2</v>
      </c>
      <c r="D1418" s="11">
        <v>45394</v>
      </c>
      <c r="E1418" s="44">
        <v>624.968</v>
      </c>
    </row>
    <row r="1419" ht="16.5" spans="1:5">
      <c r="A1419" s="101">
        <v>3045651</v>
      </c>
      <c r="B1419" s="102">
        <v>400574.9</v>
      </c>
      <c r="C1419" s="102">
        <v>670.2</v>
      </c>
      <c r="D1419" s="11">
        <v>45395</v>
      </c>
      <c r="E1419" s="44">
        <v>624.864</v>
      </c>
    </row>
    <row r="1420" ht="16.5" spans="1:5">
      <c r="A1420" s="101">
        <v>3045651</v>
      </c>
      <c r="B1420" s="102">
        <v>400574.9</v>
      </c>
      <c r="C1420" s="102">
        <v>670.2</v>
      </c>
      <c r="D1420" s="11">
        <v>45396</v>
      </c>
      <c r="E1420" s="44">
        <v>626.086</v>
      </c>
    </row>
    <row r="1421" ht="16.5" spans="1:5">
      <c r="A1421" s="101">
        <v>3045651</v>
      </c>
      <c r="B1421" s="102">
        <v>400574.9</v>
      </c>
      <c r="C1421" s="102">
        <v>670.2</v>
      </c>
      <c r="D1421" s="11">
        <v>45397</v>
      </c>
      <c r="E1421" s="44">
        <v>626.102</v>
      </c>
    </row>
    <row r="1422" ht="16.5" spans="1:5">
      <c r="A1422" s="101">
        <v>3045651</v>
      </c>
      <c r="B1422" s="102">
        <v>400574.9</v>
      </c>
      <c r="C1422" s="102">
        <v>670.2</v>
      </c>
      <c r="D1422" s="11">
        <v>45398</v>
      </c>
      <c r="E1422" s="44">
        <v>626.003</v>
      </c>
    </row>
    <row r="1423" ht="16.5" spans="1:5">
      <c r="A1423" s="101">
        <v>3045651</v>
      </c>
      <c r="B1423" s="102">
        <v>400574.9</v>
      </c>
      <c r="C1423" s="102">
        <v>670.2</v>
      </c>
      <c r="D1423" s="11">
        <v>45399</v>
      </c>
      <c r="E1423" s="44">
        <v>625.571</v>
      </c>
    </row>
    <row r="1424" ht="16.5" spans="1:5">
      <c r="A1424" s="101">
        <v>3045651</v>
      </c>
      <c r="B1424" s="102">
        <v>400574.9</v>
      </c>
      <c r="C1424" s="102">
        <v>670.2</v>
      </c>
      <c r="D1424" s="11">
        <v>45400</v>
      </c>
      <c r="E1424" s="44">
        <v>625.23</v>
      </c>
    </row>
    <row r="1425" ht="16.5" spans="1:5">
      <c r="A1425" s="101">
        <v>3045651</v>
      </c>
      <c r="B1425" s="102">
        <v>400574.9</v>
      </c>
      <c r="C1425" s="102">
        <v>670.2</v>
      </c>
      <c r="D1425" s="11">
        <v>45401</v>
      </c>
      <c r="E1425" s="44">
        <v>624.85</v>
      </c>
    </row>
    <row r="1426" ht="16.5" spans="1:5">
      <c r="A1426" s="101">
        <v>3045651</v>
      </c>
      <c r="B1426" s="102">
        <v>400574.9</v>
      </c>
      <c r="C1426" s="102">
        <v>670.2</v>
      </c>
      <c r="D1426" s="11">
        <v>45402</v>
      </c>
      <c r="E1426" s="44">
        <v>624.197</v>
      </c>
    </row>
    <row r="1427" ht="16.5" spans="1:5">
      <c r="A1427" s="101">
        <v>3045651</v>
      </c>
      <c r="B1427" s="102">
        <v>400574.9</v>
      </c>
      <c r="C1427" s="102">
        <v>670.2</v>
      </c>
      <c r="D1427" s="11">
        <v>45403</v>
      </c>
      <c r="E1427" s="44">
        <v>623.385</v>
      </c>
    </row>
    <row r="1428" ht="16.5" spans="1:5">
      <c r="A1428" s="101">
        <v>3045651</v>
      </c>
      <c r="B1428" s="102">
        <v>400574.9</v>
      </c>
      <c r="C1428" s="102">
        <v>670.2</v>
      </c>
      <c r="D1428" s="11">
        <v>45404</v>
      </c>
      <c r="E1428" s="44">
        <v>622.592</v>
      </c>
    </row>
    <row r="1429" ht="16.5" spans="1:5">
      <c r="A1429" s="101">
        <v>3045651</v>
      </c>
      <c r="B1429" s="102">
        <v>400574.9</v>
      </c>
      <c r="C1429" s="102">
        <v>670.2</v>
      </c>
      <c r="D1429" s="11">
        <v>45405</v>
      </c>
      <c r="E1429" s="44">
        <v>622.197</v>
      </c>
    </row>
    <row r="1430" ht="16.5" spans="1:5">
      <c r="A1430" s="101">
        <v>3045651</v>
      </c>
      <c r="B1430" s="102">
        <v>400574.9</v>
      </c>
      <c r="C1430" s="102">
        <v>670.2</v>
      </c>
      <c r="D1430" s="11">
        <v>45406</v>
      </c>
      <c r="E1430" s="44">
        <v>620.254</v>
      </c>
    </row>
    <row r="1431" ht="16.5" spans="1:5">
      <c r="A1431" s="101">
        <v>3045651</v>
      </c>
      <c r="B1431" s="102">
        <v>400574.9</v>
      </c>
      <c r="C1431" s="102">
        <v>670.2</v>
      </c>
      <c r="D1431" s="11">
        <v>45407</v>
      </c>
      <c r="E1431" s="44">
        <v>618.627</v>
      </c>
    </row>
    <row r="1432" ht="16.5" spans="1:5">
      <c r="A1432" s="101">
        <v>3045651</v>
      </c>
      <c r="B1432" s="102">
        <v>400574.9</v>
      </c>
      <c r="C1432" s="102">
        <v>670.2</v>
      </c>
      <c r="D1432" s="11">
        <v>45408</v>
      </c>
      <c r="E1432" s="44">
        <v>618.272</v>
      </c>
    </row>
    <row r="1433" ht="16.5" spans="1:5">
      <c r="A1433" s="101">
        <v>3045651</v>
      </c>
      <c r="B1433" s="102">
        <v>400574.9</v>
      </c>
      <c r="C1433" s="102">
        <v>670.2</v>
      </c>
      <c r="D1433" s="11">
        <v>45409</v>
      </c>
      <c r="E1433" s="44">
        <v>613.737</v>
      </c>
    </row>
    <row r="1434" ht="16.5" spans="1:5">
      <c r="A1434" s="101">
        <v>3045651</v>
      </c>
      <c r="B1434" s="102">
        <v>400574.9</v>
      </c>
      <c r="C1434" s="102">
        <v>670.2</v>
      </c>
      <c r="D1434" s="11">
        <v>45410</v>
      </c>
      <c r="E1434" s="44">
        <v>612.527</v>
      </c>
    </row>
    <row r="1435" ht="16.5" spans="1:5">
      <c r="A1435" s="101">
        <v>3045651</v>
      </c>
      <c r="B1435" s="102">
        <v>400574.9</v>
      </c>
      <c r="C1435" s="102">
        <v>670.2</v>
      </c>
      <c r="D1435" s="11">
        <v>45411</v>
      </c>
      <c r="E1435" s="44">
        <v>611.547</v>
      </c>
    </row>
    <row r="1436" ht="16.5" spans="1:5">
      <c r="A1436" s="101">
        <v>3045651</v>
      </c>
      <c r="B1436" s="102">
        <v>400574.9</v>
      </c>
      <c r="C1436" s="102">
        <v>670.2</v>
      </c>
      <c r="D1436" s="11">
        <v>45412</v>
      </c>
      <c r="E1436" s="44">
        <v>611.322</v>
      </c>
    </row>
    <row r="1437" ht="16.5" spans="1:5">
      <c r="A1437" s="101">
        <v>3045651</v>
      </c>
      <c r="B1437" s="102">
        <v>400574.9</v>
      </c>
      <c r="C1437" s="102">
        <v>670.2</v>
      </c>
      <c r="D1437" s="11">
        <v>45413</v>
      </c>
      <c r="E1437" s="44">
        <v>611.411</v>
      </c>
    </row>
    <row r="1438" ht="16.5" spans="1:5">
      <c r="A1438" s="101">
        <v>3045651</v>
      </c>
      <c r="B1438" s="102">
        <v>400574.9</v>
      </c>
      <c r="C1438" s="102">
        <v>670.2</v>
      </c>
      <c r="D1438" s="11">
        <v>45414</v>
      </c>
      <c r="E1438" s="44">
        <v>611.805</v>
      </c>
    </row>
    <row r="1439" ht="16.5" spans="1:5">
      <c r="A1439" s="101">
        <v>3045651</v>
      </c>
      <c r="B1439" s="102">
        <v>400574.9</v>
      </c>
      <c r="C1439" s="102">
        <v>670.2</v>
      </c>
      <c r="D1439" s="11">
        <v>45415</v>
      </c>
      <c r="E1439" s="44">
        <v>611.726</v>
      </c>
    </row>
    <row r="1440" ht="16.5" spans="1:5">
      <c r="A1440" s="101">
        <v>3045651</v>
      </c>
      <c r="B1440" s="102">
        <v>400574.9</v>
      </c>
      <c r="C1440" s="102">
        <v>670.2</v>
      </c>
      <c r="D1440" s="11">
        <v>45416</v>
      </c>
      <c r="E1440" s="44">
        <v>611.655</v>
      </c>
    </row>
    <row r="1441" ht="16.5" spans="1:5">
      <c r="A1441" s="101">
        <v>3045651</v>
      </c>
      <c r="B1441" s="102">
        <v>400574.9</v>
      </c>
      <c r="C1441" s="102">
        <v>670.2</v>
      </c>
      <c r="D1441" s="11">
        <v>45417</v>
      </c>
      <c r="E1441" s="44">
        <v>611.122</v>
      </c>
    </row>
    <row r="1442" ht="16.5" spans="1:5">
      <c r="A1442" s="101">
        <v>3045651</v>
      </c>
      <c r="B1442" s="102">
        <v>400574.9</v>
      </c>
      <c r="C1442" s="102">
        <v>670.2</v>
      </c>
      <c r="D1442" s="11">
        <v>45418</v>
      </c>
      <c r="E1442" s="44">
        <v>611.1</v>
      </c>
    </row>
    <row r="1443" ht="16.5" spans="1:5">
      <c r="A1443" s="101">
        <v>3045651</v>
      </c>
      <c r="B1443" s="102">
        <v>400574.9</v>
      </c>
      <c r="C1443" s="102">
        <v>670.2</v>
      </c>
      <c r="D1443" s="11">
        <v>45419</v>
      </c>
      <c r="E1443" s="44">
        <v>611.178</v>
      </c>
    </row>
    <row r="1444" ht="16.5" spans="1:5">
      <c r="A1444" s="101">
        <v>3045651</v>
      </c>
      <c r="B1444" s="102">
        <v>400574.9</v>
      </c>
      <c r="C1444" s="102">
        <v>670.2</v>
      </c>
      <c r="D1444" s="11">
        <v>45420</v>
      </c>
      <c r="E1444" s="44">
        <v>610.613</v>
      </c>
    </row>
    <row r="1445" ht="16.5" spans="1:5">
      <c r="A1445" s="101">
        <v>3045651</v>
      </c>
      <c r="B1445" s="102">
        <v>400574.9</v>
      </c>
      <c r="C1445" s="102">
        <v>670.2</v>
      </c>
      <c r="D1445" s="11">
        <v>45421</v>
      </c>
      <c r="E1445" s="44">
        <v>610.351</v>
      </c>
    </row>
    <row r="1446" ht="16.5" spans="1:5">
      <c r="A1446" s="101">
        <v>3045651</v>
      </c>
      <c r="B1446" s="102">
        <v>400574.9</v>
      </c>
      <c r="C1446" s="102">
        <v>670.2</v>
      </c>
      <c r="D1446" s="11">
        <v>45422</v>
      </c>
      <c r="E1446" s="44"/>
    </row>
    <row r="1447" ht="16.5" spans="1:5">
      <c r="A1447" s="101">
        <v>3045651</v>
      </c>
      <c r="B1447" s="102">
        <v>400574.9</v>
      </c>
      <c r="C1447" s="102">
        <v>670.2</v>
      </c>
      <c r="D1447" s="11">
        <v>45423</v>
      </c>
      <c r="E1447" s="44"/>
    </row>
  </sheetData>
  <mergeCells count="1">
    <mergeCell ref="A1: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tabSelected="1" topLeftCell="A54" workbookViewId="0">
      <selection activeCell="B7" sqref="B7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21.6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6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  <c r="F2" s="98" t="s">
        <v>493</v>
      </c>
    </row>
    <row r="3" ht="16.5" spans="1:6">
      <c r="A3" s="99">
        <v>3044758.5</v>
      </c>
      <c r="B3" s="99">
        <v>35401368.965</v>
      </c>
      <c r="C3" s="8">
        <v>905.534</v>
      </c>
      <c r="D3" s="11">
        <v>44927</v>
      </c>
      <c r="E3" s="22"/>
      <c r="F3" t="s">
        <v>494</v>
      </c>
    </row>
    <row r="4" ht="16.5" spans="1:5">
      <c r="A4" s="99">
        <v>3044758.5</v>
      </c>
      <c r="B4" s="99">
        <v>35401368.965</v>
      </c>
      <c r="C4" s="8">
        <v>905.534</v>
      </c>
      <c r="D4" s="11">
        <v>44928</v>
      </c>
      <c r="E4" s="21"/>
    </row>
    <row r="5" ht="16.5" spans="1:5">
      <c r="A5" s="99">
        <v>3044758.5</v>
      </c>
      <c r="B5" s="99">
        <v>35401368.965</v>
      </c>
      <c r="C5" s="8">
        <v>905.534</v>
      </c>
      <c r="D5" s="11">
        <v>44929</v>
      </c>
      <c r="E5" s="21"/>
    </row>
    <row r="6" ht="16.5" spans="1:5">
      <c r="A6" s="99">
        <v>3044758.5</v>
      </c>
      <c r="B6" s="99">
        <v>35401368.965</v>
      </c>
      <c r="C6" s="8">
        <v>905.534</v>
      </c>
      <c r="D6" s="11">
        <v>44930</v>
      </c>
      <c r="E6" s="21"/>
    </row>
    <row r="7" ht="16.5" spans="1:5">
      <c r="A7" s="99">
        <v>3044758.5</v>
      </c>
      <c r="B7" s="99">
        <v>35401368.965</v>
      </c>
      <c r="C7" s="8">
        <v>905.534</v>
      </c>
      <c r="D7" s="11">
        <v>44931</v>
      </c>
      <c r="E7" s="21">
        <f>905.53-2.9</f>
        <v>902.63</v>
      </c>
    </row>
    <row r="8" ht="16.5" spans="1:5">
      <c r="A8" s="99">
        <v>3044758.5</v>
      </c>
      <c r="B8" s="99">
        <v>35401368.965</v>
      </c>
      <c r="C8" s="8">
        <v>905.534</v>
      </c>
      <c r="D8" s="11">
        <v>44932</v>
      </c>
      <c r="E8" s="21"/>
    </row>
    <row r="9" ht="16.5" spans="1:5">
      <c r="A9" s="99">
        <v>3044758.5</v>
      </c>
      <c r="B9" s="99">
        <v>35401368.965</v>
      </c>
      <c r="C9" s="8">
        <v>905.534</v>
      </c>
      <c r="D9" s="11">
        <v>44933</v>
      </c>
      <c r="E9" s="21"/>
    </row>
    <row r="10" ht="16.5" spans="1:5">
      <c r="A10" s="99">
        <v>3044758.5</v>
      </c>
      <c r="B10" s="99">
        <v>35401368.965</v>
      </c>
      <c r="C10" s="8">
        <v>905.534</v>
      </c>
      <c r="D10" s="11">
        <v>44934</v>
      </c>
      <c r="E10" s="21"/>
    </row>
    <row r="11" ht="16.5" spans="1:5">
      <c r="A11" s="99">
        <v>3044758.5</v>
      </c>
      <c r="B11" s="99">
        <v>35401368.965</v>
      </c>
      <c r="C11" s="8">
        <v>905.534</v>
      </c>
      <c r="D11" s="11">
        <v>44935</v>
      </c>
      <c r="E11" s="21"/>
    </row>
    <row r="12" ht="16.5" spans="1:5">
      <c r="A12" s="99">
        <v>3044758.5</v>
      </c>
      <c r="B12" s="99">
        <v>35401368.965</v>
      </c>
      <c r="C12" s="8">
        <v>905.534</v>
      </c>
      <c r="D12" s="11">
        <v>44936</v>
      </c>
      <c r="E12" s="21">
        <f>905.53-3.78</f>
        <v>901.75</v>
      </c>
    </row>
    <row r="13" ht="16.5" spans="1:5">
      <c r="A13" s="99">
        <v>3044758.5</v>
      </c>
      <c r="B13" s="99">
        <v>35401368.965</v>
      </c>
      <c r="C13" s="8">
        <v>905.534</v>
      </c>
      <c r="D13" s="11">
        <v>44937</v>
      </c>
      <c r="E13" s="21"/>
    </row>
    <row r="14" ht="16.5" spans="1:5">
      <c r="A14" s="99">
        <v>3044758.5</v>
      </c>
      <c r="B14" s="99">
        <v>35401368.965</v>
      </c>
      <c r="C14" s="8">
        <v>905.534</v>
      </c>
      <c r="D14" s="11">
        <v>44938</v>
      </c>
      <c r="E14" s="22"/>
    </row>
    <row r="15" ht="16.5" spans="1:5">
      <c r="A15" s="99">
        <v>3044758.5</v>
      </c>
      <c r="B15" s="99">
        <v>35401368.965</v>
      </c>
      <c r="C15" s="8">
        <v>905.534</v>
      </c>
      <c r="D15" s="11">
        <v>44939</v>
      </c>
      <c r="E15" s="22"/>
    </row>
    <row r="16" ht="16.5" spans="1:5">
      <c r="A16" s="99">
        <v>3044758.5</v>
      </c>
      <c r="B16" s="99">
        <v>35401368.965</v>
      </c>
      <c r="C16" s="8">
        <v>905.534</v>
      </c>
      <c r="D16" s="11">
        <v>44940</v>
      </c>
      <c r="E16" s="22"/>
    </row>
    <row r="17" ht="16.5" spans="1:5">
      <c r="A17" s="99">
        <v>3044758.5</v>
      </c>
      <c r="B17" s="99">
        <v>35401368.965</v>
      </c>
      <c r="C17" s="8">
        <v>905.534</v>
      </c>
      <c r="D17" s="11">
        <v>44941</v>
      </c>
      <c r="E17" s="21">
        <f>905.53-6.82</f>
        <v>898.71</v>
      </c>
    </row>
    <row r="18" ht="16.5" spans="1:5">
      <c r="A18" s="99">
        <v>3044758.5</v>
      </c>
      <c r="B18" s="99">
        <v>35401368.965</v>
      </c>
      <c r="C18" s="8">
        <v>905.534</v>
      </c>
      <c r="D18" s="11">
        <v>44942</v>
      </c>
      <c r="E18" s="22"/>
    </row>
    <row r="19" ht="16.5" spans="1:5">
      <c r="A19" s="99">
        <v>3044758.5</v>
      </c>
      <c r="B19" s="99">
        <v>35401368.965</v>
      </c>
      <c r="C19" s="8">
        <v>905.534</v>
      </c>
      <c r="D19" s="11">
        <v>44943</v>
      </c>
      <c r="E19" s="22"/>
    </row>
    <row r="20" ht="16.5" spans="1:5">
      <c r="A20" s="99">
        <v>3044758.5</v>
      </c>
      <c r="B20" s="99">
        <v>35401368.965</v>
      </c>
      <c r="C20" s="8">
        <v>905.534</v>
      </c>
      <c r="D20" s="11">
        <v>44944</v>
      </c>
      <c r="E20" s="21"/>
    </row>
    <row r="21" ht="16.5" spans="1:5">
      <c r="A21" s="99">
        <v>3044758.5</v>
      </c>
      <c r="B21" s="99">
        <v>35401368.965</v>
      </c>
      <c r="C21" s="8">
        <v>905.534</v>
      </c>
      <c r="D21" s="11">
        <v>44945</v>
      </c>
      <c r="E21" s="22"/>
    </row>
    <row r="22" ht="16.5" spans="1:5">
      <c r="A22" s="99">
        <v>3044758.5</v>
      </c>
      <c r="B22" s="99">
        <v>35401368.965</v>
      </c>
      <c r="C22" s="8">
        <v>905.534</v>
      </c>
      <c r="D22" s="11">
        <v>44946</v>
      </c>
      <c r="E22" s="21">
        <f>905.53-3.21</f>
        <v>902.32</v>
      </c>
    </row>
    <row r="23" ht="16.5" spans="1:5">
      <c r="A23" s="99">
        <v>3044758.5</v>
      </c>
      <c r="B23" s="99">
        <v>35401368.965</v>
      </c>
      <c r="C23" s="8">
        <v>905.534</v>
      </c>
      <c r="D23" s="11">
        <v>44947</v>
      </c>
      <c r="E23" s="22"/>
    </row>
    <row r="24" ht="16.5" spans="1:5">
      <c r="A24" s="99">
        <v>3044758.5</v>
      </c>
      <c r="B24" s="99">
        <v>35401368.965</v>
      </c>
      <c r="C24" s="8">
        <v>905.534</v>
      </c>
      <c r="D24" s="11">
        <v>44948</v>
      </c>
      <c r="E24" s="22"/>
    </row>
    <row r="25" ht="16.5" spans="1:5">
      <c r="A25" s="99">
        <v>3044758.5</v>
      </c>
      <c r="B25" s="99">
        <v>35401368.965</v>
      </c>
      <c r="C25" s="8">
        <v>905.534</v>
      </c>
      <c r="D25" s="11">
        <v>44949</v>
      </c>
      <c r="E25" s="22"/>
    </row>
    <row r="26" ht="16.5" spans="1:5">
      <c r="A26" s="99">
        <v>3044758.5</v>
      </c>
      <c r="B26" s="99">
        <v>35401368.965</v>
      </c>
      <c r="C26" s="8">
        <v>905.534</v>
      </c>
      <c r="D26" s="11">
        <v>44950</v>
      </c>
      <c r="E26" s="22"/>
    </row>
    <row r="27" ht="16.5" spans="1:5">
      <c r="A27" s="99">
        <v>3044758.5</v>
      </c>
      <c r="B27" s="99">
        <v>35401368.965</v>
      </c>
      <c r="C27" s="8">
        <v>905.534</v>
      </c>
      <c r="D27" s="11">
        <v>44951</v>
      </c>
      <c r="E27" s="21">
        <f>905.53-2.77</f>
        <v>902.76</v>
      </c>
    </row>
    <row r="28" ht="16.5" spans="1:5">
      <c r="A28" s="99">
        <v>3044758.5</v>
      </c>
      <c r="B28" s="99">
        <v>35401368.965</v>
      </c>
      <c r="C28" s="8">
        <v>905.534</v>
      </c>
      <c r="D28" s="11">
        <v>44952</v>
      </c>
      <c r="E28" s="22"/>
    </row>
    <row r="29" ht="16.5" spans="1:5">
      <c r="A29" s="99">
        <v>3044758.5</v>
      </c>
      <c r="B29" s="99">
        <v>35401368.965</v>
      </c>
      <c r="C29" s="8">
        <v>905.534</v>
      </c>
      <c r="D29" s="11">
        <v>44953</v>
      </c>
      <c r="E29" s="22"/>
    </row>
    <row r="30" ht="16.5" spans="1:5">
      <c r="A30" s="99">
        <v>3044758.5</v>
      </c>
      <c r="B30" s="99">
        <v>35401368.965</v>
      </c>
      <c r="C30" s="8">
        <v>905.534</v>
      </c>
      <c r="D30" s="11">
        <v>44954</v>
      </c>
      <c r="E30" s="22"/>
    </row>
    <row r="31" ht="16.5" spans="1:5">
      <c r="A31" s="99">
        <v>3044758.5</v>
      </c>
      <c r="B31" s="99">
        <v>35401368.965</v>
      </c>
      <c r="C31" s="8">
        <v>905.534</v>
      </c>
      <c r="D31" s="11">
        <v>44955</v>
      </c>
      <c r="E31" s="22"/>
    </row>
    <row r="32" ht="16.5" spans="1:5">
      <c r="A32" s="99">
        <v>3044758.5</v>
      </c>
      <c r="B32" s="99">
        <v>35401368.965</v>
      </c>
      <c r="C32" s="8">
        <v>905.534</v>
      </c>
      <c r="D32" s="11">
        <v>44956</v>
      </c>
      <c r="E32" s="21">
        <f>905.53-2.51</f>
        <v>903.02</v>
      </c>
    </row>
    <row r="33" ht="16.5" spans="1:5">
      <c r="A33" s="99">
        <v>3044758.5</v>
      </c>
      <c r="B33" s="99">
        <v>35401368.965</v>
      </c>
      <c r="C33" s="8">
        <v>905.534</v>
      </c>
      <c r="D33" s="11">
        <v>44957</v>
      </c>
      <c r="E33" s="22"/>
    </row>
    <row r="34" ht="16.5" spans="1:5">
      <c r="A34" s="99">
        <v>3044758.5</v>
      </c>
      <c r="B34" s="99">
        <v>35401368.965</v>
      </c>
      <c r="C34" s="8">
        <v>905.534</v>
      </c>
      <c r="D34" s="11">
        <v>44958</v>
      </c>
      <c r="E34" s="22"/>
    </row>
    <row r="35" ht="16.5" spans="1:5">
      <c r="A35" s="99">
        <v>3044758.5</v>
      </c>
      <c r="B35" s="99">
        <v>35401368.965</v>
      </c>
      <c r="C35" s="8">
        <v>905.534</v>
      </c>
      <c r="D35" s="11">
        <v>44959</v>
      </c>
      <c r="E35" s="23">
        <f>905.53-2.7</f>
        <v>902.83</v>
      </c>
    </row>
    <row r="36" ht="16.5" spans="1:5">
      <c r="A36" s="99">
        <v>3044758.5</v>
      </c>
      <c r="B36" s="99">
        <v>35401368.965</v>
      </c>
      <c r="C36" s="8">
        <v>905.534</v>
      </c>
      <c r="D36" s="11">
        <v>44960</v>
      </c>
      <c r="E36" s="22"/>
    </row>
    <row r="37" ht="16.5" spans="1:5">
      <c r="A37" s="99">
        <v>3044758.5</v>
      </c>
      <c r="B37" s="99">
        <v>35401368.965</v>
      </c>
      <c r="C37" s="8">
        <v>905.534</v>
      </c>
      <c r="D37" s="11">
        <v>44961</v>
      </c>
      <c r="E37" s="22"/>
    </row>
    <row r="38" ht="16.5" spans="1:5">
      <c r="A38" s="99">
        <v>3044758.5</v>
      </c>
      <c r="B38" s="99">
        <v>35401368.965</v>
      </c>
      <c r="C38" s="8">
        <v>905.534</v>
      </c>
      <c r="D38" s="11">
        <v>44962</v>
      </c>
      <c r="E38" s="22"/>
    </row>
    <row r="39" ht="16.5" spans="1:5">
      <c r="A39" s="99">
        <v>3044758.5</v>
      </c>
      <c r="B39" s="99">
        <v>35401368.965</v>
      </c>
      <c r="C39" s="8">
        <v>905.534</v>
      </c>
      <c r="D39" s="11">
        <v>44963</v>
      </c>
      <c r="E39" s="22"/>
    </row>
    <row r="40" ht="16.5" spans="1:5">
      <c r="A40" s="99">
        <v>3044758.5</v>
      </c>
      <c r="B40" s="99">
        <v>35401368.965</v>
      </c>
      <c r="C40" s="8">
        <v>905.534</v>
      </c>
      <c r="D40" s="11">
        <v>44964</v>
      </c>
      <c r="E40" s="22"/>
    </row>
    <row r="41" ht="16.5" spans="1:5">
      <c r="A41" s="99">
        <v>3044758.5</v>
      </c>
      <c r="B41" s="99">
        <v>35401368.965</v>
      </c>
      <c r="C41" s="8">
        <v>905.534</v>
      </c>
      <c r="D41" s="11">
        <v>44965</v>
      </c>
      <c r="E41" s="21">
        <f>905.53-19.24</f>
        <v>886.29</v>
      </c>
    </row>
    <row r="42" ht="16.5" spans="1:5">
      <c r="A42" s="99">
        <v>3044758.5</v>
      </c>
      <c r="B42" s="99">
        <v>35401368.965</v>
      </c>
      <c r="C42" s="8">
        <v>905.534</v>
      </c>
      <c r="D42" s="11">
        <v>44966</v>
      </c>
      <c r="E42" s="21">
        <v>885.96</v>
      </c>
    </row>
    <row r="43" ht="16.5" spans="1:5">
      <c r="A43" s="99">
        <v>3044758.5</v>
      </c>
      <c r="B43" s="99">
        <v>35401368.965</v>
      </c>
      <c r="C43" s="8">
        <v>905.534</v>
      </c>
      <c r="D43" s="11">
        <v>44967</v>
      </c>
      <c r="E43" s="21">
        <v>886.51</v>
      </c>
    </row>
    <row r="44" ht="16.5" spans="1:5">
      <c r="A44" s="99">
        <v>3044758.5</v>
      </c>
      <c r="B44" s="99">
        <v>35401368.965</v>
      </c>
      <c r="C44" s="8">
        <v>905.534</v>
      </c>
      <c r="D44" s="11">
        <v>44968</v>
      </c>
      <c r="E44" s="21">
        <v>886.06</v>
      </c>
    </row>
    <row r="45" ht="16.5" spans="1:5">
      <c r="A45" s="99">
        <v>3044758.5</v>
      </c>
      <c r="B45" s="99">
        <v>35401368.965</v>
      </c>
      <c r="C45" s="8">
        <v>905.534</v>
      </c>
      <c r="D45" s="11">
        <v>44969</v>
      </c>
      <c r="E45" s="21">
        <v>885.83</v>
      </c>
    </row>
    <row r="46" ht="16.5" spans="1:5">
      <c r="A46" s="99">
        <v>3044758.5</v>
      </c>
      <c r="B46" s="99">
        <v>35401368.965</v>
      </c>
      <c r="C46" s="8">
        <v>905.534</v>
      </c>
      <c r="D46" s="11">
        <v>44970</v>
      </c>
      <c r="E46" s="23">
        <v>885.39</v>
      </c>
    </row>
    <row r="47" ht="16.5" spans="1:5">
      <c r="A47" s="99">
        <v>3044758.5</v>
      </c>
      <c r="B47" s="99">
        <v>35401368.965</v>
      </c>
      <c r="C47" s="8">
        <v>905.534</v>
      </c>
      <c r="D47" s="11">
        <v>44971</v>
      </c>
      <c r="E47" s="21">
        <v>883.73</v>
      </c>
    </row>
    <row r="48" ht="16.5" spans="1:5">
      <c r="A48" s="99">
        <v>3044758.5</v>
      </c>
      <c r="B48" s="99">
        <v>35401368.965</v>
      </c>
      <c r="C48" s="8">
        <v>905.534</v>
      </c>
      <c r="D48" s="11">
        <v>44972</v>
      </c>
      <c r="E48" s="21">
        <v>873.27</v>
      </c>
    </row>
    <row r="49" ht="16.5" spans="1:5">
      <c r="A49" s="99">
        <v>3044758.5</v>
      </c>
      <c r="B49" s="99">
        <v>35401368.965</v>
      </c>
      <c r="C49" s="8">
        <v>905.534</v>
      </c>
      <c r="D49" s="11">
        <v>44973</v>
      </c>
      <c r="E49" s="21">
        <v>869.21</v>
      </c>
    </row>
    <row r="50" ht="16.5" spans="1:5">
      <c r="A50" s="99">
        <v>3044758.5</v>
      </c>
      <c r="B50" s="99">
        <v>35401368.965</v>
      </c>
      <c r="C50" s="8">
        <v>905.534</v>
      </c>
      <c r="D50" s="11">
        <v>44974</v>
      </c>
      <c r="E50" s="21">
        <v>868.99</v>
      </c>
    </row>
    <row r="51" ht="16.5" spans="1:5">
      <c r="A51" s="99">
        <v>3044758.5</v>
      </c>
      <c r="B51" s="99">
        <v>35401368.965</v>
      </c>
      <c r="C51" s="8">
        <v>905.534</v>
      </c>
      <c r="D51" s="11">
        <v>44975</v>
      </c>
      <c r="E51" s="21">
        <v>868.73</v>
      </c>
    </row>
    <row r="52" ht="16.5" spans="1:5">
      <c r="A52" s="99">
        <v>3044758.5</v>
      </c>
      <c r="B52" s="99">
        <v>35401368.965</v>
      </c>
      <c r="C52" s="8">
        <v>905.534</v>
      </c>
      <c r="D52" s="11">
        <v>44976</v>
      </c>
      <c r="E52" s="21">
        <v>869.03</v>
      </c>
    </row>
    <row r="53" ht="16.5" spans="1:5">
      <c r="A53" s="99">
        <v>3044758.5</v>
      </c>
      <c r="B53" s="99">
        <v>35401368.965</v>
      </c>
      <c r="C53" s="8">
        <v>905.534</v>
      </c>
      <c r="D53" s="11">
        <v>44977</v>
      </c>
      <c r="E53" s="21">
        <v>869.07</v>
      </c>
    </row>
    <row r="54" ht="16.5" spans="1:5">
      <c r="A54" s="99">
        <v>3044758.5</v>
      </c>
      <c r="B54" s="99">
        <v>35401368.965</v>
      </c>
      <c r="C54" s="8">
        <v>905.534</v>
      </c>
      <c r="D54" s="11">
        <v>44978</v>
      </c>
      <c r="E54" s="21">
        <v>869</v>
      </c>
    </row>
    <row r="55" ht="16.5" spans="1:5">
      <c r="A55" s="99">
        <v>3044758.5</v>
      </c>
      <c r="B55" s="99">
        <v>35401368.965</v>
      </c>
      <c r="C55" s="8">
        <v>905.534</v>
      </c>
      <c r="D55" s="11">
        <v>44979</v>
      </c>
      <c r="E55" s="21">
        <v>859.21</v>
      </c>
    </row>
    <row r="56" ht="16.5" spans="1:5">
      <c r="A56" s="99">
        <v>3044758.5</v>
      </c>
      <c r="B56" s="99">
        <v>35401368.965</v>
      </c>
      <c r="C56" s="8">
        <v>905.534</v>
      </c>
      <c r="D56" s="11">
        <v>44980</v>
      </c>
      <c r="E56" s="21">
        <v>859.95</v>
      </c>
    </row>
    <row r="57" ht="16.5" spans="1:5">
      <c r="A57" s="99">
        <v>3044758.5</v>
      </c>
      <c r="B57" s="99">
        <v>35401368.965</v>
      </c>
      <c r="C57" s="8">
        <v>905.534</v>
      </c>
      <c r="D57" s="11">
        <v>44981</v>
      </c>
      <c r="E57" s="21">
        <v>860.31</v>
      </c>
    </row>
    <row r="58" ht="16.5" spans="1:5">
      <c r="A58" s="99">
        <v>3044758.5</v>
      </c>
      <c r="B58" s="99">
        <v>35401368.965</v>
      </c>
      <c r="C58" s="8">
        <v>905.534</v>
      </c>
      <c r="D58" s="11">
        <v>44982</v>
      </c>
      <c r="E58" s="21">
        <v>860.65</v>
      </c>
    </row>
    <row r="59" ht="16.5" spans="1:5">
      <c r="A59" s="99">
        <v>3044758.5</v>
      </c>
      <c r="B59" s="99">
        <v>35401368.965</v>
      </c>
      <c r="C59" s="8">
        <v>905.534</v>
      </c>
      <c r="D59" s="11">
        <v>44983</v>
      </c>
      <c r="E59" s="21">
        <v>860.82</v>
      </c>
    </row>
    <row r="60" ht="16.5" spans="1:5">
      <c r="A60" s="99">
        <v>3044758.5</v>
      </c>
      <c r="B60" s="99">
        <v>35401368.965</v>
      </c>
      <c r="C60" s="8">
        <v>905.534</v>
      </c>
      <c r="D60" s="11">
        <v>44984</v>
      </c>
      <c r="E60" s="21">
        <v>859.69</v>
      </c>
    </row>
    <row r="61" ht="16.5" spans="1:5">
      <c r="A61" s="99">
        <v>3044758.5</v>
      </c>
      <c r="B61" s="99">
        <v>35401368.965</v>
      </c>
      <c r="C61" s="8">
        <v>905.534</v>
      </c>
      <c r="D61" s="11">
        <v>44985</v>
      </c>
      <c r="E61" s="21">
        <v>858.48</v>
      </c>
    </row>
    <row r="62" ht="16.5" spans="1:5">
      <c r="A62" s="99">
        <v>3044758.5</v>
      </c>
      <c r="B62" s="99">
        <v>35401368.965</v>
      </c>
      <c r="C62" s="8">
        <v>905.534</v>
      </c>
      <c r="D62" s="11">
        <v>44986</v>
      </c>
      <c r="E62" s="21">
        <v>859.99</v>
      </c>
    </row>
    <row r="63" ht="16.5" spans="1:5">
      <c r="A63" s="99">
        <v>3044758.5</v>
      </c>
      <c r="B63" s="99">
        <v>35401368.965</v>
      </c>
      <c r="C63" s="8">
        <v>905.534</v>
      </c>
      <c r="D63" s="11">
        <v>44987</v>
      </c>
      <c r="E63" s="21">
        <v>859.81</v>
      </c>
    </row>
    <row r="64" ht="16.5" spans="1:5">
      <c r="A64" s="99">
        <v>3044758.5</v>
      </c>
      <c r="B64" s="99">
        <v>35401368.965</v>
      </c>
      <c r="C64" s="8">
        <v>905.534</v>
      </c>
      <c r="D64" s="11">
        <v>44988</v>
      </c>
      <c r="E64" s="21">
        <v>852.98</v>
      </c>
    </row>
    <row r="65" ht="16.5" spans="1:5">
      <c r="A65" s="99">
        <v>3044758.5</v>
      </c>
      <c r="B65" s="99">
        <v>35401368.965</v>
      </c>
      <c r="C65" s="8">
        <v>905.534</v>
      </c>
      <c r="D65" s="11">
        <v>44989</v>
      </c>
      <c r="E65" s="21">
        <v>853.48</v>
      </c>
    </row>
    <row r="66" ht="16.5" spans="1:5">
      <c r="A66" s="99">
        <v>3044758.5</v>
      </c>
      <c r="B66" s="99">
        <v>35401368.965</v>
      </c>
      <c r="C66" s="8">
        <v>905.534</v>
      </c>
      <c r="D66" s="11">
        <v>44990</v>
      </c>
      <c r="E66" s="21">
        <v>852.49</v>
      </c>
    </row>
    <row r="67" ht="16.5" spans="1:5">
      <c r="A67" s="99">
        <v>3044758.5</v>
      </c>
      <c r="B67" s="99">
        <v>35401368.965</v>
      </c>
      <c r="C67" s="8">
        <v>905.534</v>
      </c>
      <c r="D67" s="11">
        <v>44991</v>
      </c>
      <c r="E67" s="21">
        <v>839.99</v>
      </c>
    </row>
    <row r="68" ht="16.5" spans="1:5">
      <c r="A68" s="99">
        <v>3044758.5</v>
      </c>
      <c r="B68" s="99">
        <v>35401368.965</v>
      </c>
      <c r="C68" s="8">
        <v>905.534</v>
      </c>
      <c r="D68" s="11">
        <v>44992</v>
      </c>
      <c r="E68" s="21">
        <v>837.86</v>
      </c>
    </row>
    <row r="69" ht="16.5" spans="1:5">
      <c r="A69" s="99">
        <v>3044758.5</v>
      </c>
      <c r="B69" s="99">
        <v>35401368.965</v>
      </c>
      <c r="C69" s="8">
        <v>905.534</v>
      </c>
      <c r="D69" s="11">
        <v>44993</v>
      </c>
      <c r="E69" s="21">
        <v>838.15</v>
      </c>
    </row>
    <row r="70" ht="16.5" spans="1:5">
      <c r="A70" s="99">
        <v>3044758.5</v>
      </c>
      <c r="B70" s="99">
        <v>35401368.965</v>
      </c>
      <c r="C70" s="8">
        <v>905.534</v>
      </c>
      <c r="D70" s="11">
        <v>44994</v>
      </c>
      <c r="E70" s="21">
        <v>838.82</v>
      </c>
    </row>
    <row r="71" ht="16.5" spans="1:5">
      <c r="A71" s="99">
        <v>3044758.5</v>
      </c>
      <c r="B71" s="99">
        <v>35401368.965</v>
      </c>
      <c r="C71" s="8">
        <v>905.534</v>
      </c>
      <c r="D71" s="11">
        <v>44995</v>
      </c>
      <c r="E71" s="21">
        <v>837.54</v>
      </c>
    </row>
    <row r="72" ht="16.5" spans="1:5">
      <c r="A72" s="99">
        <v>3044758.5</v>
      </c>
      <c r="B72" s="99">
        <v>35401368.965</v>
      </c>
      <c r="C72" s="8">
        <v>905.534</v>
      </c>
      <c r="D72" s="11">
        <v>44996</v>
      </c>
      <c r="E72" s="21">
        <v>837.86</v>
      </c>
    </row>
    <row r="73" ht="16.5" spans="1:5">
      <c r="A73" s="99">
        <v>3044758.5</v>
      </c>
      <c r="B73" s="99">
        <v>35401368.965</v>
      </c>
      <c r="C73" s="8">
        <v>905.534</v>
      </c>
      <c r="D73" s="11">
        <v>44997</v>
      </c>
      <c r="E73" s="21">
        <v>840.18</v>
      </c>
    </row>
    <row r="74" ht="16.5" spans="1:5">
      <c r="A74" s="99">
        <v>3044758.5</v>
      </c>
      <c r="B74" s="99">
        <v>35401368.965</v>
      </c>
      <c r="C74" s="8">
        <v>905.534</v>
      </c>
      <c r="D74" s="11">
        <v>44998</v>
      </c>
      <c r="E74" s="21">
        <v>840.6</v>
      </c>
    </row>
    <row r="75" ht="16.5" spans="1:5">
      <c r="A75" s="99">
        <v>3044758.5</v>
      </c>
      <c r="B75" s="99">
        <v>35401368.965</v>
      </c>
      <c r="C75" s="8">
        <v>905.534</v>
      </c>
      <c r="D75" s="11">
        <v>44999</v>
      </c>
      <c r="E75" s="21">
        <v>843.1</v>
      </c>
    </row>
    <row r="76" ht="16.5" spans="1:5">
      <c r="A76" s="99">
        <v>3044758.5</v>
      </c>
      <c r="B76" s="99">
        <v>35401368.965</v>
      </c>
      <c r="C76" s="8">
        <v>905.534</v>
      </c>
      <c r="D76" s="11">
        <v>45000</v>
      </c>
      <c r="E76" s="21">
        <v>841.25</v>
      </c>
    </row>
    <row r="77" ht="16.5" spans="1:5">
      <c r="A77" s="99">
        <v>3044758.5</v>
      </c>
      <c r="B77" s="99">
        <v>35401368.965</v>
      </c>
      <c r="C77" s="8">
        <v>905.534</v>
      </c>
      <c r="D77" s="11">
        <v>45001</v>
      </c>
      <c r="E77" s="21">
        <v>837.54</v>
      </c>
    </row>
    <row r="78" ht="16.5" spans="1:5">
      <c r="A78" s="99">
        <v>3044758.5</v>
      </c>
      <c r="B78" s="99">
        <v>35401368.965</v>
      </c>
      <c r="C78" s="8">
        <v>905.534</v>
      </c>
      <c r="D78" s="11">
        <v>45002</v>
      </c>
      <c r="E78" s="24"/>
    </row>
    <row r="79" ht="16.5" spans="1:5">
      <c r="A79" s="99">
        <v>3044758.5</v>
      </c>
      <c r="B79" s="99">
        <v>35401368.965</v>
      </c>
      <c r="C79" s="8">
        <v>905.534</v>
      </c>
      <c r="D79" s="11">
        <v>45003</v>
      </c>
      <c r="E79" s="21"/>
    </row>
    <row r="80" ht="16.5" spans="1:5">
      <c r="A80" s="99">
        <v>3044758.5</v>
      </c>
      <c r="B80" s="99">
        <v>35401368.965</v>
      </c>
      <c r="C80" s="8">
        <v>905.534</v>
      </c>
      <c r="D80" s="11">
        <v>45004</v>
      </c>
      <c r="E80" s="21">
        <v>835.53</v>
      </c>
    </row>
    <row r="81" ht="16.5" spans="1:5">
      <c r="A81" s="99">
        <v>3044758.5</v>
      </c>
      <c r="B81" s="99">
        <v>35401368.965</v>
      </c>
      <c r="C81" s="8">
        <v>905.534</v>
      </c>
      <c r="D81" s="11">
        <v>45005</v>
      </c>
      <c r="E81" s="21">
        <v>835.53</v>
      </c>
    </row>
    <row r="82" ht="16.5" spans="1:5">
      <c r="A82" s="99">
        <v>3044758.5</v>
      </c>
      <c r="B82" s="99">
        <v>35401368.965</v>
      </c>
      <c r="C82" s="8">
        <v>905.534</v>
      </c>
      <c r="D82" s="11">
        <v>45006</v>
      </c>
      <c r="E82" s="21">
        <v>835.53</v>
      </c>
    </row>
    <row r="83" ht="16.5" spans="1:5">
      <c r="A83" s="99">
        <v>3044758.5</v>
      </c>
      <c r="B83" s="99">
        <v>35401368.965</v>
      </c>
      <c r="C83" s="8">
        <v>905.534</v>
      </c>
      <c r="D83" s="11">
        <v>45007</v>
      </c>
      <c r="E83" s="21">
        <v>835.53</v>
      </c>
    </row>
    <row r="84" ht="16.5" spans="1:5">
      <c r="A84" s="99">
        <v>3044758.5</v>
      </c>
      <c r="B84" s="99">
        <v>35401368.965</v>
      </c>
      <c r="C84" s="8">
        <v>905.534</v>
      </c>
      <c r="D84" s="11">
        <v>45008</v>
      </c>
      <c r="E84" s="21">
        <v>835.53</v>
      </c>
    </row>
    <row r="85" ht="16.5" spans="1:5">
      <c r="A85" s="99">
        <v>3044758.5</v>
      </c>
      <c r="B85" s="99">
        <v>35401368.965</v>
      </c>
      <c r="C85" s="8">
        <v>905.534</v>
      </c>
      <c r="D85" s="11">
        <v>45009</v>
      </c>
      <c r="E85" s="21"/>
    </row>
    <row r="86" ht="16.5" spans="1:5">
      <c r="A86" s="99">
        <v>3044758.5</v>
      </c>
      <c r="B86" s="99">
        <v>35401368.965</v>
      </c>
      <c r="C86" s="8">
        <v>905.534</v>
      </c>
      <c r="D86" s="11">
        <v>45010</v>
      </c>
      <c r="E86" s="21"/>
    </row>
    <row r="87" ht="16.5" spans="1:5">
      <c r="A87" s="99">
        <v>3044758.5</v>
      </c>
      <c r="B87" s="99">
        <v>35401368.965</v>
      </c>
      <c r="C87" s="8">
        <v>905.534</v>
      </c>
      <c r="D87" s="11">
        <v>45011</v>
      </c>
      <c r="E87" s="21"/>
    </row>
    <row r="88" ht="16.5" spans="1:5">
      <c r="A88" s="99">
        <v>3044758.5</v>
      </c>
      <c r="B88" s="99">
        <v>35401368.965</v>
      </c>
      <c r="C88" s="8">
        <v>905.534</v>
      </c>
      <c r="D88" s="11">
        <v>45012</v>
      </c>
      <c r="E88" s="21"/>
    </row>
    <row r="89" ht="16.5" spans="1:5">
      <c r="A89" s="99">
        <v>3044758.5</v>
      </c>
      <c r="B89" s="99">
        <v>35401368.965</v>
      </c>
      <c r="C89" s="8">
        <v>905.534</v>
      </c>
      <c r="D89" s="11">
        <v>45013</v>
      </c>
      <c r="E89" s="22"/>
    </row>
    <row r="90" ht="16.5" spans="1:5">
      <c r="A90" s="99">
        <v>3044758.5</v>
      </c>
      <c r="B90" s="99">
        <v>35401368.965</v>
      </c>
      <c r="C90" s="8">
        <v>905.534</v>
      </c>
      <c r="D90" s="11">
        <v>45014</v>
      </c>
      <c r="E90" s="22"/>
    </row>
    <row r="91" ht="16.5" spans="1:5">
      <c r="A91" s="99">
        <v>3044758.5</v>
      </c>
      <c r="B91" s="99">
        <v>35401368.965</v>
      </c>
      <c r="C91" s="8">
        <v>905.534</v>
      </c>
      <c r="D91" s="11">
        <v>45015</v>
      </c>
      <c r="E91" s="25">
        <v>824.16</v>
      </c>
    </row>
    <row r="92" ht="16.5" spans="1:5">
      <c r="A92" s="99">
        <v>3044758.5</v>
      </c>
      <c r="B92" s="99">
        <v>35401368.965</v>
      </c>
      <c r="C92" s="8">
        <v>905.534</v>
      </c>
      <c r="D92" s="11">
        <v>45016</v>
      </c>
      <c r="E92" s="22"/>
    </row>
    <row r="93" ht="16.5" spans="1:5">
      <c r="A93" s="99">
        <v>3044758.5</v>
      </c>
      <c r="B93" s="99">
        <v>35401368.965</v>
      </c>
      <c r="C93" s="8">
        <v>905.534</v>
      </c>
      <c r="D93" s="11">
        <v>45017</v>
      </c>
      <c r="E93" s="21">
        <v>824.1</v>
      </c>
    </row>
    <row r="94" ht="16.5" spans="1:5">
      <c r="A94" s="99">
        <v>3044758.5</v>
      </c>
      <c r="B94" s="99">
        <v>35401368.965</v>
      </c>
      <c r="C94" s="8">
        <v>905.534</v>
      </c>
      <c r="D94" s="11">
        <v>45018</v>
      </c>
      <c r="E94" s="21">
        <v>824.47</v>
      </c>
    </row>
    <row r="95" ht="16.5" spans="1:5">
      <c r="A95" s="99">
        <v>3044758.5</v>
      </c>
      <c r="B95" s="99">
        <v>35401368.965</v>
      </c>
      <c r="C95" s="8">
        <v>905.534</v>
      </c>
      <c r="D95" s="11">
        <v>45019</v>
      </c>
      <c r="E95" s="21">
        <v>824.5</v>
      </c>
    </row>
    <row r="96" ht="16.5" spans="1:5">
      <c r="A96" s="99">
        <v>3044758.5</v>
      </c>
      <c r="B96" s="99">
        <v>35401368.965</v>
      </c>
      <c r="C96" s="8">
        <v>905.534</v>
      </c>
      <c r="D96" s="11">
        <v>45020</v>
      </c>
      <c r="E96" s="21">
        <v>824.33</v>
      </c>
    </row>
    <row r="97" ht="16.5" spans="1:5">
      <c r="A97" s="99">
        <v>3044758.5</v>
      </c>
      <c r="B97" s="99">
        <v>35401368.965</v>
      </c>
      <c r="C97" s="8">
        <v>905.534</v>
      </c>
      <c r="D97" s="11">
        <v>45021</v>
      </c>
      <c r="E97" s="21">
        <v>824.34</v>
      </c>
    </row>
    <row r="98" ht="16.5" spans="1:5">
      <c r="A98" s="99">
        <v>3044758.5</v>
      </c>
      <c r="B98" s="99">
        <v>35401368.965</v>
      </c>
      <c r="C98" s="8">
        <v>905.534</v>
      </c>
      <c r="D98" s="11">
        <v>45022</v>
      </c>
      <c r="E98" s="21">
        <v>824.03</v>
      </c>
    </row>
    <row r="99" ht="16.5" spans="1:5">
      <c r="A99" s="99">
        <v>3044758.5</v>
      </c>
      <c r="B99" s="99">
        <v>35401368.965</v>
      </c>
      <c r="C99" s="8">
        <v>905.534</v>
      </c>
      <c r="D99" s="11">
        <v>45023</v>
      </c>
      <c r="E99" s="21">
        <v>824.24</v>
      </c>
    </row>
    <row r="100" ht="16.5" spans="1:5">
      <c r="A100" s="99">
        <v>3044758.5</v>
      </c>
      <c r="B100" s="99">
        <v>35401368.965</v>
      </c>
      <c r="C100" s="8">
        <v>905.534</v>
      </c>
      <c r="D100" s="11">
        <v>45024</v>
      </c>
      <c r="E100" s="21">
        <v>824.54</v>
      </c>
    </row>
    <row r="101" ht="16.5" spans="1:5">
      <c r="A101" s="99">
        <v>3044758.5</v>
      </c>
      <c r="B101" s="99">
        <v>35401368.965</v>
      </c>
      <c r="C101" s="8">
        <v>905.534</v>
      </c>
      <c r="D101" s="11">
        <v>45025</v>
      </c>
      <c r="E101" s="21">
        <v>824.79</v>
      </c>
    </row>
    <row r="102" ht="16.5" spans="1:5">
      <c r="A102" s="99">
        <v>3044758.5</v>
      </c>
      <c r="B102" s="99">
        <v>35401368.965</v>
      </c>
      <c r="C102" s="8">
        <v>905.534</v>
      </c>
      <c r="D102" s="11">
        <v>45026</v>
      </c>
      <c r="E102" s="21">
        <v>825</v>
      </c>
    </row>
    <row r="103" ht="16.5" spans="1:5">
      <c r="A103" s="99">
        <v>3044758.5</v>
      </c>
      <c r="B103" s="99">
        <v>35401368.965</v>
      </c>
      <c r="C103" s="8">
        <v>905.534</v>
      </c>
      <c r="D103" s="11">
        <v>45027</v>
      </c>
      <c r="E103" s="21"/>
    </row>
    <row r="104" ht="16.5" spans="1:5">
      <c r="A104" s="99">
        <v>3044758.5</v>
      </c>
      <c r="B104" s="99">
        <v>35401368.965</v>
      </c>
      <c r="C104" s="8">
        <v>905.534</v>
      </c>
      <c r="D104" s="11">
        <v>45028</v>
      </c>
      <c r="E104" s="21"/>
    </row>
    <row r="105" ht="16.5" spans="1:5">
      <c r="A105" s="99">
        <v>3044758.5</v>
      </c>
      <c r="B105" s="99">
        <v>35401368.965</v>
      </c>
      <c r="C105" s="8">
        <v>905.534</v>
      </c>
      <c r="D105" s="11">
        <v>45029</v>
      </c>
      <c r="E105" s="21"/>
    </row>
    <row r="106" ht="16.5" spans="1:5">
      <c r="A106" s="99">
        <v>3044758.5</v>
      </c>
      <c r="B106" s="99">
        <v>35401368.965</v>
      </c>
      <c r="C106" s="8">
        <v>905.534</v>
      </c>
      <c r="D106" s="11">
        <v>45030</v>
      </c>
      <c r="E106" s="21">
        <v>830.01</v>
      </c>
    </row>
    <row r="107" ht="16.5" spans="1:5">
      <c r="A107" s="99">
        <v>3044758.5</v>
      </c>
      <c r="B107" s="99">
        <v>35401368.965</v>
      </c>
      <c r="C107" s="8">
        <v>905.534</v>
      </c>
      <c r="D107" s="11">
        <v>45031</v>
      </c>
      <c r="E107" s="21">
        <v>830.36</v>
      </c>
    </row>
    <row r="108" ht="16.5" spans="1:5">
      <c r="A108" s="99">
        <v>3044758.5</v>
      </c>
      <c r="B108" s="99">
        <v>35401368.965</v>
      </c>
      <c r="C108" s="8">
        <v>905.534</v>
      </c>
      <c r="D108" s="11">
        <v>45032</v>
      </c>
      <c r="E108" s="21">
        <v>831.19</v>
      </c>
    </row>
    <row r="109" ht="16.5" spans="1:5">
      <c r="A109" s="99">
        <v>3044758.5</v>
      </c>
      <c r="B109" s="99">
        <v>35401368.965</v>
      </c>
      <c r="C109" s="8">
        <v>905.534</v>
      </c>
      <c r="D109" s="11">
        <v>45033</v>
      </c>
      <c r="E109" s="21">
        <v>831.78</v>
      </c>
    </row>
    <row r="110" ht="16.5" spans="1:5">
      <c r="A110" s="99">
        <v>3044758.5</v>
      </c>
      <c r="B110" s="99">
        <v>35401368.965</v>
      </c>
      <c r="C110" s="8">
        <v>905.534</v>
      </c>
      <c r="D110" s="11">
        <v>45034</v>
      </c>
      <c r="E110" s="21">
        <v>831.51</v>
      </c>
    </row>
    <row r="111" ht="16.5" spans="1:5">
      <c r="A111" s="99">
        <v>3044758.5</v>
      </c>
      <c r="B111" s="99">
        <v>35401368.965</v>
      </c>
      <c r="C111" s="8">
        <v>905.534</v>
      </c>
      <c r="D111" s="11">
        <v>45035</v>
      </c>
      <c r="E111" s="21">
        <v>831.98</v>
      </c>
    </row>
    <row r="112" ht="16.5" spans="1:5">
      <c r="A112" s="99">
        <v>3044758.5</v>
      </c>
      <c r="B112" s="99">
        <v>35401368.965</v>
      </c>
      <c r="C112" s="8">
        <v>905.534</v>
      </c>
      <c r="D112" s="11">
        <v>45036</v>
      </c>
      <c r="E112" s="21">
        <f>905.53-73.06</f>
        <v>832.47</v>
      </c>
    </row>
    <row r="113" ht="16.5" spans="1:5">
      <c r="A113" s="99">
        <v>3044758.5</v>
      </c>
      <c r="B113" s="99">
        <v>35401368.965</v>
      </c>
      <c r="C113" s="8">
        <v>905.534</v>
      </c>
      <c r="D113" s="11">
        <v>45037</v>
      </c>
      <c r="E113" s="22"/>
    </row>
    <row r="114" ht="16.5" spans="1:5">
      <c r="A114" s="99">
        <v>3044758.5</v>
      </c>
      <c r="B114" s="99">
        <v>35401368.965</v>
      </c>
      <c r="C114" s="8">
        <v>905.534</v>
      </c>
      <c r="D114" s="11">
        <v>45038</v>
      </c>
      <c r="E114" s="22"/>
    </row>
    <row r="115" ht="16.5" spans="1:5">
      <c r="A115" s="99">
        <v>3044758.5</v>
      </c>
      <c r="B115" s="99">
        <v>35401368.965</v>
      </c>
      <c r="C115" s="8">
        <v>905.534</v>
      </c>
      <c r="D115" s="11">
        <v>45039</v>
      </c>
      <c r="E115" s="22"/>
    </row>
    <row r="116" ht="16.5" spans="1:5">
      <c r="A116" s="99">
        <v>3044758.5</v>
      </c>
      <c r="B116" s="99">
        <v>35401368.965</v>
      </c>
      <c r="C116" s="8">
        <v>905.534</v>
      </c>
      <c r="D116" s="11">
        <v>45040</v>
      </c>
      <c r="E116" s="22"/>
    </row>
    <row r="117" ht="16.5" spans="1:5">
      <c r="A117" s="99">
        <v>3044758.5</v>
      </c>
      <c r="B117" s="99">
        <v>35401368.965</v>
      </c>
      <c r="C117" s="8">
        <v>905.534</v>
      </c>
      <c r="D117" s="11">
        <v>45041</v>
      </c>
      <c r="E117" s="22"/>
    </row>
    <row r="118" ht="16.5" spans="1:5">
      <c r="A118" s="99">
        <v>3044758.5</v>
      </c>
      <c r="B118" s="99">
        <v>35401368.965</v>
      </c>
      <c r="C118" s="8">
        <v>905.534</v>
      </c>
      <c r="D118" s="11">
        <v>45042</v>
      </c>
      <c r="E118" s="22"/>
    </row>
    <row r="119" ht="16.5" spans="1:5">
      <c r="A119" s="99">
        <v>3044758.5</v>
      </c>
      <c r="B119" s="99">
        <v>35401368.965</v>
      </c>
      <c r="C119" s="8">
        <v>905.534</v>
      </c>
      <c r="D119" s="11">
        <v>45043</v>
      </c>
      <c r="E119" s="21"/>
    </row>
    <row r="120" ht="16.5" spans="1:5">
      <c r="A120" s="99">
        <v>3044758.5</v>
      </c>
      <c r="B120" s="99">
        <v>35401368.965</v>
      </c>
      <c r="C120" s="8">
        <v>905.534</v>
      </c>
      <c r="D120" s="11">
        <v>45044</v>
      </c>
      <c r="E120" s="22"/>
    </row>
    <row r="121" ht="16.5" spans="1:5">
      <c r="A121" s="99">
        <v>3044758.5</v>
      </c>
      <c r="B121" s="99">
        <v>35401368.965</v>
      </c>
      <c r="C121" s="8">
        <v>905.534</v>
      </c>
      <c r="D121" s="11">
        <v>45045</v>
      </c>
      <c r="E121" s="22"/>
    </row>
    <row r="122" ht="16.5" spans="1:5">
      <c r="A122" s="99">
        <v>3044758.5</v>
      </c>
      <c r="B122" s="99">
        <v>35401368.965</v>
      </c>
      <c r="C122" s="8">
        <v>905.534</v>
      </c>
      <c r="D122" s="11">
        <v>45046</v>
      </c>
      <c r="E122" s="22"/>
    </row>
    <row r="123" ht="16.5" spans="1:5">
      <c r="A123" s="99">
        <v>3044758.5</v>
      </c>
      <c r="B123" s="99">
        <v>35401368.965</v>
      </c>
      <c r="C123" s="8">
        <v>905.534</v>
      </c>
      <c r="D123" s="11">
        <v>45047</v>
      </c>
      <c r="E123" s="22"/>
    </row>
    <row r="124" ht="16.5" spans="1:5">
      <c r="A124" s="99">
        <v>3044758.5</v>
      </c>
      <c r="B124" s="99">
        <v>35401368.965</v>
      </c>
      <c r="C124" s="8">
        <v>905.534</v>
      </c>
      <c r="D124" s="11">
        <v>45048</v>
      </c>
      <c r="E124" s="22"/>
    </row>
    <row r="125" ht="16.5" spans="1:5">
      <c r="A125" s="99">
        <v>3044758.5</v>
      </c>
      <c r="B125" s="99">
        <v>35401368.965</v>
      </c>
      <c r="C125" s="8">
        <v>905.534</v>
      </c>
      <c r="D125" s="11">
        <v>45049</v>
      </c>
      <c r="E125" s="22"/>
    </row>
    <row r="126" ht="16.5" spans="1:5">
      <c r="A126" s="99">
        <v>3044758.5</v>
      </c>
      <c r="B126" s="99">
        <v>35401368.965</v>
      </c>
      <c r="C126" s="8">
        <v>905.534</v>
      </c>
      <c r="D126" s="11">
        <v>45050</v>
      </c>
      <c r="E126" s="22"/>
    </row>
    <row r="127" ht="16.5" spans="1:5">
      <c r="A127" s="99">
        <v>3044758.5</v>
      </c>
      <c r="B127" s="99">
        <v>35401368.965</v>
      </c>
      <c r="C127" s="8">
        <v>905.534</v>
      </c>
      <c r="D127" s="11">
        <v>45051</v>
      </c>
      <c r="E127" s="21">
        <f>905.53-69.12</f>
        <v>836.41</v>
      </c>
    </row>
    <row r="128" ht="16.5" spans="1:5">
      <c r="A128" s="99">
        <v>3044758.5</v>
      </c>
      <c r="B128" s="99">
        <v>35401368.965</v>
      </c>
      <c r="C128" s="8">
        <v>905.534</v>
      </c>
      <c r="D128" s="11">
        <v>45052</v>
      </c>
      <c r="E128" s="21"/>
    </row>
    <row r="129" ht="16.5" spans="1:5">
      <c r="A129" s="99">
        <v>3044758.5</v>
      </c>
      <c r="B129" s="99">
        <v>35401368.965</v>
      </c>
      <c r="C129" s="8">
        <v>905.534</v>
      </c>
      <c r="D129" s="11">
        <v>45053</v>
      </c>
      <c r="E129" s="21"/>
    </row>
    <row r="130" ht="16.5" spans="1:5">
      <c r="A130" s="99">
        <v>3044758.5</v>
      </c>
      <c r="B130" s="99">
        <v>35401368.965</v>
      </c>
      <c r="C130" s="8">
        <v>905.534</v>
      </c>
      <c r="D130" s="11">
        <v>45054</v>
      </c>
      <c r="E130" s="21"/>
    </row>
    <row r="131" ht="16.5" spans="1:5">
      <c r="A131" s="99">
        <v>3044758.5</v>
      </c>
      <c r="B131" s="99">
        <v>35401368.965</v>
      </c>
      <c r="C131" s="8">
        <v>905.534</v>
      </c>
      <c r="D131" s="11">
        <v>45055</v>
      </c>
      <c r="E131" s="21"/>
    </row>
    <row r="132" ht="16.5" spans="1:5">
      <c r="A132" s="99">
        <v>3044758.5</v>
      </c>
      <c r="B132" s="99">
        <v>35401368.965</v>
      </c>
      <c r="C132" s="8">
        <v>905.534</v>
      </c>
      <c r="D132" s="11">
        <v>45056</v>
      </c>
      <c r="E132" s="21">
        <f>905.53-69.28</f>
        <v>836.25</v>
      </c>
    </row>
    <row r="133" ht="16.5" spans="1:5">
      <c r="A133" s="99">
        <v>3044758.5</v>
      </c>
      <c r="B133" s="99">
        <v>35401368.965</v>
      </c>
      <c r="C133" s="8">
        <v>905.534</v>
      </c>
      <c r="D133" s="11">
        <v>45057</v>
      </c>
      <c r="E133" s="21"/>
    </row>
    <row r="134" ht="16.5" spans="1:5">
      <c r="A134" s="99">
        <v>3044758.5</v>
      </c>
      <c r="B134" s="99">
        <v>35401368.965</v>
      </c>
      <c r="C134" s="8">
        <v>905.534</v>
      </c>
      <c r="D134" s="11">
        <v>45058</v>
      </c>
      <c r="E134" s="21"/>
    </row>
    <row r="135" ht="16.5" spans="1:5">
      <c r="A135" s="99">
        <v>3044758.5</v>
      </c>
      <c r="B135" s="99">
        <v>35401368.965</v>
      </c>
      <c r="C135" s="8">
        <v>905.534</v>
      </c>
      <c r="D135" s="11">
        <v>45059</v>
      </c>
      <c r="E135" s="21"/>
    </row>
    <row r="136" ht="16.5" spans="1:5">
      <c r="A136" s="99">
        <v>3044758.5</v>
      </c>
      <c r="B136" s="99">
        <v>35401368.965</v>
      </c>
      <c r="C136" s="8">
        <v>905.534</v>
      </c>
      <c r="D136" s="11">
        <v>45060</v>
      </c>
      <c r="E136" s="21"/>
    </row>
    <row r="137" ht="16.5" spans="1:5">
      <c r="A137" s="99">
        <v>3044758.5</v>
      </c>
      <c r="B137" s="99">
        <v>35401368.965</v>
      </c>
      <c r="C137" s="8">
        <v>905.534</v>
      </c>
      <c r="D137" s="11">
        <v>45061</v>
      </c>
      <c r="E137" s="21"/>
    </row>
    <row r="138" ht="16.5" spans="1:5">
      <c r="A138" s="99">
        <v>3044758.5</v>
      </c>
      <c r="B138" s="99">
        <v>35401368.965</v>
      </c>
      <c r="C138" s="8">
        <v>905.534</v>
      </c>
      <c r="D138" s="11">
        <v>45062</v>
      </c>
      <c r="E138" s="21"/>
    </row>
    <row r="139" ht="16.5" spans="1:5">
      <c r="A139" s="99">
        <v>3044758.5</v>
      </c>
      <c r="B139" s="99">
        <v>35401368.965</v>
      </c>
      <c r="C139" s="8">
        <v>905.534</v>
      </c>
      <c r="D139" s="11">
        <v>45063</v>
      </c>
      <c r="E139" s="21"/>
    </row>
    <row r="140" ht="16.5" spans="1:5">
      <c r="A140" s="99">
        <v>3044758.5</v>
      </c>
      <c r="B140" s="99">
        <v>35401368.965</v>
      </c>
      <c r="C140" s="8">
        <v>905.534</v>
      </c>
      <c r="D140" s="11">
        <v>45064</v>
      </c>
      <c r="E140" s="21">
        <f>905.53-68.79</f>
        <v>836.74</v>
      </c>
    </row>
    <row r="141" ht="16.5" spans="1:5">
      <c r="A141" s="99">
        <v>3044758.5</v>
      </c>
      <c r="B141" s="99">
        <v>35401368.965</v>
      </c>
      <c r="C141" s="8">
        <v>905.534</v>
      </c>
      <c r="D141" s="11">
        <v>45065</v>
      </c>
      <c r="E141" s="22"/>
    </row>
    <row r="142" ht="16.5" spans="1:5">
      <c r="A142" s="99">
        <v>3044758.5</v>
      </c>
      <c r="B142" s="99">
        <v>35401368.965</v>
      </c>
      <c r="C142" s="8">
        <v>905.534</v>
      </c>
      <c r="D142" s="11">
        <v>45066</v>
      </c>
      <c r="E142" s="22"/>
    </row>
    <row r="143" ht="16.5" spans="1:5">
      <c r="A143" s="99">
        <v>3044758.5</v>
      </c>
      <c r="B143" s="99">
        <v>35401368.965</v>
      </c>
      <c r="C143" s="8">
        <v>905.534</v>
      </c>
      <c r="D143" s="11">
        <v>45067</v>
      </c>
      <c r="E143" s="22"/>
    </row>
    <row r="144" ht="16.5" spans="1:5">
      <c r="A144" s="99">
        <v>3044758.5</v>
      </c>
      <c r="B144" s="99">
        <v>35401368.965</v>
      </c>
      <c r="C144" s="8">
        <v>905.534</v>
      </c>
      <c r="D144" s="11">
        <v>45068</v>
      </c>
      <c r="E144" s="22"/>
    </row>
    <row r="145" ht="16.5" spans="1:5">
      <c r="A145" s="99">
        <v>3044758.5</v>
      </c>
      <c r="B145" s="99">
        <v>35401368.965</v>
      </c>
      <c r="C145" s="8">
        <v>905.534</v>
      </c>
      <c r="D145" s="11">
        <v>45069</v>
      </c>
      <c r="E145" s="22"/>
    </row>
    <row r="146" ht="16.5" spans="1:5">
      <c r="A146" s="99">
        <v>3044758.5</v>
      </c>
      <c r="B146" s="99">
        <v>35401368.965</v>
      </c>
      <c r="C146" s="8">
        <v>905.534</v>
      </c>
      <c r="D146" s="11">
        <v>45070</v>
      </c>
      <c r="E146" s="22"/>
    </row>
    <row r="147" ht="16.5" spans="1:5">
      <c r="A147" s="99">
        <v>3044758.5</v>
      </c>
      <c r="B147" s="99">
        <v>35401368.965</v>
      </c>
      <c r="C147" s="8">
        <v>905.534</v>
      </c>
      <c r="D147" s="11">
        <v>45071</v>
      </c>
      <c r="E147" s="21">
        <f>905.53-68.94</f>
        <v>836.59</v>
      </c>
    </row>
    <row r="148" ht="16.5" spans="1:5">
      <c r="A148" s="99">
        <v>3044758.5</v>
      </c>
      <c r="B148" s="99">
        <v>35401368.965</v>
      </c>
      <c r="C148" s="8">
        <v>905.534</v>
      </c>
      <c r="D148" s="11">
        <v>45072</v>
      </c>
      <c r="E148" s="21"/>
    </row>
    <row r="149" ht="16.5" spans="1:5">
      <c r="A149" s="99">
        <v>3044758.5</v>
      </c>
      <c r="B149" s="99">
        <v>35401368.965</v>
      </c>
      <c r="C149" s="8">
        <v>905.534</v>
      </c>
      <c r="D149" s="11">
        <v>45073</v>
      </c>
      <c r="E149" s="21"/>
    </row>
    <row r="150" ht="16.5" spans="1:5">
      <c r="A150" s="99">
        <v>3044758.5</v>
      </c>
      <c r="B150" s="99">
        <v>35401368.965</v>
      </c>
      <c r="C150" s="8">
        <v>905.534</v>
      </c>
      <c r="D150" s="11">
        <v>45074</v>
      </c>
      <c r="E150" s="21"/>
    </row>
    <row r="151" ht="16.5" spans="1:5">
      <c r="A151" s="99">
        <v>3044758.5</v>
      </c>
      <c r="B151" s="99">
        <v>35401368.965</v>
      </c>
      <c r="C151" s="8">
        <v>905.534</v>
      </c>
      <c r="D151" s="11">
        <v>45075</v>
      </c>
      <c r="E151" s="21"/>
    </row>
    <row r="152" ht="16.5" spans="1:5">
      <c r="A152" s="99">
        <v>3044758.5</v>
      </c>
      <c r="B152" s="99">
        <v>35401368.965</v>
      </c>
      <c r="C152" s="8">
        <v>905.534</v>
      </c>
      <c r="D152" s="11">
        <v>45076</v>
      </c>
      <c r="E152" s="21"/>
    </row>
    <row r="153" ht="16.5" spans="1:5">
      <c r="A153" s="99">
        <v>3044758.5</v>
      </c>
      <c r="B153" s="99">
        <v>35401368.965</v>
      </c>
      <c r="C153" s="8">
        <v>905.534</v>
      </c>
      <c r="D153" s="11">
        <v>45077</v>
      </c>
      <c r="E153" s="21"/>
    </row>
    <row r="154" ht="16.5" spans="1:5">
      <c r="A154" s="99">
        <v>3044758.5</v>
      </c>
      <c r="B154" s="99">
        <v>35401368.965</v>
      </c>
      <c r="C154" s="8">
        <v>905.534</v>
      </c>
      <c r="D154" s="11">
        <v>45078</v>
      </c>
      <c r="E154" s="21">
        <v>836</v>
      </c>
    </row>
    <row r="155" ht="16.5" spans="1:5">
      <c r="A155" s="99">
        <v>3044758.5</v>
      </c>
      <c r="B155" s="99">
        <v>35401368.965</v>
      </c>
      <c r="C155" s="8">
        <v>905.534</v>
      </c>
      <c r="D155" s="11">
        <v>45079</v>
      </c>
      <c r="E155" s="21">
        <v>836</v>
      </c>
    </row>
    <row r="156" ht="16.5" spans="1:5">
      <c r="A156" s="99">
        <v>3044758.5</v>
      </c>
      <c r="B156" s="99">
        <v>35401368.965</v>
      </c>
      <c r="C156" s="8">
        <v>905.534</v>
      </c>
      <c r="D156" s="11">
        <v>45080</v>
      </c>
      <c r="E156" s="21">
        <v>835.9</v>
      </c>
    </row>
    <row r="157" ht="16.5" spans="1:5">
      <c r="A157" s="99">
        <v>3044758.5</v>
      </c>
      <c r="B157" s="99">
        <v>35401368.965</v>
      </c>
      <c r="C157" s="8">
        <v>905.534</v>
      </c>
      <c r="D157" s="11">
        <v>45081</v>
      </c>
      <c r="E157" s="21">
        <v>835.91</v>
      </c>
    </row>
    <row r="158" ht="16.5" spans="1:5">
      <c r="A158" s="99">
        <v>3044758.5</v>
      </c>
      <c r="B158" s="99">
        <v>35401368.965</v>
      </c>
      <c r="C158" s="8">
        <v>905.534</v>
      </c>
      <c r="D158" s="11">
        <v>45082</v>
      </c>
      <c r="E158" s="21">
        <v>835.76</v>
      </c>
    </row>
    <row r="159" ht="16.5" spans="1:5">
      <c r="A159" s="99">
        <v>3044758.5</v>
      </c>
      <c r="B159" s="99">
        <v>35401368.965</v>
      </c>
      <c r="C159" s="8">
        <v>905.534</v>
      </c>
      <c r="D159" s="11">
        <v>45083</v>
      </c>
      <c r="E159" s="21">
        <v>835.79</v>
      </c>
    </row>
    <row r="160" ht="16.5" spans="1:5">
      <c r="A160" s="99">
        <v>3044758.5</v>
      </c>
      <c r="B160" s="99">
        <v>35401368.965</v>
      </c>
      <c r="C160" s="8">
        <v>905.534</v>
      </c>
      <c r="D160" s="11">
        <v>45084</v>
      </c>
      <c r="E160" s="21">
        <v>835.88</v>
      </c>
    </row>
    <row r="161" ht="16.5" spans="1:5">
      <c r="A161" s="99">
        <v>3044758.5</v>
      </c>
      <c r="B161" s="99">
        <v>35401368.965</v>
      </c>
      <c r="C161" s="8">
        <v>905.534</v>
      </c>
      <c r="D161" s="11">
        <v>45085</v>
      </c>
      <c r="E161" s="21">
        <v>835.1</v>
      </c>
    </row>
    <row r="162" ht="16.5" spans="1:5">
      <c r="A162" s="99">
        <v>3044758.5</v>
      </c>
      <c r="B162" s="99">
        <v>35401368.965</v>
      </c>
      <c r="C162" s="8">
        <v>905.534</v>
      </c>
      <c r="D162" s="11">
        <v>45086</v>
      </c>
      <c r="E162" s="21">
        <v>835.72</v>
      </c>
    </row>
    <row r="163" ht="16.5" spans="1:5">
      <c r="A163" s="99">
        <v>3044758.5</v>
      </c>
      <c r="B163" s="99">
        <v>35401368.965</v>
      </c>
      <c r="C163" s="8">
        <v>905.534</v>
      </c>
      <c r="D163" s="11">
        <v>45087</v>
      </c>
      <c r="E163" s="21">
        <v>835.97</v>
      </c>
    </row>
    <row r="164" ht="16.5" spans="1:5">
      <c r="A164" s="99">
        <v>3044758.5</v>
      </c>
      <c r="B164" s="99">
        <v>35401368.965</v>
      </c>
      <c r="C164" s="8">
        <v>905.534</v>
      </c>
      <c r="D164" s="11">
        <v>45088</v>
      </c>
      <c r="E164" s="21">
        <v>836.11</v>
      </c>
    </row>
    <row r="165" ht="16.5" spans="1:5">
      <c r="A165" s="99">
        <v>3044758.5</v>
      </c>
      <c r="B165" s="99">
        <v>35401368.965</v>
      </c>
      <c r="C165" s="8">
        <v>905.534</v>
      </c>
      <c r="D165" s="11">
        <v>45089</v>
      </c>
      <c r="E165" s="21">
        <v>836.06</v>
      </c>
    </row>
    <row r="166" ht="16.5" spans="1:5">
      <c r="A166" s="99">
        <v>3044758.5</v>
      </c>
      <c r="B166" s="99">
        <v>35401368.965</v>
      </c>
      <c r="C166" s="8">
        <v>905.534</v>
      </c>
      <c r="D166" s="11">
        <v>45090</v>
      </c>
      <c r="E166" s="21">
        <v>836.09</v>
      </c>
    </row>
    <row r="167" ht="16.5" spans="1:5">
      <c r="A167" s="99">
        <v>3044758.5</v>
      </c>
      <c r="B167" s="99">
        <v>35401368.965</v>
      </c>
      <c r="C167" s="8">
        <v>905.534</v>
      </c>
      <c r="D167" s="11">
        <v>45091</v>
      </c>
      <c r="E167" s="21">
        <v>836</v>
      </c>
    </row>
    <row r="168" ht="16.5" spans="1:5">
      <c r="A168" s="99">
        <v>3044758.5</v>
      </c>
      <c r="B168" s="99">
        <v>35401368.965</v>
      </c>
      <c r="C168" s="8">
        <v>905.534</v>
      </c>
      <c r="D168" s="11">
        <v>45092</v>
      </c>
      <c r="E168" s="21">
        <v>836.12</v>
      </c>
    </row>
    <row r="169" ht="16.5" spans="1:5">
      <c r="A169" s="99">
        <v>3044758.5</v>
      </c>
      <c r="B169" s="99">
        <v>35401368.965</v>
      </c>
      <c r="C169" s="8">
        <v>905.534</v>
      </c>
      <c r="D169" s="11">
        <v>45093</v>
      </c>
      <c r="E169" s="21">
        <v>836.2</v>
      </c>
    </row>
    <row r="170" ht="16.5" spans="1:5">
      <c r="A170" s="99">
        <v>3044758.5</v>
      </c>
      <c r="B170" s="99">
        <v>35401368.965</v>
      </c>
      <c r="C170" s="8">
        <v>905.534</v>
      </c>
      <c r="D170" s="11">
        <v>45094</v>
      </c>
      <c r="E170" s="21">
        <v>836.09</v>
      </c>
    </row>
    <row r="171" ht="16.5" spans="1:5">
      <c r="A171" s="99">
        <v>3044758.5</v>
      </c>
      <c r="B171" s="99">
        <v>35401368.965</v>
      </c>
      <c r="C171" s="8">
        <v>905.534</v>
      </c>
      <c r="D171" s="11">
        <v>45095</v>
      </c>
      <c r="E171" s="21">
        <v>835.96</v>
      </c>
    </row>
    <row r="172" ht="16.5" spans="1:5">
      <c r="A172" s="99">
        <v>3044758.5</v>
      </c>
      <c r="B172" s="99">
        <v>35401368.965</v>
      </c>
      <c r="C172" s="8">
        <v>905.534</v>
      </c>
      <c r="D172" s="11">
        <v>45096</v>
      </c>
      <c r="E172" s="21">
        <v>835.86</v>
      </c>
    </row>
    <row r="173" ht="16.5" spans="1:5">
      <c r="A173" s="99">
        <v>3044758.5</v>
      </c>
      <c r="B173" s="99">
        <v>35401368.965</v>
      </c>
      <c r="C173" s="8">
        <v>905.534</v>
      </c>
      <c r="D173" s="11">
        <v>45097</v>
      </c>
      <c r="E173" s="21">
        <v>835.94</v>
      </c>
    </row>
    <row r="174" ht="16.5" spans="1:5">
      <c r="A174" s="99">
        <v>3044758.5</v>
      </c>
      <c r="B174" s="99">
        <v>35401368.965</v>
      </c>
      <c r="C174" s="8">
        <v>905.534</v>
      </c>
      <c r="D174" s="11">
        <v>45098</v>
      </c>
      <c r="E174" s="21">
        <v>835.9</v>
      </c>
    </row>
    <row r="175" ht="16.5" spans="1:5">
      <c r="A175" s="99">
        <v>3044758.5</v>
      </c>
      <c r="B175" s="99">
        <v>35401368.965</v>
      </c>
      <c r="C175" s="8">
        <v>905.534</v>
      </c>
      <c r="D175" s="11">
        <v>45099</v>
      </c>
      <c r="E175" s="21">
        <v>835.82</v>
      </c>
    </row>
    <row r="176" ht="16.5" spans="1:5">
      <c r="A176" s="99">
        <v>3044758.5</v>
      </c>
      <c r="B176" s="99">
        <v>35401368.965</v>
      </c>
      <c r="C176" s="8">
        <v>905.534</v>
      </c>
      <c r="D176" s="11">
        <v>45100</v>
      </c>
      <c r="E176" s="21">
        <v>835.94</v>
      </c>
    </row>
    <row r="177" ht="16.5" spans="1:5">
      <c r="A177" s="99">
        <v>3044758.5</v>
      </c>
      <c r="B177" s="99">
        <v>35401368.965</v>
      </c>
      <c r="C177" s="8">
        <v>905.534</v>
      </c>
      <c r="D177" s="11">
        <v>45101</v>
      </c>
      <c r="E177" s="21">
        <v>835.85</v>
      </c>
    </row>
    <row r="178" ht="16.5" spans="1:5">
      <c r="A178" s="99">
        <v>3044758.5</v>
      </c>
      <c r="B178" s="99">
        <v>35401368.965</v>
      </c>
      <c r="C178" s="8">
        <v>905.534</v>
      </c>
      <c r="D178" s="11">
        <v>45102</v>
      </c>
      <c r="E178" s="21">
        <v>835.79</v>
      </c>
    </row>
    <row r="179" ht="16.5" spans="1:5">
      <c r="A179" s="99">
        <v>3044758.5</v>
      </c>
      <c r="B179" s="99">
        <v>35401368.965</v>
      </c>
      <c r="C179" s="8">
        <v>905.534</v>
      </c>
      <c r="D179" s="11">
        <v>45103</v>
      </c>
      <c r="E179" s="21">
        <v>835.83</v>
      </c>
    </row>
    <row r="180" ht="16.5" spans="1:5">
      <c r="A180" s="99">
        <v>3044758.5</v>
      </c>
      <c r="B180" s="99">
        <v>35401368.965</v>
      </c>
      <c r="C180" s="8">
        <v>905.534</v>
      </c>
      <c r="D180" s="11">
        <v>45104</v>
      </c>
      <c r="E180" s="21">
        <v>835.9</v>
      </c>
    </row>
    <row r="181" ht="16.5" spans="1:5">
      <c r="A181" s="99">
        <v>3044758.5</v>
      </c>
      <c r="B181" s="99">
        <v>35401368.965</v>
      </c>
      <c r="C181" s="8">
        <v>905.534</v>
      </c>
      <c r="D181" s="11">
        <v>45105</v>
      </c>
      <c r="E181" s="21">
        <v>835.9</v>
      </c>
    </row>
    <row r="182" ht="16.5" spans="1:5">
      <c r="A182" s="99">
        <v>3044758.5</v>
      </c>
      <c r="B182" s="99">
        <v>35401368.965</v>
      </c>
      <c r="C182" s="8">
        <v>905.534</v>
      </c>
      <c r="D182" s="11">
        <v>45106</v>
      </c>
      <c r="E182" s="21">
        <v>835.82</v>
      </c>
    </row>
    <row r="183" ht="16.5" spans="1:5">
      <c r="A183" s="99">
        <v>3044758.5</v>
      </c>
      <c r="B183" s="99">
        <v>35401368.965</v>
      </c>
      <c r="C183" s="8">
        <v>905.534</v>
      </c>
      <c r="D183" s="11">
        <v>45107</v>
      </c>
      <c r="E183" s="21">
        <v>835.82</v>
      </c>
    </row>
    <row r="184" ht="16.5" spans="1:5">
      <c r="A184" s="99">
        <v>3044758.5</v>
      </c>
      <c r="B184" s="99">
        <v>35401368.965</v>
      </c>
      <c r="C184" s="8">
        <v>905.534</v>
      </c>
      <c r="D184" s="11">
        <v>45108</v>
      </c>
      <c r="E184" s="21">
        <v>835.86</v>
      </c>
    </row>
    <row r="185" ht="16.5" spans="1:5">
      <c r="A185" s="99">
        <v>3044758.5</v>
      </c>
      <c r="B185" s="99">
        <v>35401368.965</v>
      </c>
      <c r="C185" s="8">
        <v>905.534</v>
      </c>
      <c r="D185" s="11">
        <v>45109</v>
      </c>
      <c r="E185" s="21">
        <v>835.91</v>
      </c>
    </row>
    <row r="186" ht="16.5" spans="1:5">
      <c r="A186" s="99">
        <v>3044758.5</v>
      </c>
      <c r="B186" s="99">
        <v>35401368.965</v>
      </c>
      <c r="C186" s="8">
        <v>905.534</v>
      </c>
      <c r="D186" s="11">
        <v>45110</v>
      </c>
      <c r="E186" s="21">
        <v>835.97</v>
      </c>
    </row>
    <row r="187" ht="16.5" spans="1:5">
      <c r="A187" s="99">
        <v>3044758.5</v>
      </c>
      <c r="B187" s="99">
        <v>35401368.965</v>
      </c>
      <c r="C187" s="8">
        <v>905.534</v>
      </c>
      <c r="D187" s="11">
        <v>45111</v>
      </c>
      <c r="E187" s="21">
        <v>835.51</v>
      </c>
    </row>
    <row r="188" ht="16.5" spans="1:5">
      <c r="A188" s="99">
        <v>3044758.5</v>
      </c>
      <c r="B188" s="99">
        <v>35401368.965</v>
      </c>
      <c r="C188" s="8">
        <v>905.534</v>
      </c>
      <c r="D188" s="11">
        <v>45112</v>
      </c>
      <c r="E188" s="21">
        <v>835.84</v>
      </c>
    </row>
    <row r="189" ht="16.5" spans="1:5">
      <c r="A189" s="99">
        <v>3044758.5</v>
      </c>
      <c r="B189" s="99">
        <v>35401368.965</v>
      </c>
      <c r="C189" s="8">
        <v>905.534</v>
      </c>
      <c r="D189" s="11">
        <v>45113</v>
      </c>
      <c r="E189" s="21">
        <v>835.36</v>
      </c>
    </row>
    <row r="190" ht="16.5" spans="1:5">
      <c r="A190" s="99">
        <v>3044758.5</v>
      </c>
      <c r="B190" s="99">
        <v>35401368.965</v>
      </c>
      <c r="C190" s="8">
        <v>905.534</v>
      </c>
      <c r="D190" s="11">
        <v>45114</v>
      </c>
      <c r="E190" s="21">
        <v>833.71</v>
      </c>
    </row>
    <row r="191" ht="16.5" spans="1:5">
      <c r="A191" s="99">
        <v>3044758.5</v>
      </c>
      <c r="B191" s="99">
        <v>35401368.965</v>
      </c>
      <c r="C191" s="8">
        <v>905.534</v>
      </c>
      <c r="D191" s="11">
        <v>45115</v>
      </c>
      <c r="E191" s="21">
        <v>832.26</v>
      </c>
    </row>
    <row r="192" ht="16.5" spans="1:5">
      <c r="A192" s="99">
        <v>3044758.5</v>
      </c>
      <c r="B192" s="99">
        <v>35401368.965</v>
      </c>
      <c r="C192" s="8">
        <v>905.534</v>
      </c>
      <c r="D192" s="11">
        <v>45116</v>
      </c>
      <c r="E192" s="21">
        <v>831.92</v>
      </c>
    </row>
    <row r="193" ht="16.5" spans="1:5">
      <c r="A193" s="99">
        <v>3044758.5</v>
      </c>
      <c r="B193" s="99">
        <v>35401368.965</v>
      </c>
      <c r="C193" s="8">
        <v>905.534</v>
      </c>
      <c r="D193" s="11">
        <v>45117</v>
      </c>
      <c r="E193" s="21">
        <v>831.7</v>
      </c>
    </row>
    <row r="194" ht="16.5" spans="1:5">
      <c r="A194" s="99">
        <v>3044758.5</v>
      </c>
      <c r="B194" s="99">
        <v>35401368.965</v>
      </c>
      <c r="C194" s="8">
        <v>905.534</v>
      </c>
      <c r="D194" s="11">
        <v>45118</v>
      </c>
      <c r="E194" s="21">
        <v>832.3</v>
      </c>
    </row>
    <row r="195" ht="16.5" spans="1:5">
      <c r="A195" s="99">
        <v>3044758.5</v>
      </c>
      <c r="B195" s="99">
        <v>35401368.965</v>
      </c>
      <c r="C195" s="8">
        <v>905.534</v>
      </c>
      <c r="D195" s="11">
        <v>45119</v>
      </c>
      <c r="E195" s="21">
        <v>834.12</v>
      </c>
    </row>
    <row r="196" ht="16.5" spans="1:5">
      <c r="A196" s="99">
        <v>3044758.5</v>
      </c>
      <c r="B196" s="99">
        <v>35401368.965</v>
      </c>
      <c r="C196" s="8">
        <v>905.534</v>
      </c>
      <c r="D196" s="11">
        <v>45120</v>
      </c>
      <c r="E196" s="21">
        <v>834.768</v>
      </c>
    </row>
    <row r="197" ht="16.5" spans="1:5">
      <c r="A197" s="99">
        <v>3044758.5</v>
      </c>
      <c r="B197" s="99">
        <v>35401368.965</v>
      </c>
      <c r="C197" s="8">
        <v>905.534</v>
      </c>
      <c r="D197" s="11">
        <v>45121</v>
      </c>
      <c r="E197" s="21">
        <v>831.767</v>
      </c>
    </row>
    <row r="198" ht="16.5" spans="1:5">
      <c r="A198" s="99">
        <v>3044758.5</v>
      </c>
      <c r="B198" s="99">
        <v>35401368.965</v>
      </c>
      <c r="C198" s="8">
        <v>905.534</v>
      </c>
      <c r="D198" s="11">
        <v>45122</v>
      </c>
      <c r="E198" s="21">
        <v>831.863</v>
      </c>
    </row>
    <row r="199" ht="16.5" spans="1:5">
      <c r="A199" s="99">
        <v>3044758.5</v>
      </c>
      <c r="B199" s="99">
        <v>35401368.965</v>
      </c>
      <c r="C199" s="8">
        <v>905.534</v>
      </c>
      <c r="D199" s="11">
        <v>45123</v>
      </c>
      <c r="E199" s="21">
        <v>832.488</v>
      </c>
    </row>
    <row r="200" ht="16.5" spans="1:5">
      <c r="A200" s="99">
        <v>3044758.5</v>
      </c>
      <c r="B200" s="99">
        <v>35401368.965</v>
      </c>
      <c r="C200" s="8">
        <v>905.534</v>
      </c>
      <c r="D200" s="11">
        <v>45124</v>
      </c>
      <c r="E200" s="21">
        <v>832.488</v>
      </c>
    </row>
    <row r="201" ht="16.5" spans="1:5">
      <c r="A201" s="99">
        <v>3044758.5</v>
      </c>
      <c r="B201" s="99">
        <v>35401368.965</v>
      </c>
      <c r="C201" s="8">
        <v>905.534</v>
      </c>
      <c r="D201" s="11">
        <v>45125</v>
      </c>
      <c r="E201" s="21">
        <v>832.68</v>
      </c>
    </row>
    <row r="202" ht="16.5" spans="1:5">
      <c r="A202" s="99">
        <v>3044758.5</v>
      </c>
      <c r="B202" s="99">
        <v>35401368.965</v>
      </c>
      <c r="C202" s="8">
        <v>905.534</v>
      </c>
      <c r="D202" s="11">
        <v>45126</v>
      </c>
      <c r="E202" s="21">
        <v>833.144</v>
      </c>
    </row>
    <row r="203" ht="16.5" spans="1:5">
      <c r="A203" s="99">
        <v>3044758.5</v>
      </c>
      <c r="B203" s="99">
        <v>35401368.965</v>
      </c>
      <c r="C203" s="8">
        <v>905.534</v>
      </c>
      <c r="D203" s="11">
        <v>45127</v>
      </c>
      <c r="E203" s="21">
        <v>833.62</v>
      </c>
    </row>
    <row r="204" ht="16.5" spans="1:5">
      <c r="A204" s="99">
        <v>3044758.5</v>
      </c>
      <c r="B204" s="99">
        <v>35401368.965</v>
      </c>
      <c r="C204" s="8">
        <v>905.534</v>
      </c>
      <c r="D204" s="11">
        <v>45128</v>
      </c>
      <c r="E204" s="21">
        <v>833.96</v>
      </c>
    </row>
    <row r="205" ht="16.5" spans="1:5">
      <c r="A205" s="99">
        <v>3044758.5</v>
      </c>
      <c r="B205" s="99">
        <v>35401368.965</v>
      </c>
      <c r="C205" s="8">
        <v>905.534</v>
      </c>
      <c r="D205" s="11">
        <v>45129</v>
      </c>
      <c r="E205" s="21">
        <v>834.21</v>
      </c>
    </row>
    <row r="206" ht="16.5" spans="1:5">
      <c r="A206" s="99">
        <v>3044758.5</v>
      </c>
      <c r="B206" s="99">
        <v>35401368.965</v>
      </c>
      <c r="C206" s="8">
        <v>905.534</v>
      </c>
      <c r="D206" s="11">
        <v>45130</v>
      </c>
      <c r="E206" s="21">
        <v>834.54</v>
      </c>
    </row>
    <row r="207" ht="16.5" spans="1:5">
      <c r="A207" s="99">
        <v>3044758.5</v>
      </c>
      <c r="B207" s="99">
        <v>35401368.965</v>
      </c>
      <c r="C207" s="8">
        <v>905.534</v>
      </c>
      <c r="D207" s="11">
        <v>45131</v>
      </c>
      <c r="E207" s="21">
        <v>834.9</v>
      </c>
    </row>
    <row r="208" ht="16.5" spans="1:5">
      <c r="A208" s="99">
        <v>3044758.5</v>
      </c>
      <c r="B208" s="99">
        <v>35401368.965</v>
      </c>
      <c r="C208" s="8">
        <v>905.534</v>
      </c>
      <c r="D208" s="11">
        <v>45132</v>
      </c>
      <c r="E208" s="21">
        <v>834.95</v>
      </c>
    </row>
    <row r="209" ht="16.5" spans="1:5">
      <c r="A209" s="99">
        <v>3044758.5</v>
      </c>
      <c r="B209" s="99">
        <v>35401368.965</v>
      </c>
      <c r="C209" s="8">
        <v>905.534</v>
      </c>
      <c r="D209" s="11">
        <v>45133</v>
      </c>
      <c r="E209" s="21">
        <v>835.2</v>
      </c>
    </row>
    <row r="210" ht="16.5" spans="1:5">
      <c r="A210" s="99">
        <v>3044758.5</v>
      </c>
      <c r="B210" s="99">
        <v>35401368.965</v>
      </c>
      <c r="C210" s="8">
        <v>905.534</v>
      </c>
      <c r="D210" s="11">
        <v>45134</v>
      </c>
      <c r="E210" s="21">
        <v>835.406</v>
      </c>
    </row>
    <row r="211" ht="16.5" spans="1:5">
      <c r="A211" s="99">
        <v>3044758.5</v>
      </c>
      <c r="B211" s="99">
        <v>35401368.965</v>
      </c>
      <c r="C211" s="8">
        <v>905.534</v>
      </c>
      <c r="D211" s="11">
        <v>45135</v>
      </c>
      <c r="E211" s="21">
        <v>835.477</v>
      </c>
    </row>
    <row r="212" ht="16.5" spans="1:5">
      <c r="A212" s="99">
        <v>3044758.5</v>
      </c>
      <c r="B212" s="99">
        <v>35401368.965</v>
      </c>
      <c r="C212" s="8">
        <v>905.534</v>
      </c>
      <c r="D212" s="11">
        <v>45136</v>
      </c>
      <c r="E212" s="21">
        <v>835.641</v>
      </c>
    </row>
    <row r="213" ht="16.5" spans="1:5">
      <c r="A213" s="99">
        <v>3044758.5</v>
      </c>
      <c r="B213" s="99">
        <v>35401368.965</v>
      </c>
      <c r="C213" s="8">
        <v>905.534</v>
      </c>
      <c r="D213" s="11">
        <v>45137</v>
      </c>
      <c r="E213" s="21">
        <v>835.82</v>
      </c>
    </row>
    <row r="214" ht="16.5" spans="1:5">
      <c r="A214" s="99">
        <v>3044758.5</v>
      </c>
      <c r="B214" s="99">
        <v>35401368.965</v>
      </c>
      <c r="C214" s="8">
        <v>905.534</v>
      </c>
      <c r="D214" s="11">
        <v>45138</v>
      </c>
      <c r="E214" s="21">
        <v>835.952</v>
      </c>
    </row>
    <row r="215" ht="16.5" spans="1:5">
      <c r="A215" s="99">
        <v>3044758.5</v>
      </c>
      <c r="B215" s="99">
        <v>35401368.965</v>
      </c>
      <c r="C215" s="8">
        <v>905.534</v>
      </c>
      <c r="D215" s="11">
        <v>45139</v>
      </c>
      <c r="E215" s="21">
        <v>836.032</v>
      </c>
    </row>
    <row r="216" ht="16.5" spans="1:5">
      <c r="A216" s="99">
        <v>3044758.5</v>
      </c>
      <c r="B216" s="99">
        <v>35401368.965</v>
      </c>
      <c r="C216" s="8">
        <v>905.534</v>
      </c>
      <c r="D216" s="11">
        <v>45140</v>
      </c>
      <c r="E216" s="21">
        <v>836.034</v>
      </c>
    </row>
    <row r="217" ht="16.5" spans="1:5">
      <c r="A217" s="99">
        <v>3044758.5</v>
      </c>
      <c r="B217" s="99">
        <v>35401368.965</v>
      </c>
      <c r="C217" s="8">
        <v>905.534</v>
      </c>
      <c r="D217" s="11">
        <v>45141</v>
      </c>
      <c r="E217" s="21">
        <v>836.061</v>
      </c>
    </row>
    <row r="218" ht="16.5" spans="1:5">
      <c r="A218" s="99">
        <v>3044758.5</v>
      </c>
      <c r="B218" s="99">
        <v>35401368.965</v>
      </c>
      <c r="C218" s="8">
        <v>905.534</v>
      </c>
      <c r="D218" s="11">
        <v>45142</v>
      </c>
      <c r="E218" s="21">
        <v>836.029</v>
      </c>
    </row>
    <row r="219" ht="16.5" spans="1:5">
      <c r="A219" s="99">
        <v>3044758.5</v>
      </c>
      <c r="B219" s="99">
        <v>35401368.965</v>
      </c>
      <c r="C219" s="8">
        <v>905.534</v>
      </c>
      <c r="D219" s="11">
        <v>45143</v>
      </c>
      <c r="E219" s="21">
        <v>836.072</v>
      </c>
    </row>
    <row r="220" ht="16.5" spans="1:5">
      <c r="A220" s="99">
        <v>3044758.5</v>
      </c>
      <c r="B220" s="99">
        <v>35401368.965</v>
      </c>
      <c r="C220" s="8">
        <v>905.534</v>
      </c>
      <c r="D220" s="11">
        <v>45144</v>
      </c>
      <c r="E220" s="21">
        <v>836.16</v>
      </c>
    </row>
    <row r="221" ht="16.5" spans="1:5">
      <c r="A221" s="99">
        <v>3044758.5</v>
      </c>
      <c r="B221" s="99">
        <v>35401368.965</v>
      </c>
      <c r="C221" s="8">
        <v>905.534</v>
      </c>
      <c r="D221" s="11">
        <v>45145</v>
      </c>
      <c r="E221" s="21">
        <v>836.456</v>
      </c>
    </row>
    <row r="222" ht="16.5" spans="1:5">
      <c r="A222" s="99">
        <v>3044758.5</v>
      </c>
      <c r="B222" s="99">
        <v>35401368.965</v>
      </c>
      <c r="C222" s="8">
        <v>905.534</v>
      </c>
      <c r="D222" s="11">
        <v>45146</v>
      </c>
      <c r="E222" s="21">
        <v>836.543</v>
      </c>
    </row>
    <row r="223" ht="16.5" spans="1:5">
      <c r="A223" s="99">
        <v>3044758.5</v>
      </c>
      <c r="B223" s="99">
        <v>35401368.965</v>
      </c>
      <c r="C223" s="8">
        <v>905.534</v>
      </c>
      <c r="D223" s="11">
        <v>45147</v>
      </c>
      <c r="E223" s="21">
        <v>836.781</v>
      </c>
    </row>
    <row r="224" ht="16.5" spans="1:5">
      <c r="A224" s="99">
        <v>3044758.5</v>
      </c>
      <c r="B224" s="99">
        <v>35401368.965</v>
      </c>
      <c r="C224" s="8">
        <v>905.534</v>
      </c>
      <c r="D224" s="11">
        <v>45148</v>
      </c>
      <c r="E224" s="22"/>
    </row>
    <row r="225" ht="16.5" spans="1:5">
      <c r="A225" s="99">
        <v>3044758.5</v>
      </c>
      <c r="B225" s="99">
        <v>35401368.965</v>
      </c>
      <c r="C225" s="8">
        <v>905.534</v>
      </c>
      <c r="D225" s="11">
        <v>45149</v>
      </c>
      <c r="E225" s="21">
        <v>837.316</v>
      </c>
    </row>
    <row r="226" ht="16.5" spans="1:5">
      <c r="A226" s="99">
        <v>3044758.5</v>
      </c>
      <c r="B226" s="99">
        <v>35401368.965</v>
      </c>
      <c r="C226" s="8">
        <v>905.534</v>
      </c>
      <c r="D226" s="11">
        <v>45150</v>
      </c>
      <c r="E226" s="21">
        <v>837.248</v>
      </c>
    </row>
    <row r="227" ht="16.5" spans="1:5">
      <c r="A227" s="99">
        <v>3044758.5</v>
      </c>
      <c r="B227" s="99">
        <v>35401368.965</v>
      </c>
      <c r="C227" s="8">
        <v>905.534</v>
      </c>
      <c r="D227" s="11">
        <v>45151</v>
      </c>
      <c r="E227" s="21">
        <v>837.188</v>
      </c>
    </row>
    <row r="228" ht="16.5" spans="1:5">
      <c r="A228" s="99">
        <v>3044758.5</v>
      </c>
      <c r="B228" s="99">
        <v>35401368.965</v>
      </c>
      <c r="C228" s="8">
        <v>905.534</v>
      </c>
      <c r="D228" s="11">
        <v>45152</v>
      </c>
      <c r="E228" s="21">
        <v>837.056</v>
      </c>
    </row>
    <row r="229" ht="16.5" spans="1:5">
      <c r="A229" s="99">
        <v>3044758.5</v>
      </c>
      <c r="B229" s="99">
        <v>35401368.965</v>
      </c>
      <c r="C229" s="8">
        <v>905.534</v>
      </c>
      <c r="D229" s="11">
        <v>45153</v>
      </c>
      <c r="E229" s="25">
        <v>836.972</v>
      </c>
    </row>
    <row r="230" ht="16.5" spans="1:5">
      <c r="A230" s="99">
        <v>3044758.5</v>
      </c>
      <c r="B230" s="99">
        <v>35401368.965</v>
      </c>
      <c r="C230" s="8">
        <v>905.534</v>
      </c>
      <c r="D230" s="11">
        <v>45154</v>
      </c>
      <c r="E230" s="21">
        <v>836.933</v>
      </c>
    </row>
    <row r="231" ht="16.5" spans="1:5">
      <c r="A231" s="99">
        <v>3044758.5</v>
      </c>
      <c r="B231" s="99">
        <v>35401368.965</v>
      </c>
      <c r="C231" s="8">
        <v>905.534</v>
      </c>
      <c r="D231" s="11">
        <v>45155</v>
      </c>
      <c r="E231" s="21">
        <v>836.849</v>
      </c>
    </row>
    <row r="232" ht="16.5" spans="1:5">
      <c r="A232" s="99">
        <v>3044758.5</v>
      </c>
      <c r="B232" s="99">
        <v>35401368.965</v>
      </c>
      <c r="C232" s="8">
        <v>905.534</v>
      </c>
      <c r="D232" s="11">
        <v>45156</v>
      </c>
      <c r="E232" s="21">
        <v>836.724</v>
      </c>
    </row>
    <row r="233" ht="16.5" spans="1:5">
      <c r="A233" s="99">
        <v>3044758.5</v>
      </c>
      <c r="B233" s="99">
        <v>35401368.965</v>
      </c>
      <c r="C233" s="8">
        <v>905.534</v>
      </c>
      <c r="D233" s="11">
        <v>45157</v>
      </c>
      <c r="E233" s="21">
        <v>836.639</v>
      </c>
    </row>
    <row r="234" ht="16.5" spans="1:5">
      <c r="A234" s="99">
        <v>3044758.5</v>
      </c>
      <c r="B234" s="99">
        <v>35401368.965</v>
      </c>
      <c r="C234" s="8">
        <v>905.534</v>
      </c>
      <c r="D234" s="11">
        <v>45158</v>
      </c>
      <c r="E234" s="21">
        <v>836.728</v>
      </c>
    </row>
    <row r="235" ht="16.5" spans="1:5">
      <c r="A235" s="99">
        <v>3044758.5</v>
      </c>
      <c r="B235" s="99">
        <v>35401368.965</v>
      </c>
      <c r="C235" s="8">
        <v>905.534</v>
      </c>
      <c r="D235" s="11">
        <v>45159</v>
      </c>
      <c r="E235" s="21">
        <v>836.56</v>
      </c>
    </row>
    <row r="236" ht="16.5" spans="1:5">
      <c r="A236" s="99">
        <v>3044758.5</v>
      </c>
      <c r="B236" s="99">
        <v>35401368.965</v>
      </c>
      <c r="C236" s="8">
        <v>905.534</v>
      </c>
      <c r="D236" s="11">
        <v>45160</v>
      </c>
      <c r="E236" s="21">
        <v>836.509</v>
      </c>
    </row>
    <row r="237" ht="16.5" spans="1:5">
      <c r="A237" s="99">
        <v>3044758.5</v>
      </c>
      <c r="B237" s="99">
        <v>35401368.965</v>
      </c>
      <c r="C237" s="8">
        <v>905.534</v>
      </c>
      <c r="D237" s="11">
        <v>45161</v>
      </c>
      <c r="E237" s="21">
        <v>836.568</v>
      </c>
    </row>
    <row r="238" ht="16.5" spans="1:5">
      <c r="A238" s="99">
        <v>3044758.5</v>
      </c>
      <c r="B238" s="99">
        <v>35401368.965</v>
      </c>
      <c r="C238" s="8">
        <v>905.534</v>
      </c>
      <c r="D238" s="11">
        <v>45162</v>
      </c>
      <c r="E238" s="21">
        <v>836.144</v>
      </c>
    </row>
    <row r="239" ht="16.5" spans="1:5">
      <c r="A239" s="99">
        <v>3044758.5</v>
      </c>
      <c r="B239" s="99">
        <v>35401368.965</v>
      </c>
      <c r="C239" s="8">
        <v>905.534</v>
      </c>
      <c r="D239" s="11">
        <v>45163</v>
      </c>
      <c r="E239" s="21">
        <v>836.31</v>
      </c>
    </row>
    <row r="240" ht="16.5" spans="1:5">
      <c r="A240" s="99">
        <v>3044758.5</v>
      </c>
      <c r="B240" s="99">
        <v>35401368.965</v>
      </c>
      <c r="C240" s="8">
        <v>905.534</v>
      </c>
      <c r="D240" s="11">
        <v>45164</v>
      </c>
      <c r="E240" s="21">
        <v>836.376</v>
      </c>
    </row>
    <row r="241" ht="16.5" spans="1:5">
      <c r="A241" s="99">
        <v>3044758.5</v>
      </c>
      <c r="B241" s="99">
        <v>35401368.965</v>
      </c>
      <c r="C241" s="8">
        <v>905.534</v>
      </c>
      <c r="D241" s="11">
        <v>45165</v>
      </c>
      <c r="E241" s="21">
        <v>835.967</v>
      </c>
    </row>
    <row r="242" ht="16.5" spans="1:5">
      <c r="A242" s="99">
        <v>3044758.5</v>
      </c>
      <c r="B242" s="99">
        <v>35401368.965</v>
      </c>
      <c r="C242" s="8">
        <v>905.534</v>
      </c>
      <c r="D242" s="11">
        <v>45166</v>
      </c>
      <c r="E242" s="21">
        <v>835.944</v>
      </c>
    </row>
    <row r="243" ht="16.5" spans="1:5">
      <c r="A243" s="99">
        <v>3044758.5</v>
      </c>
      <c r="B243" s="99">
        <v>35401368.965</v>
      </c>
      <c r="C243" s="8">
        <v>905.534</v>
      </c>
      <c r="D243" s="11">
        <v>45167</v>
      </c>
      <c r="E243" s="21">
        <v>835.937</v>
      </c>
    </row>
    <row r="244" ht="16.5" spans="1:5">
      <c r="A244" s="99">
        <v>3044758.5</v>
      </c>
      <c r="B244" s="99">
        <v>35401368.965</v>
      </c>
      <c r="C244" s="8">
        <v>905.534</v>
      </c>
      <c r="D244" s="11">
        <v>45168</v>
      </c>
      <c r="E244" s="21">
        <v>835.765</v>
      </c>
    </row>
    <row r="245" ht="16.5" spans="1:5">
      <c r="A245" s="99">
        <v>3044758.5</v>
      </c>
      <c r="B245" s="99">
        <v>35401368.965</v>
      </c>
      <c r="C245" s="8">
        <v>905.534</v>
      </c>
      <c r="D245" s="11">
        <v>45169</v>
      </c>
      <c r="E245" s="22"/>
    </row>
    <row r="246" ht="16.5" spans="1:5">
      <c r="A246" s="99">
        <v>3044758.5</v>
      </c>
      <c r="B246" s="99">
        <v>35401368.965</v>
      </c>
      <c r="C246" s="8">
        <v>905.534</v>
      </c>
      <c r="D246" s="11">
        <v>45170</v>
      </c>
      <c r="E246" s="21">
        <v>835.821</v>
      </c>
    </row>
    <row r="247" ht="16.5" spans="1:5">
      <c r="A247" s="99">
        <v>3044758.5</v>
      </c>
      <c r="B247" s="99">
        <v>35401368.965</v>
      </c>
      <c r="C247" s="8">
        <v>905.534</v>
      </c>
      <c r="D247" s="11">
        <v>45171</v>
      </c>
      <c r="E247" s="21">
        <v>835.662</v>
      </c>
    </row>
    <row r="248" ht="16.5" spans="1:5">
      <c r="A248" s="99">
        <v>3044758.5</v>
      </c>
      <c r="B248" s="99">
        <v>35401368.965</v>
      </c>
      <c r="C248" s="8">
        <v>905.534</v>
      </c>
      <c r="D248" s="11">
        <v>45172</v>
      </c>
      <c r="E248" s="21">
        <v>835.588</v>
      </c>
    </row>
    <row r="249" ht="16.5" spans="1:5">
      <c r="A249" s="99">
        <v>3044758.5</v>
      </c>
      <c r="B249" s="99">
        <v>35401368.965</v>
      </c>
      <c r="C249" s="8">
        <v>905.534</v>
      </c>
      <c r="D249" s="11">
        <v>45173</v>
      </c>
      <c r="E249" s="21">
        <v>835.465</v>
      </c>
    </row>
    <row r="250" ht="16.5" spans="1:5">
      <c r="A250" s="99">
        <v>3044758.5</v>
      </c>
      <c r="B250" s="99">
        <v>35401368.965</v>
      </c>
      <c r="C250" s="8">
        <v>905.534</v>
      </c>
      <c r="D250" s="11">
        <v>45174</v>
      </c>
      <c r="E250" s="21"/>
    </row>
    <row r="251" ht="16.5" spans="1:5">
      <c r="A251" s="99">
        <v>3044758.5</v>
      </c>
      <c r="B251" s="99">
        <v>35401368.965</v>
      </c>
      <c r="C251" s="8">
        <v>905.534</v>
      </c>
      <c r="D251" s="11">
        <v>45175</v>
      </c>
      <c r="E251" s="21"/>
    </row>
    <row r="252" ht="16.5" spans="1:5">
      <c r="A252" s="99">
        <v>3044758.5</v>
      </c>
      <c r="B252" s="99">
        <v>35401368.965</v>
      </c>
      <c r="C252" s="8">
        <v>905.534</v>
      </c>
      <c r="D252" s="11">
        <v>45176</v>
      </c>
      <c r="E252" s="21"/>
    </row>
    <row r="253" ht="16.5" spans="1:5">
      <c r="A253" s="99">
        <v>3044758.5</v>
      </c>
      <c r="B253" s="99">
        <v>35401368.965</v>
      </c>
      <c r="C253" s="8">
        <v>905.534</v>
      </c>
      <c r="D253" s="11">
        <v>45177</v>
      </c>
      <c r="E253" s="21">
        <v>835.405</v>
      </c>
    </row>
    <row r="254" ht="16.5" spans="1:5">
      <c r="A254" s="99">
        <v>3044758.5</v>
      </c>
      <c r="B254" s="99">
        <v>35401368.965</v>
      </c>
      <c r="C254" s="8">
        <v>905.534</v>
      </c>
      <c r="D254" s="11">
        <v>45178</v>
      </c>
      <c r="E254" s="21">
        <v>835.513</v>
      </c>
    </row>
    <row r="255" ht="16.5" spans="1:5">
      <c r="A255" s="99">
        <v>3044758.5</v>
      </c>
      <c r="B255" s="99">
        <v>35401368.965</v>
      </c>
      <c r="C255" s="8">
        <v>905.534</v>
      </c>
      <c r="D255" s="11">
        <v>45179</v>
      </c>
      <c r="E255" s="21">
        <v>835.484</v>
      </c>
    </row>
    <row r="256" ht="16.5" spans="1:5">
      <c r="A256" s="99">
        <v>3044758.5</v>
      </c>
      <c r="B256" s="99">
        <v>35401368.965</v>
      </c>
      <c r="C256" s="8">
        <v>905.534</v>
      </c>
      <c r="D256" s="11">
        <v>45180</v>
      </c>
      <c r="E256" s="21">
        <v>835.689</v>
      </c>
    </row>
    <row r="257" ht="16.5" spans="1:5">
      <c r="A257" s="99">
        <v>3044758.5</v>
      </c>
      <c r="B257" s="99">
        <v>35401368.965</v>
      </c>
      <c r="C257" s="8">
        <v>905.534</v>
      </c>
      <c r="D257" s="11">
        <v>45181</v>
      </c>
      <c r="E257" s="21">
        <v>835.202</v>
      </c>
    </row>
    <row r="258" ht="16.5" spans="1:5">
      <c r="A258" s="99">
        <v>3044758.5</v>
      </c>
      <c r="B258" s="99">
        <v>35401368.965</v>
      </c>
      <c r="C258" s="8">
        <v>905.534</v>
      </c>
      <c r="D258" s="11">
        <v>45182</v>
      </c>
      <c r="E258" s="21"/>
    </row>
    <row r="259" ht="16.5" spans="1:5">
      <c r="A259" s="99">
        <v>3044758.5</v>
      </c>
      <c r="B259" s="99">
        <v>35401368.965</v>
      </c>
      <c r="C259" s="8">
        <v>905.534</v>
      </c>
      <c r="D259" s="11">
        <v>45183</v>
      </c>
      <c r="E259" s="21">
        <v>835.206</v>
      </c>
    </row>
    <row r="260" ht="16.5" spans="1:5">
      <c r="A260" s="99">
        <v>3044758.5</v>
      </c>
      <c r="B260" s="99">
        <v>35401368.965</v>
      </c>
      <c r="C260" s="8">
        <v>905.534</v>
      </c>
      <c r="D260" s="11">
        <v>45184</v>
      </c>
      <c r="E260" s="22"/>
    </row>
    <row r="261" ht="16.5" spans="1:5">
      <c r="A261" s="99">
        <v>3044758.5</v>
      </c>
      <c r="B261" s="99">
        <v>35401368.965</v>
      </c>
      <c r="C261" s="8">
        <v>905.534</v>
      </c>
      <c r="D261" s="11">
        <v>45185</v>
      </c>
      <c r="E261" s="22"/>
    </row>
    <row r="262" ht="16.5" spans="1:5">
      <c r="A262" s="99">
        <v>3044758.5</v>
      </c>
      <c r="B262" s="99">
        <v>35401368.965</v>
      </c>
      <c r="C262" s="8">
        <v>905.534</v>
      </c>
      <c r="D262" s="11">
        <v>45186</v>
      </c>
      <c r="E262" s="22"/>
    </row>
    <row r="263" ht="16.5" spans="1:5">
      <c r="A263" s="99">
        <v>3044758.5</v>
      </c>
      <c r="B263" s="99">
        <v>35401368.965</v>
      </c>
      <c r="C263" s="8">
        <v>905.534</v>
      </c>
      <c r="D263" s="11">
        <v>45187</v>
      </c>
      <c r="E263" s="22"/>
    </row>
    <row r="264" ht="16.5" spans="1:5">
      <c r="A264" s="99">
        <v>3044758.5</v>
      </c>
      <c r="B264" s="99">
        <v>35401368.965</v>
      </c>
      <c r="C264" s="8">
        <v>905.534</v>
      </c>
      <c r="D264" s="11">
        <v>45188</v>
      </c>
      <c r="E264" s="22"/>
    </row>
    <row r="265" ht="16.5" spans="1:5">
      <c r="A265" s="99">
        <v>3044758.5</v>
      </c>
      <c r="B265" s="99">
        <v>35401368.965</v>
      </c>
      <c r="C265" s="8">
        <v>905.534</v>
      </c>
      <c r="D265" s="11">
        <v>45189</v>
      </c>
      <c r="E265" s="21">
        <v>835.379</v>
      </c>
    </row>
    <row r="266" ht="16.5" spans="1:5">
      <c r="A266" s="99">
        <v>3044758.5</v>
      </c>
      <c r="B266" s="99">
        <v>35401368.965</v>
      </c>
      <c r="C266" s="8">
        <v>905.534</v>
      </c>
      <c r="D266" s="11">
        <v>45190</v>
      </c>
      <c r="E266" s="21">
        <v>835.15</v>
      </c>
    </row>
    <row r="267" ht="16.5" spans="1:5">
      <c r="A267" s="99">
        <v>3044758.5</v>
      </c>
      <c r="B267" s="99">
        <v>35401368.965</v>
      </c>
      <c r="C267" s="8">
        <v>905.534</v>
      </c>
      <c r="D267" s="11">
        <v>45191</v>
      </c>
      <c r="E267" s="21">
        <v>835.445</v>
      </c>
    </row>
    <row r="268" ht="16.5" spans="1:5">
      <c r="A268" s="99">
        <v>3044758.5</v>
      </c>
      <c r="B268" s="99">
        <v>35401368.965</v>
      </c>
      <c r="C268" s="8">
        <v>905.534</v>
      </c>
      <c r="D268" s="11">
        <v>45192</v>
      </c>
      <c r="E268" s="21">
        <v>835.384</v>
      </c>
    </row>
    <row r="269" ht="16.5" spans="1:5">
      <c r="A269" s="99">
        <v>3044758.5</v>
      </c>
      <c r="B269" s="99">
        <v>35401368.965</v>
      </c>
      <c r="C269" s="8">
        <v>905.534</v>
      </c>
      <c r="D269" s="11">
        <v>45193</v>
      </c>
      <c r="E269" s="21">
        <v>835.393</v>
      </c>
    </row>
    <row r="270" ht="16.5" spans="1:5">
      <c r="A270" s="99">
        <v>3044758.5</v>
      </c>
      <c r="B270" s="99">
        <v>35401368.965</v>
      </c>
      <c r="C270" s="8">
        <v>905.534</v>
      </c>
      <c r="D270" s="11">
        <v>45194</v>
      </c>
      <c r="E270" s="21">
        <v>835.314</v>
      </c>
    </row>
    <row r="271" ht="16.5" spans="1:5">
      <c r="A271" s="99">
        <v>3044758.5</v>
      </c>
      <c r="B271" s="99">
        <v>35401368.965</v>
      </c>
      <c r="C271" s="8">
        <v>905.534</v>
      </c>
      <c r="D271" s="11">
        <v>45195</v>
      </c>
      <c r="E271" s="21">
        <v>835.249</v>
      </c>
    </row>
    <row r="272" ht="16.5" spans="1:5">
      <c r="A272" s="99">
        <v>3044758.5</v>
      </c>
      <c r="B272" s="99">
        <v>35401368.965</v>
      </c>
      <c r="C272" s="8">
        <v>905.534</v>
      </c>
      <c r="D272" s="11">
        <v>45196</v>
      </c>
      <c r="E272" s="21">
        <v>835.325</v>
      </c>
    </row>
    <row r="273" ht="16.5" spans="1:5">
      <c r="A273" s="99">
        <v>3044758.5</v>
      </c>
      <c r="B273" s="99">
        <v>35401368.965</v>
      </c>
      <c r="C273" s="8">
        <v>905.534</v>
      </c>
      <c r="D273" s="11">
        <v>45197</v>
      </c>
      <c r="E273" s="21">
        <v>835.288</v>
      </c>
    </row>
    <row r="274" ht="16.5" spans="1:5">
      <c r="A274" s="99">
        <v>3044758.5</v>
      </c>
      <c r="B274" s="99">
        <v>35401368.965</v>
      </c>
      <c r="C274" s="8">
        <v>905.534</v>
      </c>
      <c r="D274" s="11">
        <v>45198</v>
      </c>
      <c r="E274" s="21">
        <v>835.242</v>
      </c>
    </row>
    <row r="275" ht="16.5" spans="1:5">
      <c r="A275" s="99">
        <v>3044758.5</v>
      </c>
      <c r="B275" s="99">
        <v>35401368.965</v>
      </c>
      <c r="C275" s="8">
        <v>905.534</v>
      </c>
      <c r="D275" s="11">
        <v>45199</v>
      </c>
      <c r="E275" s="21">
        <v>835.427</v>
      </c>
    </row>
    <row r="276" ht="16.5" spans="1:5">
      <c r="A276" s="99">
        <v>3044758.5</v>
      </c>
      <c r="B276" s="99">
        <v>35401368.965</v>
      </c>
      <c r="C276" s="8">
        <v>905.534</v>
      </c>
      <c r="D276" s="11">
        <v>45200</v>
      </c>
      <c r="E276" s="21">
        <v>835.47</v>
      </c>
    </row>
    <row r="277" ht="16.5" spans="1:5">
      <c r="A277" s="99">
        <v>3044758.5</v>
      </c>
      <c r="B277" s="99">
        <v>35401368.965</v>
      </c>
      <c r="C277" s="8">
        <v>905.534</v>
      </c>
      <c r="D277" s="11">
        <v>45201</v>
      </c>
      <c r="E277" s="21">
        <v>835.086</v>
      </c>
    </row>
    <row r="278" ht="16.5" spans="1:5">
      <c r="A278" s="99">
        <v>3044758.5</v>
      </c>
      <c r="B278" s="99">
        <v>35401368.965</v>
      </c>
      <c r="C278" s="8">
        <v>905.534</v>
      </c>
      <c r="D278" s="11">
        <v>45202</v>
      </c>
      <c r="E278" s="21">
        <v>834.973</v>
      </c>
    </row>
    <row r="279" ht="16.5" spans="1:5">
      <c r="A279" s="99">
        <v>3044758.5</v>
      </c>
      <c r="B279" s="99">
        <v>35401368.965</v>
      </c>
      <c r="C279" s="8">
        <v>905.534</v>
      </c>
      <c r="D279" s="11">
        <v>45203</v>
      </c>
      <c r="E279" s="21">
        <v>834.753</v>
      </c>
    </row>
    <row r="280" ht="16.5" spans="1:5">
      <c r="A280" s="99">
        <v>3044758.5</v>
      </c>
      <c r="B280" s="99">
        <v>35401368.965</v>
      </c>
      <c r="C280" s="8">
        <v>905.534</v>
      </c>
      <c r="D280" s="11">
        <v>45204</v>
      </c>
      <c r="E280" s="21">
        <v>834.635</v>
      </c>
    </row>
    <row r="281" ht="16.5" spans="1:5">
      <c r="A281" s="99">
        <v>3044758.5</v>
      </c>
      <c r="B281" s="99">
        <v>35401368.965</v>
      </c>
      <c r="C281" s="8">
        <v>905.534</v>
      </c>
      <c r="D281" s="11">
        <v>45205</v>
      </c>
      <c r="E281" s="21">
        <v>834.635</v>
      </c>
    </row>
    <row r="282" ht="16.5" spans="1:5">
      <c r="A282" s="99">
        <v>3044758.5</v>
      </c>
      <c r="B282" s="99">
        <v>35401368.965</v>
      </c>
      <c r="C282" s="8">
        <v>905.534</v>
      </c>
      <c r="D282" s="11">
        <v>45206</v>
      </c>
      <c r="E282" s="21">
        <v>834.176</v>
      </c>
    </row>
    <row r="283" ht="16.5" spans="1:5">
      <c r="A283" s="99">
        <v>3044758.5</v>
      </c>
      <c r="B283" s="99">
        <v>35401368.965</v>
      </c>
      <c r="C283" s="8">
        <v>905.534</v>
      </c>
      <c r="D283" s="11">
        <v>45207</v>
      </c>
      <c r="E283" s="21">
        <v>834.355</v>
      </c>
    </row>
    <row r="284" ht="16.5" spans="1:5">
      <c r="A284" s="99">
        <v>3044758.5</v>
      </c>
      <c r="B284" s="99">
        <v>35401368.965</v>
      </c>
      <c r="C284" s="8">
        <v>905.534</v>
      </c>
      <c r="D284" s="11">
        <v>45208</v>
      </c>
      <c r="E284" s="21">
        <v>834.132</v>
      </c>
    </row>
    <row r="285" ht="16.5" spans="1:5">
      <c r="A285" s="99">
        <v>3044758.5</v>
      </c>
      <c r="B285" s="99">
        <v>35401368.965</v>
      </c>
      <c r="C285" s="8">
        <v>905.534</v>
      </c>
      <c r="D285" s="11">
        <v>45209</v>
      </c>
      <c r="E285" s="21">
        <v>834.037</v>
      </c>
    </row>
    <row r="286" ht="16.5" spans="1:5">
      <c r="A286" s="99">
        <v>3044758.5</v>
      </c>
      <c r="B286" s="99">
        <v>35401368.965</v>
      </c>
      <c r="C286" s="8">
        <v>905.534</v>
      </c>
      <c r="D286" s="11">
        <v>45210</v>
      </c>
      <c r="E286" s="21">
        <v>834.396</v>
      </c>
    </row>
    <row r="287" ht="16.5" spans="1:5">
      <c r="A287" s="99">
        <v>3044758.5</v>
      </c>
      <c r="B287" s="99">
        <v>35401368.965</v>
      </c>
      <c r="C287" s="8">
        <v>905.534</v>
      </c>
      <c r="D287" s="11">
        <v>45211</v>
      </c>
      <c r="E287" s="21">
        <v>834.136</v>
      </c>
    </row>
    <row r="288" ht="16.5" spans="1:5">
      <c r="A288" s="99">
        <v>3044758.5</v>
      </c>
      <c r="B288" s="99">
        <v>35401368.965</v>
      </c>
      <c r="C288" s="8">
        <v>905.534</v>
      </c>
      <c r="D288" s="11">
        <v>45212</v>
      </c>
      <c r="E288" s="21">
        <v>833.989</v>
      </c>
    </row>
    <row r="289" ht="16.5" spans="1:5">
      <c r="A289" s="99">
        <v>3044758.5</v>
      </c>
      <c r="B289" s="99">
        <v>35401368.965</v>
      </c>
      <c r="C289" s="8">
        <v>905.534</v>
      </c>
      <c r="D289" s="11">
        <v>45213</v>
      </c>
      <c r="E289" s="21">
        <v>834.134</v>
      </c>
    </row>
    <row r="290" ht="16.5" spans="1:5">
      <c r="A290" s="99">
        <v>3044758.5</v>
      </c>
      <c r="B290" s="99">
        <v>35401368.965</v>
      </c>
      <c r="C290" s="8">
        <v>905.534</v>
      </c>
      <c r="D290" s="11">
        <v>45214</v>
      </c>
      <c r="E290" s="21">
        <v>834.163</v>
      </c>
    </row>
    <row r="291" ht="16.5" spans="1:5">
      <c r="A291" s="99">
        <v>3044758.5</v>
      </c>
      <c r="B291" s="99">
        <v>35401368.965</v>
      </c>
      <c r="C291" s="8">
        <v>905.534</v>
      </c>
      <c r="D291" s="11">
        <v>45215</v>
      </c>
      <c r="E291" s="21">
        <v>834.027</v>
      </c>
    </row>
    <row r="292" ht="16.5" spans="1:5">
      <c r="A292" s="99">
        <v>3044758.5</v>
      </c>
      <c r="B292" s="99">
        <v>35401368.965</v>
      </c>
      <c r="C292" s="8">
        <v>905.534</v>
      </c>
      <c r="D292" s="11">
        <v>45216</v>
      </c>
      <c r="E292" s="21">
        <v>834.055</v>
      </c>
    </row>
    <row r="293" ht="16.5" spans="1:5">
      <c r="A293" s="99">
        <v>3044758.5</v>
      </c>
      <c r="B293" s="99">
        <v>35401368.965</v>
      </c>
      <c r="C293" s="8">
        <v>905.534</v>
      </c>
      <c r="D293" s="11">
        <v>45217</v>
      </c>
      <c r="E293" s="21">
        <v>833.926</v>
      </c>
    </row>
    <row r="294" ht="16.5" spans="1:5">
      <c r="A294" s="99">
        <v>3044758.5</v>
      </c>
      <c r="B294" s="99">
        <v>35401368.965</v>
      </c>
      <c r="C294" s="8">
        <v>905.534</v>
      </c>
      <c r="D294" s="11">
        <v>45218</v>
      </c>
      <c r="E294" s="21"/>
    </row>
    <row r="295" ht="16.5" spans="1:5">
      <c r="A295" s="99">
        <v>3044758.5</v>
      </c>
      <c r="B295" s="99">
        <v>35401368.965</v>
      </c>
      <c r="C295" s="8">
        <v>905.534</v>
      </c>
      <c r="D295" s="11">
        <v>45219</v>
      </c>
      <c r="E295" s="21">
        <v>833.309</v>
      </c>
    </row>
    <row r="296" ht="16.5" spans="1:5">
      <c r="A296" s="99">
        <v>3044758.5</v>
      </c>
      <c r="B296" s="99">
        <v>35401368.965</v>
      </c>
      <c r="C296" s="8">
        <v>905.534</v>
      </c>
      <c r="D296" s="11">
        <v>45220</v>
      </c>
      <c r="E296" s="21">
        <v>833.72</v>
      </c>
    </row>
    <row r="297" ht="16.5" spans="1:5">
      <c r="A297" s="99">
        <v>3044758.5</v>
      </c>
      <c r="B297" s="99">
        <v>35401368.965</v>
      </c>
      <c r="C297" s="8">
        <v>905.534</v>
      </c>
      <c r="D297" s="11">
        <v>45221</v>
      </c>
      <c r="E297" s="21">
        <v>833.801</v>
      </c>
    </row>
    <row r="298" ht="16.5" spans="1:5">
      <c r="A298" s="99">
        <v>3044758.5</v>
      </c>
      <c r="B298" s="99">
        <v>35401368.965</v>
      </c>
      <c r="C298" s="8">
        <v>905.534</v>
      </c>
      <c r="D298" s="11">
        <v>45222</v>
      </c>
      <c r="E298" s="21">
        <v>833.919</v>
      </c>
    </row>
    <row r="299" ht="16.5" spans="1:5">
      <c r="A299" s="99">
        <v>3044758.5</v>
      </c>
      <c r="B299" s="99">
        <v>35401368.965</v>
      </c>
      <c r="C299" s="8">
        <v>905.534</v>
      </c>
      <c r="D299" s="11">
        <v>45223</v>
      </c>
      <c r="E299" s="21">
        <v>833.799</v>
      </c>
    </row>
    <row r="300" ht="16.5" spans="1:5">
      <c r="A300" s="99">
        <v>3044758.5</v>
      </c>
      <c r="B300" s="99">
        <v>35401368.965</v>
      </c>
      <c r="C300" s="8">
        <v>905.534</v>
      </c>
      <c r="D300" s="11">
        <v>45224</v>
      </c>
      <c r="E300" s="21">
        <v>833.726</v>
      </c>
    </row>
    <row r="301" ht="16.5" spans="1:5">
      <c r="A301" s="99">
        <v>3044758.5</v>
      </c>
      <c r="B301" s="99">
        <v>35401368.965</v>
      </c>
      <c r="C301" s="8">
        <v>905.534</v>
      </c>
      <c r="D301" s="11">
        <v>45225</v>
      </c>
      <c r="E301" s="21">
        <v>833.569</v>
      </c>
    </row>
    <row r="302" ht="16.5" spans="1:5">
      <c r="A302" s="99">
        <v>3044758.5</v>
      </c>
      <c r="B302" s="99">
        <v>35401368.965</v>
      </c>
      <c r="C302" s="8">
        <v>905.534</v>
      </c>
      <c r="D302" s="11">
        <v>45226</v>
      </c>
      <c r="E302" s="21">
        <v>833.48</v>
      </c>
    </row>
    <row r="303" ht="16.5" spans="1:5">
      <c r="A303" s="99">
        <v>3044758.5</v>
      </c>
      <c r="B303" s="99">
        <v>35401368.965</v>
      </c>
      <c r="C303" s="8">
        <v>905.534</v>
      </c>
      <c r="D303" s="11">
        <v>45227</v>
      </c>
      <c r="E303" s="21">
        <v>833.49</v>
      </c>
    </row>
    <row r="304" ht="16.5" spans="1:5">
      <c r="A304" s="99">
        <v>3044758.5</v>
      </c>
      <c r="B304" s="99">
        <v>35401368.965</v>
      </c>
      <c r="C304" s="8">
        <v>905.534</v>
      </c>
      <c r="D304" s="11">
        <v>45228</v>
      </c>
      <c r="E304" s="21">
        <v>833.26</v>
      </c>
    </row>
    <row r="305" ht="16.5" spans="1:5">
      <c r="A305" s="99">
        <v>3044758.5</v>
      </c>
      <c r="B305" s="99">
        <v>35401368.965</v>
      </c>
      <c r="C305" s="8">
        <v>905.534</v>
      </c>
      <c r="D305" s="11">
        <v>45229</v>
      </c>
      <c r="E305" s="21">
        <v>833.16</v>
      </c>
    </row>
    <row r="306" ht="16.5" spans="1:5">
      <c r="A306" s="99">
        <v>3044758.5</v>
      </c>
      <c r="B306" s="99">
        <v>35401368.965</v>
      </c>
      <c r="C306" s="8">
        <v>905.534</v>
      </c>
      <c r="D306" s="11">
        <v>45230</v>
      </c>
      <c r="E306" s="21">
        <v>833.15</v>
      </c>
    </row>
    <row r="307" ht="16.5" spans="1:5">
      <c r="A307" s="99">
        <v>3044758.5</v>
      </c>
      <c r="B307" s="99">
        <v>35401368.965</v>
      </c>
      <c r="C307" s="8">
        <v>905.534</v>
      </c>
      <c r="D307" s="11">
        <v>45231</v>
      </c>
      <c r="E307" s="21">
        <v>833.19</v>
      </c>
    </row>
    <row r="308" ht="16.5" spans="1:5">
      <c r="A308" s="99">
        <v>3044758.5</v>
      </c>
      <c r="B308" s="99">
        <v>35401368.965</v>
      </c>
      <c r="C308" s="8">
        <v>905.534</v>
      </c>
      <c r="D308" s="11">
        <v>45232</v>
      </c>
      <c r="E308" s="21">
        <v>833.34</v>
      </c>
    </row>
    <row r="309" ht="16.5" spans="1:5">
      <c r="A309" s="99">
        <v>3044758.5</v>
      </c>
      <c r="B309" s="99">
        <v>35401368.965</v>
      </c>
      <c r="C309" s="8">
        <v>905.534</v>
      </c>
      <c r="D309" s="11">
        <v>45233</v>
      </c>
      <c r="E309" s="21">
        <v>833.27</v>
      </c>
    </row>
    <row r="310" ht="16.5" spans="1:5">
      <c r="A310" s="99">
        <v>3044758.5</v>
      </c>
      <c r="B310" s="99">
        <v>35401368.965</v>
      </c>
      <c r="C310" s="8">
        <v>905.534</v>
      </c>
      <c r="D310" s="11">
        <v>45234</v>
      </c>
      <c r="E310" s="21">
        <v>833.31</v>
      </c>
    </row>
    <row r="311" ht="16.5" spans="1:5">
      <c r="A311" s="99">
        <v>3044758.5</v>
      </c>
      <c r="B311" s="99">
        <v>35401368.965</v>
      </c>
      <c r="C311" s="8">
        <v>905.534</v>
      </c>
      <c r="D311" s="11">
        <v>45235</v>
      </c>
      <c r="E311" s="21">
        <v>833.17</v>
      </c>
    </row>
    <row r="312" ht="16.5" spans="1:5">
      <c r="A312" s="99">
        <v>3044758.5</v>
      </c>
      <c r="B312" s="99">
        <v>35401368.965</v>
      </c>
      <c r="C312" s="8">
        <v>905.534</v>
      </c>
      <c r="D312" s="11">
        <v>45236</v>
      </c>
      <c r="E312" s="21">
        <v>832.8</v>
      </c>
    </row>
    <row r="313" ht="16.5" spans="1:5">
      <c r="A313" s="99">
        <v>3044758.5</v>
      </c>
      <c r="B313" s="99">
        <v>35401368.965</v>
      </c>
      <c r="C313" s="8">
        <v>905.534</v>
      </c>
      <c r="D313" s="11">
        <v>45237</v>
      </c>
      <c r="E313" s="21">
        <v>833.36</v>
      </c>
    </row>
    <row r="314" ht="16.5" spans="1:5">
      <c r="A314" s="99">
        <v>3044758.5</v>
      </c>
      <c r="B314" s="99">
        <v>35401368.965</v>
      </c>
      <c r="C314" s="8">
        <v>905.534</v>
      </c>
      <c r="D314" s="11">
        <v>45238</v>
      </c>
      <c r="E314" s="21">
        <v>833.32</v>
      </c>
    </row>
    <row r="315" ht="16.5" spans="1:5">
      <c r="A315" s="99">
        <v>3044758.5</v>
      </c>
      <c r="B315" s="99">
        <v>35401368.965</v>
      </c>
      <c r="C315" s="8">
        <v>905.534</v>
      </c>
      <c r="D315" s="11">
        <v>45239</v>
      </c>
      <c r="E315" s="21">
        <v>833.11</v>
      </c>
    </row>
    <row r="316" ht="16.5" spans="1:5">
      <c r="A316" s="99">
        <v>3044758.5</v>
      </c>
      <c r="B316" s="99">
        <v>35401368.965</v>
      </c>
      <c r="C316" s="8">
        <v>905.534</v>
      </c>
      <c r="D316" s="11">
        <v>45240</v>
      </c>
      <c r="E316" s="21">
        <v>833.044</v>
      </c>
    </row>
    <row r="317" ht="16.5" spans="1:5">
      <c r="A317" s="99">
        <v>3044758.5</v>
      </c>
      <c r="B317" s="99">
        <v>35401368.965</v>
      </c>
      <c r="C317" s="8">
        <v>905.534</v>
      </c>
      <c r="D317" s="11">
        <v>45241</v>
      </c>
      <c r="E317" s="21">
        <v>832.84</v>
      </c>
    </row>
    <row r="318" ht="16.5" spans="1:5">
      <c r="A318" s="99">
        <v>3044758.5</v>
      </c>
      <c r="B318" s="99">
        <v>35401368.965</v>
      </c>
      <c r="C318" s="8">
        <v>905.534</v>
      </c>
      <c r="D318" s="11">
        <v>45242</v>
      </c>
      <c r="E318" s="21">
        <v>832.51</v>
      </c>
    </row>
    <row r="319" ht="16.5" spans="1:5">
      <c r="A319" s="99">
        <v>3044758.5</v>
      </c>
      <c r="B319" s="99">
        <v>35401368.965</v>
      </c>
      <c r="C319" s="8">
        <v>905.534</v>
      </c>
      <c r="D319" s="11">
        <v>45243</v>
      </c>
      <c r="E319" s="21">
        <v>832.43</v>
      </c>
    </row>
    <row r="320" ht="16.5" spans="1:5">
      <c r="A320" s="99">
        <v>3044758.5</v>
      </c>
      <c r="B320" s="99">
        <v>35401368.965</v>
      </c>
      <c r="C320" s="8">
        <v>905.534</v>
      </c>
      <c r="D320" s="11">
        <v>45244</v>
      </c>
      <c r="E320" s="21">
        <v>832.82</v>
      </c>
    </row>
    <row r="321" ht="16.5" spans="1:5">
      <c r="A321" s="99">
        <v>3044758.5</v>
      </c>
      <c r="B321" s="99">
        <v>35401368.965</v>
      </c>
      <c r="C321" s="8">
        <v>905.534</v>
      </c>
      <c r="D321" s="11">
        <v>45245</v>
      </c>
      <c r="E321" s="21">
        <v>832.77</v>
      </c>
    </row>
    <row r="322" ht="16.5" spans="1:5">
      <c r="A322" s="99">
        <v>3044758.5</v>
      </c>
      <c r="B322" s="99">
        <v>35401368.965</v>
      </c>
      <c r="C322" s="8">
        <v>905.534</v>
      </c>
      <c r="D322" s="11">
        <v>45246</v>
      </c>
      <c r="E322" s="21">
        <v>831.9</v>
      </c>
    </row>
    <row r="323" ht="16.5" spans="1:5">
      <c r="A323" s="99">
        <v>3044758.5</v>
      </c>
      <c r="B323" s="99">
        <v>35401368.965</v>
      </c>
      <c r="C323" s="8">
        <v>905.534</v>
      </c>
      <c r="D323" s="11">
        <v>45247</v>
      </c>
      <c r="E323" s="21">
        <v>832.57</v>
      </c>
    </row>
    <row r="324" ht="16.5" spans="1:5">
      <c r="A324" s="99">
        <v>3044758.5</v>
      </c>
      <c r="B324" s="99">
        <v>35401368.965</v>
      </c>
      <c r="C324" s="8">
        <v>905.534</v>
      </c>
      <c r="D324" s="11">
        <v>45248</v>
      </c>
      <c r="E324" s="21">
        <v>832.91</v>
      </c>
    </row>
    <row r="325" ht="16.5" spans="1:5">
      <c r="A325" s="99">
        <v>3044758.5</v>
      </c>
      <c r="B325" s="99">
        <v>35401368.965</v>
      </c>
      <c r="C325" s="8">
        <v>905.534</v>
      </c>
      <c r="D325" s="11">
        <v>45249</v>
      </c>
      <c r="E325" s="21">
        <v>832.84</v>
      </c>
    </row>
    <row r="326" ht="16.5" spans="1:5">
      <c r="A326" s="99">
        <v>3044758.5</v>
      </c>
      <c r="B326" s="99">
        <v>35401368.965</v>
      </c>
      <c r="C326" s="8">
        <v>905.534</v>
      </c>
      <c r="D326" s="11">
        <v>45250</v>
      </c>
      <c r="E326" s="21">
        <v>832.99</v>
      </c>
    </row>
    <row r="327" ht="16.5" spans="1:5">
      <c r="A327" s="99">
        <v>3044758.5</v>
      </c>
      <c r="B327" s="99">
        <v>35401368.965</v>
      </c>
      <c r="C327" s="8">
        <v>905.534</v>
      </c>
      <c r="D327" s="11">
        <v>45251</v>
      </c>
      <c r="E327" s="21">
        <v>833.05</v>
      </c>
    </row>
    <row r="328" ht="16.5" spans="1:5">
      <c r="A328" s="99">
        <v>3044758.5</v>
      </c>
      <c r="B328" s="99">
        <v>35401368.965</v>
      </c>
      <c r="C328" s="8">
        <v>905.534</v>
      </c>
      <c r="D328" s="11">
        <v>45252</v>
      </c>
      <c r="E328" s="21">
        <v>832.74</v>
      </c>
    </row>
    <row r="329" ht="16.5" spans="1:5">
      <c r="A329" s="99">
        <v>3044758.5</v>
      </c>
      <c r="B329" s="99">
        <v>35401368.965</v>
      </c>
      <c r="C329" s="8">
        <v>905.534</v>
      </c>
      <c r="D329" s="11">
        <v>45253</v>
      </c>
      <c r="E329" s="21">
        <v>832.76</v>
      </c>
    </row>
    <row r="330" ht="16.5" spans="1:5">
      <c r="A330" s="99">
        <v>3044758.5</v>
      </c>
      <c r="B330" s="99">
        <v>35401368.965</v>
      </c>
      <c r="C330" s="8">
        <v>905.534</v>
      </c>
      <c r="D330" s="11">
        <v>45254</v>
      </c>
      <c r="E330" s="21">
        <v>832.86</v>
      </c>
    </row>
    <row r="331" ht="16.5" spans="1:5">
      <c r="A331" s="99">
        <v>3044758.5</v>
      </c>
      <c r="B331" s="99">
        <v>35401368.965</v>
      </c>
      <c r="C331" s="8">
        <v>905.534</v>
      </c>
      <c r="D331" s="11">
        <v>45255</v>
      </c>
      <c r="E331" s="21"/>
    </row>
    <row r="332" ht="16.5" spans="1:5">
      <c r="A332" s="99">
        <v>3044758.5</v>
      </c>
      <c r="B332" s="99">
        <v>35401368.965</v>
      </c>
      <c r="C332" s="8">
        <v>905.534</v>
      </c>
      <c r="D332" s="11">
        <v>45256</v>
      </c>
      <c r="E332" s="21"/>
    </row>
    <row r="333" ht="16.5" spans="1:5">
      <c r="A333" s="99">
        <v>3044758.5</v>
      </c>
      <c r="B333" s="99">
        <v>35401368.965</v>
      </c>
      <c r="C333" s="8">
        <v>905.534</v>
      </c>
      <c r="D333" s="11">
        <v>45257</v>
      </c>
      <c r="E333" s="21"/>
    </row>
    <row r="334" ht="16.5" spans="1:5">
      <c r="A334" s="99">
        <v>3044758.5</v>
      </c>
      <c r="B334" s="99">
        <v>35401368.965</v>
      </c>
      <c r="C334" s="8">
        <v>905.534</v>
      </c>
      <c r="D334" s="11">
        <v>45258</v>
      </c>
      <c r="E334" s="21">
        <v>833.34</v>
      </c>
    </row>
    <row r="335" ht="16.5" spans="1:5">
      <c r="A335" s="99">
        <v>3044758.5</v>
      </c>
      <c r="B335" s="99">
        <v>35401368.965</v>
      </c>
      <c r="C335" s="8">
        <v>905.534</v>
      </c>
      <c r="D335" s="11">
        <v>45259</v>
      </c>
      <c r="E335" s="21">
        <v>833.07</v>
      </c>
    </row>
    <row r="336" ht="16.5" spans="1:5">
      <c r="A336" s="99">
        <v>3044758.5</v>
      </c>
      <c r="B336" s="99">
        <v>35401368.965</v>
      </c>
      <c r="C336" s="8">
        <v>905.534</v>
      </c>
      <c r="D336" s="11">
        <v>45260</v>
      </c>
      <c r="E336" s="21">
        <v>832.56</v>
      </c>
    </row>
    <row r="337" ht="16.5" spans="1:5">
      <c r="A337" s="99">
        <v>3044758.5</v>
      </c>
      <c r="B337" s="99">
        <v>35401368.965</v>
      </c>
      <c r="C337" s="8">
        <v>905.534</v>
      </c>
      <c r="D337" s="11">
        <v>45261</v>
      </c>
      <c r="E337" s="21">
        <v>832.64</v>
      </c>
    </row>
    <row r="338" ht="16.5" spans="1:5">
      <c r="A338" s="99">
        <v>3044758.5</v>
      </c>
      <c r="B338" s="99">
        <v>35401368.965</v>
      </c>
      <c r="C338" s="8">
        <v>905.534</v>
      </c>
      <c r="D338" s="11">
        <v>45262</v>
      </c>
      <c r="E338" s="21">
        <v>832.84</v>
      </c>
    </row>
    <row r="339" ht="16.5" spans="1:5">
      <c r="A339" s="99">
        <v>3044758.5</v>
      </c>
      <c r="B339" s="99">
        <v>35401368.965</v>
      </c>
      <c r="C339" s="8">
        <v>905.534</v>
      </c>
      <c r="D339" s="11">
        <v>45263</v>
      </c>
      <c r="E339" s="21">
        <v>832.91</v>
      </c>
    </row>
    <row r="340" ht="16.5" spans="1:5">
      <c r="A340" s="99">
        <v>3044758.5</v>
      </c>
      <c r="B340" s="99">
        <v>35401368.965</v>
      </c>
      <c r="C340" s="8">
        <v>905.534</v>
      </c>
      <c r="D340" s="11">
        <v>45264</v>
      </c>
      <c r="E340" s="21">
        <v>833.01</v>
      </c>
    </row>
    <row r="341" ht="16.5" spans="1:5">
      <c r="A341" s="99">
        <v>3044758.5</v>
      </c>
      <c r="B341" s="99">
        <v>35401368.965</v>
      </c>
      <c r="C341" s="8">
        <v>905.534</v>
      </c>
      <c r="D341" s="11">
        <v>45265</v>
      </c>
      <c r="E341" s="21">
        <v>833.19</v>
      </c>
    </row>
    <row r="342" ht="16.5" spans="1:5">
      <c r="A342" s="99">
        <v>3044758.5</v>
      </c>
      <c r="B342" s="99">
        <v>35401368.965</v>
      </c>
      <c r="C342" s="8">
        <v>905.534</v>
      </c>
      <c r="D342" s="11">
        <v>45266</v>
      </c>
      <c r="E342" s="21">
        <v>832.41</v>
      </c>
    </row>
    <row r="343" ht="16.5" spans="1:5">
      <c r="A343" s="99">
        <v>3044758.5</v>
      </c>
      <c r="B343" s="99">
        <v>35401368.965</v>
      </c>
      <c r="C343" s="8">
        <v>905.534</v>
      </c>
      <c r="D343" s="11">
        <v>45267</v>
      </c>
      <c r="E343" s="21">
        <v>832.67</v>
      </c>
    </row>
    <row r="344" ht="16.5" spans="1:5">
      <c r="A344" s="99">
        <v>3044758.5</v>
      </c>
      <c r="B344" s="99">
        <v>35401368.965</v>
      </c>
      <c r="C344" s="8">
        <v>905.534</v>
      </c>
      <c r="D344" s="11">
        <v>45268</v>
      </c>
      <c r="E344" s="21">
        <v>833.881</v>
      </c>
    </row>
    <row r="345" ht="16.5" spans="1:5">
      <c r="A345" s="99">
        <v>3044758.5</v>
      </c>
      <c r="B345" s="99">
        <v>35401368.965</v>
      </c>
      <c r="C345" s="8">
        <v>905.534</v>
      </c>
      <c r="D345" s="11">
        <v>45269</v>
      </c>
      <c r="E345" s="21">
        <v>833.813</v>
      </c>
    </row>
    <row r="346" ht="16.5" spans="1:5">
      <c r="A346" s="99">
        <v>3044758.5</v>
      </c>
      <c r="B346" s="99">
        <v>35401368.965</v>
      </c>
      <c r="C346" s="8">
        <v>905.534</v>
      </c>
      <c r="D346" s="11">
        <v>45270</v>
      </c>
      <c r="E346" s="21">
        <v>833.841</v>
      </c>
    </row>
    <row r="347" ht="16.5" spans="1:5">
      <c r="A347" s="99">
        <v>3044758.5</v>
      </c>
      <c r="B347" s="99">
        <v>35401368.965</v>
      </c>
      <c r="C347" s="8">
        <v>905.534</v>
      </c>
      <c r="D347" s="11">
        <v>45271</v>
      </c>
      <c r="E347" s="21">
        <v>832.861</v>
      </c>
    </row>
    <row r="348" ht="16.5" spans="1:5">
      <c r="A348" s="99">
        <v>3044758.5</v>
      </c>
      <c r="B348" s="99">
        <v>35401368.965</v>
      </c>
      <c r="C348" s="8">
        <v>905.534</v>
      </c>
      <c r="D348" s="11">
        <v>45272</v>
      </c>
      <c r="E348" s="21">
        <v>832.524</v>
      </c>
    </row>
    <row r="349" ht="16.5" spans="1:5">
      <c r="A349" s="99">
        <v>3044758.5</v>
      </c>
      <c r="B349" s="99">
        <v>35401368.965</v>
      </c>
      <c r="C349" s="8">
        <v>905.534</v>
      </c>
      <c r="D349" s="11">
        <v>45273</v>
      </c>
      <c r="E349" s="21">
        <v>833.666</v>
      </c>
    </row>
    <row r="350" ht="16.5" spans="1:5">
      <c r="A350" s="99">
        <v>3044758.5</v>
      </c>
      <c r="B350" s="99">
        <v>35401368.965</v>
      </c>
      <c r="C350" s="8">
        <v>905.534</v>
      </c>
      <c r="D350" s="11">
        <v>45274</v>
      </c>
      <c r="E350" s="21">
        <v>833.502</v>
      </c>
    </row>
    <row r="351" ht="16.5" spans="1:5">
      <c r="A351" s="99">
        <v>3044758.5</v>
      </c>
      <c r="B351" s="99">
        <v>35401368.965</v>
      </c>
      <c r="C351" s="8">
        <v>905.534</v>
      </c>
      <c r="D351" s="11">
        <v>45275</v>
      </c>
      <c r="E351" s="21">
        <v>832.433</v>
      </c>
    </row>
    <row r="352" ht="16.5" spans="1:5">
      <c r="A352" s="99">
        <v>3044758.5</v>
      </c>
      <c r="B352" s="99">
        <v>35401368.965</v>
      </c>
      <c r="C352" s="8">
        <v>905.534</v>
      </c>
      <c r="D352" s="11">
        <v>45276</v>
      </c>
      <c r="E352" s="21">
        <v>831.602</v>
      </c>
    </row>
    <row r="353" ht="16.5" spans="1:5">
      <c r="A353" s="99">
        <v>3044758.5</v>
      </c>
      <c r="B353" s="99">
        <v>35401368.965</v>
      </c>
      <c r="C353" s="8">
        <v>905.534</v>
      </c>
      <c r="D353" s="11">
        <v>45277</v>
      </c>
      <c r="E353" s="21">
        <v>832.397</v>
      </c>
    </row>
    <row r="354" ht="16.5" spans="1:5">
      <c r="A354" s="99">
        <v>3044758.5</v>
      </c>
      <c r="B354" s="99">
        <v>35401368.965</v>
      </c>
      <c r="C354" s="8">
        <v>905.534</v>
      </c>
      <c r="D354" s="11">
        <v>45278</v>
      </c>
      <c r="E354" s="21">
        <v>832.426</v>
      </c>
    </row>
    <row r="355" ht="16.5" spans="1:5">
      <c r="A355" s="99">
        <v>3044758.5</v>
      </c>
      <c r="B355" s="99">
        <v>35401368.965</v>
      </c>
      <c r="C355" s="8">
        <v>905.534</v>
      </c>
      <c r="D355" s="11">
        <v>45279</v>
      </c>
      <c r="E355" s="21">
        <v>831.796</v>
      </c>
    </row>
    <row r="356" ht="16.5" spans="1:5">
      <c r="A356" s="99">
        <v>3044758.5</v>
      </c>
      <c r="B356" s="99">
        <v>35401368.965</v>
      </c>
      <c r="C356" s="8">
        <v>905.534</v>
      </c>
      <c r="D356" s="11">
        <v>45280</v>
      </c>
      <c r="E356" s="21">
        <v>831.597</v>
      </c>
    </row>
    <row r="357" ht="16.5" spans="1:5">
      <c r="A357" s="99">
        <v>3044758.5</v>
      </c>
      <c r="B357" s="99">
        <v>35401368.965</v>
      </c>
      <c r="C357" s="8">
        <v>905.534</v>
      </c>
      <c r="D357" s="11">
        <v>45281</v>
      </c>
      <c r="E357" s="21">
        <v>831.624</v>
      </c>
    </row>
    <row r="358" ht="16.5" spans="1:5">
      <c r="A358" s="99">
        <v>3044758.5</v>
      </c>
      <c r="B358" s="99">
        <v>35401368.965</v>
      </c>
      <c r="C358" s="8">
        <v>905.534</v>
      </c>
      <c r="D358" s="11">
        <v>45282</v>
      </c>
      <c r="E358" s="21">
        <v>831.556</v>
      </c>
    </row>
    <row r="359" ht="16.5" spans="1:5">
      <c r="A359" s="99">
        <v>3044758.5</v>
      </c>
      <c r="B359" s="99">
        <v>35401368.965</v>
      </c>
      <c r="C359" s="8">
        <v>905.534</v>
      </c>
      <c r="D359" s="11">
        <v>45283</v>
      </c>
      <c r="E359" s="21">
        <v>831.795</v>
      </c>
    </row>
    <row r="360" ht="16.5" spans="1:5">
      <c r="A360" s="99">
        <v>3044758.5</v>
      </c>
      <c r="B360" s="99">
        <v>35401368.965</v>
      </c>
      <c r="C360" s="8">
        <v>905.534</v>
      </c>
      <c r="D360" s="11">
        <v>45284</v>
      </c>
      <c r="E360" s="21">
        <v>831.985</v>
      </c>
    </row>
    <row r="361" ht="16.5" spans="1:5">
      <c r="A361" s="99">
        <v>3044758.5</v>
      </c>
      <c r="B361" s="99">
        <v>35401368.965</v>
      </c>
      <c r="C361" s="8">
        <v>905.534</v>
      </c>
      <c r="D361" s="11">
        <v>45285</v>
      </c>
      <c r="E361" s="21">
        <v>831.932</v>
      </c>
    </row>
    <row r="362" ht="16.5" spans="1:5">
      <c r="A362" s="99">
        <v>3044758.5</v>
      </c>
      <c r="B362" s="99">
        <v>35401368.965</v>
      </c>
      <c r="C362" s="8">
        <v>905.534</v>
      </c>
      <c r="D362" s="11">
        <v>45286</v>
      </c>
      <c r="E362" s="21">
        <v>831.694</v>
      </c>
    </row>
    <row r="363" ht="16.5" spans="1:5">
      <c r="A363" s="99">
        <v>3044758.5</v>
      </c>
      <c r="B363" s="99">
        <v>35401368.965</v>
      </c>
      <c r="C363" s="8">
        <v>905.534</v>
      </c>
      <c r="D363" s="11">
        <v>45287</v>
      </c>
      <c r="E363" s="21">
        <v>831.773</v>
      </c>
    </row>
    <row r="364" ht="16.5" spans="1:5">
      <c r="A364" s="99">
        <v>3044758.5</v>
      </c>
      <c r="B364" s="99">
        <v>35401368.965</v>
      </c>
      <c r="C364" s="8">
        <v>905.534</v>
      </c>
      <c r="D364" s="11">
        <v>45288</v>
      </c>
      <c r="E364" s="21">
        <v>831.874</v>
      </c>
    </row>
    <row r="365" ht="16.5" spans="1:5">
      <c r="A365" s="99">
        <v>3044758.5</v>
      </c>
      <c r="B365" s="99">
        <v>35401368.965</v>
      </c>
      <c r="C365" s="8">
        <v>905.534</v>
      </c>
      <c r="D365" s="11">
        <v>45289</v>
      </c>
      <c r="E365" s="21">
        <v>831.774</v>
      </c>
    </row>
    <row r="366" ht="16.5" spans="1:5">
      <c r="A366" s="99">
        <v>3044758.5</v>
      </c>
      <c r="B366" s="99">
        <v>35401368.965</v>
      </c>
      <c r="C366" s="8">
        <v>905.534</v>
      </c>
      <c r="D366" s="11">
        <v>45290</v>
      </c>
      <c r="E366" s="21">
        <v>831.825</v>
      </c>
    </row>
    <row r="367" ht="16.5" spans="1:5">
      <c r="A367" s="99">
        <v>3044758.5</v>
      </c>
      <c r="B367" s="99">
        <v>35401368.965</v>
      </c>
      <c r="C367" s="8">
        <v>905.534</v>
      </c>
      <c r="D367" s="11">
        <v>45291</v>
      </c>
      <c r="E367" s="21">
        <v>831.876</v>
      </c>
    </row>
    <row r="368" ht="16.5" spans="1:5">
      <c r="A368" s="99">
        <v>3044758.5</v>
      </c>
      <c r="B368" s="99">
        <v>35401368.965</v>
      </c>
      <c r="C368" s="8">
        <v>905.534</v>
      </c>
      <c r="D368" s="11">
        <v>45292</v>
      </c>
      <c r="E368" s="21">
        <v>831.844</v>
      </c>
    </row>
    <row r="369" ht="16.5" spans="1:5">
      <c r="A369" s="99">
        <v>3044758.5</v>
      </c>
      <c r="B369" s="99">
        <v>35401368.965</v>
      </c>
      <c r="C369" s="8">
        <v>905.534</v>
      </c>
      <c r="D369" s="11">
        <v>45293</v>
      </c>
      <c r="E369" s="21">
        <v>831.627</v>
      </c>
    </row>
    <row r="370" ht="16.5" spans="1:5">
      <c r="A370" s="99">
        <v>3044758.5</v>
      </c>
      <c r="B370" s="99">
        <v>35401368.965</v>
      </c>
      <c r="C370" s="8">
        <v>905.534</v>
      </c>
      <c r="D370" s="11">
        <v>45294</v>
      </c>
      <c r="E370" s="23">
        <v>831.507</v>
      </c>
    </row>
    <row r="371" ht="16.5" spans="1:5">
      <c r="A371" s="99">
        <v>3044758.5</v>
      </c>
      <c r="B371" s="99">
        <v>35401368.965</v>
      </c>
      <c r="C371" s="8">
        <v>905.534</v>
      </c>
      <c r="D371" s="11">
        <v>45295</v>
      </c>
      <c r="E371" s="21"/>
    </row>
    <row r="372" ht="16.5" spans="1:5">
      <c r="A372" s="99">
        <v>3044758.5</v>
      </c>
      <c r="B372" s="99">
        <v>35401368.965</v>
      </c>
      <c r="C372" s="8">
        <v>905.534</v>
      </c>
      <c r="D372" s="11">
        <v>45296</v>
      </c>
      <c r="E372" s="21"/>
    </row>
    <row r="373" ht="16.5" spans="1:5">
      <c r="A373" s="99">
        <v>3044758.5</v>
      </c>
      <c r="B373" s="99">
        <v>35401368.965</v>
      </c>
      <c r="C373" s="8">
        <v>905.534</v>
      </c>
      <c r="D373" s="11">
        <v>45297</v>
      </c>
      <c r="E373" s="21"/>
    </row>
    <row r="374" ht="16.5" spans="1:5">
      <c r="A374" s="99">
        <v>3044758.5</v>
      </c>
      <c r="B374" s="99">
        <v>35401368.965</v>
      </c>
      <c r="C374" s="8">
        <v>905.534</v>
      </c>
      <c r="D374" s="11">
        <v>45298</v>
      </c>
      <c r="E374" s="21"/>
    </row>
    <row r="375" ht="16.5" spans="1:5">
      <c r="A375" s="99">
        <v>3044758.5</v>
      </c>
      <c r="B375" s="99">
        <v>35401368.965</v>
      </c>
      <c r="C375" s="8">
        <v>905.534</v>
      </c>
      <c r="D375" s="11">
        <v>45299</v>
      </c>
      <c r="E375" s="21"/>
    </row>
    <row r="376" ht="16.5" spans="1:5">
      <c r="A376" s="99">
        <v>3044758.5</v>
      </c>
      <c r="B376" s="99">
        <v>35401368.965</v>
      </c>
      <c r="C376" s="8">
        <v>905.534</v>
      </c>
      <c r="D376" s="11">
        <v>45300</v>
      </c>
      <c r="E376" s="26">
        <v>844.883</v>
      </c>
    </row>
    <row r="377" ht="16.5" spans="1:5">
      <c r="A377" s="99">
        <v>3044758.5</v>
      </c>
      <c r="B377" s="99">
        <v>35401368.965</v>
      </c>
      <c r="C377" s="8">
        <v>905.534</v>
      </c>
      <c r="D377" s="11">
        <v>45301</v>
      </c>
      <c r="E377" s="26">
        <v>844.87</v>
      </c>
    </row>
    <row r="378" ht="16.5" spans="1:5">
      <c r="A378" s="99">
        <v>3044758.5</v>
      </c>
      <c r="B378" s="99">
        <v>35401368.965</v>
      </c>
      <c r="C378" s="8">
        <v>905.534</v>
      </c>
      <c r="D378" s="11">
        <v>45302</v>
      </c>
      <c r="E378" s="26">
        <v>844.883</v>
      </c>
    </row>
    <row r="379" ht="16.5" spans="1:5">
      <c r="A379" s="99">
        <v>3044758.5</v>
      </c>
      <c r="B379" s="99">
        <v>35401368.965</v>
      </c>
      <c r="C379" s="8">
        <v>905.534</v>
      </c>
      <c r="D379" s="11">
        <v>45303</v>
      </c>
      <c r="E379" s="26">
        <v>845.058</v>
      </c>
    </row>
    <row r="380" ht="16.5" spans="1:5">
      <c r="A380" s="99">
        <v>3044758.5</v>
      </c>
      <c r="B380" s="99">
        <v>35401368.965</v>
      </c>
      <c r="C380" s="8">
        <v>905.534</v>
      </c>
      <c r="D380" s="11">
        <v>45304</v>
      </c>
      <c r="E380" s="26">
        <v>845.142</v>
      </c>
    </row>
    <row r="381" ht="16.5" spans="1:5">
      <c r="A381" s="99">
        <v>3044758.5</v>
      </c>
      <c r="B381" s="99">
        <v>35401368.965</v>
      </c>
      <c r="C381" s="8">
        <v>905.534</v>
      </c>
      <c r="D381" s="11">
        <v>45305</v>
      </c>
      <c r="E381" s="26">
        <v>845.093</v>
      </c>
    </row>
    <row r="382" ht="16.5" spans="1:5">
      <c r="A382" s="99">
        <v>3044758.5</v>
      </c>
      <c r="B382" s="99">
        <v>35401368.965</v>
      </c>
      <c r="C382" s="8">
        <v>905.534</v>
      </c>
      <c r="D382" s="11">
        <v>45306</v>
      </c>
      <c r="E382" s="26">
        <v>845.186</v>
      </c>
    </row>
    <row r="383" ht="16.5" spans="1:5">
      <c r="A383" s="99">
        <v>3044758.5</v>
      </c>
      <c r="B383" s="99">
        <v>35401368.965</v>
      </c>
      <c r="C383" s="8">
        <v>905.534</v>
      </c>
      <c r="D383" s="11">
        <v>45307</v>
      </c>
      <c r="E383" s="26">
        <v>845.225</v>
      </c>
    </row>
    <row r="384" ht="16.5" spans="1:5">
      <c r="A384" s="99">
        <v>3044758.5</v>
      </c>
      <c r="B384" s="99">
        <v>35401368.965</v>
      </c>
      <c r="C384" s="8">
        <v>905.534</v>
      </c>
      <c r="D384" s="11">
        <v>45308</v>
      </c>
      <c r="E384" s="26">
        <v>845.203</v>
      </c>
    </row>
    <row r="385" ht="16.5" spans="1:5">
      <c r="A385" s="99">
        <v>3044758.5</v>
      </c>
      <c r="B385" s="99">
        <v>35401368.965</v>
      </c>
      <c r="C385" s="8">
        <v>905.534</v>
      </c>
      <c r="D385" s="11">
        <v>45309</v>
      </c>
      <c r="E385" s="26">
        <v>845.231</v>
      </c>
    </row>
    <row r="386" ht="16.5" spans="1:5">
      <c r="A386" s="99">
        <v>3044758.5</v>
      </c>
      <c r="B386" s="99">
        <v>35401368.965</v>
      </c>
      <c r="C386" s="8">
        <v>905.534</v>
      </c>
      <c r="D386" s="11">
        <v>45310</v>
      </c>
      <c r="E386" s="26">
        <v>845.172</v>
      </c>
    </row>
    <row r="387" ht="16.5" spans="1:5">
      <c r="A387" s="99">
        <v>3044758.5</v>
      </c>
      <c r="B387" s="99">
        <v>35401368.965</v>
      </c>
      <c r="C387" s="8">
        <v>905.534</v>
      </c>
      <c r="D387" s="11">
        <v>45311</v>
      </c>
      <c r="E387" s="26">
        <v>845.118</v>
      </c>
    </row>
    <row r="388" ht="16.5" spans="1:5">
      <c r="A388" s="99">
        <v>3044758.5</v>
      </c>
      <c r="B388" s="99">
        <v>35401368.965</v>
      </c>
      <c r="C388" s="8">
        <v>905.534</v>
      </c>
      <c r="D388" s="11">
        <v>45312</v>
      </c>
      <c r="E388" s="26">
        <v>845.151</v>
      </c>
    </row>
    <row r="389" ht="16.5" spans="1:5">
      <c r="A389" s="99">
        <v>3044758.5</v>
      </c>
      <c r="B389" s="99">
        <v>35401368.965</v>
      </c>
      <c r="C389" s="8">
        <v>905.534</v>
      </c>
      <c r="D389" s="11">
        <v>45313</v>
      </c>
      <c r="E389" s="26">
        <v>845.028</v>
      </c>
    </row>
    <row r="390" ht="16.5" spans="1:5">
      <c r="A390" s="99">
        <v>3044758.5</v>
      </c>
      <c r="B390" s="99">
        <v>35401368.965</v>
      </c>
      <c r="C390" s="8">
        <v>905.534</v>
      </c>
      <c r="D390" s="11">
        <v>45314</v>
      </c>
      <c r="E390" s="26">
        <v>845.12</v>
      </c>
    </row>
    <row r="391" ht="16.5" spans="1:5">
      <c r="A391" s="99">
        <v>3044758.5</v>
      </c>
      <c r="B391" s="99">
        <v>35401368.965</v>
      </c>
      <c r="C391" s="8">
        <v>905.534</v>
      </c>
      <c r="D391" s="11">
        <v>45315</v>
      </c>
      <c r="E391" s="26">
        <v>845.131</v>
      </c>
    </row>
    <row r="392" ht="16.5" spans="1:5">
      <c r="A392" s="99">
        <v>3044758.5</v>
      </c>
      <c r="B392" s="99">
        <v>35401368.965</v>
      </c>
      <c r="C392" s="8">
        <v>905.534</v>
      </c>
      <c r="D392" s="11">
        <v>45316</v>
      </c>
      <c r="E392" s="26">
        <v>845.176</v>
      </c>
    </row>
    <row r="393" ht="16.5" spans="1:5">
      <c r="A393" s="99">
        <v>3044758.5</v>
      </c>
      <c r="B393" s="99">
        <v>35401368.965</v>
      </c>
      <c r="C393" s="8">
        <v>905.534</v>
      </c>
      <c r="D393" s="11">
        <v>45317</v>
      </c>
      <c r="E393" s="26">
        <v>845.244</v>
      </c>
    </row>
    <row r="394" ht="16.5" spans="1:5">
      <c r="A394" s="99">
        <v>3044758.5</v>
      </c>
      <c r="B394" s="99">
        <v>35401368.965</v>
      </c>
      <c r="C394" s="8">
        <v>905.534</v>
      </c>
      <c r="D394" s="11">
        <v>45318</v>
      </c>
      <c r="E394" s="26">
        <v>845.16</v>
      </c>
    </row>
    <row r="395" ht="16.5" spans="1:5">
      <c r="A395" s="99">
        <v>3044758.5</v>
      </c>
      <c r="B395" s="99">
        <v>35401368.965</v>
      </c>
      <c r="C395" s="8">
        <v>905.534</v>
      </c>
      <c r="D395" s="11">
        <v>45319</v>
      </c>
      <c r="E395" s="26">
        <v>845.202</v>
      </c>
    </row>
    <row r="396" ht="16.5" spans="1:5">
      <c r="A396" s="99">
        <v>3044758.5</v>
      </c>
      <c r="B396" s="99">
        <v>35401368.965</v>
      </c>
      <c r="C396" s="8">
        <v>905.534</v>
      </c>
      <c r="D396" s="11">
        <v>45320</v>
      </c>
      <c r="E396" s="26">
        <v>845.284</v>
      </c>
    </row>
    <row r="397" ht="16.5" spans="1:5">
      <c r="A397" s="99">
        <v>3044758.5</v>
      </c>
      <c r="B397" s="99">
        <v>35401368.965</v>
      </c>
      <c r="C397" s="8">
        <v>905.534</v>
      </c>
      <c r="D397" s="11">
        <v>45321</v>
      </c>
      <c r="E397" s="26">
        <v>845.27</v>
      </c>
    </row>
    <row r="398" ht="16.5" spans="1:5">
      <c r="A398" s="99">
        <v>3044758.5</v>
      </c>
      <c r="B398" s="99">
        <v>35401368.965</v>
      </c>
      <c r="C398" s="8">
        <v>905.534</v>
      </c>
      <c r="D398" s="11">
        <v>45322</v>
      </c>
      <c r="E398" s="26">
        <v>845.25</v>
      </c>
    </row>
    <row r="399" ht="16.5" spans="1:5">
      <c r="A399" s="99">
        <v>3044758.5</v>
      </c>
      <c r="B399" s="99">
        <v>35401368.965</v>
      </c>
      <c r="C399" s="8">
        <v>905.534</v>
      </c>
      <c r="D399" s="11">
        <v>45323</v>
      </c>
      <c r="E399" s="26">
        <v>845.086</v>
      </c>
    </row>
    <row r="400" ht="16.5" spans="1:5">
      <c r="A400" s="99">
        <v>3044758.5</v>
      </c>
      <c r="B400" s="99">
        <v>35401368.965</v>
      </c>
      <c r="C400" s="8">
        <v>905.534</v>
      </c>
      <c r="D400" s="11">
        <v>45324</v>
      </c>
      <c r="E400" s="26">
        <v>845.26</v>
      </c>
    </row>
    <row r="401" ht="16.5" spans="1:5">
      <c r="A401" s="99">
        <v>3044758.5</v>
      </c>
      <c r="B401" s="99">
        <v>35401368.965</v>
      </c>
      <c r="C401" s="8">
        <v>905.534</v>
      </c>
      <c r="D401" s="11">
        <v>45325</v>
      </c>
      <c r="E401" s="26">
        <v>845.108</v>
      </c>
    </row>
    <row r="402" ht="16.5" spans="1:5">
      <c r="A402" s="99">
        <v>3044758.5</v>
      </c>
      <c r="B402" s="99">
        <v>35401368.965</v>
      </c>
      <c r="C402" s="8">
        <v>905.534</v>
      </c>
      <c r="D402" s="11">
        <v>45326</v>
      </c>
      <c r="E402" s="26">
        <v>845.077</v>
      </c>
    </row>
    <row r="403" ht="16.5" spans="1:5">
      <c r="A403" s="99">
        <v>3044758.5</v>
      </c>
      <c r="B403" s="99">
        <v>35401368.965</v>
      </c>
      <c r="C403" s="8">
        <v>905.534</v>
      </c>
      <c r="D403" s="11">
        <v>45327</v>
      </c>
      <c r="E403" s="26">
        <v>845.134</v>
      </c>
    </row>
    <row r="404" ht="16.5" spans="1:5">
      <c r="A404" s="99">
        <v>3044758.5</v>
      </c>
      <c r="B404" s="99">
        <v>35401368.965</v>
      </c>
      <c r="C404" s="8">
        <v>905.534</v>
      </c>
      <c r="D404" s="11">
        <v>45328</v>
      </c>
      <c r="E404" s="26">
        <v>845.091</v>
      </c>
    </row>
    <row r="405" ht="16.5" spans="1:5">
      <c r="A405" s="99">
        <v>3044758.5</v>
      </c>
      <c r="B405" s="99">
        <v>35401368.965</v>
      </c>
      <c r="C405" s="8">
        <v>905.534</v>
      </c>
      <c r="D405" s="11">
        <v>45329</v>
      </c>
      <c r="E405" s="26">
        <v>845.13</v>
      </c>
    </row>
    <row r="406" ht="16.5" spans="1:5">
      <c r="A406" s="99">
        <v>3044758.5</v>
      </c>
      <c r="B406" s="99">
        <v>35401368.965</v>
      </c>
      <c r="C406" s="8">
        <v>905.534</v>
      </c>
      <c r="D406" s="11">
        <v>45330</v>
      </c>
      <c r="E406" s="26">
        <v>845.122</v>
      </c>
    </row>
    <row r="407" ht="16.5" spans="1:5">
      <c r="A407" s="99">
        <v>3044758.5</v>
      </c>
      <c r="B407" s="99">
        <v>35401368.965</v>
      </c>
      <c r="C407" s="8">
        <v>905.534</v>
      </c>
      <c r="D407" s="11">
        <v>45331</v>
      </c>
      <c r="E407" s="26">
        <v>845</v>
      </c>
    </row>
    <row r="408" ht="16.5" spans="1:5">
      <c r="A408" s="99">
        <v>3044758.5</v>
      </c>
      <c r="B408" s="99">
        <v>35401368.965</v>
      </c>
      <c r="C408" s="8">
        <v>905.534</v>
      </c>
      <c r="D408" s="11">
        <v>45332</v>
      </c>
      <c r="E408" s="26">
        <v>845.054</v>
      </c>
    </row>
    <row r="409" ht="16.5" spans="1:5">
      <c r="A409" s="99">
        <v>3044758.5</v>
      </c>
      <c r="B409" s="99">
        <v>35401368.965</v>
      </c>
      <c r="C409" s="8">
        <v>905.534</v>
      </c>
      <c r="D409" s="11">
        <v>45333</v>
      </c>
      <c r="E409" s="26">
        <v>845.119</v>
      </c>
    </row>
    <row r="410" ht="16.5" spans="1:5">
      <c r="A410" s="99">
        <v>3044758.5</v>
      </c>
      <c r="B410" s="99">
        <v>35401368.965</v>
      </c>
      <c r="C410" s="8">
        <v>905.534</v>
      </c>
      <c r="D410" s="11">
        <v>45334</v>
      </c>
      <c r="E410" s="26">
        <v>845.217</v>
      </c>
    </row>
    <row r="411" ht="16.5" spans="1:5">
      <c r="A411" s="99">
        <v>3044758.5</v>
      </c>
      <c r="B411" s="99">
        <v>35401368.965</v>
      </c>
      <c r="C411" s="8">
        <v>905.534</v>
      </c>
      <c r="D411" s="11">
        <v>45335</v>
      </c>
      <c r="E411" s="26">
        <v>845.236</v>
      </c>
    </row>
    <row r="412" ht="16.5" spans="1:5">
      <c r="A412" s="99">
        <v>3044758.5</v>
      </c>
      <c r="B412" s="99">
        <v>35401368.965</v>
      </c>
      <c r="C412" s="8">
        <v>905.534</v>
      </c>
      <c r="D412" s="11">
        <v>45336</v>
      </c>
      <c r="E412" s="28">
        <v>845.227</v>
      </c>
    </row>
    <row r="413" ht="16.5" spans="1:5">
      <c r="A413" s="99">
        <v>3044758.5</v>
      </c>
      <c r="B413" s="99">
        <v>35401368.965</v>
      </c>
      <c r="C413" s="8">
        <v>905.534</v>
      </c>
      <c r="D413" s="11">
        <v>45337</v>
      </c>
      <c r="E413" s="22"/>
    </row>
    <row r="414" ht="16.5" spans="1:5">
      <c r="A414" s="99">
        <v>3044758.5</v>
      </c>
      <c r="B414" s="99">
        <v>35401368.965</v>
      </c>
      <c r="C414" s="8">
        <v>905.534</v>
      </c>
      <c r="D414" s="11">
        <v>45338</v>
      </c>
      <c r="E414" s="22"/>
    </row>
    <row r="415" ht="16.5" spans="1:5">
      <c r="A415" s="99">
        <v>3044758.5</v>
      </c>
      <c r="B415" s="99">
        <v>35401368.965</v>
      </c>
      <c r="C415" s="8">
        <v>905.534</v>
      </c>
      <c r="D415" s="11">
        <v>45339</v>
      </c>
      <c r="E415" s="22"/>
    </row>
    <row r="416" ht="16.5" spans="1:5">
      <c r="A416" s="99">
        <v>3044758.5</v>
      </c>
      <c r="B416" s="99">
        <v>35401368.965</v>
      </c>
      <c r="C416" s="8">
        <v>905.534</v>
      </c>
      <c r="D416" s="11">
        <v>45340</v>
      </c>
      <c r="E416" s="22"/>
    </row>
    <row r="417" ht="16.5" spans="1:5">
      <c r="A417" s="99">
        <v>3044758.5</v>
      </c>
      <c r="B417" s="99">
        <v>35401368.965</v>
      </c>
      <c r="C417" s="8">
        <v>905.534</v>
      </c>
      <c r="D417" s="11">
        <v>45341</v>
      </c>
      <c r="E417" s="26">
        <v>845.215</v>
      </c>
    </row>
    <row r="418" ht="16.5" spans="1:5">
      <c r="A418" s="99">
        <v>3044758.5</v>
      </c>
      <c r="B418" s="99">
        <v>35401368.965</v>
      </c>
      <c r="C418" s="8">
        <v>905.534</v>
      </c>
      <c r="D418" s="11">
        <v>45342</v>
      </c>
      <c r="E418" s="26">
        <v>845.305</v>
      </c>
    </row>
    <row r="419" ht="16.5" spans="1:5">
      <c r="A419" s="99">
        <v>3044758.5</v>
      </c>
      <c r="B419" s="99">
        <v>35401368.965</v>
      </c>
      <c r="C419" s="8">
        <v>905.534</v>
      </c>
      <c r="D419" s="11">
        <v>45343</v>
      </c>
      <c r="E419" s="26">
        <v>845.309</v>
      </c>
    </row>
    <row r="420" ht="16.5" spans="1:5">
      <c r="A420" s="99">
        <v>3044758.5</v>
      </c>
      <c r="B420" s="99">
        <v>35401368.965</v>
      </c>
      <c r="C420" s="8">
        <v>905.534</v>
      </c>
      <c r="D420" s="11">
        <v>45344</v>
      </c>
      <c r="E420" s="26">
        <v>845.367</v>
      </c>
    </row>
    <row r="421" ht="16.5" spans="1:5">
      <c r="A421" s="99">
        <v>3044758.5</v>
      </c>
      <c r="B421" s="99">
        <v>35401368.965</v>
      </c>
      <c r="C421" s="8">
        <v>905.534</v>
      </c>
      <c r="D421" s="11">
        <v>45345</v>
      </c>
      <c r="E421" s="26">
        <v>845.342</v>
      </c>
    </row>
    <row r="422" ht="16.5" spans="1:5">
      <c r="A422" s="99">
        <v>3044758.5</v>
      </c>
      <c r="B422" s="99">
        <v>35401368.965</v>
      </c>
      <c r="C422" s="8">
        <v>905.534</v>
      </c>
      <c r="D422" s="11">
        <v>45346</v>
      </c>
      <c r="E422" s="26">
        <v>845.441</v>
      </c>
    </row>
    <row r="423" ht="16.5" spans="1:5">
      <c r="A423" s="99">
        <v>3044758.5</v>
      </c>
      <c r="B423" s="99">
        <v>35401368.965</v>
      </c>
      <c r="C423" s="8">
        <v>905.534</v>
      </c>
      <c r="D423" s="11">
        <v>45347</v>
      </c>
      <c r="E423" s="26">
        <v>845.392</v>
      </c>
    </row>
    <row r="424" ht="16.5" spans="1:5">
      <c r="A424" s="99">
        <v>3044758.5</v>
      </c>
      <c r="B424" s="99">
        <v>35401368.965</v>
      </c>
      <c r="C424" s="8">
        <v>905.534</v>
      </c>
      <c r="D424" s="11">
        <v>45348</v>
      </c>
      <c r="E424" s="26">
        <v>845.4</v>
      </c>
    </row>
    <row r="425" ht="16.5" spans="1:5">
      <c r="A425" s="99">
        <v>3044758.5</v>
      </c>
      <c r="B425" s="99">
        <v>35401368.965</v>
      </c>
      <c r="C425" s="8">
        <v>905.534</v>
      </c>
      <c r="D425" s="11">
        <v>45349</v>
      </c>
      <c r="E425" s="26">
        <v>845.319</v>
      </c>
    </row>
    <row r="426" ht="16.5" spans="1:5">
      <c r="A426" s="99">
        <v>3044758.5</v>
      </c>
      <c r="B426" s="99">
        <v>35401368.965</v>
      </c>
      <c r="C426" s="8">
        <v>905.534</v>
      </c>
      <c r="D426" s="11">
        <v>45350</v>
      </c>
      <c r="E426" s="26">
        <v>845.359</v>
      </c>
    </row>
    <row r="427" ht="16.5" spans="1:5">
      <c r="A427" s="99">
        <v>3044758.5</v>
      </c>
      <c r="B427" s="99">
        <v>35401368.965</v>
      </c>
      <c r="C427" s="8">
        <v>905.534</v>
      </c>
      <c r="D427" s="11">
        <v>45351</v>
      </c>
      <c r="E427" s="26">
        <v>845.405</v>
      </c>
    </row>
    <row r="428" ht="16.5" spans="1:5">
      <c r="A428" s="99">
        <v>3044758.5</v>
      </c>
      <c r="B428" s="99">
        <v>35401368.965</v>
      </c>
      <c r="C428" s="8">
        <v>905.534</v>
      </c>
      <c r="D428" s="11">
        <v>45352</v>
      </c>
      <c r="E428" s="26">
        <v>845.558</v>
      </c>
    </row>
    <row r="429" ht="16.5" spans="1:5">
      <c r="A429" s="99">
        <v>3044758.5</v>
      </c>
      <c r="B429" s="99">
        <v>35401368.965</v>
      </c>
      <c r="C429" s="8">
        <v>905.534</v>
      </c>
      <c r="D429" s="11">
        <v>45353</v>
      </c>
      <c r="E429" s="26">
        <v>845.405</v>
      </c>
    </row>
    <row r="430" ht="16.5" spans="1:5">
      <c r="A430" s="99">
        <v>3044758.5</v>
      </c>
      <c r="B430" s="99">
        <v>35401368.965</v>
      </c>
      <c r="C430" s="8">
        <v>905.534</v>
      </c>
      <c r="D430" s="11">
        <v>45354</v>
      </c>
      <c r="E430" s="26">
        <v>845.558</v>
      </c>
    </row>
    <row r="431" ht="16.5" spans="1:5">
      <c r="A431" s="99">
        <v>3044758.5</v>
      </c>
      <c r="B431" s="99">
        <v>35401368.965</v>
      </c>
      <c r="C431" s="8">
        <v>905.534</v>
      </c>
      <c r="D431" s="11">
        <v>45355</v>
      </c>
      <c r="E431" s="26">
        <v>845.527</v>
      </c>
    </row>
    <row r="432" ht="16.5" spans="1:5">
      <c r="A432" s="99">
        <v>3044758.5</v>
      </c>
      <c r="B432" s="99">
        <v>35401368.965</v>
      </c>
      <c r="C432" s="8">
        <v>905.534</v>
      </c>
      <c r="D432" s="11">
        <v>45356</v>
      </c>
      <c r="E432" s="26">
        <v>845.365</v>
      </c>
    </row>
    <row r="433" ht="16.5" spans="1:5">
      <c r="A433" s="99">
        <v>3044758.5</v>
      </c>
      <c r="B433" s="99">
        <v>35401368.965</v>
      </c>
      <c r="C433" s="8">
        <v>905.534</v>
      </c>
      <c r="D433" s="11">
        <v>45357</v>
      </c>
      <c r="E433" s="26">
        <v>845.222</v>
      </c>
    </row>
    <row r="434" ht="16.5" spans="1:5">
      <c r="A434" s="99">
        <v>3044758.5</v>
      </c>
      <c r="B434" s="99">
        <v>35401368.965</v>
      </c>
      <c r="C434" s="8">
        <v>905.534</v>
      </c>
      <c r="D434" s="11">
        <v>45358</v>
      </c>
      <c r="E434" s="26">
        <v>845.195</v>
      </c>
    </row>
    <row r="435" ht="16.5" spans="1:5">
      <c r="A435" s="99">
        <v>3044758.5</v>
      </c>
      <c r="B435" s="99">
        <v>35401368.965</v>
      </c>
      <c r="C435" s="8">
        <v>905.534</v>
      </c>
      <c r="D435" s="11">
        <v>45359</v>
      </c>
      <c r="E435" s="26">
        <v>845.336</v>
      </c>
    </row>
    <row r="436" ht="16.5" spans="1:5">
      <c r="A436" s="99">
        <v>3044758.5</v>
      </c>
      <c r="B436" s="99">
        <v>35401368.965</v>
      </c>
      <c r="C436" s="8">
        <v>905.534</v>
      </c>
      <c r="D436" s="11">
        <v>45360</v>
      </c>
      <c r="E436" s="26">
        <v>845.304</v>
      </c>
    </row>
    <row r="437" ht="16.5" spans="1:5">
      <c r="A437" s="99">
        <v>3044758.5</v>
      </c>
      <c r="B437" s="99">
        <v>35401368.965</v>
      </c>
      <c r="C437" s="8">
        <v>905.534</v>
      </c>
      <c r="D437" s="11">
        <v>45361</v>
      </c>
      <c r="E437" s="26">
        <v>845.348</v>
      </c>
    </row>
    <row r="438" ht="16.5" spans="1:5">
      <c r="A438" s="99">
        <v>3044758.5</v>
      </c>
      <c r="B438" s="99">
        <v>35401368.965</v>
      </c>
      <c r="C438" s="8">
        <v>905.534</v>
      </c>
      <c r="D438" s="11">
        <v>45362</v>
      </c>
      <c r="E438" s="26">
        <v>845.252</v>
      </c>
    </row>
    <row r="439" ht="16.5" spans="1:5">
      <c r="A439" s="99">
        <v>3044758.5</v>
      </c>
      <c r="B439" s="99">
        <v>35401368.965</v>
      </c>
      <c r="C439" s="8">
        <v>905.534</v>
      </c>
      <c r="D439" s="11">
        <v>45363</v>
      </c>
      <c r="E439" s="26">
        <v>845.395</v>
      </c>
    </row>
    <row r="440" ht="16.5" spans="1:5">
      <c r="A440" s="99">
        <v>3044758.5</v>
      </c>
      <c r="B440" s="99">
        <v>35401368.965</v>
      </c>
      <c r="C440" s="8">
        <v>905.534</v>
      </c>
      <c r="D440" s="11">
        <v>45364</v>
      </c>
      <c r="E440" s="26">
        <v>845.308</v>
      </c>
    </row>
    <row r="441" ht="16.5" spans="1:5">
      <c r="A441" s="99">
        <v>3044758.5</v>
      </c>
      <c r="B441" s="99">
        <v>35401368.965</v>
      </c>
      <c r="C441" s="8">
        <v>905.534</v>
      </c>
      <c r="D441" s="11">
        <v>45365</v>
      </c>
      <c r="E441" s="26">
        <v>845.35</v>
      </c>
    </row>
    <row r="442" ht="16.5" spans="1:5">
      <c r="A442" s="99">
        <v>3044758.5</v>
      </c>
      <c r="B442" s="99">
        <v>35401368.965</v>
      </c>
      <c r="C442" s="8">
        <v>905.534</v>
      </c>
      <c r="D442" s="11">
        <v>45366</v>
      </c>
      <c r="E442" s="26">
        <v>845.434</v>
      </c>
    </row>
    <row r="443" ht="16.5" spans="1:5">
      <c r="A443" s="99">
        <v>3044758.5</v>
      </c>
      <c r="B443" s="99">
        <v>35401368.965</v>
      </c>
      <c r="C443" s="8">
        <v>905.534</v>
      </c>
      <c r="D443" s="11">
        <v>45367</v>
      </c>
      <c r="E443" s="26">
        <v>845.274</v>
      </c>
    </row>
    <row r="444" ht="16.5" spans="1:5">
      <c r="A444" s="99">
        <v>3044758.5</v>
      </c>
      <c r="B444" s="99">
        <v>35401368.965</v>
      </c>
      <c r="C444" s="8">
        <v>905.534</v>
      </c>
      <c r="D444" s="11">
        <v>45368</v>
      </c>
      <c r="E444" s="26">
        <v>845.288</v>
      </c>
    </row>
    <row r="445" ht="16.5" spans="1:5">
      <c r="A445" s="99">
        <v>3044758.5</v>
      </c>
      <c r="B445" s="99">
        <v>35401368.965</v>
      </c>
      <c r="C445" s="8">
        <v>905.534</v>
      </c>
      <c r="D445" s="11">
        <v>45369</v>
      </c>
      <c r="E445" s="26">
        <v>845.25</v>
      </c>
    </row>
    <row r="446" ht="16.5" spans="1:5">
      <c r="A446" s="99">
        <v>3044758.5</v>
      </c>
      <c r="B446" s="99">
        <v>35401368.965</v>
      </c>
      <c r="C446" s="8">
        <v>905.534</v>
      </c>
      <c r="D446" s="11">
        <v>45370</v>
      </c>
      <c r="E446" s="26">
        <v>845.174</v>
      </c>
    </row>
    <row r="447" ht="16.5" spans="1:5">
      <c r="A447" s="99">
        <v>3044758.5</v>
      </c>
      <c r="B447" s="99">
        <v>35401368.965</v>
      </c>
      <c r="C447" s="8">
        <v>905.534</v>
      </c>
      <c r="D447" s="11">
        <v>45371</v>
      </c>
      <c r="E447" s="26">
        <v>845.255</v>
      </c>
    </row>
    <row r="448" ht="16.5" spans="1:5">
      <c r="A448" s="99">
        <v>3044758.5</v>
      </c>
      <c r="B448" s="99">
        <v>35401368.965</v>
      </c>
      <c r="C448" s="8">
        <v>905.534</v>
      </c>
      <c r="D448" s="11">
        <v>45372</v>
      </c>
      <c r="E448" s="26">
        <v>845.524</v>
      </c>
    </row>
    <row r="449" ht="16.5" spans="1:5">
      <c r="A449" s="99">
        <v>3044758.5</v>
      </c>
      <c r="B449" s="99">
        <v>35401368.965</v>
      </c>
      <c r="C449" s="8">
        <v>905.534</v>
      </c>
      <c r="D449" s="11">
        <v>45373</v>
      </c>
      <c r="E449" s="26">
        <v>845.636</v>
      </c>
    </row>
    <row r="450" ht="16.5" spans="1:5">
      <c r="A450" s="99">
        <v>3044758.5</v>
      </c>
      <c r="B450" s="99">
        <v>35401368.965</v>
      </c>
      <c r="C450" s="8">
        <v>905.534</v>
      </c>
      <c r="D450" s="11">
        <v>45374</v>
      </c>
      <c r="E450" s="26">
        <v>845.438</v>
      </c>
    </row>
    <row r="451" ht="16.5" spans="1:5">
      <c r="A451" s="99">
        <v>3044758.5</v>
      </c>
      <c r="B451" s="99">
        <v>35401368.965</v>
      </c>
      <c r="C451" s="8">
        <v>905.534</v>
      </c>
      <c r="D451" s="11">
        <v>45375</v>
      </c>
      <c r="E451" s="26">
        <v>845.402</v>
      </c>
    </row>
    <row r="452" ht="16.5" spans="1:5">
      <c r="A452" s="99">
        <v>3044758.5</v>
      </c>
      <c r="B452" s="99">
        <v>35401368.965</v>
      </c>
      <c r="C452" s="8">
        <v>905.534</v>
      </c>
      <c r="D452" s="11">
        <v>45376</v>
      </c>
      <c r="E452" s="26">
        <v>845.24</v>
      </c>
    </row>
    <row r="453" ht="16.5" spans="1:5">
      <c r="A453" s="99">
        <v>3044758.5</v>
      </c>
      <c r="B453" s="99">
        <v>35401368.965</v>
      </c>
      <c r="C453" s="8">
        <v>905.534</v>
      </c>
      <c r="D453" s="11">
        <v>45377</v>
      </c>
      <c r="E453" s="26">
        <v>845.31</v>
      </c>
    </row>
    <row r="454" ht="16.5" spans="1:5">
      <c r="A454" s="99">
        <v>3044758.5</v>
      </c>
      <c r="B454" s="99">
        <v>35401368.965</v>
      </c>
      <c r="C454" s="8">
        <v>905.534</v>
      </c>
      <c r="D454" s="11">
        <v>45378</v>
      </c>
      <c r="E454" s="26">
        <v>845.258</v>
      </c>
    </row>
    <row r="455" ht="16.5" spans="1:5">
      <c r="A455" s="99">
        <v>3044758.5</v>
      </c>
      <c r="B455" s="99">
        <v>35401368.965</v>
      </c>
      <c r="C455" s="8">
        <v>905.534</v>
      </c>
      <c r="D455" s="11">
        <v>45379</v>
      </c>
      <c r="E455" s="26">
        <v>845.135</v>
      </c>
    </row>
    <row r="456" ht="16.5" spans="1:5">
      <c r="A456" s="99">
        <v>3044758.5</v>
      </c>
      <c r="B456" s="99">
        <v>35401368.965</v>
      </c>
      <c r="C456" s="8">
        <v>905.534</v>
      </c>
      <c r="D456" s="11">
        <v>45380</v>
      </c>
      <c r="E456" s="26">
        <v>845.646</v>
      </c>
    </row>
    <row r="457" ht="16.5" spans="1:5">
      <c r="A457" s="99">
        <v>3044758.5</v>
      </c>
      <c r="B457" s="99">
        <v>35401368.965</v>
      </c>
      <c r="C457" s="8">
        <v>905.534</v>
      </c>
      <c r="D457" s="11">
        <v>45381</v>
      </c>
      <c r="E457" s="26">
        <v>845.347</v>
      </c>
    </row>
    <row r="458" ht="16.5" spans="1:5">
      <c r="A458" s="99">
        <v>3044758.5</v>
      </c>
      <c r="B458" s="99">
        <v>35401368.965</v>
      </c>
      <c r="C458" s="8">
        <v>905.534</v>
      </c>
      <c r="D458" s="11">
        <v>45382</v>
      </c>
      <c r="E458" s="26">
        <v>845.677</v>
      </c>
    </row>
    <row r="459" ht="16.5" spans="1:5">
      <c r="A459" s="99">
        <v>3044758.5</v>
      </c>
      <c r="B459" s="99">
        <v>35401368.965</v>
      </c>
      <c r="C459" s="8">
        <v>905.534</v>
      </c>
      <c r="D459" s="11">
        <v>45383</v>
      </c>
      <c r="E459" s="26">
        <v>845.964</v>
      </c>
    </row>
    <row r="460" ht="16.5" spans="1:5">
      <c r="A460" s="99">
        <v>3044758.5</v>
      </c>
      <c r="B460" s="99">
        <v>35401368.965</v>
      </c>
      <c r="C460" s="8">
        <v>905.534</v>
      </c>
      <c r="D460" s="11">
        <v>45384</v>
      </c>
      <c r="E460" s="26">
        <v>845.904</v>
      </c>
    </row>
    <row r="461" ht="16.5" spans="1:5">
      <c r="A461" s="99">
        <v>3044758.5</v>
      </c>
      <c r="B461" s="99">
        <v>35401368.965</v>
      </c>
      <c r="C461" s="8">
        <v>905.534</v>
      </c>
      <c r="D461" s="11">
        <v>45385</v>
      </c>
      <c r="E461" s="26">
        <v>845.849</v>
      </c>
    </row>
    <row r="462" ht="16.5" spans="1:5">
      <c r="A462" s="99">
        <v>3044758.5</v>
      </c>
      <c r="B462" s="99">
        <v>35401368.965</v>
      </c>
      <c r="C462" s="8">
        <v>905.534</v>
      </c>
      <c r="D462" s="11">
        <v>45386</v>
      </c>
      <c r="E462" s="26">
        <v>845.869</v>
      </c>
    </row>
    <row r="463" ht="16.5" spans="1:5">
      <c r="A463" s="99">
        <v>3044758.5</v>
      </c>
      <c r="B463" s="99">
        <v>35401368.965</v>
      </c>
      <c r="C463" s="8">
        <v>905.534</v>
      </c>
      <c r="D463" s="11">
        <v>45387</v>
      </c>
      <c r="E463" s="26">
        <v>846.066</v>
      </c>
    </row>
    <row r="464" ht="16.5" spans="1:5">
      <c r="A464" s="99">
        <v>3044758.5</v>
      </c>
      <c r="B464" s="99">
        <v>35401368.965</v>
      </c>
      <c r="C464" s="8">
        <v>905.534</v>
      </c>
      <c r="D464" s="11">
        <v>45388</v>
      </c>
      <c r="E464" s="26">
        <v>845.567</v>
      </c>
    </row>
    <row r="465" ht="16.5" spans="1:5">
      <c r="A465" s="99">
        <v>3044758.5</v>
      </c>
      <c r="B465" s="99">
        <v>35401368.965</v>
      </c>
      <c r="C465" s="8">
        <v>905.534</v>
      </c>
      <c r="D465" s="11">
        <v>45389</v>
      </c>
      <c r="E465" s="26">
        <v>845.703</v>
      </c>
    </row>
    <row r="466" ht="16.5" spans="1:5">
      <c r="A466" s="99">
        <v>3044758.5</v>
      </c>
      <c r="B466" s="99">
        <v>35401368.965</v>
      </c>
      <c r="C466" s="8">
        <v>905.534</v>
      </c>
      <c r="D466" s="11">
        <v>45390</v>
      </c>
      <c r="E466" s="26">
        <v>845.763</v>
      </c>
    </row>
    <row r="467" ht="16.5" spans="1:5">
      <c r="A467" s="99">
        <v>3044758.5</v>
      </c>
      <c r="B467" s="99">
        <v>35401368.965</v>
      </c>
      <c r="C467" s="8">
        <v>905.534</v>
      </c>
      <c r="D467" s="11">
        <v>45391</v>
      </c>
      <c r="E467" s="26"/>
    </row>
    <row r="468" ht="16.5" spans="1:5">
      <c r="A468" s="99">
        <v>3044758.5</v>
      </c>
      <c r="B468" s="99">
        <v>35401368.965</v>
      </c>
      <c r="C468" s="8">
        <v>905.534</v>
      </c>
      <c r="D468" s="11">
        <v>45392</v>
      </c>
      <c r="E468" s="26"/>
    </row>
    <row r="469" ht="16.5" spans="1:5">
      <c r="A469" s="99">
        <v>3044758.5</v>
      </c>
      <c r="B469" s="99">
        <v>35401368.965</v>
      </c>
      <c r="C469" s="8">
        <v>905.534</v>
      </c>
      <c r="D469" s="11">
        <v>45393</v>
      </c>
      <c r="E469" s="26"/>
    </row>
    <row r="470" ht="16.5" spans="1:5">
      <c r="A470" s="99">
        <v>3044758.5</v>
      </c>
      <c r="B470" s="99">
        <v>35401368.965</v>
      </c>
      <c r="C470" s="8">
        <v>905.534</v>
      </c>
      <c r="D470" s="11">
        <v>45394</v>
      </c>
      <c r="E470" s="26"/>
    </row>
    <row r="471" ht="16.5" spans="1:5">
      <c r="A471" s="99">
        <v>3044758.5</v>
      </c>
      <c r="B471" s="99">
        <v>35401368.965</v>
      </c>
      <c r="C471" s="8">
        <v>905.534</v>
      </c>
      <c r="D471" s="11">
        <v>45395</v>
      </c>
      <c r="E471" s="26">
        <v>844.864</v>
      </c>
    </row>
    <row r="472" ht="16.5" spans="1:5">
      <c r="A472" s="99">
        <v>3044758.5</v>
      </c>
      <c r="B472" s="99">
        <v>35401368.965</v>
      </c>
      <c r="C472" s="8">
        <v>905.534</v>
      </c>
      <c r="D472" s="11">
        <v>45396</v>
      </c>
      <c r="E472" s="26">
        <v>844.806</v>
      </c>
    </row>
    <row r="473" ht="16.5" spans="1:5">
      <c r="A473" s="99">
        <v>3044758.5</v>
      </c>
      <c r="B473" s="99">
        <v>35401368.965</v>
      </c>
      <c r="C473" s="8">
        <v>905.534</v>
      </c>
      <c r="D473" s="11">
        <v>45397</v>
      </c>
      <c r="E473" s="26">
        <v>844.663</v>
      </c>
    </row>
    <row r="474" ht="16.5" spans="1:5">
      <c r="A474" s="99">
        <v>3044758.5</v>
      </c>
      <c r="B474" s="99">
        <v>35401368.965</v>
      </c>
      <c r="C474" s="8">
        <v>905.534</v>
      </c>
      <c r="D474" s="11">
        <v>45398</v>
      </c>
      <c r="E474" s="26">
        <v>844.626</v>
      </c>
    </row>
    <row r="475" ht="16.5" spans="1:5">
      <c r="A475" s="99">
        <v>3044758.5</v>
      </c>
      <c r="B475" s="99">
        <v>35401368.965</v>
      </c>
      <c r="C475" s="8">
        <v>905.534</v>
      </c>
      <c r="D475" s="11">
        <v>45399</v>
      </c>
      <c r="E475" s="26">
        <v>844.549</v>
      </c>
    </row>
    <row r="476" ht="16.5" spans="1:5">
      <c r="A476" s="99">
        <v>3044758.5</v>
      </c>
      <c r="B476" s="99">
        <v>35401368.965</v>
      </c>
      <c r="C476" s="8">
        <v>905.534</v>
      </c>
      <c r="D476" s="11">
        <v>45400</v>
      </c>
      <c r="E476" s="26">
        <v>844.692</v>
      </c>
    </row>
    <row r="477" ht="16.5" spans="1:5">
      <c r="A477" s="99">
        <v>3044758.5</v>
      </c>
      <c r="B477" s="99">
        <v>35401368.965</v>
      </c>
      <c r="C477" s="8">
        <v>905.534</v>
      </c>
      <c r="D477" s="11">
        <v>45401</v>
      </c>
      <c r="E477" s="26">
        <v>844.61</v>
      </c>
    </row>
    <row r="478" ht="16.5" spans="1:5">
      <c r="A478" s="99">
        <v>3044758.5</v>
      </c>
      <c r="B478" s="99">
        <v>35401368.965</v>
      </c>
      <c r="C478" s="8">
        <v>905.534</v>
      </c>
      <c r="D478" s="11">
        <v>45402</v>
      </c>
      <c r="E478" s="26">
        <v>844.609</v>
      </c>
    </row>
    <row r="479" ht="16.5" spans="1:5">
      <c r="A479" s="99">
        <v>3044758.5</v>
      </c>
      <c r="B479" s="99">
        <v>35401368.965</v>
      </c>
      <c r="C479" s="8">
        <v>905.534</v>
      </c>
      <c r="D479" s="11">
        <v>45403</v>
      </c>
      <c r="E479" s="26">
        <v>844.629</v>
      </c>
    </row>
    <row r="480" ht="16.5" spans="1:5">
      <c r="A480" s="99">
        <v>3044758.5</v>
      </c>
      <c r="B480" s="99">
        <v>35401368.965</v>
      </c>
      <c r="C480" s="8">
        <v>905.534</v>
      </c>
      <c r="D480" s="11">
        <v>45404</v>
      </c>
      <c r="E480" s="26">
        <v>844.697</v>
      </c>
    </row>
    <row r="481" ht="16.5" spans="1:5">
      <c r="A481" s="99">
        <v>3044758.5</v>
      </c>
      <c r="B481" s="99">
        <v>35401368.965</v>
      </c>
      <c r="C481" s="8">
        <v>905.534</v>
      </c>
      <c r="D481" s="11">
        <v>45405</v>
      </c>
      <c r="E481" s="26">
        <v>845.134</v>
      </c>
    </row>
    <row r="482" ht="16.5" spans="1:5">
      <c r="A482" s="99">
        <v>3044758.5</v>
      </c>
      <c r="B482" s="99">
        <v>35401368.965</v>
      </c>
      <c r="C482" s="8">
        <v>905.534</v>
      </c>
      <c r="D482" s="11">
        <v>45406</v>
      </c>
      <c r="E482" s="26">
        <v>845.679</v>
      </c>
    </row>
    <row r="483" ht="16.5" spans="1:5">
      <c r="A483" s="99">
        <v>3044758.5</v>
      </c>
      <c r="B483" s="99">
        <v>35401368.965</v>
      </c>
      <c r="C483" s="8">
        <v>905.534</v>
      </c>
      <c r="D483" s="11">
        <v>45407</v>
      </c>
      <c r="E483" s="26">
        <v>845.832</v>
      </c>
    </row>
    <row r="484" ht="16.5" spans="1:5">
      <c r="A484" s="99">
        <v>3044758.5</v>
      </c>
      <c r="B484" s="99">
        <v>35401368.965</v>
      </c>
      <c r="C484" s="8">
        <v>905.534</v>
      </c>
      <c r="D484" s="11">
        <v>45408</v>
      </c>
      <c r="E484" s="26">
        <v>845.975</v>
      </c>
    </row>
    <row r="485" ht="16.5" spans="1:5">
      <c r="A485" s="99">
        <v>3044758.5</v>
      </c>
      <c r="B485" s="99">
        <v>35401368.965</v>
      </c>
      <c r="C485" s="8">
        <v>905.534</v>
      </c>
      <c r="D485" s="11">
        <v>45409</v>
      </c>
      <c r="E485" s="26">
        <v>845.448</v>
      </c>
    </row>
    <row r="486" ht="16.5" spans="1:5">
      <c r="A486" s="99">
        <v>3044758.5</v>
      </c>
      <c r="B486" s="99">
        <v>35401368.965</v>
      </c>
      <c r="C486" s="8">
        <v>905.534</v>
      </c>
      <c r="D486" s="11">
        <v>45410</v>
      </c>
      <c r="E486" s="26">
        <v>845.378</v>
      </c>
    </row>
    <row r="487" ht="16.5" spans="1:5">
      <c r="A487" s="99">
        <v>3044758.5</v>
      </c>
      <c r="B487" s="99">
        <v>35401368.965</v>
      </c>
      <c r="C487" s="8">
        <v>905.534</v>
      </c>
      <c r="D487" s="11">
        <v>45411</v>
      </c>
      <c r="E487" s="26">
        <v>845.781</v>
      </c>
    </row>
    <row r="488" ht="16.5" spans="1:5">
      <c r="A488" s="99">
        <v>3044758.5</v>
      </c>
      <c r="B488" s="99">
        <v>35401368.965</v>
      </c>
      <c r="C488" s="8">
        <v>905.534</v>
      </c>
      <c r="D488" s="11">
        <v>45412</v>
      </c>
      <c r="E488" s="26">
        <v>845.671</v>
      </c>
    </row>
    <row r="489" ht="16.5" spans="1:5">
      <c r="A489" s="99">
        <v>3044758.5</v>
      </c>
      <c r="B489" s="99">
        <v>35401368.965</v>
      </c>
      <c r="C489" s="8">
        <v>905.534</v>
      </c>
      <c r="D489" s="11">
        <v>45413</v>
      </c>
      <c r="E489" s="26">
        <v>845.97</v>
      </c>
    </row>
    <row r="490" ht="16.5" spans="1:5">
      <c r="A490" s="99">
        <v>3044758.5</v>
      </c>
      <c r="B490" s="99">
        <v>35401368.965</v>
      </c>
      <c r="C490" s="8">
        <v>905.534</v>
      </c>
      <c r="D490" s="11">
        <v>45414</v>
      </c>
      <c r="E490" s="26">
        <v>846.095</v>
      </c>
    </row>
    <row r="491" ht="16.5" spans="1:5">
      <c r="A491" s="99">
        <v>3044758.5</v>
      </c>
      <c r="B491" s="99">
        <v>35401368.965</v>
      </c>
      <c r="C491" s="8">
        <v>905.534</v>
      </c>
      <c r="D491" s="11">
        <v>45415</v>
      </c>
      <c r="E491" s="26">
        <v>846.151</v>
      </c>
    </row>
    <row r="492" ht="16.5" spans="1:5">
      <c r="A492" s="99">
        <v>3044758.5</v>
      </c>
      <c r="B492" s="99">
        <v>35401368.965</v>
      </c>
      <c r="C492" s="8">
        <v>905.534</v>
      </c>
      <c r="D492" s="11">
        <v>45416</v>
      </c>
      <c r="E492" s="26">
        <v>846.031</v>
      </c>
    </row>
    <row r="493" ht="16.5" spans="1:5">
      <c r="A493" s="99">
        <v>3044758.5</v>
      </c>
      <c r="B493" s="99">
        <v>35401368.965</v>
      </c>
      <c r="C493" s="8">
        <v>905.534</v>
      </c>
      <c r="D493" s="11">
        <v>45417</v>
      </c>
      <c r="E493" s="26">
        <v>845.939</v>
      </c>
    </row>
    <row r="494" ht="16.5" spans="1:5">
      <c r="A494" s="99">
        <v>3044758.5</v>
      </c>
      <c r="B494" s="99">
        <v>35401368.965</v>
      </c>
      <c r="C494" s="8">
        <v>905.534</v>
      </c>
      <c r="D494" s="11">
        <v>45418</v>
      </c>
      <c r="E494" s="26">
        <v>845.937</v>
      </c>
    </row>
    <row r="495" ht="16.5" spans="1:5">
      <c r="A495" s="99">
        <v>3044758.5</v>
      </c>
      <c r="B495" s="99">
        <v>35401368.965</v>
      </c>
      <c r="C495" s="8">
        <v>905.534</v>
      </c>
      <c r="D495" s="11">
        <v>45419</v>
      </c>
      <c r="E495" s="26">
        <v>845.848</v>
      </c>
    </row>
    <row r="496" ht="16.5" spans="1:5">
      <c r="A496" s="99">
        <v>3044758.5</v>
      </c>
      <c r="B496" s="99">
        <v>35401368.965</v>
      </c>
      <c r="C496" s="8">
        <v>905.534</v>
      </c>
      <c r="D496" s="11">
        <v>45420</v>
      </c>
      <c r="E496" s="26">
        <v>845.377</v>
      </c>
    </row>
    <row r="497" ht="16.5" spans="1:5">
      <c r="A497" s="99">
        <v>3044758.5</v>
      </c>
      <c r="B497" s="99">
        <v>35401368.965</v>
      </c>
      <c r="C497" s="8">
        <v>905.534</v>
      </c>
      <c r="D497" s="11">
        <v>45421</v>
      </c>
      <c r="E497" s="26">
        <v>844.926</v>
      </c>
    </row>
    <row r="498" ht="16.5" spans="1:5">
      <c r="A498" s="99">
        <v>3044758.5</v>
      </c>
      <c r="B498" s="99">
        <v>35401368.965</v>
      </c>
      <c r="C498" s="8">
        <v>905.534</v>
      </c>
      <c r="D498" s="11">
        <v>45422</v>
      </c>
      <c r="E498" s="26">
        <v>844.848</v>
      </c>
    </row>
    <row r="499" ht="16.5" spans="1:5">
      <c r="A499" s="99">
        <v>3044758.5</v>
      </c>
      <c r="B499" s="99">
        <v>35401368.965</v>
      </c>
      <c r="C499" s="8">
        <v>905.534</v>
      </c>
      <c r="D499" s="11">
        <v>45423</v>
      </c>
      <c r="E499" s="26">
        <v>844.655</v>
      </c>
    </row>
  </sheetData>
  <mergeCells count="1">
    <mergeCell ref="A1:C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5"/>
  <sheetViews>
    <sheetView workbookViewId="0">
      <selection activeCell="A2" sqref="A2"/>
    </sheetView>
  </sheetViews>
  <sheetFormatPr defaultColWidth="9" defaultRowHeight="15" outlineLevelCol="4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6.5" spans="1:5">
      <c r="A3" s="8">
        <v>3045731.833</v>
      </c>
      <c r="B3" s="8">
        <v>35400157.971</v>
      </c>
      <c r="C3" s="8">
        <v>891.566</v>
      </c>
      <c r="D3" s="34">
        <v>43831</v>
      </c>
      <c r="E3" s="96">
        <v>875.47</v>
      </c>
    </row>
    <row r="4" ht="16.5" spans="1:5">
      <c r="A4" s="8">
        <v>3045731.833</v>
      </c>
      <c r="B4" s="8">
        <v>35400157.971</v>
      </c>
      <c r="C4" s="8">
        <v>891.566</v>
      </c>
      <c r="D4" s="34">
        <v>43832</v>
      </c>
      <c r="E4" s="96">
        <v>875.42</v>
      </c>
    </row>
    <row r="5" ht="16.5" spans="1:5">
      <c r="A5" s="8">
        <v>3045731.833</v>
      </c>
      <c r="B5" s="8">
        <v>35400157.971</v>
      </c>
      <c r="C5" s="8">
        <v>891.566</v>
      </c>
      <c r="D5" s="34">
        <v>43833</v>
      </c>
      <c r="E5" s="96">
        <v>875.37</v>
      </c>
    </row>
    <row r="6" ht="16.5" spans="1:5">
      <c r="A6" s="8">
        <v>3045731.833</v>
      </c>
      <c r="B6" s="8">
        <v>35400157.971</v>
      </c>
      <c r="C6" s="8">
        <v>891.566</v>
      </c>
      <c r="D6" s="34">
        <v>43834</v>
      </c>
      <c r="E6" s="96">
        <v>875.52</v>
      </c>
    </row>
    <row r="7" ht="16.5" spans="1:5">
      <c r="A7" s="8">
        <v>3045731.833</v>
      </c>
      <c r="B7" s="8">
        <v>35400157.971</v>
      </c>
      <c r="C7" s="8">
        <v>891.566</v>
      </c>
      <c r="D7" s="34">
        <v>43835</v>
      </c>
      <c r="E7" s="96">
        <v>875.53</v>
      </c>
    </row>
    <row r="8" ht="16.5" spans="1:5">
      <c r="A8" s="8">
        <v>3045731.833</v>
      </c>
      <c r="B8" s="8">
        <v>35400157.971</v>
      </c>
      <c r="C8" s="8">
        <v>891.566</v>
      </c>
      <c r="D8" s="34">
        <v>43836</v>
      </c>
      <c r="E8" s="96">
        <v>875.48</v>
      </c>
    </row>
    <row r="9" ht="16.5" spans="1:5">
      <c r="A9" s="8">
        <v>3045731.833</v>
      </c>
      <c r="B9" s="8">
        <v>35400157.971</v>
      </c>
      <c r="C9" s="8">
        <v>891.566</v>
      </c>
      <c r="D9" s="34">
        <v>43837</v>
      </c>
      <c r="E9" s="96">
        <v>875.52</v>
      </c>
    </row>
    <row r="10" ht="16.5" spans="1:5">
      <c r="A10" s="8">
        <v>3045731.833</v>
      </c>
      <c r="B10" s="8">
        <v>35400157.971</v>
      </c>
      <c r="C10" s="8">
        <v>891.566</v>
      </c>
      <c r="D10" s="34">
        <v>43838</v>
      </c>
      <c r="E10" s="96">
        <v>875.48</v>
      </c>
    </row>
    <row r="11" ht="16.5" spans="1:5">
      <c r="A11" s="8">
        <v>3045731.833</v>
      </c>
      <c r="B11" s="8">
        <v>35400157.971</v>
      </c>
      <c r="C11" s="8">
        <v>891.566</v>
      </c>
      <c r="D11" s="34">
        <v>43839</v>
      </c>
      <c r="E11" s="96">
        <v>875.38</v>
      </c>
    </row>
    <row r="12" ht="16.5" spans="1:5">
      <c r="A12" s="8">
        <v>3045731.833</v>
      </c>
      <c r="B12" s="8">
        <v>35400157.971</v>
      </c>
      <c r="C12" s="8">
        <v>891.566</v>
      </c>
      <c r="D12" s="34">
        <v>43840</v>
      </c>
      <c r="E12" s="96">
        <v>875.06</v>
      </c>
    </row>
    <row r="13" ht="16.5" spans="1:5">
      <c r="A13" s="8">
        <v>3045731.833</v>
      </c>
      <c r="B13" s="8">
        <v>35400157.971</v>
      </c>
      <c r="C13" s="8">
        <v>891.566</v>
      </c>
      <c r="D13" s="34">
        <v>43841</v>
      </c>
      <c r="E13" s="96">
        <v>875.08</v>
      </c>
    </row>
    <row r="14" ht="16.5" spans="1:5">
      <c r="A14" s="8">
        <v>3045731.833</v>
      </c>
      <c r="B14" s="8">
        <v>35400157.971</v>
      </c>
      <c r="C14" s="8">
        <v>891.566</v>
      </c>
      <c r="D14" s="34">
        <v>43842</v>
      </c>
      <c r="E14" s="96">
        <v>875.03</v>
      </c>
    </row>
    <row r="15" ht="16.5" spans="1:5">
      <c r="A15" s="8">
        <v>3045731.833</v>
      </c>
      <c r="B15" s="8">
        <v>35400157.971</v>
      </c>
      <c r="C15" s="8">
        <v>891.566</v>
      </c>
      <c r="D15" s="34">
        <v>43843</v>
      </c>
      <c r="E15" s="96">
        <v>875</v>
      </c>
    </row>
    <row r="16" ht="16.5" spans="1:5">
      <c r="A16" s="8">
        <v>3045731.833</v>
      </c>
      <c r="B16" s="8">
        <v>35400157.971</v>
      </c>
      <c r="C16" s="8">
        <v>891.566</v>
      </c>
      <c r="D16" s="34">
        <v>43844</v>
      </c>
      <c r="E16" s="96">
        <v>874.99</v>
      </c>
    </row>
    <row r="17" ht="16.5" spans="1:5">
      <c r="A17" s="8">
        <v>3045731.833</v>
      </c>
      <c r="B17" s="8">
        <v>35400157.971</v>
      </c>
      <c r="C17" s="8">
        <v>891.566</v>
      </c>
      <c r="D17" s="34">
        <v>43845</v>
      </c>
      <c r="E17" s="96">
        <v>875.02</v>
      </c>
    </row>
    <row r="18" ht="16.5" spans="1:5">
      <c r="A18" s="8">
        <v>3045731.833</v>
      </c>
      <c r="B18" s="8">
        <v>35400157.971</v>
      </c>
      <c r="C18" s="8">
        <v>891.566</v>
      </c>
      <c r="D18" s="34">
        <v>43846</v>
      </c>
      <c r="E18" s="96">
        <v>875.02</v>
      </c>
    </row>
    <row r="19" ht="16.5" spans="1:5">
      <c r="A19" s="8">
        <v>3045731.833</v>
      </c>
      <c r="B19" s="8">
        <v>35400157.971</v>
      </c>
      <c r="C19" s="8">
        <v>891.566</v>
      </c>
      <c r="D19" s="34">
        <v>43847</v>
      </c>
      <c r="E19" s="96">
        <v>874.97</v>
      </c>
    </row>
    <row r="20" ht="16.5" spans="1:5">
      <c r="A20" s="8">
        <v>3045731.833</v>
      </c>
      <c r="B20" s="8">
        <v>35400157.971</v>
      </c>
      <c r="C20" s="8">
        <v>891.566</v>
      </c>
      <c r="D20" s="34">
        <v>43848</v>
      </c>
      <c r="E20" s="96">
        <v>874.94</v>
      </c>
    </row>
    <row r="21" ht="16.5" spans="1:5">
      <c r="A21" s="8">
        <v>3045731.833</v>
      </c>
      <c r="B21" s="8">
        <v>35400157.971</v>
      </c>
      <c r="C21" s="8">
        <v>891.566</v>
      </c>
      <c r="D21" s="34">
        <v>43849</v>
      </c>
      <c r="E21" s="96">
        <v>874.96</v>
      </c>
    </row>
    <row r="22" ht="16.5" spans="1:5">
      <c r="A22" s="8">
        <v>3045731.833</v>
      </c>
      <c r="B22" s="8">
        <v>35400157.971</v>
      </c>
      <c r="C22" s="8">
        <v>891.566</v>
      </c>
      <c r="D22" s="34">
        <v>43850</v>
      </c>
      <c r="E22" s="96">
        <v>874.94</v>
      </c>
    </row>
    <row r="23" ht="16.5" spans="1:5">
      <c r="A23" s="8">
        <v>3045731.833</v>
      </c>
      <c r="B23" s="8">
        <v>35400157.971</v>
      </c>
      <c r="C23" s="8">
        <v>891.566</v>
      </c>
      <c r="D23" s="34">
        <v>43851</v>
      </c>
      <c r="E23" s="96">
        <v>874.87</v>
      </c>
    </row>
    <row r="24" ht="16.5" spans="1:5">
      <c r="A24" s="8">
        <v>3045731.833</v>
      </c>
      <c r="B24" s="8">
        <v>35400157.971</v>
      </c>
      <c r="C24" s="8">
        <v>891.566</v>
      </c>
      <c r="D24" s="34">
        <v>43852</v>
      </c>
      <c r="E24" s="96">
        <v>874.92</v>
      </c>
    </row>
    <row r="25" ht="16.5" spans="1:5">
      <c r="A25" s="8">
        <v>3045731.833</v>
      </c>
      <c r="B25" s="8">
        <v>35400157.971</v>
      </c>
      <c r="C25" s="8">
        <v>891.566</v>
      </c>
      <c r="D25" s="34">
        <v>43853</v>
      </c>
      <c r="E25" s="96">
        <v>876.506</v>
      </c>
    </row>
    <row r="26" ht="16.5" spans="1:5">
      <c r="A26" s="8">
        <v>3045731.833</v>
      </c>
      <c r="B26" s="8">
        <v>35400157.971</v>
      </c>
      <c r="C26" s="8">
        <v>891.566</v>
      </c>
      <c r="D26" s="34">
        <v>43854</v>
      </c>
      <c r="E26" s="96">
        <v>876.458</v>
      </c>
    </row>
    <row r="27" ht="16.5" spans="1:5">
      <c r="A27" s="8">
        <v>3045731.833</v>
      </c>
      <c r="B27" s="8">
        <v>35400157.971</v>
      </c>
      <c r="C27" s="8">
        <v>891.566</v>
      </c>
      <c r="D27" s="34">
        <v>43855</v>
      </c>
      <c r="E27" s="96"/>
    </row>
    <row r="28" ht="16.5" spans="1:5">
      <c r="A28" s="8">
        <v>3045731.833</v>
      </c>
      <c r="B28" s="8">
        <v>35400157.971</v>
      </c>
      <c r="C28" s="8">
        <v>891.566</v>
      </c>
      <c r="D28" s="34">
        <v>43856</v>
      </c>
      <c r="E28" s="96">
        <v>876.386</v>
      </c>
    </row>
    <row r="29" ht="16.5" spans="1:5">
      <c r="A29" s="8">
        <v>3045731.833</v>
      </c>
      <c r="B29" s="8">
        <v>35400157.971</v>
      </c>
      <c r="C29" s="8">
        <v>891.566</v>
      </c>
      <c r="D29" s="34">
        <v>43857</v>
      </c>
      <c r="E29" s="96">
        <v>876.306</v>
      </c>
    </row>
    <row r="30" ht="16.5" spans="1:5">
      <c r="A30" s="8">
        <v>3045731.833</v>
      </c>
      <c r="B30" s="8">
        <v>35400157.971</v>
      </c>
      <c r="C30" s="8">
        <v>891.566</v>
      </c>
      <c r="D30" s="34">
        <v>43858</v>
      </c>
      <c r="E30" s="96">
        <v>876.186</v>
      </c>
    </row>
    <row r="31" ht="16.5" spans="1:5">
      <c r="A31" s="8">
        <v>3045731.833</v>
      </c>
      <c r="B31" s="8">
        <v>35400157.971</v>
      </c>
      <c r="C31" s="8">
        <v>891.566</v>
      </c>
      <c r="D31" s="34">
        <v>43859</v>
      </c>
      <c r="E31" s="96">
        <v>876.206</v>
      </c>
    </row>
    <row r="32" ht="16.5" spans="1:5">
      <c r="A32" s="8">
        <v>3045731.833</v>
      </c>
      <c r="B32" s="8">
        <v>35400157.971</v>
      </c>
      <c r="C32" s="8">
        <v>891.566</v>
      </c>
      <c r="D32" s="34">
        <v>43860</v>
      </c>
      <c r="E32" s="96">
        <v>876.21</v>
      </c>
    </row>
    <row r="33" ht="16.5" spans="1:5">
      <c r="A33" s="8">
        <v>3045731.833</v>
      </c>
      <c r="B33" s="8">
        <v>35400157.971</v>
      </c>
      <c r="C33" s="8">
        <v>891.566</v>
      </c>
      <c r="D33" s="34">
        <v>43861</v>
      </c>
      <c r="E33" s="96">
        <v>876.09</v>
      </c>
    </row>
    <row r="34" ht="16.5" spans="1:5">
      <c r="A34" s="8">
        <v>3045731.833</v>
      </c>
      <c r="B34" s="8">
        <v>35400157.971</v>
      </c>
      <c r="C34" s="8">
        <v>891.566</v>
      </c>
      <c r="D34" s="34">
        <v>43862</v>
      </c>
      <c r="E34" s="96">
        <v>875.956</v>
      </c>
    </row>
    <row r="35" ht="16.5" spans="1:5">
      <c r="A35" s="8">
        <v>3045731.833</v>
      </c>
      <c r="B35" s="8">
        <v>35400157.971</v>
      </c>
      <c r="C35" s="8">
        <v>891.566</v>
      </c>
      <c r="D35" s="34">
        <v>43863</v>
      </c>
      <c r="E35" s="96">
        <v>875.91</v>
      </c>
    </row>
    <row r="36" ht="16.5" spans="1:5">
      <c r="A36" s="8">
        <v>3045731.833</v>
      </c>
      <c r="B36" s="8">
        <v>35400157.971</v>
      </c>
      <c r="C36" s="8">
        <v>891.566</v>
      </c>
      <c r="D36" s="34">
        <v>43864</v>
      </c>
      <c r="E36" s="96">
        <v>875.96</v>
      </c>
    </row>
    <row r="37" ht="16.5" spans="1:5">
      <c r="A37" s="8">
        <v>3045731.833</v>
      </c>
      <c r="B37" s="8">
        <v>35400157.971</v>
      </c>
      <c r="C37" s="8">
        <v>891.566</v>
      </c>
      <c r="D37" s="34">
        <v>43865</v>
      </c>
      <c r="E37" s="96">
        <v>875.9</v>
      </c>
    </row>
    <row r="38" ht="16.5" spans="1:5">
      <c r="A38" s="8">
        <v>3045731.833</v>
      </c>
      <c r="B38" s="8">
        <v>35400157.971</v>
      </c>
      <c r="C38" s="8">
        <v>891.566</v>
      </c>
      <c r="D38" s="34">
        <v>43866</v>
      </c>
      <c r="E38" s="96">
        <v>875.8</v>
      </c>
    </row>
    <row r="39" ht="16.5" spans="1:5">
      <c r="A39" s="8">
        <v>3045731.833</v>
      </c>
      <c r="B39" s="8">
        <v>35400157.971</v>
      </c>
      <c r="C39" s="8">
        <v>891.566</v>
      </c>
      <c r="D39" s="34">
        <v>43867</v>
      </c>
      <c r="E39" s="96">
        <v>875.72</v>
      </c>
    </row>
    <row r="40" ht="16.5" spans="1:5">
      <c r="A40" s="8">
        <v>3045731.833</v>
      </c>
      <c r="B40" s="8">
        <v>35400157.971</v>
      </c>
      <c r="C40" s="8">
        <v>891.566</v>
      </c>
      <c r="D40" s="34">
        <v>43868</v>
      </c>
      <c r="E40" s="96">
        <v>875.8</v>
      </c>
    </row>
    <row r="41" ht="16.5" spans="1:5">
      <c r="A41" s="8">
        <v>3045731.833</v>
      </c>
      <c r="B41" s="8">
        <v>35400157.971</v>
      </c>
      <c r="C41" s="8">
        <v>891.566</v>
      </c>
      <c r="D41" s="34">
        <v>43869</v>
      </c>
      <c r="E41" s="96">
        <v>875.66</v>
      </c>
    </row>
    <row r="42" ht="16.5" spans="1:5">
      <c r="A42" s="8">
        <v>3045731.833</v>
      </c>
      <c r="B42" s="8">
        <v>35400157.971</v>
      </c>
      <c r="C42" s="8">
        <v>891.566</v>
      </c>
      <c r="D42" s="34">
        <v>43870</v>
      </c>
      <c r="E42" s="96">
        <v>875.69</v>
      </c>
    </row>
    <row r="43" ht="16.5" spans="1:5">
      <c r="A43" s="8">
        <v>3045731.833</v>
      </c>
      <c r="B43" s="8">
        <v>35400157.971</v>
      </c>
      <c r="C43" s="8">
        <v>891.566</v>
      </c>
      <c r="D43" s="34">
        <v>43871</v>
      </c>
      <c r="E43" s="96">
        <v>875.58</v>
      </c>
    </row>
    <row r="44" ht="16.5" spans="1:5">
      <c r="A44" s="8">
        <v>3045731.833</v>
      </c>
      <c r="B44" s="8">
        <v>35400157.971</v>
      </c>
      <c r="C44" s="8">
        <v>891.566</v>
      </c>
      <c r="D44" s="34">
        <v>43872</v>
      </c>
      <c r="E44" s="96">
        <v>875.54</v>
      </c>
    </row>
    <row r="45" ht="16.5" spans="1:5">
      <c r="A45" s="8">
        <v>3045731.833</v>
      </c>
      <c r="B45" s="8">
        <v>35400157.971</v>
      </c>
      <c r="C45" s="8">
        <v>891.566</v>
      </c>
      <c r="D45" s="34">
        <v>43873</v>
      </c>
      <c r="E45" s="96">
        <v>875.53</v>
      </c>
    </row>
    <row r="46" ht="16.5" spans="1:5">
      <c r="A46" s="8">
        <v>3045731.833</v>
      </c>
      <c r="B46" s="8">
        <v>35400157.971</v>
      </c>
      <c r="C46" s="8">
        <v>891.566</v>
      </c>
      <c r="D46" s="34">
        <v>43874</v>
      </c>
      <c r="E46" s="96">
        <v>875.55</v>
      </c>
    </row>
    <row r="47" ht="16.5" spans="1:5">
      <c r="A47" s="8">
        <v>3045731.833</v>
      </c>
      <c r="B47" s="8">
        <v>35400157.971</v>
      </c>
      <c r="C47" s="8">
        <v>891.566</v>
      </c>
      <c r="D47" s="34">
        <v>43875</v>
      </c>
      <c r="E47" s="96">
        <v>875.47</v>
      </c>
    </row>
    <row r="48" ht="16.5" spans="1:5">
      <c r="A48" s="8">
        <v>3045731.833</v>
      </c>
      <c r="B48" s="8">
        <v>35400157.971</v>
      </c>
      <c r="C48" s="8">
        <v>891.566</v>
      </c>
      <c r="D48" s="34">
        <v>43876</v>
      </c>
      <c r="E48" s="96">
        <v>875.42</v>
      </c>
    </row>
    <row r="49" ht="16.5" spans="1:5">
      <c r="A49" s="8">
        <v>3045731.833</v>
      </c>
      <c r="B49" s="8">
        <v>35400157.971</v>
      </c>
      <c r="C49" s="8">
        <v>891.566</v>
      </c>
      <c r="D49" s="34">
        <v>43877</v>
      </c>
      <c r="E49" s="96">
        <v>875.37</v>
      </c>
    </row>
    <row r="50" ht="16.5" spans="1:5">
      <c r="A50" s="8">
        <v>3045731.833</v>
      </c>
      <c r="B50" s="8">
        <v>35400157.971</v>
      </c>
      <c r="C50" s="8">
        <v>891.566</v>
      </c>
      <c r="D50" s="34">
        <v>43878</v>
      </c>
      <c r="E50" s="96">
        <v>875.52</v>
      </c>
    </row>
    <row r="51" ht="16.5" spans="1:5">
      <c r="A51" s="8">
        <v>3045731.833</v>
      </c>
      <c r="B51" s="8">
        <v>35400157.971</v>
      </c>
      <c r="C51" s="8">
        <v>891.566</v>
      </c>
      <c r="D51" s="34">
        <v>43879</v>
      </c>
      <c r="E51" s="96">
        <v>875.53</v>
      </c>
    </row>
    <row r="52" ht="16.5" spans="1:5">
      <c r="A52" s="8">
        <v>3045731.833</v>
      </c>
      <c r="B52" s="8">
        <v>35400157.971</v>
      </c>
      <c r="C52" s="8">
        <v>891.566</v>
      </c>
      <c r="D52" s="34">
        <v>43880</v>
      </c>
      <c r="E52" s="96">
        <v>875.48</v>
      </c>
    </row>
    <row r="53" ht="16.5" spans="1:5">
      <c r="A53" s="8">
        <v>3045731.833</v>
      </c>
      <c r="B53" s="8">
        <v>35400157.971</v>
      </c>
      <c r="C53" s="8">
        <v>891.566</v>
      </c>
      <c r="D53" s="34">
        <v>43881</v>
      </c>
      <c r="E53" s="96">
        <v>875.52</v>
      </c>
    </row>
    <row r="54" ht="16.5" spans="1:5">
      <c r="A54" s="8">
        <v>3045731.833</v>
      </c>
      <c r="B54" s="8">
        <v>35400157.971</v>
      </c>
      <c r="C54" s="8">
        <v>891.566</v>
      </c>
      <c r="D54" s="34">
        <v>43882</v>
      </c>
      <c r="E54" s="96">
        <v>875.48</v>
      </c>
    </row>
    <row r="55" ht="16.5" spans="1:5">
      <c r="A55" s="8">
        <v>3045731.833</v>
      </c>
      <c r="B55" s="8">
        <v>35400157.971</v>
      </c>
      <c r="C55" s="8">
        <v>891.566</v>
      </c>
      <c r="D55" s="34">
        <v>43883</v>
      </c>
      <c r="E55" s="96">
        <v>875.38</v>
      </c>
    </row>
    <row r="56" ht="16.5" spans="1:5">
      <c r="A56" s="8">
        <v>3045731.833</v>
      </c>
      <c r="B56" s="8">
        <v>35400157.971</v>
      </c>
      <c r="C56" s="8">
        <v>891.566</v>
      </c>
      <c r="D56" s="34">
        <v>43884</v>
      </c>
      <c r="E56" s="96">
        <v>875.06</v>
      </c>
    </row>
    <row r="57" ht="16.5" spans="1:5">
      <c r="A57" s="8">
        <v>3045731.833</v>
      </c>
      <c r="B57" s="8">
        <v>35400157.971</v>
      </c>
      <c r="C57" s="8">
        <v>891.566</v>
      </c>
      <c r="D57" s="34">
        <v>43885</v>
      </c>
      <c r="E57" s="96">
        <v>875.08</v>
      </c>
    </row>
    <row r="58" ht="16.5" spans="1:5">
      <c r="A58" s="8">
        <v>3045731.833</v>
      </c>
      <c r="B58" s="8">
        <v>35400157.971</v>
      </c>
      <c r="C58" s="8">
        <v>891.566</v>
      </c>
      <c r="D58" s="34">
        <v>43886</v>
      </c>
      <c r="E58" s="96">
        <v>875.03</v>
      </c>
    </row>
    <row r="59" ht="16.5" spans="1:5">
      <c r="A59" s="8">
        <v>3045731.833</v>
      </c>
      <c r="B59" s="8">
        <v>35400157.971</v>
      </c>
      <c r="C59" s="8">
        <v>891.566</v>
      </c>
      <c r="D59" s="34">
        <v>43887</v>
      </c>
      <c r="E59" s="96">
        <v>875</v>
      </c>
    </row>
    <row r="60" ht="16.5" spans="1:5">
      <c r="A60" s="8">
        <v>3045731.833</v>
      </c>
      <c r="B60" s="8">
        <v>35400157.971</v>
      </c>
      <c r="C60" s="8">
        <v>891.566</v>
      </c>
      <c r="D60" s="34">
        <v>43888</v>
      </c>
      <c r="E60" s="96">
        <v>874.99</v>
      </c>
    </row>
    <row r="61" ht="16.5" spans="1:5">
      <c r="A61" s="8">
        <v>3045731.833</v>
      </c>
      <c r="B61" s="8">
        <v>35400157.971</v>
      </c>
      <c r="C61" s="8">
        <v>891.566</v>
      </c>
      <c r="D61" s="34">
        <v>43889</v>
      </c>
      <c r="E61" s="96">
        <v>875.02</v>
      </c>
    </row>
    <row r="62" ht="16.5" spans="1:5">
      <c r="A62" s="8">
        <v>3045731.833</v>
      </c>
      <c r="B62" s="8">
        <v>35400157.971</v>
      </c>
      <c r="C62" s="8">
        <v>891.566</v>
      </c>
      <c r="D62" s="34">
        <v>43890</v>
      </c>
      <c r="E62" s="96">
        <v>875.02</v>
      </c>
    </row>
    <row r="63" ht="16.5" spans="1:5">
      <c r="A63" s="8">
        <v>3045731.833</v>
      </c>
      <c r="B63" s="8">
        <v>35400157.971</v>
      </c>
      <c r="C63" s="8">
        <v>891.566</v>
      </c>
      <c r="D63" s="34">
        <v>43891</v>
      </c>
      <c r="E63" s="96">
        <v>874.97</v>
      </c>
    </row>
    <row r="64" ht="16.5" spans="1:5">
      <c r="A64" s="8">
        <v>3045731.833</v>
      </c>
      <c r="B64" s="8">
        <v>35400157.971</v>
      </c>
      <c r="C64" s="8">
        <v>891.566</v>
      </c>
      <c r="D64" s="34">
        <v>43892</v>
      </c>
      <c r="E64" s="96">
        <v>874.94</v>
      </c>
    </row>
    <row r="65" ht="16.5" spans="1:5">
      <c r="A65" s="8">
        <v>3045731.833</v>
      </c>
      <c r="B65" s="8">
        <v>35400157.971</v>
      </c>
      <c r="C65" s="8">
        <v>891.566</v>
      </c>
      <c r="D65" s="34">
        <v>43893</v>
      </c>
      <c r="E65" s="96">
        <v>874.96</v>
      </c>
    </row>
    <row r="66" ht="16.5" spans="1:5">
      <c r="A66" s="8">
        <v>3045731.833</v>
      </c>
      <c r="B66" s="8">
        <v>35400157.971</v>
      </c>
      <c r="C66" s="8">
        <v>891.566</v>
      </c>
      <c r="D66" s="34">
        <v>43894</v>
      </c>
      <c r="E66" s="96">
        <v>874.94</v>
      </c>
    </row>
    <row r="67" ht="16.5" spans="1:5">
      <c r="A67" s="8">
        <v>3045731.833</v>
      </c>
      <c r="B67" s="8">
        <v>35400157.971</v>
      </c>
      <c r="C67" s="8">
        <v>891.566</v>
      </c>
      <c r="D67" s="34">
        <v>43895</v>
      </c>
      <c r="E67" s="96">
        <v>874.87</v>
      </c>
    </row>
    <row r="68" ht="16.5" spans="1:5">
      <c r="A68" s="8">
        <v>3045731.833</v>
      </c>
      <c r="B68" s="8">
        <v>35400157.971</v>
      </c>
      <c r="C68" s="8">
        <v>891.566</v>
      </c>
      <c r="D68" s="34">
        <v>43896</v>
      </c>
      <c r="E68" s="96">
        <v>874.92</v>
      </c>
    </row>
    <row r="69" ht="16.5" spans="1:5">
      <c r="A69" s="8">
        <v>3045731.833</v>
      </c>
      <c r="B69" s="8">
        <v>35400157.971</v>
      </c>
      <c r="C69" s="8">
        <v>891.566</v>
      </c>
      <c r="D69" s="34">
        <v>43897</v>
      </c>
      <c r="E69" s="96">
        <v>874.94</v>
      </c>
    </row>
    <row r="70" ht="16.5" spans="1:5">
      <c r="A70" s="8">
        <v>3045731.833</v>
      </c>
      <c r="B70" s="8">
        <v>35400157.971</v>
      </c>
      <c r="C70" s="8">
        <v>891.566</v>
      </c>
      <c r="D70" s="34">
        <v>43898</v>
      </c>
      <c r="E70" s="96">
        <v>874.97</v>
      </c>
    </row>
    <row r="71" ht="16.5" spans="1:5">
      <c r="A71" s="8">
        <v>3045731.833</v>
      </c>
      <c r="B71" s="8">
        <v>35400157.971</v>
      </c>
      <c r="C71" s="8">
        <v>891.566</v>
      </c>
      <c r="D71" s="34">
        <v>43899</v>
      </c>
      <c r="E71" s="96">
        <v>874.93</v>
      </c>
    </row>
    <row r="72" ht="16.5" spans="1:5">
      <c r="A72" s="8">
        <v>3045731.833</v>
      </c>
      <c r="B72" s="8">
        <v>35400157.971</v>
      </c>
      <c r="C72" s="8">
        <v>891.566</v>
      </c>
      <c r="D72" s="34">
        <v>43900</v>
      </c>
      <c r="E72" s="96">
        <v>874.86</v>
      </c>
    </row>
    <row r="73" ht="16.5" spans="1:5">
      <c r="A73" s="8">
        <v>3045731.833</v>
      </c>
      <c r="B73" s="8">
        <v>35400157.971</v>
      </c>
      <c r="C73" s="8">
        <v>891.566</v>
      </c>
      <c r="D73" s="34">
        <v>43901</v>
      </c>
      <c r="E73" s="96">
        <v>874.81</v>
      </c>
    </row>
    <row r="74" ht="16.5" spans="1:5">
      <c r="A74" s="8">
        <v>3045731.833</v>
      </c>
      <c r="B74" s="8">
        <v>35400157.971</v>
      </c>
      <c r="C74" s="8">
        <v>891.566</v>
      </c>
      <c r="D74" s="34">
        <v>43902</v>
      </c>
      <c r="E74" s="96">
        <v>874.79</v>
      </c>
    </row>
    <row r="75" ht="16.5" spans="1:5">
      <c r="A75" s="8">
        <v>3045731.833</v>
      </c>
      <c r="B75" s="8">
        <v>35400157.971</v>
      </c>
      <c r="C75" s="8">
        <v>891.566</v>
      </c>
      <c r="D75" s="34">
        <v>43903</v>
      </c>
      <c r="E75" s="96">
        <v>874.82</v>
      </c>
    </row>
    <row r="76" ht="16.5" spans="1:5">
      <c r="A76" s="8">
        <v>3045731.833</v>
      </c>
      <c r="B76" s="8">
        <v>35400157.971</v>
      </c>
      <c r="C76" s="8">
        <v>891.566</v>
      </c>
      <c r="D76" s="34">
        <v>43904</v>
      </c>
      <c r="E76" s="96">
        <v>874.81</v>
      </c>
    </row>
    <row r="77" ht="16.5" spans="1:5">
      <c r="A77" s="8">
        <v>3045731.833</v>
      </c>
      <c r="B77" s="8">
        <v>35400157.971</v>
      </c>
      <c r="C77" s="8">
        <v>891.566</v>
      </c>
      <c r="D77" s="34">
        <v>43905</v>
      </c>
      <c r="E77" s="96">
        <v>874.79</v>
      </c>
    </row>
    <row r="78" ht="16.5" spans="1:5">
      <c r="A78" s="8">
        <v>3045731.833</v>
      </c>
      <c r="B78" s="8">
        <v>35400157.971</v>
      </c>
      <c r="C78" s="8">
        <v>891.566</v>
      </c>
      <c r="D78" s="34">
        <v>43906</v>
      </c>
      <c r="E78" s="96">
        <v>874.8</v>
      </c>
    </row>
    <row r="79" ht="16.5" spans="1:5">
      <c r="A79" s="8">
        <v>3045731.833</v>
      </c>
      <c r="B79" s="8">
        <v>35400157.971</v>
      </c>
      <c r="C79" s="8">
        <v>891.566</v>
      </c>
      <c r="D79" s="34">
        <v>43907</v>
      </c>
      <c r="E79" s="96">
        <v>874.86</v>
      </c>
    </row>
    <row r="80" ht="16.5" spans="1:5">
      <c r="A80" s="8">
        <v>3045731.833</v>
      </c>
      <c r="B80" s="8">
        <v>35400157.971</v>
      </c>
      <c r="C80" s="8">
        <v>891.566</v>
      </c>
      <c r="D80" s="34">
        <v>43908</v>
      </c>
      <c r="E80" s="96">
        <v>874.8</v>
      </c>
    </row>
    <row r="81" ht="16.5" spans="1:5">
      <c r="A81" s="8">
        <v>3045731.833</v>
      </c>
      <c r="B81" s="8">
        <v>35400157.971</v>
      </c>
      <c r="C81" s="8">
        <v>891.566</v>
      </c>
      <c r="D81" s="34">
        <v>43909</v>
      </c>
      <c r="E81" s="96">
        <v>874.72</v>
      </c>
    </row>
    <row r="82" ht="16.5" spans="1:5">
      <c r="A82" s="8">
        <v>3045731.833</v>
      </c>
      <c r="B82" s="8">
        <v>35400157.971</v>
      </c>
      <c r="C82" s="8">
        <v>891.566</v>
      </c>
      <c r="D82" s="34">
        <v>43910</v>
      </c>
      <c r="E82" s="96">
        <v>874.64</v>
      </c>
    </row>
    <row r="83" ht="16.5" spans="1:5">
      <c r="A83" s="8">
        <v>3045731.833</v>
      </c>
      <c r="B83" s="8">
        <v>35400157.971</v>
      </c>
      <c r="C83" s="8">
        <v>891.566</v>
      </c>
      <c r="D83" s="34">
        <v>43911</v>
      </c>
      <c r="E83" s="96">
        <v>874.6</v>
      </c>
    </row>
    <row r="84" ht="16.5" spans="1:5">
      <c r="A84" s="8">
        <v>3045731.833</v>
      </c>
      <c r="B84" s="8">
        <v>35400157.971</v>
      </c>
      <c r="C84" s="8">
        <v>891.566</v>
      </c>
      <c r="D84" s="34">
        <v>43912</v>
      </c>
      <c r="E84" s="96">
        <v>874.63</v>
      </c>
    </row>
    <row r="85" ht="16.5" spans="1:5">
      <c r="A85" s="8">
        <v>3045731.833</v>
      </c>
      <c r="B85" s="8">
        <v>35400157.971</v>
      </c>
      <c r="C85" s="8">
        <v>891.566</v>
      </c>
      <c r="D85" s="34">
        <v>43913</v>
      </c>
      <c r="E85" s="96">
        <v>874.55</v>
      </c>
    </row>
    <row r="86" ht="16.5" spans="1:5">
      <c r="A86" s="8">
        <v>3045731.833</v>
      </c>
      <c r="B86" s="8">
        <v>35400157.971</v>
      </c>
      <c r="C86" s="8">
        <v>891.566</v>
      </c>
      <c r="D86" s="34">
        <v>43914</v>
      </c>
      <c r="E86" s="96">
        <v>874.55</v>
      </c>
    </row>
    <row r="87" ht="16.5" spans="1:5">
      <c r="A87" s="8">
        <v>3045731.833</v>
      </c>
      <c r="B87" s="8">
        <v>35400157.971</v>
      </c>
      <c r="C87" s="8">
        <v>891.566</v>
      </c>
      <c r="D87" s="34">
        <v>43915</v>
      </c>
      <c r="E87" s="96">
        <v>874.49</v>
      </c>
    </row>
    <row r="88" ht="16.5" spans="1:5">
      <c r="A88" s="8">
        <v>3045731.833</v>
      </c>
      <c r="B88" s="8">
        <v>35400157.971</v>
      </c>
      <c r="C88" s="8">
        <v>891.566</v>
      </c>
      <c r="D88" s="34">
        <v>43916</v>
      </c>
      <c r="E88" s="96">
        <v>874.52</v>
      </c>
    </row>
    <row r="89" ht="16.5" spans="1:5">
      <c r="A89" s="8">
        <v>3045731.833</v>
      </c>
      <c r="B89" s="8">
        <v>35400157.971</v>
      </c>
      <c r="C89" s="8">
        <v>891.566</v>
      </c>
      <c r="D89" s="34">
        <v>43917</v>
      </c>
      <c r="E89" s="96">
        <v>874.44</v>
      </c>
    </row>
    <row r="90" ht="16.5" spans="1:5">
      <c r="A90" s="8">
        <v>3045731.833</v>
      </c>
      <c r="B90" s="8">
        <v>35400157.971</v>
      </c>
      <c r="C90" s="8">
        <v>891.566</v>
      </c>
      <c r="D90" s="34">
        <v>43918</v>
      </c>
      <c r="E90" s="96">
        <v>874.43</v>
      </c>
    </row>
    <row r="91" ht="16.5" spans="1:5">
      <c r="A91" s="8">
        <v>3045731.833</v>
      </c>
      <c r="B91" s="8">
        <v>35400157.971</v>
      </c>
      <c r="C91" s="8">
        <v>891.566</v>
      </c>
      <c r="D91" s="34">
        <v>43919</v>
      </c>
      <c r="E91" s="96">
        <v>874.39</v>
      </c>
    </row>
    <row r="92" ht="16.5" spans="1:5">
      <c r="A92" s="8">
        <v>3045731.833</v>
      </c>
      <c r="B92" s="8">
        <v>35400157.971</v>
      </c>
      <c r="C92" s="8">
        <v>891.566</v>
      </c>
      <c r="D92" s="34">
        <v>43920</v>
      </c>
      <c r="E92" s="96">
        <v>874.35</v>
      </c>
    </row>
    <row r="93" ht="16.5" spans="1:5">
      <c r="A93" s="8">
        <v>3045731.833</v>
      </c>
      <c r="B93" s="8">
        <v>35400157.971</v>
      </c>
      <c r="C93" s="8">
        <v>891.566</v>
      </c>
      <c r="D93" s="34">
        <v>43921</v>
      </c>
      <c r="E93" s="96">
        <v>874.33</v>
      </c>
    </row>
    <row r="94" ht="16.5" spans="1:5">
      <c r="A94" s="8">
        <v>3045731.833</v>
      </c>
      <c r="B94" s="8">
        <v>35400157.971</v>
      </c>
      <c r="C94" s="8">
        <v>891.566</v>
      </c>
      <c r="D94" s="34">
        <v>43922</v>
      </c>
      <c r="E94" s="96">
        <v>874.31</v>
      </c>
    </row>
    <row r="95" ht="16.5" spans="1:5">
      <c r="A95" s="8">
        <v>3045731.833</v>
      </c>
      <c r="B95" s="8">
        <v>35400157.971</v>
      </c>
      <c r="C95" s="8">
        <v>891.566</v>
      </c>
      <c r="D95" s="34">
        <v>43923</v>
      </c>
      <c r="E95" s="96">
        <v>874.3</v>
      </c>
    </row>
    <row r="96" ht="16.5" spans="1:5">
      <c r="A96" s="8">
        <v>3045731.833</v>
      </c>
      <c r="B96" s="8">
        <v>35400157.971</v>
      </c>
      <c r="C96" s="8">
        <v>891.566</v>
      </c>
      <c r="D96" s="34">
        <v>43924</v>
      </c>
      <c r="E96" s="96">
        <v>874.22</v>
      </c>
    </row>
    <row r="97" ht="16.5" spans="1:5">
      <c r="A97" s="8">
        <v>3045731.833</v>
      </c>
      <c r="B97" s="8">
        <v>35400157.971</v>
      </c>
      <c r="C97" s="8">
        <v>891.566</v>
      </c>
      <c r="D97" s="34">
        <v>43925</v>
      </c>
      <c r="E97" s="96">
        <v>874.27</v>
      </c>
    </row>
    <row r="98" ht="16.5" spans="1:5">
      <c r="A98" s="8">
        <v>3045731.833</v>
      </c>
      <c r="B98" s="8">
        <v>35400157.971</v>
      </c>
      <c r="C98" s="8">
        <v>891.566</v>
      </c>
      <c r="D98" s="34">
        <v>43926</v>
      </c>
      <c r="E98" s="96">
        <v>874.22</v>
      </c>
    </row>
    <row r="99" ht="16.5" spans="1:5">
      <c r="A99" s="8">
        <v>3045731.833</v>
      </c>
      <c r="B99" s="8">
        <v>35400157.971</v>
      </c>
      <c r="C99" s="8">
        <v>891.566</v>
      </c>
      <c r="D99" s="34">
        <v>43927</v>
      </c>
      <c r="E99" s="96">
        <v>874.23</v>
      </c>
    </row>
    <row r="100" ht="16.5" spans="1:5">
      <c r="A100" s="8">
        <v>3045731.833</v>
      </c>
      <c r="B100" s="8">
        <v>35400157.971</v>
      </c>
      <c r="C100" s="8">
        <v>891.566</v>
      </c>
      <c r="D100" s="34">
        <v>43928</v>
      </c>
      <c r="E100" s="96">
        <v>874.16</v>
      </c>
    </row>
    <row r="101" ht="16.5" spans="1:5">
      <c r="A101" s="8">
        <v>3045731.833</v>
      </c>
      <c r="B101" s="8">
        <v>35400157.971</v>
      </c>
      <c r="C101" s="8">
        <v>891.566</v>
      </c>
      <c r="D101" s="34">
        <v>43929</v>
      </c>
      <c r="E101" s="96">
        <v>874.15</v>
      </c>
    </row>
    <row r="102" ht="16.5" spans="1:5">
      <c r="A102" s="8">
        <v>3045731.833</v>
      </c>
      <c r="B102" s="8">
        <v>35400157.971</v>
      </c>
      <c r="C102" s="8">
        <v>891.566</v>
      </c>
      <c r="D102" s="34">
        <v>43930</v>
      </c>
      <c r="E102" s="96">
        <v>874.14</v>
      </c>
    </row>
    <row r="103" ht="16.5" spans="1:5">
      <c r="A103" s="8">
        <v>3045731.833</v>
      </c>
      <c r="B103" s="8">
        <v>35400157.971</v>
      </c>
      <c r="C103" s="8">
        <v>891.566</v>
      </c>
      <c r="D103" s="34">
        <v>43931</v>
      </c>
      <c r="E103" s="96">
        <v>874.09</v>
      </c>
    </row>
    <row r="104" ht="16.5" spans="1:5">
      <c r="A104" s="8">
        <v>3045731.833</v>
      </c>
      <c r="B104" s="8">
        <v>35400157.971</v>
      </c>
      <c r="C104" s="8">
        <v>891.566</v>
      </c>
      <c r="D104" s="34">
        <v>43932</v>
      </c>
      <c r="E104" s="96">
        <v>874.07</v>
      </c>
    </row>
    <row r="105" ht="16.5" spans="1:5">
      <c r="A105" s="8">
        <v>3045731.833</v>
      </c>
      <c r="B105" s="8">
        <v>35400157.971</v>
      </c>
      <c r="C105" s="8">
        <v>891.566</v>
      </c>
      <c r="D105" s="34">
        <v>43933</v>
      </c>
      <c r="E105" s="96">
        <v>874.12</v>
      </c>
    </row>
    <row r="106" ht="16.5" spans="1:5">
      <c r="A106" s="8">
        <v>3045731.833</v>
      </c>
      <c r="B106" s="8">
        <v>35400157.971</v>
      </c>
      <c r="C106" s="8">
        <v>891.566</v>
      </c>
      <c r="D106" s="34">
        <v>43934</v>
      </c>
      <c r="E106" s="96">
        <v>874.03</v>
      </c>
    </row>
    <row r="107" ht="16.5" spans="1:5">
      <c r="A107" s="8">
        <v>3045731.833</v>
      </c>
      <c r="B107" s="8">
        <v>35400157.971</v>
      </c>
      <c r="C107" s="8">
        <v>891.566</v>
      </c>
      <c r="D107" s="34">
        <v>43935</v>
      </c>
      <c r="E107" s="96">
        <v>874.07</v>
      </c>
    </row>
    <row r="108" ht="16.5" spans="1:5">
      <c r="A108" s="8">
        <v>3045731.833</v>
      </c>
      <c r="B108" s="8">
        <v>35400157.971</v>
      </c>
      <c r="C108" s="8">
        <v>891.566</v>
      </c>
      <c r="D108" s="34">
        <v>43936</v>
      </c>
      <c r="E108" s="96">
        <v>873.96</v>
      </c>
    </row>
    <row r="109" ht="16.5" spans="1:5">
      <c r="A109" s="8">
        <v>3045731.833</v>
      </c>
      <c r="B109" s="8">
        <v>35400157.971</v>
      </c>
      <c r="C109" s="8">
        <v>891.566</v>
      </c>
      <c r="D109" s="34">
        <v>43937</v>
      </c>
      <c r="E109" s="96">
        <v>873.94</v>
      </c>
    </row>
    <row r="110" ht="16.5" spans="1:5">
      <c r="A110" s="8">
        <v>3045731.833</v>
      </c>
      <c r="B110" s="8">
        <v>35400157.971</v>
      </c>
      <c r="C110" s="8">
        <v>891.566</v>
      </c>
      <c r="D110" s="34">
        <v>43938</v>
      </c>
      <c r="E110" s="96">
        <v>873.89</v>
      </c>
    </row>
    <row r="111" ht="16.5" spans="1:5">
      <c r="A111" s="8">
        <v>3045731.833</v>
      </c>
      <c r="B111" s="8">
        <v>35400157.971</v>
      </c>
      <c r="C111" s="8">
        <v>891.566</v>
      </c>
      <c r="D111" s="34">
        <v>43939</v>
      </c>
      <c r="E111" s="96">
        <v>873.91</v>
      </c>
    </row>
    <row r="112" ht="16.5" spans="1:5">
      <c r="A112" s="8">
        <v>3045731.833</v>
      </c>
      <c r="B112" s="8">
        <v>35400157.971</v>
      </c>
      <c r="C112" s="8">
        <v>891.566</v>
      </c>
      <c r="D112" s="34">
        <v>43940</v>
      </c>
      <c r="E112" s="96">
        <v>873.88</v>
      </c>
    </row>
    <row r="113" ht="16.5" spans="1:5">
      <c r="A113" s="8">
        <v>3045731.833</v>
      </c>
      <c r="B113" s="8">
        <v>35400157.971</v>
      </c>
      <c r="C113" s="8">
        <v>891.566</v>
      </c>
      <c r="D113" s="34">
        <v>43941</v>
      </c>
      <c r="E113" s="96">
        <v>878.77</v>
      </c>
    </row>
    <row r="114" ht="16.5" spans="1:5">
      <c r="A114" s="8">
        <v>3045731.833</v>
      </c>
      <c r="B114" s="8">
        <v>35400157.971</v>
      </c>
      <c r="C114" s="8">
        <v>891.566</v>
      </c>
      <c r="D114" s="34">
        <v>43942</v>
      </c>
      <c r="E114" s="96">
        <v>878.69</v>
      </c>
    </row>
    <row r="115" ht="16.5" spans="1:5">
      <c r="A115" s="8">
        <v>3045731.833</v>
      </c>
      <c r="B115" s="8">
        <v>35400157.971</v>
      </c>
      <c r="C115" s="8">
        <v>891.566</v>
      </c>
      <c r="D115" s="34">
        <v>43943</v>
      </c>
      <c r="E115" s="96">
        <v>878.7</v>
      </c>
    </row>
    <row r="116" ht="16.5" spans="1:5">
      <c r="A116" s="8">
        <v>3045731.833</v>
      </c>
      <c r="B116" s="8">
        <v>35400157.971</v>
      </c>
      <c r="C116" s="8">
        <v>891.566</v>
      </c>
      <c r="D116" s="34">
        <v>43944</v>
      </c>
      <c r="E116" s="96">
        <v>878.72</v>
      </c>
    </row>
    <row r="117" ht="16.5" spans="1:5">
      <c r="A117" s="8">
        <v>3045731.833</v>
      </c>
      <c r="B117" s="8">
        <v>35400157.971</v>
      </c>
      <c r="C117" s="8">
        <v>891.566</v>
      </c>
      <c r="D117" s="34">
        <v>43945</v>
      </c>
      <c r="E117" s="96">
        <v>878.63</v>
      </c>
    </row>
    <row r="118" ht="16.5" spans="1:5">
      <c r="A118" s="8">
        <v>3045731.833</v>
      </c>
      <c r="B118" s="8">
        <v>35400157.971</v>
      </c>
      <c r="C118" s="8">
        <v>891.566</v>
      </c>
      <c r="D118" s="34">
        <v>43946</v>
      </c>
      <c r="E118" s="96">
        <v>878.6</v>
      </c>
    </row>
    <row r="119" ht="16.5" spans="1:5">
      <c r="A119" s="8">
        <v>3045731.833</v>
      </c>
      <c r="B119" s="8">
        <v>35400157.971</v>
      </c>
      <c r="C119" s="8">
        <v>891.566</v>
      </c>
      <c r="D119" s="34">
        <v>43947</v>
      </c>
      <c r="E119" s="96">
        <v>878.63</v>
      </c>
    </row>
    <row r="120" ht="16.5" spans="1:5">
      <c r="A120" s="8">
        <v>3045731.833</v>
      </c>
      <c r="B120" s="8">
        <v>35400157.971</v>
      </c>
      <c r="C120" s="8">
        <v>891.566</v>
      </c>
      <c r="D120" s="34">
        <v>43948</v>
      </c>
      <c r="E120" s="96">
        <v>878.58</v>
      </c>
    </row>
    <row r="121" ht="16.5" spans="1:5">
      <c r="A121" s="8">
        <v>3045731.833</v>
      </c>
      <c r="B121" s="8">
        <v>35400157.971</v>
      </c>
      <c r="C121" s="8">
        <v>891.566</v>
      </c>
      <c r="D121" s="34">
        <v>43949</v>
      </c>
      <c r="E121" s="96">
        <v>878.57</v>
      </c>
    </row>
    <row r="122" ht="16.5" spans="1:5">
      <c r="A122" s="8">
        <v>3045731.833</v>
      </c>
      <c r="B122" s="8">
        <v>35400157.971</v>
      </c>
      <c r="C122" s="8">
        <v>891.566</v>
      </c>
      <c r="D122" s="34">
        <v>43950</v>
      </c>
      <c r="E122" s="96">
        <v>878.56</v>
      </c>
    </row>
    <row r="123" ht="16.5" spans="1:5">
      <c r="A123" s="8">
        <v>3045731.833</v>
      </c>
      <c r="B123" s="8">
        <v>35400157.971</v>
      </c>
      <c r="C123" s="8">
        <v>891.566</v>
      </c>
      <c r="D123" s="34">
        <v>43951</v>
      </c>
      <c r="E123" s="96">
        <v>878.49</v>
      </c>
    </row>
    <row r="124" ht="16.5" spans="1:5">
      <c r="A124" s="8">
        <v>3045731.833</v>
      </c>
      <c r="B124" s="8">
        <v>35400157.971</v>
      </c>
      <c r="C124" s="8">
        <v>891.566</v>
      </c>
      <c r="D124" s="34">
        <v>43952</v>
      </c>
      <c r="E124" s="96">
        <v>878.51</v>
      </c>
    </row>
    <row r="125" ht="16.5" spans="1:5">
      <c r="A125" s="8">
        <v>3045731.833</v>
      </c>
      <c r="B125" s="8">
        <v>35400157.971</v>
      </c>
      <c r="C125" s="8">
        <v>891.566</v>
      </c>
      <c r="D125" s="34">
        <v>43953</v>
      </c>
      <c r="E125" s="96">
        <v>878.46</v>
      </c>
    </row>
    <row r="126" ht="16.5" spans="1:5">
      <c r="A126" s="8">
        <v>3045731.833</v>
      </c>
      <c r="B126" s="8">
        <v>35400157.971</v>
      </c>
      <c r="C126" s="8">
        <v>891.566</v>
      </c>
      <c r="D126" s="34">
        <v>43954</v>
      </c>
      <c r="E126" s="96">
        <v>878.47</v>
      </c>
    </row>
    <row r="127" ht="16.5" spans="1:5">
      <c r="A127" s="8">
        <v>3045731.833</v>
      </c>
      <c r="B127" s="8">
        <v>35400157.971</v>
      </c>
      <c r="C127" s="8">
        <v>891.566</v>
      </c>
      <c r="D127" s="34">
        <v>43955</v>
      </c>
      <c r="E127" s="96">
        <v>878.43</v>
      </c>
    </row>
    <row r="128" ht="16.5" spans="1:5">
      <c r="A128" s="8">
        <v>3045731.833</v>
      </c>
      <c r="B128" s="8">
        <v>35400157.971</v>
      </c>
      <c r="C128" s="8">
        <v>891.566</v>
      </c>
      <c r="D128" s="34">
        <v>43956</v>
      </c>
      <c r="E128" s="96">
        <v>878.41</v>
      </c>
    </row>
    <row r="129" ht="16.5" spans="1:5">
      <c r="A129" s="8">
        <v>3045731.833</v>
      </c>
      <c r="B129" s="8">
        <v>35400157.971</v>
      </c>
      <c r="C129" s="8">
        <v>891.566</v>
      </c>
      <c r="D129" s="34">
        <v>43957</v>
      </c>
      <c r="E129" s="96">
        <v>878.39</v>
      </c>
    </row>
    <row r="130" ht="16.5" spans="1:5">
      <c r="A130" s="8">
        <v>3045731.833</v>
      </c>
      <c r="B130" s="8">
        <v>35400157.971</v>
      </c>
      <c r="C130" s="8">
        <v>891.566</v>
      </c>
      <c r="D130" s="34">
        <v>43958</v>
      </c>
      <c r="E130" s="96"/>
    </row>
    <row r="131" ht="16.5" spans="1:5">
      <c r="A131" s="8">
        <v>3045731.833</v>
      </c>
      <c r="B131" s="8">
        <v>35400157.971</v>
      </c>
      <c r="C131" s="8">
        <v>891.566</v>
      </c>
      <c r="D131" s="34">
        <v>43959</v>
      </c>
      <c r="E131" s="96">
        <v>878.39</v>
      </c>
    </row>
    <row r="132" ht="16.5" spans="1:5">
      <c r="A132" s="8">
        <v>3045731.833</v>
      </c>
      <c r="B132" s="8">
        <v>35400157.971</v>
      </c>
      <c r="C132" s="8">
        <v>891.566</v>
      </c>
      <c r="D132" s="34">
        <v>43960</v>
      </c>
      <c r="E132" s="96">
        <v>878.38</v>
      </c>
    </row>
    <row r="133" ht="16.5" spans="1:5">
      <c r="A133" s="8">
        <v>3045731.833</v>
      </c>
      <c r="B133" s="8">
        <v>35400157.971</v>
      </c>
      <c r="C133" s="8">
        <v>891.566</v>
      </c>
      <c r="D133" s="34">
        <v>43961</v>
      </c>
      <c r="E133" s="96">
        <v>878.4</v>
      </c>
    </row>
    <row r="134" ht="16.5" spans="1:5">
      <c r="A134" s="8">
        <v>3045731.833</v>
      </c>
      <c r="B134" s="8">
        <v>35400157.971</v>
      </c>
      <c r="C134" s="8">
        <v>891.566</v>
      </c>
      <c r="D134" s="34">
        <v>43962</v>
      </c>
      <c r="E134" s="96">
        <v>878.29</v>
      </c>
    </row>
    <row r="135" ht="16.5" spans="1:5">
      <c r="A135" s="8">
        <v>3045731.833</v>
      </c>
      <c r="B135" s="8">
        <v>35400157.971</v>
      </c>
      <c r="C135" s="8">
        <v>891.566</v>
      </c>
      <c r="D135" s="34">
        <v>43963</v>
      </c>
      <c r="E135" s="96">
        <v>878.28</v>
      </c>
    </row>
    <row r="136" ht="16.5" spans="1:5">
      <c r="A136" s="8">
        <v>3045731.833</v>
      </c>
      <c r="B136" s="8">
        <v>35400157.971</v>
      </c>
      <c r="C136" s="8">
        <v>891.566</v>
      </c>
      <c r="D136" s="34">
        <v>43964</v>
      </c>
      <c r="E136" s="96">
        <v>878.3</v>
      </c>
    </row>
    <row r="137" ht="16.5" spans="1:5">
      <c r="A137" s="8">
        <v>3045731.833</v>
      </c>
      <c r="B137" s="8">
        <v>35400157.971</v>
      </c>
      <c r="C137" s="8">
        <v>891.566</v>
      </c>
      <c r="D137" s="34">
        <v>43965</v>
      </c>
      <c r="E137" s="96">
        <v>878.31</v>
      </c>
    </row>
    <row r="138" ht="16.5" spans="1:5">
      <c r="A138" s="8">
        <v>3045731.833</v>
      </c>
      <c r="B138" s="8">
        <v>35400157.971</v>
      </c>
      <c r="C138" s="8">
        <v>891.566</v>
      </c>
      <c r="D138" s="34">
        <v>43966</v>
      </c>
      <c r="E138" s="96">
        <v>878.38</v>
      </c>
    </row>
    <row r="139" ht="16.5" spans="1:5">
      <c r="A139" s="8">
        <v>3045731.833</v>
      </c>
      <c r="B139" s="8">
        <v>35400157.971</v>
      </c>
      <c r="C139" s="8">
        <v>891.566</v>
      </c>
      <c r="D139" s="34">
        <v>43967</v>
      </c>
      <c r="E139" s="96">
        <v>878.4</v>
      </c>
    </row>
    <row r="140" ht="16.5" spans="1:5">
      <c r="A140" s="8">
        <v>3045731.833</v>
      </c>
      <c r="B140" s="8">
        <v>35400157.971</v>
      </c>
      <c r="C140" s="8">
        <v>891.566</v>
      </c>
      <c r="D140" s="34">
        <v>43968</v>
      </c>
      <c r="E140" s="96">
        <v>878.29</v>
      </c>
    </row>
    <row r="141" ht="16.5" spans="1:5">
      <c r="A141" s="8">
        <v>3045731.833</v>
      </c>
      <c r="B141" s="8">
        <v>35400157.971</v>
      </c>
      <c r="C141" s="8">
        <v>891.566</v>
      </c>
      <c r="D141" s="34">
        <v>43969</v>
      </c>
      <c r="E141" s="96">
        <v>878.36</v>
      </c>
    </row>
    <row r="142" ht="16.5" spans="1:5">
      <c r="A142" s="8">
        <v>3045731.833</v>
      </c>
      <c r="B142" s="8">
        <v>35400157.971</v>
      </c>
      <c r="C142" s="8">
        <v>891.566</v>
      </c>
      <c r="D142" s="34">
        <v>43970</v>
      </c>
      <c r="E142" s="96">
        <v>878.38</v>
      </c>
    </row>
    <row r="143" ht="16.5" spans="1:5">
      <c r="A143" s="8">
        <v>3045731.833</v>
      </c>
      <c r="B143" s="8">
        <v>35400157.971</v>
      </c>
      <c r="C143" s="8">
        <v>891.566</v>
      </c>
      <c r="D143" s="34">
        <v>43971</v>
      </c>
      <c r="E143" s="96">
        <v>878.34</v>
      </c>
    </row>
    <row r="144" ht="16.5" spans="1:5">
      <c r="A144" s="8">
        <v>3045731.833</v>
      </c>
      <c r="B144" s="8">
        <v>35400157.971</v>
      </c>
      <c r="C144" s="8">
        <v>891.566</v>
      </c>
      <c r="D144" s="34">
        <v>43972</v>
      </c>
      <c r="E144" s="96">
        <v>878.37</v>
      </c>
    </row>
    <row r="145" ht="16.5" spans="1:5">
      <c r="A145" s="8">
        <v>3045731.833</v>
      </c>
      <c r="B145" s="8">
        <v>35400157.971</v>
      </c>
      <c r="C145" s="8">
        <v>891.566</v>
      </c>
      <c r="D145" s="34">
        <v>43973</v>
      </c>
      <c r="E145" s="96">
        <v>878.2</v>
      </c>
    </row>
    <row r="146" ht="16.5" spans="1:5">
      <c r="A146" s="8">
        <v>3045731.833</v>
      </c>
      <c r="B146" s="8">
        <v>35400157.971</v>
      </c>
      <c r="C146" s="8">
        <v>891.566</v>
      </c>
      <c r="D146" s="34">
        <v>43974</v>
      </c>
      <c r="E146" s="96">
        <v>878.23</v>
      </c>
    </row>
    <row r="147" ht="16.5" spans="1:5">
      <c r="A147" s="8">
        <v>3045731.833</v>
      </c>
      <c r="B147" s="8">
        <v>35400157.971</v>
      </c>
      <c r="C147" s="8">
        <v>891.566</v>
      </c>
      <c r="D147" s="34">
        <v>43975</v>
      </c>
      <c r="E147" s="96">
        <v>878.24</v>
      </c>
    </row>
    <row r="148" ht="16.5" spans="1:5">
      <c r="A148" s="8">
        <v>3045731.833</v>
      </c>
      <c r="B148" s="8">
        <v>35400157.971</v>
      </c>
      <c r="C148" s="8">
        <v>891.566</v>
      </c>
      <c r="D148" s="34">
        <v>43976</v>
      </c>
      <c r="E148" s="96">
        <v>878.09</v>
      </c>
    </row>
    <row r="149" ht="16.5" spans="1:5">
      <c r="A149" s="8">
        <v>3045731.833</v>
      </c>
      <c r="B149" s="8">
        <v>35400157.971</v>
      </c>
      <c r="C149" s="8">
        <v>891.566</v>
      </c>
      <c r="D149" s="34">
        <v>43977</v>
      </c>
      <c r="E149" s="96">
        <v>878.08</v>
      </c>
    </row>
    <row r="150" ht="16.5" spans="1:5">
      <c r="A150" s="8">
        <v>3045731.833</v>
      </c>
      <c r="B150" s="8">
        <v>35400157.971</v>
      </c>
      <c r="C150" s="8">
        <v>891.566</v>
      </c>
      <c r="D150" s="34">
        <v>43978</v>
      </c>
      <c r="E150" s="96">
        <v>878.09</v>
      </c>
    </row>
    <row r="151" ht="16.5" spans="1:5">
      <c r="A151" s="8">
        <v>3045731.833</v>
      </c>
      <c r="B151" s="8">
        <v>35400157.971</v>
      </c>
      <c r="C151" s="8">
        <v>891.566</v>
      </c>
      <c r="D151" s="34">
        <v>43979</v>
      </c>
      <c r="E151" s="96">
        <v>878.11</v>
      </c>
    </row>
    <row r="152" ht="16.5" spans="1:5">
      <c r="A152" s="8">
        <v>3045731.833</v>
      </c>
      <c r="B152" s="8">
        <v>35400157.971</v>
      </c>
      <c r="C152" s="8">
        <v>891.566</v>
      </c>
      <c r="D152" s="34">
        <v>43980</v>
      </c>
      <c r="E152" s="96">
        <v>878.09</v>
      </c>
    </row>
    <row r="153" ht="16.5" spans="1:5">
      <c r="A153" s="8">
        <v>3045731.833</v>
      </c>
      <c r="B153" s="8">
        <v>35400157.971</v>
      </c>
      <c r="C153" s="8">
        <v>891.566</v>
      </c>
      <c r="D153" s="34">
        <v>43981</v>
      </c>
      <c r="E153" s="96">
        <v>878.1</v>
      </c>
    </row>
    <row r="154" ht="16.5" spans="1:5">
      <c r="A154" s="8">
        <v>3045731.833</v>
      </c>
      <c r="B154" s="8">
        <v>35400157.971</v>
      </c>
      <c r="C154" s="8">
        <v>891.566</v>
      </c>
      <c r="D154" s="34">
        <v>43982</v>
      </c>
      <c r="E154" s="96">
        <v>878.08</v>
      </c>
    </row>
    <row r="155" ht="16.5" spans="1:5">
      <c r="A155" s="8">
        <v>3045731.833</v>
      </c>
      <c r="B155" s="8">
        <v>35400157.971</v>
      </c>
      <c r="C155" s="8">
        <v>891.566</v>
      </c>
      <c r="D155" s="34">
        <v>43983</v>
      </c>
      <c r="E155" s="96">
        <v>878.07</v>
      </c>
    </row>
    <row r="156" ht="16.5" spans="1:5">
      <c r="A156" s="8">
        <v>3045731.833</v>
      </c>
      <c r="B156" s="8">
        <v>35400157.971</v>
      </c>
      <c r="C156" s="8">
        <v>891.566</v>
      </c>
      <c r="D156" s="34">
        <v>43984</v>
      </c>
      <c r="E156" s="96">
        <v>878.08</v>
      </c>
    </row>
    <row r="157" ht="16.5" spans="1:5">
      <c r="A157" s="8">
        <v>3045731.833</v>
      </c>
      <c r="B157" s="8">
        <v>35400157.971</v>
      </c>
      <c r="C157" s="8">
        <v>891.566</v>
      </c>
      <c r="D157" s="34">
        <v>43985</v>
      </c>
      <c r="E157" s="96">
        <v>878.08</v>
      </c>
    </row>
    <row r="158" ht="16.5" spans="1:5">
      <c r="A158" s="8">
        <v>3045731.833</v>
      </c>
      <c r="B158" s="8">
        <v>35400157.971</v>
      </c>
      <c r="C158" s="8">
        <v>891.566</v>
      </c>
      <c r="D158" s="34">
        <v>43986</v>
      </c>
      <c r="E158" s="96">
        <v>878.13</v>
      </c>
    </row>
    <row r="159" ht="16.5" spans="1:5">
      <c r="A159" s="8">
        <v>3045731.833</v>
      </c>
      <c r="B159" s="8">
        <v>35400157.971</v>
      </c>
      <c r="C159" s="8">
        <v>891.566</v>
      </c>
      <c r="D159" s="34">
        <v>43987</v>
      </c>
      <c r="E159" s="96">
        <v>878.11</v>
      </c>
    </row>
    <row r="160" ht="16.5" spans="1:5">
      <c r="A160" s="8">
        <v>3045731.833</v>
      </c>
      <c r="B160" s="8">
        <v>35400157.971</v>
      </c>
      <c r="C160" s="8">
        <v>891.566</v>
      </c>
      <c r="D160" s="34">
        <v>43988</v>
      </c>
      <c r="E160" s="96">
        <v>878.1</v>
      </c>
    </row>
    <row r="161" ht="16.5" spans="1:5">
      <c r="A161" s="8">
        <v>3045731.833</v>
      </c>
      <c r="B161" s="8">
        <v>35400157.971</v>
      </c>
      <c r="C161" s="8">
        <v>891.566</v>
      </c>
      <c r="D161" s="34">
        <v>43989</v>
      </c>
      <c r="E161" s="96">
        <v>878.26</v>
      </c>
    </row>
    <row r="162" ht="16.5" spans="1:5">
      <c r="A162" s="8">
        <v>3045731.833</v>
      </c>
      <c r="B162" s="8">
        <v>35400157.971</v>
      </c>
      <c r="C162" s="8">
        <v>891.566</v>
      </c>
      <c r="D162" s="34">
        <v>43990</v>
      </c>
      <c r="E162" s="96">
        <v>878.18</v>
      </c>
    </row>
    <row r="163" ht="16.5" spans="1:5">
      <c r="A163" s="8">
        <v>3045731.833</v>
      </c>
      <c r="B163" s="8">
        <v>35400157.971</v>
      </c>
      <c r="C163" s="8">
        <v>891.566</v>
      </c>
      <c r="D163" s="34">
        <v>43991</v>
      </c>
      <c r="E163" s="96">
        <v>878.21</v>
      </c>
    </row>
    <row r="164" ht="16.5" spans="1:5">
      <c r="A164" s="8">
        <v>3045731.833</v>
      </c>
      <c r="B164" s="8">
        <v>35400157.971</v>
      </c>
      <c r="C164" s="8">
        <v>891.566</v>
      </c>
      <c r="D164" s="34">
        <v>43992</v>
      </c>
      <c r="E164" s="96">
        <v>878.16</v>
      </c>
    </row>
    <row r="165" ht="16.5" spans="1:5">
      <c r="A165" s="8">
        <v>3045731.833</v>
      </c>
      <c r="B165" s="8">
        <v>35400157.971</v>
      </c>
      <c r="C165" s="8">
        <v>891.566</v>
      </c>
      <c r="D165" s="34">
        <v>43993</v>
      </c>
      <c r="E165" s="96">
        <v>878.54</v>
      </c>
    </row>
    <row r="166" ht="16.5" spans="1:5">
      <c r="A166" s="8">
        <v>3045731.833</v>
      </c>
      <c r="B166" s="8">
        <v>35400157.971</v>
      </c>
      <c r="C166" s="8">
        <v>891.566</v>
      </c>
      <c r="D166" s="34">
        <v>43994</v>
      </c>
      <c r="E166" s="96">
        <v>878.44</v>
      </c>
    </row>
    <row r="167" ht="16.5" spans="1:5">
      <c r="A167" s="8">
        <v>3045731.833</v>
      </c>
      <c r="B167" s="8">
        <v>35400157.971</v>
      </c>
      <c r="C167" s="8">
        <v>891.566</v>
      </c>
      <c r="D167" s="34">
        <v>43995</v>
      </c>
      <c r="E167" s="96">
        <v>878.49</v>
      </c>
    </row>
    <row r="168" ht="16.5" spans="1:5">
      <c r="A168" s="8">
        <v>3045731.833</v>
      </c>
      <c r="B168" s="8">
        <v>35400157.971</v>
      </c>
      <c r="C168" s="8">
        <v>891.566</v>
      </c>
      <c r="D168" s="34">
        <v>43996</v>
      </c>
      <c r="E168" s="96">
        <v>878.47</v>
      </c>
    </row>
    <row r="169" ht="16.5" spans="1:5">
      <c r="A169" s="8">
        <v>3045731.833</v>
      </c>
      <c r="B169" s="8">
        <v>35400157.971</v>
      </c>
      <c r="C169" s="8">
        <v>891.566</v>
      </c>
      <c r="D169" s="34">
        <v>43997</v>
      </c>
      <c r="E169" s="96">
        <v>878.48</v>
      </c>
    </row>
    <row r="170" ht="16.5" spans="1:5">
      <c r="A170" s="8">
        <v>3045731.833</v>
      </c>
      <c r="B170" s="8">
        <v>35400157.971</v>
      </c>
      <c r="C170" s="8">
        <v>891.566</v>
      </c>
      <c r="D170" s="34">
        <v>43998</v>
      </c>
      <c r="E170" s="96">
        <v>878.49</v>
      </c>
    </row>
    <row r="171" ht="16.5" spans="1:5">
      <c r="A171" s="8">
        <v>3045731.833</v>
      </c>
      <c r="B171" s="8">
        <v>35400157.971</v>
      </c>
      <c r="C171" s="8">
        <v>891.566</v>
      </c>
      <c r="D171" s="34">
        <v>43999</v>
      </c>
      <c r="E171" s="96">
        <v>878.69</v>
      </c>
    </row>
    <row r="172" ht="16.5" spans="1:5">
      <c r="A172" s="8">
        <v>3045731.833</v>
      </c>
      <c r="B172" s="8">
        <v>35400157.971</v>
      </c>
      <c r="C172" s="8">
        <v>891.566</v>
      </c>
      <c r="D172" s="34">
        <v>44000</v>
      </c>
      <c r="E172" s="96">
        <v>878.66</v>
      </c>
    </row>
    <row r="173" ht="16.5" spans="1:5">
      <c r="A173" s="8">
        <v>3045731.833</v>
      </c>
      <c r="B173" s="8">
        <v>35400157.971</v>
      </c>
      <c r="C173" s="8">
        <v>891.566</v>
      </c>
      <c r="D173" s="34">
        <v>44001</v>
      </c>
      <c r="E173" s="96">
        <v>878.67</v>
      </c>
    </row>
    <row r="174" ht="16.5" spans="1:5">
      <c r="A174" s="8">
        <v>3045731.833</v>
      </c>
      <c r="B174" s="8">
        <v>35400157.971</v>
      </c>
      <c r="C174" s="8">
        <v>891.566</v>
      </c>
      <c r="D174" s="34">
        <v>44002</v>
      </c>
      <c r="E174" s="96">
        <v>878.66</v>
      </c>
    </row>
    <row r="175" ht="16.5" spans="1:5">
      <c r="A175" s="8">
        <v>3045731.833</v>
      </c>
      <c r="B175" s="8">
        <v>35400157.971</v>
      </c>
      <c r="C175" s="8">
        <v>891.566</v>
      </c>
      <c r="D175" s="34">
        <v>44003</v>
      </c>
      <c r="E175" s="96">
        <v>878.68</v>
      </c>
    </row>
    <row r="176" ht="16.5" spans="1:5">
      <c r="A176" s="8">
        <v>3045731.833</v>
      </c>
      <c r="B176" s="8">
        <v>35400157.971</v>
      </c>
      <c r="C176" s="8">
        <v>891.566</v>
      </c>
      <c r="D176" s="34">
        <v>44004</v>
      </c>
      <c r="E176" s="96">
        <v>878.7</v>
      </c>
    </row>
    <row r="177" ht="16.5" spans="1:5">
      <c r="A177" s="8">
        <v>3045731.833</v>
      </c>
      <c r="B177" s="8">
        <v>35400157.971</v>
      </c>
      <c r="C177" s="8">
        <v>891.566</v>
      </c>
      <c r="D177" s="34">
        <v>44005</v>
      </c>
      <c r="E177" s="96">
        <v>878.69</v>
      </c>
    </row>
    <row r="178" ht="16.5" spans="1:5">
      <c r="A178" s="8">
        <v>3045731.833</v>
      </c>
      <c r="B178" s="8">
        <v>35400157.971</v>
      </c>
      <c r="C178" s="8">
        <v>891.566</v>
      </c>
      <c r="D178" s="34">
        <v>44006</v>
      </c>
      <c r="E178" s="96">
        <v>878.71</v>
      </c>
    </row>
    <row r="179" ht="16.5" spans="1:5">
      <c r="A179" s="8">
        <v>3045731.833</v>
      </c>
      <c r="B179" s="8">
        <v>35400157.971</v>
      </c>
      <c r="C179" s="8">
        <v>891.566</v>
      </c>
      <c r="D179" s="34">
        <v>44007</v>
      </c>
      <c r="E179" s="96"/>
    </row>
    <row r="180" ht="16.5" spans="1:5">
      <c r="A180" s="8">
        <v>3045731.833</v>
      </c>
      <c r="B180" s="8">
        <v>35400157.971</v>
      </c>
      <c r="C180" s="8">
        <v>891.566</v>
      </c>
      <c r="D180" s="34">
        <v>44008</v>
      </c>
      <c r="E180" s="96"/>
    </row>
    <row r="181" ht="16.5" spans="1:5">
      <c r="A181" s="8">
        <v>3045731.833</v>
      </c>
      <c r="B181" s="8">
        <v>35400157.971</v>
      </c>
      <c r="C181" s="8">
        <v>891.566</v>
      </c>
      <c r="D181" s="34">
        <v>44009</v>
      </c>
      <c r="E181" s="96">
        <v>878.74</v>
      </c>
    </row>
    <row r="182" ht="16.5" spans="1:5">
      <c r="A182" s="8">
        <v>3045731.833</v>
      </c>
      <c r="B182" s="8">
        <v>35400157.971</v>
      </c>
      <c r="C182" s="8">
        <v>891.566</v>
      </c>
      <c r="D182" s="34">
        <v>44010</v>
      </c>
      <c r="E182" s="96">
        <v>878.94</v>
      </c>
    </row>
    <row r="183" ht="16.5" spans="1:5">
      <c r="A183" s="8">
        <v>3045731.833</v>
      </c>
      <c r="B183" s="8">
        <v>35400157.971</v>
      </c>
      <c r="C183" s="8">
        <v>891.566</v>
      </c>
      <c r="D183" s="34">
        <v>44011</v>
      </c>
      <c r="E183" s="96">
        <v>878.89</v>
      </c>
    </row>
    <row r="184" ht="16.5" spans="1:5">
      <c r="A184" s="8">
        <v>3045731.833</v>
      </c>
      <c r="B184" s="8">
        <v>35400157.971</v>
      </c>
      <c r="C184" s="8">
        <v>891.566</v>
      </c>
      <c r="D184" s="34">
        <v>44012</v>
      </c>
      <c r="E184" s="96">
        <v>878.84</v>
      </c>
    </row>
    <row r="185" ht="16.5" spans="1:5">
      <c r="A185" s="8">
        <v>3045731.833</v>
      </c>
      <c r="B185" s="8">
        <v>35400157.971</v>
      </c>
      <c r="C185" s="8">
        <v>891.566</v>
      </c>
      <c r="D185" s="34">
        <v>44013</v>
      </c>
      <c r="E185" s="96">
        <v>878.91</v>
      </c>
    </row>
    <row r="186" ht="16.5" spans="1:5">
      <c r="A186" s="8">
        <v>3045731.833</v>
      </c>
      <c r="B186" s="8">
        <v>35400157.971</v>
      </c>
      <c r="C186" s="8">
        <v>891.566</v>
      </c>
      <c r="D186" s="34">
        <v>44014</v>
      </c>
      <c r="E186" s="96">
        <v>879.32</v>
      </c>
    </row>
    <row r="187" ht="16.5" spans="1:5">
      <c r="A187" s="8">
        <v>3045731.833</v>
      </c>
      <c r="B187" s="8">
        <v>35400157.971</v>
      </c>
      <c r="C187" s="8">
        <v>891.566</v>
      </c>
      <c r="D187" s="34">
        <v>44015</v>
      </c>
      <c r="E187" s="96">
        <v>879.61</v>
      </c>
    </row>
    <row r="188" ht="16.5" spans="1:5">
      <c r="A188" s="8">
        <v>3045731.833</v>
      </c>
      <c r="B188" s="8">
        <v>35400157.971</v>
      </c>
      <c r="C188" s="8">
        <v>891.566</v>
      </c>
      <c r="D188" s="34">
        <v>44016</v>
      </c>
      <c r="E188" s="96">
        <v>879.59</v>
      </c>
    </row>
    <row r="189" ht="16.5" spans="1:5">
      <c r="A189" s="8">
        <v>3045731.833</v>
      </c>
      <c r="B189" s="8">
        <v>35400157.971</v>
      </c>
      <c r="C189" s="8">
        <v>891.566</v>
      </c>
      <c r="D189" s="34">
        <v>44017</v>
      </c>
      <c r="E189" s="96">
        <v>879.6</v>
      </c>
    </row>
    <row r="190" ht="16.5" spans="1:5">
      <c r="A190" s="8">
        <v>3045731.833</v>
      </c>
      <c r="B190" s="8">
        <v>35400157.971</v>
      </c>
      <c r="C190" s="8">
        <v>891.566</v>
      </c>
      <c r="D190" s="34">
        <v>44018</v>
      </c>
      <c r="E190" s="96">
        <v>879.72</v>
      </c>
    </row>
    <row r="191" ht="16.5" spans="1:5">
      <c r="A191" s="8">
        <v>3045731.833</v>
      </c>
      <c r="B191" s="8">
        <v>35400157.971</v>
      </c>
      <c r="C191" s="8">
        <v>891.566</v>
      </c>
      <c r="D191" s="34">
        <v>44019</v>
      </c>
      <c r="E191" s="96">
        <v>879.67</v>
      </c>
    </row>
    <row r="192" ht="16.5" spans="1:5">
      <c r="A192" s="8">
        <v>3045731.833</v>
      </c>
      <c r="B192" s="8">
        <v>35400157.971</v>
      </c>
      <c r="C192" s="8">
        <v>891.566</v>
      </c>
      <c r="D192" s="34">
        <v>44020</v>
      </c>
      <c r="E192" s="96">
        <v>879.87</v>
      </c>
    </row>
    <row r="193" ht="16.5" spans="1:5">
      <c r="A193" s="8">
        <v>3045731.833</v>
      </c>
      <c r="B193" s="8">
        <v>35400157.971</v>
      </c>
      <c r="C193" s="8">
        <v>891.566</v>
      </c>
      <c r="D193" s="34">
        <v>44021</v>
      </c>
      <c r="E193" s="96"/>
    </row>
    <row r="194" ht="16.5" spans="1:5">
      <c r="A194" s="8">
        <v>3045731.833</v>
      </c>
      <c r="B194" s="8">
        <v>35400157.971</v>
      </c>
      <c r="C194" s="8">
        <v>891.566</v>
      </c>
      <c r="D194" s="34">
        <v>44022</v>
      </c>
      <c r="E194" s="96"/>
    </row>
    <row r="195" ht="16.5" spans="1:5">
      <c r="A195" s="8">
        <v>3045731.833</v>
      </c>
      <c r="B195" s="8">
        <v>35400157.971</v>
      </c>
      <c r="C195" s="8">
        <v>891.566</v>
      </c>
      <c r="D195" s="34">
        <v>44023</v>
      </c>
      <c r="E195" s="96">
        <v>879.69</v>
      </c>
    </row>
    <row r="196" ht="16.5" spans="1:5">
      <c r="A196" s="8">
        <v>3045731.833</v>
      </c>
      <c r="B196" s="8">
        <v>35400157.971</v>
      </c>
      <c r="C196" s="8">
        <v>891.566</v>
      </c>
      <c r="D196" s="34">
        <v>44024</v>
      </c>
      <c r="E196" s="96">
        <v>879.74</v>
      </c>
    </row>
    <row r="197" ht="16.5" spans="1:5">
      <c r="A197" s="8">
        <v>3045731.833</v>
      </c>
      <c r="B197" s="8">
        <v>35400157.971</v>
      </c>
      <c r="C197" s="8">
        <v>891.566</v>
      </c>
      <c r="D197" s="34">
        <v>44025</v>
      </c>
      <c r="E197" s="96">
        <v>880.11</v>
      </c>
    </row>
    <row r="198" ht="16.5" spans="1:5">
      <c r="A198" s="8">
        <v>3045731.833</v>
      </c>
      <c r="B198" s="8">
        <v>35400157.971</v>
      </c>
      <c r="C198" s="8">
        <v>891.566</v>
      </c>
      <c r="D198" s="34">
        <v>44026</v>
      </c>
      <c r="E198" s="96">
        <v>880.24</v>
      </c>
    </row>
    <row r="199" ht="16.5" spans="1:5">
      <c r="A199" s="8">
        <v>3045731.833</v>
      </c>
      <c r="B199" s="8">
        <v>35400157.971</v>
      </c>
      <c r="C199" s="8">
        <v>891.566</v>
      </c>
      <c r="D199" s="34">
        <v>44027</v>
      </c>
      <c r="E199" s="96">
        <v>880.54</v>
      </c>
    </row>
    <row r="200" ht="16.5" spans="1:5">
      <c r="A200" s="8">
        <v>3045731.833</v>
      </c>
      <c r="B200" s="8">
        <v>35400157.971</v>
      </c>
      <c r="C200" s="8">
        <v>891.566</v>
      </c>
      <c r="D200" s="34">
        <v>44028</v>
      </c>
      <c r="E200" s="96">
        <v>880.75</v>
      </c>
    </row>
    <row r="201" ht="16.5" spans="1:5">
      <c r="A201" s="8">
        <v>3045731.833</v>
      </c>
      <c r="B201" s="8">
        <v>35400157.971</v>
      </c>
      <c r="C201" s="8">
        <v>891.566</v>
      </c>
      <c r="D201" s="34">
        <v>44029</v>
      </c>
      <c r="E201" s="96">
        <v>880.94</v>
      </c>
    </row>
    <row r="202" ht="16.5" spans="1:5">
      <c r="A202" s="8">
        <v>3045731.833</v>
      </c>
      <c r="B202" s="8">
        <v>35400157.971</v>
      </c>
      <c r="C202" s="8">
        <v>891.566</v>
      </c>
      <c r="D202" s="34">
        <v>44030</v>
      </c>
      <c r="E202" s="96">
        <v>880.88</v>
      </c>
    </row>
    <row r="203" ht="16.5" spans="1:5">
      <c r="A203" s="8">
        <v>3045731.833</v>
      </c>
      <c r="B203" s="8">
        <v>35400157.971</v>
      </c>
      <c r="C203" s="8">
        <v>891.566</v>
      </c>
      <c r="D203" s="34">
        <v>44031</v>
      </c>
      <c r="E203" s="96">
        <v>881.1</v>
      </c>
    </row>
    <row r="204" ht="16.5" spans="1:5">
      <c r="A204" s="8">
        <v>3045731.833</v>
      </c>
      <c r="B204" s="8">
        <v>35400157.971</v>
      </c>
      <c r="C204" s="8">
        <v>891.566</v>
      </c>
      <c r="D204" s="34">
        <v>44032</v>
      </c>
      <c r="E204" s="96">
        <v>881.05</v>
      </c>
    </row>
    <row r="205" ht="16.5" spans="1:5">
      <c r="A205" s="8">
        <v>3045731.833</v>
      </c>
      <c r="B205" s="8">
        <v>35400157.971</v>
      </c>
      <c r="C205" s="8">
        <v>891.566</v>
      </c>
      <c r="D205" s="34">
        <v>44033</v>
      </c>
      <c r="E205" s="96">
        <v>880.89</v>
      </c>
    </row>
    <row r="206" ht="16.5" spans="1:5">
      <c r="A206" s="8">
        <v>3045731.833</v>
      </c>
      <c r="B206" s="8">
        <v>35400157.971</v>
      </c>
      <c r="C206" s="8">
        <v>891.566</v>
      </c>
      <c r="D206" s="34">
        <v>44034</v>
      </c>
      <c r="E206" s="96">
        <v>880.99</v>
      </c>
    </row>
    <row r="207" ht="16.5" spans="1:5">
      <c r="A207" s="8">
        <v>3045731.833</v>
      </c>
      <c r="B207" s="8">
        <v>35400157.971</v>
      </c>
      <c r="C207" s="8">
        <v>891.566</v>
      </c>
      <c r="D207" s="34">
        <v>44035</v>
      </c>
      <c r="E207" s="96">
        <v>880.78</v>
      </c>
    </row>
    <row r="208" ht="16.5" spans="1:5">
      <c r="A208" s="8">
        <v>3045731.833</v>
      </c>
      <c r="B208" s="8">
        <v>35400157.971</v>
      </c>
      <c r="C208" s="8">
        <v>891.566</v>
      </c>
      <c r="D208" s="34">
        <v>44036</v>
      </c>
      <c r="E208" s="96">
        <v>881.3</v>
      </c>
    </row>
    <row r="209" ht="16.5" spans="1:5">
      <c r="A209" s="8">
        <v>3045731.833</v>
      </c>
      <c r="B209" s="8">
        <v>35400157.971</v>
      </c>
      <c r="C209" s="8">
        <v>891.566</v>
      </c>
      <c r="D209" s="34">
        <v>44037</v>
      </c>
      <c r="E209" s="96">
        <v>881.31</v>
      </c>
    </row>
    <row r="210" ht="16.5" spans="1:5">
      <c r="A210" s="8">
        <v>3045731.833</v>
      </c>
      <c r="B210" s="8">
        <v>35400157.971</v>
      </c>
      <c r="C210" s="8">
        <v>891.566</v>
      </c>
      <c r="D210" s="34">
        <v>44038</v>
      </c>
      <c r="E210" s="96">
        <v>881.38</v>
      </c>
    </row>
    <row r="211" ht="16.5" spans="1:5">
      <c r="A211" s="8">
        <v>3045731.833</v>
      </c>
      <c r="B211" s="8">
        <v>35400157.971</v>
      </c>
      <c r="C211" s="8">
        <v>891.566</v>
      </c>
      <c r="D211" s="34">
        <v>44039</v>
      </c>
      <c r="E211" s="96">
        <v>880.78</v>
      </c>
    </row>
    <row r="212" ht="16.5" spans="1:5">
      <c r="A212" s="8">
        <v>3045731.833</v>
      </c>
      <c r="B212" s="8">
        <v>35400157.971</v>
      </c>
      <c r="C212" s="8">
        <v>891.566</v>
      </c>
      <c r="D212" s="34">
        <v>44040</v>
      </c>
      <c r="E212" s="96">
        <v>880.79</v>
      </c>
    </row>
    <row r="213" ht="16.5" spans="1:5">
      <c r="A213" s="8">
        <v>3045731.833</v>
      </c>
      <c r="B213" s="8">
        <v>35400157.971</v>
      </c>
      <c r="C213" s="8">
        <v>891.566</v>
      </c>
      <c r="D213" s="34">
        <v>44041</v>
      </c>
      <c r="E213" s="96">
        <v>881.03</v>
      </c>
    </row>
    <row r="214" ht="16.5" spans="1:5">
      <c r="A214" s="8">
        <v>3045731.833</v>
      </c>
      <c r="B214" s="8">
        <v>35400157.971</v>
      </c>
      <c r="C214" s="8">
        <v>891.566</v>
      </c>
      <c r="D214" s="34">
        <v>44042</v>
      </c>
      <c r="E214" s="96">
        <v>881.22</v>
      </c>
    </row>
    <row r="215" ht="16.5" spans="1:5">
      <c r="A215" s="8">
        <v>3045731.833</v>
      </c>
      <c r="B215" s="8">
        <v>35400157.971</v>
      </c>
      <c r="C215" s="8">
        <v>891.566</v>
      </c>
      <c r="D215" s="34">
        <v>44043</v>
      </c>
      <c r="E215" s="96">
        <v>881.57</v>
      </c>
    </row>
    <row r="216" ht="16.5" spans="1:5">
      <c r="A216" s="8">
        <v>3045731.833</v>
      </c>
      <c r="B216" s="8">
        <v>35400157.971</v>
      </c>
      <c r="C216" s="8">
        <v>891.566</v>
      </c>
      <c r="D216" s="34">
        <v>44044</v>
      </c>
      <c r="E216" s="96">
        <v>881.03</v>
      </c>
    </row>
    <row r="217" ht="16.5" spans="1:5">
      <c r="A217" s="8">
        <v>3045731.833</v>
      </c>
      <c r="B217" s="8">
        <v>35400157.971</v>
      </c>
      <c r="C217" s="8">
        <v>891.566</v>
      </c>
      <c r="D217" s="34">
        <v>44045</v>
      </c>
      <c r="E217" s="96">
        <v>881.12</v>
      </c>
    </row>
    <row r="218" ht="16.5" spans="1:5">
      <c r="A218" s="8">
        <v>3045731.833</v>
      </c>
      <c r="B218" s="8">
        <v>35400157.971</v>
      </c>
      <c r="C218" s="8">
        <v>891.566</v>
      </c>
      <c r="D218" s="34">
        <v>44046</v>
      </c>
      <c r="E218" s="96">
        <v>881.18</v>
      </c>
    </row>
    <row r="219" ht="16.5" spans="1:5">
      <c r="A219" s="8">
        <v>3045731.833</v>
      </c>
      <c r="B219" s="8">
        <v>35400157.971</v>
      </c>
      <c r="C219" s="8">
        <v>891.566</v>
      </c>
      <c r="D219" s="34">
        <v>44047</v>
      </c>
      <c r="E219" s="96">
        <v>881.21</v>
      </c>
    </row>
    <row r="220" ht="16.5" spans="1:5">
      <c r="A220" s="8">
        <v>3045731.833</v>
      </c>
      <c r="B220" s="8">
        <v>35400157.971</v>
      </c>
      <c r="C220" s="8">
        <v>891.566</v>
      </c>
      <c r="D220" s="34">
        <v>44048</v>
      </c>
      <c r="E220" s="96">
        <v>881.66</v>
      </c>
    </row>
    <row r="221" ht="16.5" spans="1:5">
      <c r="A221" s="8">
        <v>3045731.833</v>
      </c>
      <c r="B221" s="8">
        <v>35400157.971</v>
      </c>
      <c r="C221" s="8">
        <v>891.566</v>
      </c>
      <c r="D221" s="34">
        <v>44049</v>
      </c>
      <c r="E221" s="96">
        <v>881.19</v>
      </c>
    </row>
    <row r="222" ht="16.5" spans="1:5">
      <c r="A222" s="8">
        <v>3045731.833</v>
      </c>
      <c r="B222" s="8">
        <v>35400157.971</v>
      </c>
      <c r="C222" s="8">
        <v>891.566</v>
      </c>
      <c r="D222" s="34">
        <v>44050</v>
      </c>
      <c r="E222" s="96">
        <v>881.66</v>
      </c>
    </row>
    <row r="223" ht="16.5" spans="1:5">
      <c r="A223" s="8">
        <v>3045731.833</v>
      </c>
      <c r="B223" s="8">
        <v>35400157.971</v>
      </c>
      <c r="C223" s="8">
        <v>891.566</v>
      </c>
      <c r="D223" s="34">
        <v>44051</v>
      </c>
      <c r="E223" s="96">
        <v>881.3</v>
      </c>
    </row>
    <row r="224" ht="16.5" spans="1:5">
      <c r="A224" s="8">
        <v>3045731.833</v>
      </c>
      <c r="B224" s="8">
        <v>35400157.971</v>
      </c>
      <c r="C224" s="8">
        <v>891.566</v>
      </c>
      <c r="D224" s="34">
        <v>44052</v>
      </c>
      <c r="E224" s="96">
        <v>881.68</v>
      </c>
    </row>
    <row r="225" ht="16.5" spans="1:5">
      <c r="A225" s="8">
        <v>3045731.833</v>
      </c>
      <c r="B225" s="8">
        <v>35400157.971</v>
      </c>
      <c r="C225" s="8">
        <v>891.566</v>
      </c>
      <c r="D225" s="34">
        <v>44053</v>
      </c>
      <c r="E225" s="96">
        <v>881.25</v>
      </c>
    </row>
    <row r="226" ht="16.5" spans="1:5">
      <c r="A226" s="8">
        <v>3045731.833</v>
      </c>
      <c r="B226" s="8">
        <v>35400157.971</v>
      </c>
      <c r="C226" s="8">
        <v>891.566</v>
      </c>
      <c r="D226" s="34">
        <v>44054</v>
      </c>
      <c r="E226" s="96">
        <v>881.39</v>
      </c>
    </row>
    <row r="227" ht="16.5" spans="1:5">
      <c r="A227" s="8">
        <v>3045731.833</v>
      </c>
      <c r="B227" s="8">
        <v>35400157.971</v>
      </c>
      <c r="C227" s="8">
        <v>891.566</v>
      </c>
      <c r="D227" s="34">
        <v>44055</v>
      </c>
      <c r="E227" s="96">
        <v>881.6</v>
      </c>
    </row>
    <row r="228" ht="16.5" spans="1:5">
      <c r="A228" s="8">
        <v>3045731.833</v>
      </c>
      <c r="B228" s="8">
        <v>35400157.971</v>
      </c>
      <c r="C228" s="8">
        <v>891.566</v>
      </c>
      <c r="D228" s="34">
        <v>44056</v>
      </c>
      <c r="E228" s="96">
        <v>881.75</v>
      </c>
    </row>
    <row r="229" ht="16.5" spans="1:5">
      <c r="A229" s="8">
        <v>3045731.833</v>
      </c>
      <c r="B229" s="8">
        <v>35400157.971</v>
      </c>
      <c r="C229" s="8">
        <v>891.566</v>
      </c>
      <c r="D229" s="34">
        <v>44057</v>
      </c>
      <c r="E229" s="96">
        <v>882.04</v>
      </c>
    </row>
    <row r="230" ht="16.5" spans="1:5">
      <c r="A230" s="8">
        <v>3045731.833</v>
      </c>
      <c r="B230" s="8">
        <v>35400157.971</v>
      </c>
      <c r="C230" s="8">
        <v>891.566</v>
      </c>
      <c r="D230" s="34">
        <v>44058</v>
      </c>
      <c r="E230" s="96">
        <v>881.71</v>
      </c>
    </row>
    <row r="231" ht="16.5" spans="1:5">
      <c r="A231" s="8">
        <v>3045731.833</v>
      </c>
      <c r="B231" s="8">
        <v>35400157.971</v>
      </c>
      <c r="C231" s="8">
        <v>891.566</v>
      </c>
      <c r="D231" s="34">
        <v>44059</v>
      </c>
      <c r="E231" s="96">
        <v>881.77</v>
      </c>
    </row>
    <row r="232" ht="16.5" spans="1:5">
      <c r="A232" s="8">
        <v>3045731.833</v>
      </c>
      <c r="B232" s="8">
        <v>35400157.971</v>
      </c>
      <c r="C232" s="8">
        <v>891.566</v>
      </c>
      <c r="D232" s="34">
        <v>44060</v>
      </c>
      <c r="E232" s="96">
        <v>881.9</v>
      </c>
    </row>
    <row r="233" ht="16.5" spans="1:5">
      <c r="A233" s="8">
        <v>3045731.833</v>
      </c>
      <c r="B233" s="8">
        <v>35400157.971</v>
      </c>
      <c r="C233" s="8">
        <v>891.566</v>
      </c>
      <c r="D233" s="34">
        <v>44061</v>
      </c>
      <c r="E233" s="96">
        <v>882.18</v>
      </c>
    </row>
    <row r="234" ht="16.5" spans="1:5">
      <c r="A234" s="8">
        <v>3045731.833</v>
      </c>
      <c r="B234" s="8">
        <v>35400157.971</v>
      </c>
      <c r="C234" s="8">
        <v>891.566</v>
      </c>
      <c r="D234" s="34">
        <v>44062</v>
      </c>
      <c r="E234" s="96">
        <v>882.23</v>
      </c>
    </row>
    <row r="235" ht="16.5" spans="1:5">
      <c r="A235" s="8">
        <v>3045731.833</v>
      </c>
      <c r="B235" s="8">
        <v>35400157.971</v>
      </c>
      <c r="C235" s="8">
        <v>891.566</v>
      </c>
      <c r="D235" s="34">
        <v>44063</v>
      </c>
      <c r="E235" s="96">
        <v>882.06</v>
      </c>
    </row>
    <row r="236" ht="16.5" spans="1:5">
      <c r="A236" s="8">
        <v>3045731.833</v>
      </c>
      <c r="B236" s="8">
        <v>35400157.971</v>
      </c>
      <c r="C236" s="8">
        <v>891.566</v>
      </c>
      <c r="D236" s="34">
        <v>44064</v>
      </c>
      <c r="E236" s="96">
        <v>881.99</v>
      </c>
    </row>
    <row r="237" ht="16.5" spans="1:5">
      <c r="A237" s="8">
        <v>3045731.833</v>
      </c>
      <c r="B237" s="8">
        <v>35400157.971</v>
      </c>
      <c r="C237" s="8">
        <v>891.566</v>
      </c>
      <c r="D237" s="34">
        <v>44065</v>
      </c>
      <c r="E237" s="96">
        <v>882.18</v>
      </c>
    </row>
    <row r="238" ht="16.5" spans="1:5">
      <c r="A238" s="8">
        <v>3045731.833</v>
      </c>
      <c r="B238" s="8">
        <v>35400157.971</v>
      </c>
      <c r="C238" s="8">
        <v>891.566</v>
      </c>
      <c r="D238" s="34">
        <v>44066</v>
      </c>
      <c r="E238" s="96">
        <v>881.57</v>
      </c>
    </row>
    <row r="239" ht="16.5" spans="1:5">
      <c r="A239" s="8">
        <v>3045731.833</v>
      </c>
      <c r="B239" s="8">
        <v>35400157.971</v>
      </c>
      <c r="C239" s="8">
        <v>891.566</v>
      </c>
      <c r="D239" s="34">
        <v>44067</v>
      </c>
      <c r="E239" s="96">
        <v>882.31</v>
      </c>
    </row>
    <row r="240" ht="16.5" spans="1:5">
      <c r="A240" s="8">
        <v>3045731.833</v>
      </c>
      <c r="B240" s="8">
        <v>35400157.971</v>
      </c>
      <c r="C240" s="8">
        <v>891.566</v>
      </c>
      <c r="D240" s="34">
        <v>44068</v>
      </c>
      <c r="E240" s="96">
        <v>881.65</v>
      </c>
    </row>
    <row r="241" ht="16.5" spans="1:5">
      <c r="A241" s="8">
        <v>3045731.833</v>
      </c>
      <c r="B241" s="8">
        <v>35400157.971</v>
      </c>
      <c r="C241" s="8">
        <v>891.566</v>
      </c>
      <c r="D241" s="34">
        <v>44069</v>
      </c>
      <c r="E241" s="96">
        <v>881.62</v>
      </c>
    </row>
    <row r="242" ht="16.5" spans="1:5">
      <c r="A242" s="8">
        <v>3045731.833</v>
      </c>
      <c r="B242" s="8">
        <v>35400157.971</v>
      </c>
      <c r="C242" s="8">
        <v>891.566</v>
      </c>
      <c r="D242" s="34">
        <v>44070</v>
      </c>
      <c r="E242" s="96">
        <v>881.86</v>
      </c>
    </row>
    <row r="243" ht="16.5" spans="1:5">
      <c r="A243" s="8">
        <v>3045731.833</v>
      </c>
      <c r="B243" s="8">
        <v>35400157.971</v>
      </c>
      <c r="C243" s="8">
        <v>891.566</v>
      </c>
      <c r="D243" s="34">
        <v>44071</v>
      </c>
      <c r="E243" s="96">
        <v>881.82</v>
      </c>
    </row>
    <row r="244" ht="16.5" spans="1:5">
      <c r="A244" s="8">
        <v>3045731.833</v>
      </c>
      <c r="B244" s="8">
        <v>35400157.971</v>
      </c>
      <c r="C244" s="8">
        <v>891.566</v>
      </c>
      <c r="D244" s="34">
        <v>44072</v>
      </c>
      <c r="E244" s="96">
        <v>882.08</v>
      </c>
    </row>
    <row r="245" ht="16.5" spans="1:5">
      <c r="A245" s="8">
        <v>3045731.833</v>
      </c>
      <c r="B245" s="8">
        <v>35400157.971</v>
      </c>
      <c r="C245" s="8">
        <v>891.566</v>
      </c>
      <c r="D245" s="34">
        <v>44073</v>
      </c>
      <c r="E245" s="96">
        <v>882.29</v>
      </c>
    </row>
    <row r="246" ht="16.5" spans="1:5">
      <c r="A246" s="8">
        <v>3045731.833</v>
      </c>
      <c r="B246" s="8">
        <v>35400157.971</v>
      </c>
      <c r="C246" s="8">
        <v>891.566</v>
      </c>
      <c r="D246" s="34">
        <v>44074</v>
      </c>
      <c r="E246" s="96">
        <v>882.16</v>
      </c>
    </row>
    <row r="247" ht="16.5" spans="1:5">
      <c r="A247" s="8">
        <v>3045731.833</v>
      </c>
      <c r="B247" s="8">
        <v>35400157.971</v>
      </c>
      <c r="C247" s="8">
        <v>891.566</v>
      </c>
      <c r="D247" s="34">
        <v>44075</v>
      </c>
      <c r="E247" s="96">
        <v>882.08</v>
      </c>
    </row>
    <row r="248" ht="16.5" spans="1:5">
      <c r="A248" s="8">
        <v>3045731.833</v>
      </c>
      <c r="B248" s="8">
        <v>35400157.971</v>
      </c>
      <c r="C248" s="8">
        <v>891.566</v>
      </c>
      <c r="D248" s="34">
        <v>44076</v>
      </c>
      <c r="E248" s="96">
        <v>882.59</v>
      </c>
    </row>
    <row r="249" ht="16.5" spans="1:5">
      <c r="A249" s="8">
        <v>3045731.833</v>
      </c>
      <c r="B249" s="8">
        <v>35400157.971</v>
      </c>
      <c r="C249" s="8">
        <v>891.566</v>
      </c>
      <c r="D249" s="34">
        <v>44077</v>
      </c>
      <c r="E249" s="96">
        <v>882.58</v>
      </c>
    </row>
    <row r="250" ht="16.5" spans="1:5">
      <c r="A250" s="8">
        <v>3045731.833</v>
      </c>
      <c r="B250" s="8">
        <v>35400157.971</v>
      </c>
      <c r="C250" s="8">
        <v>891.566</v>
      </c>
      <c r="D250" s="34">
        <v>44078</v>
      </c>
      <c r="E250" s="96">
        <v>882.38</v>
      </c>
    </row>
    <row r="251" ht="16.5" spans="1:5">
      <c r="A251" s="8">
        <v>3045731.833</v>
      </c>
      <c r="B251" s="8">
        <v>35400157.971</v>
      </c>
      <c r="C251" s="8">
        <v>891.566</v>
      </c>
      <c r="D251" s="34">
        <v>44079</v>
      </c>
      <c r="E251" s="96">
        <v>882.26</v>
      </c>
    </row>
    <row r="252" ht="16.5" spans="1:5">
      <c r="A252" s="8">
        <v>3045731.833</v>
      </c>
      <c r="B252" s="8">
        <v>35400157.971</v>
      </c>
      <c r="C252" s="8">
        <v>891.566</v>
      </c>
      <c r="D252" s="34">
        <v>44080</v>
      </c>
      <c r="E252" s="96">
        <v>882.7</v>
      </c>
    </row>
    <row r="253" ht="16.5" spans="1:5">
      <c r="A253" s="8">
        <v>3045731.833</v>
      </c>
      <c r="B253" s="8">
        <v>35400157.971</v>
      </c>
      <c r="C253" s="8">
        <v>891.566</v>
      </c>
      <c r="D253" s="34">
        <v>44081</v>
      </c>
      <c r="E253" s="96">
        <v>882.74</v>
      </c>
    </row>
    <row r="254" ht="16.5" spans="1:5">
      <c r="A254" s="8">
        <v>3045731.833</v>
      </c>
      <c r="B254" s="8">
        <v>35400157.971</v>
      </c>
      <c r="C254" s="8">
        <v>891.566</v>
      </c>
      <c r="D254" s="34">
        <v>44082</v>
      </c>
      <c r="E254" s="96">
        <v>882.34</v>
      </c>
    </row>
    <row r="255" ht="16.5" spans="1:5">
      <c r="A255" s="8">
        <v>3045731.833</v>
      </c>
      <c r="B255" s="8">
        <v>35400157.971</v>
      </c>
      <c r="C255" s="8">
        <v>891.566</v>
      </c>
      <c r="D255" s="34">
        <v>44083</v>
      </c>
      <c r="E255" s="96">
        <v>882.34</v>
      </c>
    </row>
    <row r="256" ht="16.5" spans="1:5">
      <c r="A256" s="8">
        <v>3045731.833</v>
      </c>
      <c r="B256" s="8">
        <v>35400157.971</v>
      </c>
      <c r="C256" s="8">
        <v>891.566</v>
      </c>
      <c r="D256" s="34">
        <v>44084</v>
      </c>
      <c r="E256" s="96">
        <v>882.83</v>
      </c>
    </row>
    <row r="257" ht="16.5" spans="1:5">
      <c r="A257" s="8">
        <v>3045731.833</v>
      </c>
      <c r="B257" s="8">
        <v>35400157.971</v>
      </c>
      <c r="C257" s="8">
        <v>891.566</v>
      </c>
      <c r="D257" s="34">
        <v>44085</v>
      </c>
      <c r="E257" s="96">
        <v>882.87</v>
      </c>
    </row>
    <row r="258" ht="16.5" spans="1:5">
      <c r="A258" s="8">
        <v>3045731.833</v>
      </c>
      <c r="B258" s="8">
        <v>35400157.971</v>
      </c>
      <c r="C258" s="8">
        <v>891.566</v>
      </c>
      <c r="D258" s="34">
        <v>44086</v>
      </c>
      <c r="E258" s="96">
        <v>882.91</v>
      </c>
    </row>
    <row r="259" ht="16.5" spans="1:5">
      <c r="A259" s="8">
        <v>3045731.833</v>
      </c>
      <c r="B259" s="8">
        <v>35400157.971</v>
      </c>
      <c r="C259" s="8">
        <v>891.566</v>
      </c>
      <c r="D259" s="34">
        <v>44087</v>
      </c>
      <c r="E259" s="96">
        <v>882.95</v>
      </c>
    </row>
    <row r="260" ht="16.5" spans="1:5">
      <c r="A260" s="8">
        <v>3045731.833</v>
      </c>
      <c r="B260" s="8">
        <v>35400157.971</v>
      </c>
      <c r="C260" s="8">
        <v>891.566</v>
      </c>
      <c r="D260" s="34">
        <v>44088</v>
      </c>
      <c r="E260" s="96">
        <v>882.93</v>
      </c>
    </row>
    <row r="261" ht="16.5" spans="1:5">
      <c r="A261" s="8">
        <v>3045731.833</v>
      </c>
      <c r="B261" s="8">
        <v>35400157.971</v>
      </c>
      <c r="C261" s="8">
        <v>891.566</v>
      </c>
      <c r="D261" s="34">
        <v>44089</v>
      </c>
      <c r="E261" s="96">
        <v>883.06</v>
      </c>
    </row>
    <row r="262" ht="16.5" spans="1:5">
      <c r="A262" s="8">
        <v>3045731.833</v>
      </c>
      <c r="B262" s="8">
        <v>35400157.971</v>
      </c>
      <c r="C262" s="8">
        <v>891.566</v>
      </c>
      <c r="D262" s="34">
        <v>44090</v>
      </c>
      <c r="E262" s="96">
        <v>883.06</v>
      </c>
    </row>
    <row r="263" ht="16.5" spans="1:5">
      <c r="A263" s="8">
        <v>3045731.833</v>
      </c>
      <c r="B263" s="8">
        <v>35400157.971</v>
      </c>
      <c r="C263" s="8">
        <v>891.566</v>
      </c>
      <c r="D263" s="34">
        <v>44091</v>
      </c>
      <c r="E263" s="96">
        <v>883.26</v>
      </c>
    </row>
    <row r="264" ht="16.5" spans="1:5">
      <c r="A264" s="8">
        <v>3045731.833</v>
      </c>
      <c r="B264" s="8">
        <v>35400157.971</v>
      </c>
      <c r="C264" s="8">
        <v>891.566</v>
      </c>
      <c r="D264" s="34">
        <v>44092</v>
      </c>
      <c r="E264" s="96">
        <v>883.15</v>
      </c>
    </row>
    <row r="265" ht="16.5" spans="1:5">
      <c r="A265" s="8">
        <v>3045731.833</v>
      </c>
      <c r="B265" s="8">
        <v>35400157.971</v>
      </c>
      <c r="C265" s="8">
        <v>891.566</v>
      </c>
      <c r="D265" s="34">
        <v>44093</v>
      </c>
      <c r="E265" s="96">
        <v>883.09</v>
      </c>
    </row>
    <row r="266" ht="16.5" spans="1:5">
      <c r="A266" s="8">
        <v>3045731.833</v>
      </c>
      <c r="B266" s="8">
        <v>35400157.971</v>
      </c>
      <c r="C266" s="8">
        <v>891.566</v>
      </c>
      <c r="D266" s="34">
        <v>44094</v>
      </c>
      <c r="E266" s="96">
        <v>883.07</v>
      </c>
    </row>
    <row r="267" ht="16.5" spans="1:5">
      <c r="A267" s="8">
        <v>3045731.833</v>
      </c>
      <c r="B267" s="8">
        <v>35400157.971</v>
      </c>
      <c r="C267" s="8">
        <v>891.566</v>
      </c>
      <c r="D267" s="34">
        <v>44095</v>
      </c>
      <c r="E267" s="96">
        <v>883.04</v>
      </c>
    </row>
    <row r="268" ht="16.5" spans="1:5">
      <c r="A268" s="8">
        <v>3045731.833</v>
      </c>
      <c r="B268" s="8">
        <v>35400157.971</v>
      </c>
      <c r="C268" s="8">
        <v>891.566</v>
      </c>
      <c r="D268" s="34">
        <v>44096</v>
      </c>
      <c r="E268" s="96">
        <v>883.52</v>
      </c>
    </row>
    <row r="269" ht="16.5" spans="1:5">
      <c r="A269" s="8">
        <v>3045731.833</v>
      </c>
      <c r="B269" s="8">
        <v>35400157.971</v>
      </c>
      <c r="C269" s="8">
        <v>891.566</v>
      </c>
      <c r="D269" s="34">
        <v>44097</v>
      </c>
      <c r="E269" s="96">
        <v>883.5</v>
      </c>
    </row>
    <row r="270" ht="16.5" spans="1:5">
      <c r="A270" s="8">
        <v>3045731.833</v>
      </c>
      <c r="B270" s="8">
        <v>35400157.971</v>
      </c>
      <c r="C270" s="8">
        <v>891.566</v>
      </c>
      <c r="D270" s="34">
        <v>44098</v>
      </c>
      <c r="E270" s="96">
        <v>883.29</v>
      </c>
    </row>
    <row r="271" ht="16.5" spans="1:5">
      <c r="A271" s="8">
        <v>3045731.833</v>
      </c>
      <c r="B271" s="8">
        <v>35400157.971</v>
      </c>
      <c r="C271" s="8">
        <v>891.566</v>
      </c>
      <c r="D271" s="34">
        <v>44099</v>
      </c>
      <c r="E271" s="96">
        <v>883.71</v>
      </c>
    </row>
    <row r="272" ht="16.5" spans="1:5">
      <c r="A272" s="8">
        <v>3045731.833</v>
      </c>
      <c r="B272" s="8">
        <v>35400157.971</v>
      </c>
      <c r="C272" s="8">
        <v>891.566</v>
      </c>
      <c r="D272" s="34">
        <v>44100</v>
      </c>
      <c r="E272" s="96">
        <v>883.75</v>
      </c>
    </row>
    <row r="273" ht="16.5" spans="1:5">
      <c r="A273" s="8">
        <v>3045731.833</v>
      </c>
      <c r="B273" s="8">
        <v>35400157.971</v>
      </c>
      <c r="C273" s="8">
        <v>891.566</v>
      </c>
      <c r="D273" s="34">
        <v>44101</v>
      </c>
      <c r="E273" s="96"/>
    </row>
    <row r="274" ht="16.5" spans="1:5">
      <c r="A274" s="8">
        <v>3045731.833</v>
      </c>
      <c r="B274" s="8">
        <v>35400157.971</v>
      </c>
      <c r="C274" s="8">
        <v>891.566</v>
      </c>
      <c r="D274" s="34">
        <v>44102</v>
      </c>
      <c r="E274" s="96">
        <v>883.73</v>
      </c>
    </row>
    <row r="275" ht="16.5" spans="1:5">
      <c r="A275" s="8">
        <v>3045731.833</v>
      </c>
      <c r="B275" s="8">
        <v>35400157.971</v>
      </c>
      <c r="C275" s="8">
        <v>891.566</v>
      </c>
      <c r="D275" s="34">
        <v>44103</v>
      </c>
      <c r="E275" s="96">
        <v>883.7</v>
      </c>
    </row>
    <row r="276" ht="16.5" spans="1:5">
      <c r="A276" s="8">
        <v>3045731.833</v>
      </c>
      <c r="B276" s="8">
        <v>35400157.971</v>
      </c>
      <c r="C276" s="8">
        <v>891.566</v>
      </c>
      <c r="D276" s="34">
        <v>44104</v>
      </c>
      <c r="E276" s="96">
        <v>883.65</v>
      </c>
    </row>
    <row r="277" ht="16.5" spans="1:5">
      <c r="A277" s="8">
        <v>3045731.833</v>
      </c>
      <c r="B277" s="8">
        <v>35400157.971</v>
      </c>
      <c r="C277" s="8">
        <v>891.566</v>
      </c>
      <c r="D277" s="34">
        <v>44105</v>
      </c>
      <c r="E277" s="96">
        <v>883.64</v>
      </c>
    </row>
    <row r="278" ht="16.5" spans="1:5">
      <c r="A278" s="8">
        <v>3045731.833</v>
      </c>
      <c r="B278" s="8">
        <v>35400157.971</v>
      </c>
      <c r="C278" s="8">
        <v>891.566</v>
      </c>
      <c r="D278" s="34">
        <v>44106</v>
      </c>
      <c r="E278" s="96">
        <v>883.59</v>
      </c>
    </row>
    <row r="279" ht="16.5" spans="1:5">
      <c r="A279" s="8">
        <v>3045731.833</v>
      </c>
      <c r="B279" s="8">
        <v>35400157.971</v>
      </c>
      <c r="C279" s="8">
        <v>891.566</v>
      </c>
      <c r="D279" s="34">
        <v>44107</v>
      </c>
      <c r="E279" s="96">
        <v>883.61</v>
      </c>
    </row>
    <row r="280" ht="16.5" spans="1:5">
      <c r="A280" s="8">
        <v>3045731.833</v>
      </c>
      <c r="B280" s="8">
        <v>35400157.971</v>
      </c>
      <c r="C280" s="8">
        <v>891.566</v>
      </c>
      <c r="D280" s="34">
        <v>44108</v>
      </c>
      <c r="E280" s="96">
        <v>883.69</v>
      </c>
    </row>
    <row r="281" ht="16.5" spans="1:5">
      <c r="A281" s="8">
        <v>3045731.833</v>
      </c>
      <c r="B281" s="8">
        <v>35400157.971</v>
      </c>
      <c r="C281" s="8">
        <v>891.566</v>
      </c>
      <c r="D281" s="34">
        <v>44109</v>
      </c>
      <c r="E281" s="96">
        <v>883.67</v>
      </c>
    </row>
    <row r="282" ht="16.5" spans="1:5">
      <c r="A282" s="8">
        <v>3045731.833</v>
      </c>
      <c r="B282" s="8">
        <v>35400157.971</v>
      </c>
      <c r="C282" s="8">
        <v>891.566</v>
      </c>
      <c r="D282" s="34">
        <v>44110</v>
      </c>
      <c r="E282" s="96">
        <v>883.66</v>
      </c>
    </row>
    <row r="283" ht="16.5" spans="1:5">
      <c r="A283" s="8">
        <v>3045731.833</v>
      </c>
      <c r="B283" s="8">
        <v>35400157.971</v>
      </c>
      <c r="C283" s="8">
        <v>891.566</v>
      </c>
      <c r="D283" s="34">
        <v>44111</v>
      </c>
      <c r="E283" s="96">
        <v>883.67</v>
      </c>
    </row>
    <row r="284" ht="16.5" spans="1:5">
      <c r="A284" s="8">
        <v>3045731.833</v>
      </c>
      <c r="B284" s="8">
        <v>35400157.971</v>
      </c>
      <c r="C284" s="8">
        <v>891.566</v>
      </c>
      <c r="D284" s="34">
        <v>44112</v>
      </c>
      <c r="E284" s="96">
        <v>883.65</v>
      </c>
    </row>
    <row r="285" ht="16.5" spans="1:5">
      <c r="A285" s="8">
        <v>3045731.833</v>
      </c>
      <c r="B285" s="8">
        <v>35400157.971</v>
      </c>
      <c r="C285" s="8">
        <v>891.566</v>
      </c>
      <c r="D285" s="34">
        <v>44113</v>
      </c>
      <c r="E285" s="96">
        <v>883.64</v>
      </c>
    </row>
    <row r="286" ht="16.5" spans="1:5">
      <c r="A286" s="8">
        <v>3045731.833</v>
      </c>
      <c r="B286" s="8">
        <v>35400157.971</v>
      </c>
      <c r="C286" s="8">
        <v>891.566</v>
      </c>
      <c r="D286" s="34">
        <v>44114</v>
      </c>
      <c r="E286" s="96">
        <v>883.61</v>
      </c>
    </row>
    <row r="287" ht="16.5" spans="1:5">
      <c r="A287" s="8">
        <v>3045731.833</v>
      </c>
      <c r="B287" s="8">
        <v>35400157.971</v>
      </c>
      <c r="C287" s="8">
        <v>891.566</v>
      </c>
      <c r="D287" s="34">
        <v>44115</v>
      </c>
      <c r="E287" s="96">
        <v>883.57</v>
      </c>
    </row>
    <row r="288" ht="16.5" spans="1:5">
      <c r="A288" s="8">
        <v>3045731.833</v>
      </c>
      <c r="B288" s="8">
        <v>35400157.971</v>
      </c>
      <c r="C288" s="8">
        <v>891.566</v>
      </c>
      <c r="D288" s="34">
        <v>44116</v>
      </c>
      <c r="E288" s="96">
        <v>883.58</v>
      </c>
    </row>
    <row r="289" ht="16.5" spans="1:5">
      <c r="A289" s="8">
        <v>3045731.833</v>
      </c>
      <c r="B289" s="8">
        <v>35400157.971</v>
      </c>
      <c r="C289" s="8">
        <v>891.566</v>
      </c>
      <c r="D289" s="34">
        <v>44117</v>
      </c>
      <c r="E289" s="96">
        <v>883.56</v>
      </c>
    </row>
    <row r="290" ht="16.5" spans="1:5">
      <c r="A290" s="8">
        <v>3045731.833</v>
      </c>
      <c r="B290" s="8">
        <v>35400157.971</v>
      </c>
      <c r="C290" s="8">
        <v>891.566</v>
      </c>
      <c r="D290" s="34">
        <v>44118</v>
      </c>
      <c r="E290" s="96">
        <v>883.58</v>
      </c>
    </row>
    <row r="291" ht="16.5" spans="1:5">
      <c r="A291" s="8">
        <v>3045731.833</v>
      </c>
      <c r="B291" s="8">
        <v>35400157.971</v>
      </c>
      <c r="C291" s="8">
        <v>891.566</v>
      </c>
      <c r="D291" s="34">
        <v>44119</v>
      </c>
      <c r="E291" s="96">
        <v>883.55</v>
      </c>
    </row>
    <row r="292" ht="16.5" spans="1:5">
      <c r="A292" s="8">
        <v>3045731.833</v>
      </c>
      <c r="B292" s="8">
        <v>35400157.971</v>
      </c>
      <c r="C292" s="8">
        <v>891.566</v>
      </c>
      <c r="D292" s="34">
        <v>44120</v>
      </c>
      <c r="E292" s="96">
        <v>884.52</v>
      </c>
    </row>
    <row r="293" ht="16.5" spans="1:5">
      <c r="A293" s="8">
        <v>3045731.833</v>
      </c>
      <c r="B293" s="8">
        <v>35400157.971</v>
      </c>
      <c r="C293" s="8">
        <v>891.566</v>
      </c>
      <c r="D293" s="34">
        <v>44121</v>
      </c>
      <c r="E293" s="96">
        <v>884.57</v>
      </c>
    </row>
    <row r="294" ht="16.5" spans="1:5">
      <c r="A294" s="8">
        <v>3045731.833</v>
      </c>
      <c r="B294" s="8">
        <v>35400157.971</v>
      </c>
      <c r="C294" s="8">
        <v>891.566</v>
      </c>
      <c r="D294" s="34">
        <v>44122</v>
      </c>
      <c r="E294" s="96">
        <v>884.54</v>
      </c>
    </row>
    <row r="295" ht="16.5" spans="1:5">
      <c r="A295" s="8">
        <v>3045731.833</v>
      </c>
      <c r="B295" s="8">
        <v>35400157.971</v>
      </c>
      <c r="C295" s="8">
        <v>891.566</v>
      </c>
      <c r="D295" s="34">
        <v>44123</v>
      </c>
      <c r="E295" s="96">
        <v>884.56</v>
      </c>
    </row>
    <row r="296" ht="16.5" spans="1:5">
      <c r="A296" s="8">
        <v>3045731.833</v>
      </c>
      <c r="B296" s="8">
        <v>35400157.971</v>
      </c>
      <c r="C296" s="8">
        <v>891.566</v>
      </c>
      <c r="D296" s="34">
        <v>44124</v>
      </c>
      <c r="E296" s="96">
        <v>884.58</v>
      </c>
    </row>
    <row r="297" ht="16.5" spans="1:5">
      <c r="A297" s="8">
        <v>3045731.833</v>
      </c>
      <c r="B297" s="8">
        <v>35400157.971</v>
      </c>
      <c r="C297" s="8">
        <v>891.566</v>
      </c>
      <c r="D297" s="34">
        <v>44125</v>
      </c>
      <c r="E297" s="96">
        <v>884.59</v>
      </c>
    </row>
    <row r="298" ht="16.5" spans="1:5">
      <c r="A298" s="8">
        <v>3045731.833</v>
      </c>
      <c r="B298" s="8">
        <v>35400157.971</v>
      </c>
      <c r="C298" s="8">
        <v>891.566</v>
      </c>
      <c r="D298" s="34">
        <v>44126</v>
      </c>
      <c r="E298" s="96">
        <v>884.61</v>
      </c>
    </row>
    <row r="299" ht="16.5" spans="1:5">
      <c r="A299" s="8">
        <v>3045731.833</v>
      </c>
      <c r="B299" s="8">
        <v>35400157.971</v>
      </c>
      <c r="C299" s="8">
        <v>891.566</v>
      </c>
      <c r="D299" s="34">
        <v>44127</v>
      </c>
      <c r="E299" s="96">
        <v>884.58</v>
      </c>
    </row>
    <row r="300" ht="16.5" spans="1:5">
      <c r="A300" s="8">
        <v>3045731.833</v>
      </c>
      <c r="B300" s="8">
        <v>35400157.971</v>
      </c>
      <c r="C300" s="8">
        <v>891.566</v>
      </c>
      <c r="D300" s="34">
        <v>44128</v>
      </c>
      <c r="E300" s="96">
        <v>884.65</v>
      </c>
    </row>
    <row r="301" ht="16.5" spans="1:5">
      <c r="A301" s="8">
        <v>3045731.833</v>
      </c>
      <c r="B301" s="8">
        <v>35400157.971</v>
      </c>
      <c r="C301" s="8">
        <v>891.566</v>
      </c>
      <c r="D301" s="34">
        <v>44129</v>
      </c>
      <c r="E301" s="96">
        <v>884.6</v>
      </c>
    </row>
    <row r="302" ht="16.5" spans="1:5">
      <c r="A302" s="8">
        <v>3045731.833</v>
      </c>
      <c r="B302" s="8">
        <v>35400157.971</v>
      </c>
      <c r="C302" s="8">
        <v>891.566</v>
      </c>
      <c r="D302" s="34">
        <v>44130</v>
      </c>
      <c r="E302" s="96">
        <v>884.62</v>
      </c>
    </row>
    <row r="303" ht="16.5" spans="1:5">
      <c r="A303" s="8">
        <v>3045731.833</v>
      </c>
      <c r="B303" s="8">
        <v>35400157.971</v>
      </c>
      <c r="C303" s="8">
        <v>891.566</v>
      </c>
      <c r="D303" s="34">
        <v>44131</v>
      </c>
      <c r="E303" s="96">
        <v>884.64</v>
      </c>
    </row>
    <row r="304" ht="16.5" spans="1:5">
      <c r="A304" s="8">
        <v>3045731.833</v>
      </c>
      <c r="B304" s="8">
        <v>35400157.971</v>
      </c>
      <c r="C304" s="8">
        <v>891.566</v>
      </c>
      <c r="D304" s="34">
        <v>44132</v>
      </c>
      <c r="E304" s="96">
        <v>884.63</v>
      </c>
    </row>
    <row r="305" ht="16.5" spans="1:5">
      <c r="A305" s="8">
        <v>3045731.833</v>
      </c>
      <c r="B305" s="8">
        <v>35400157.971</v>
      </c>
      <c r="C305" s="8">
        <v>891.566</v>
      </c>
      <c r="D305" s="34">
        <v>44133</v>
      </c>
      <c r="E305" s="96">
        <v>884.67</v>
      </c>
    </row>
    <row r="306" ht="16.5" spans="1:5">
      <c r="A306" s="8">
        <v>3045731.833</v>
      </c>
      <c r="B306" s="8">
        <v>35400157.971</v>
      </c>
      <c r="C306" s="8">
        <v>891.566</v>
      </c>
      <c r="D306" s="34">
        <v>44134</v>
      </c>
      <c r="E306" s="96">
        <v>884.68</v>
      </c>
    </row>
    <row r="307" ht="16.5" spans="1:5">
      <c r="A307" s="8">
        <v>3045731.833</v>
      </c>
      <c r="B307" s="8">
        <v>35400157.971</v>
      </c>
      <c r="C307" s="8">
        <v>891.566</v>
      </c>
      <c r="D307" s="34">
        <v>44135</v>
      </c>
      <c r="E307" s="96">
        <v>884.7</v>
      </c>
    </row>
    <row r="308" ht="16.5" spans="1:5">
      <c r="A308" s="8">
        <v>3045731.833</v>
      </c>
      <c r="B308" s="8">
        <v>35400157.971</v>
      </c>
      <c r="C308" s="8">
        <v>891.566</v>
      </c>
      <c r="D308" s="34">
        <v>44136</v>
      </c>
      <c r="E308" s="96">
        <v>884.69</v>
      </c>
    </row>
    <row r="309" ht="16.5" spans="1:5">
      <c r="A309" s="8">
        <v>3045731.833</v>
      </c>
      <c r="B309" s="8">
        <v>35400157.971</v>
      </c>
      <c r="C309" s="8">
        <v>891.566</v>
      </c>
      <c r="D309" s="34">
        <v>44137</v>
      </c>
      <c r="E309" s="96">
        <v>884.71</v>
      </c>
    </row>
    <row r="310" ht="16.5" spans="1:5">
      <c r="A310" s="8">
        <v>3045731.833</v>
      </c>
      <c r="B310" s="8">
        <v>35400157.971</v>
      </c>
      <c r="C310" s="8">
        <v>891.566</v>
      </c>
      <c r="D310" s="34">
        <v>44138</v>
      </c>
      <c r="E310" s="96">
        <v>884.68</v>
      </c>
    </row>
    <row r="311" ht="16.5" spans="1:5">
      <c r="A311" s="8">
        <v>3045731.833</v>
      </c>
      <c r="B311" s="8">
        <v>35400157.971</v>
      </c>
      <c r="C311" s="8">
        <v>891.566</v>
      </c>
      <c r="D311" s="34">
        <v>44139</v>
      </c>
      <c r="E311" s="96">
        <v>884.73</v>
      </c>
    </row>
    <row r="312" ht="16.5" spans="1:5">
      <c r="A312" s="8">
        <v>3045731.833</v>
      </c>
      <c r="B312" s="8">
        <v>35400157.971</v>
      </c>
      <c r="C312" s="8">
        <v>891.566</v>
      </c>
      <c r="D312" s="34">
        <v>44140</v>
      </c>
      <c r="E312" s="96">
        <v>884.76</v>
      </c>
    </row>
    <row r="313" ht="16.5" spans="1:5">
      <c r="A313" s="8">
        <v>3045731.833</v>
      </c>
      <c r="B313" s="8">
        <v>35400157.971</v>
      </c>
      <c r="C313" s="8">
        <v>891.566</v>
      </c>
      <c r="D313" s="34">
        <v>44141</v>
      </c>
      <c r="E313" s="96">
        <v>884.75</v>
      </c>
    </row>
    <row r="314" ht="16.5" spans="1:5">
      <c r="A314" s="8">
        <v>3045731.833</v>
      </c>
      <c r="B314" s="8">
        <v>35400157.971</v>
      </c>
      <c r="C314" s="8">
        <v>891.566</v>
      </c>
      <c r="D314" s="34">
        <v>44142</v>
      </c>
      <c r="E314" s="96">
        <v>884.72</v>
      </c>
    </row>
    <row r="315" ht="16.5" spans="1:5">
      <c r="A315" s="8">
        <v>3045731.833</v>
      </c>
      <c r="B315" s="8">
        <v>35400157.971</v>
      </c>
      <c r="C315" s="8">
        <v>891.566</v>
      </c>
      <c r="D315" s="34">
        <v>44143</v>
      </c>
      <c r="E315" s="96">
        <v>884.77</v>
      </c>
    </row>
    <row r="316" ht="16.5" spans="1:5">
      <c r="A316" s="8">
        <v>3045731.833</v>
      </c>
      <c r="B316" s="8">
        <v>35400157.971</v>
      </c>
      <c r="C316" s="8">
        <v>891.566</v>
      </c>
      <c r="D316" s="34">
        <v>44144</v>
      </c>
      <c r="E316" s="96">
        <v>884.79</v>
      </c>
    </row>
    <row r="317" ht="16.5" spans="1:5">
      <c r="A317" s="8">
        <v>3045731.833</v>
      </c>
      <c r="B317" s="8">
        <v>35400157.971</v>
      </c>
      <c r="C317" s="8">
        <v>891.566</v>
      </c>
      <c r="D317" s="34">
        <v>44145</v>
      </c>
      <c r="E317" s="96">
        <v>884.82</v>
      </c>
    </row>
    <row r="318" ht="16.5" spans="1:5">
      <c r="A318" s="8">
        <v>3045731.833</v>
      </c>
      <c r="B318" s="8">
        <v>35400157.971</v>
      </c>
      <c r="C318" s="8">
        <v>891.566</v>
      </c>
      <c r="D318" s="34">
        <v>44146</v>
      </c>
      <c r="E318" s="96">
        <v>884.83</v>
      </c>
    </row>
    <row r="319" ht="16.5" spans="1:5">
      <c r="A319" s="8">
        <v>3045731.833</v>
      </c>
      <c r="B319" s="8">
        <v>35400157.971</v>
      </c>
      <c r="C319" s="8">
        <v>891.566</v>
      </c>
      <c r="D319" s="34">
        <v>44147</v>
      </c>
      <c r="E319" s="96">
        <v>884.87</v>
      </c>
    </row>
    <row r="320" ht="16.5" spans="1:5">
      <c r="A320" s="8">
        <v>3045731.833</v>
      </c>
      <c r="B320" s="8">
        <v>35400157.971</v>
      </c>
      <c r="C320" s="8">
        <v>891.566</v>
      </c>
      <c r="D320" s="34">
        <v>44148</v>
      </c>
      <c r="E320" s="96">
        <v>884.88</v>
      </c>
    </row>
    <row r="321" ht="16.5" spans="1:5">
      <c r="A321" s="8">
        <v>3045731.833</v>
      </c>
      <c r="B321" s="8">
        <v>35400157.971</v>
      </c>
      <c r="C321" s="8">
        <v>891.566</v>
      </c>
      <c r="D321" s="34">
        <v>44149</v>
      </c>
      <c r="E321" s="96">
        <v>884.91</v>
      </c>
    </row>
    <row r="322" ht="16.5" spans="1:5">
      <c r="A322" s="8">
        <v>3045731.833</v>
      </c>
      <c r="B322" s="8">
        <v>35400157.971</v>
      </c>
      <c r="C322" s="8">
        <v>891.566</v>
      </c>
      <c r="D322" s="34">
        <v>44150</v>
      </c>
      <c r="E322" s="96">
        <v>884.97</v>
      </c>
    </row>
    <row r="323" ht="16.5" spans="1:5">
      <c r="A323" s="8">
        <v>3045731.833</v>
      </c>
      <c r="B323" s="8">
        <v>35400157.971</v>
      </c>
      <c r="C323" s="8">
        <v>891.566</v>
      </c>
      <c r="D323" s="34">
        <v>44151</v>
      </c>
      <c r="E323" s="96">
        <v>885.01</v>
      </c>
    </row>
    <row r="324" ht="16.5" spans="1:5">
      <c r="A324" s="8">
        <v>3045731.833</v>
      </c>
      <c r="B324" s="8">
        <v>35400157.971</v>
      </c>
      <c r="C324" s="8">
        <v>891.566</v>
      </c>
      <c r="D324" s="34">
        <v>44152</v>
      </c>
      <c r="E324" s="96">
        <v>885.04</v>
      </c>
    </row>
    <row r="325" ht="16.5" spans="1:5">
      <c r="A325" s="8">
        <v>3045731.833</v>
      </c>
      <c r="B325" s="8">
        <v>35400157.971</v>
      </c>
      <c r="C325" s="8">
        <v>891.566</v>
      </c>
      <c r="D325" s="34">
        <v>44153</v>
      </c>
      <c r="E325" s="96">
        <v>885.07</v>
      </c>
    </row>
    <row r="326" ht="16.5" spans="1:5">
      <c r="A326" s="8">
        <v>3045731.833</v>
      </c>
      <c r="B326" s="8">
        <v>35400157.971</v>
      </c>
      <c r="C326" s="8">
        <v>891.566</v>
      </c>
      <c r="D326" s="34">
        <v>44154</v>
      </c>
      <c r="E326" s="96">
        <v>885.12</v>
      </c>
    </row>
    <row r="327" ht="16.5" spans="1:5">
      <c r="A327" s="8">
        <v>3045731.833</v>
      </c>
      <c r="B327" s="8">
        <v>35400157.971</v>
      </c>
      <c r="C327" s="8">
        <v>891.566</v>
      </c>
      <c r="D327" s="34">
        <v>44155</v>
      </c>
      <c r="E327" s="96">
        <v>885.11</v>
      </c>
    </row>
    <row r="328" ht="16.5" spans="1:5">
      <c r="A328" s="8">
        <v>3045731.833</v>
      </c>
      <c r="B328" s="8">
        <v>35400157.971</v>
      </c>
      <c r="C328" s="8">
        <v>891.566</v>
      </c>
      <c r="D328" s="34">
        <v>44156</v>
      </c>
      <c r="E328" s="96">
        <v>885.14</v>
      </c>
    </row>
    <row r="329" ht="16.5" spans="1:5">
      <c r="A329" s="8">
        <v>3045731.833</v>
      </c>
      <c r="B329" s="8">
        <v>35400157.971</v>
      </c>
      <c r="C329" s="8">
        <v>891.566</v>
      </c>
      <c r="D329" s="34">
        <v>44157</v>
      </c>
      <c r="E329" s="96">
        <v>885.15</v>
      </c>
    </row>
    <row r="330" ht="16.5" spans="1:5">
      <c r="A330" s="8">
        <v>3045731.833</v>
      </c>
      <c r="B330" s="8">
        <v>35400157.971</v>
      </c>
      <c r="C330" s="8">
        <v>891.566</v>
      </c>
      <c r="D330" s="34">
        <v>44158</v>
      </c>
      <c r="E330" s="96">
        <v>885.18</v>
      </c>
    </row>
    <row r="331" ht="16.5" spans="1:5">
      <c r="A331" s="8">
        <v>3045731.833</v>
      </c>
      <c r="B331" s="8">
        <v>35400157.971</v>
      </c>
      <c r="C331" s="8">
        <v>891.566</v>
      </c>
      <c r="D331" s="34">
        <v>44159</v>
      </c>
      <c r="E331" s="96">
        <v>885.21</v>
      </c>
    </row>
    <row r="332" ht="16.5" spans="1:5">
      <c r="A332" s="8">
        <v>3045731.833</v>
      </c>
      <c r="B332" s="8">
        <v>35400157.971</v>
      </c>
      <c r="C332" s="8">
        <v>891.566</v>
      </c>
      <c r="D332" s="34">
        <v>44160</v>
      </c>
      <c r="E332" s="96">
        <v>885.21</v>
      </c>
    </row>
    <row r="333" ht="16.5" spans="1:5">
      <c r="A333" s="8">
        <v>3045731.833</v>
      </c>
      <c r="B333" s="8">
        <v>35400157.971</v>
      </c>
      <c r="C333" s="8">
        <v>891.566</v>
      </c>
      <c r="D333" s="34">
        <v>44161</v>
      </c>
      <c r="E333" s="96">
        <v>885.25</v>
      </c>
    </row>
    <row r="334" ht="16.5" spans="1:5">
      <c r="A334" s="8">
        <v>3045731.833</v>
      </c>
      <c r="B334" s="8">
        <v>35400157.971</v>
      </c>
      <c r="C334" s="8">
        <v>891.566</v>
      </c>
      <c r="D334" s="34">
        <v>44162</v>
      </c>
      <c r="E334" s="96">
        <v>885.23</v>
      </c>
    </row>
    <row r="335" ht="16.5" spans="1:5">
      <c r="A335" s="8">
        <v>3045731.833</v>
      </c>
      <c r="B335" s="8">
        <v>35400157.971</v>
      </c>
      <c r="C335" s="8">
        <v>891.566</v>
      </c>
      <c r="D335" s="34">
        <v>44163</v>
      </c>
      <c r="E335" s="96">
        <v>885.26</v>
      </c>
    </row>
    <row r="336" ht="16.5" spans="1:5">
      <c r="A336" s="8">
        <v>3045731.833</v>
      </c>
      <c r="B336" s="8">
        <v>35400157.971</v>
      </c>
      <c r="C336" s="8">
        <v>891.566</v>
      </c>
      <c r="D336" s="34">
        <v>44164</v>
      </c>
      <c r="E336" s="96">
        <v>885.3</v>
      </c>
    </row>
    <row r="337" ht="16.5" spans="1:5">
      <c r="A337" s="8">
        <v>3045731.833</v>
      </c>
      <c r="B337" s="8">
        <v>35400157.971</v>
      </c>
      <c r="C337" s="8">
        <v>891.566</v>
      </c>
      <c r="D337" s="34">
        <v>44165</v>
      </c>
      <c r="E337" s="96">
        <v>885.33</v>
      </c>
    </row>
    <row r="338" ht="16.5" spans="1:5">
      <c r="A338" s="8">
        <v>3045731.833</v>
      </c>
      <c r="B338" s="8">
        <v>35400157.971</v>
      </c>
      <c r="C338" s="8">
        <v>891.566</v>
      </c>
      <c r="D338" s="34">
        <v>44166</v>
      </c>
      <c r="E338" s="96">
        <v>885.32</v>
      </c>
    </row>
    <row r="339" ht="16.5" spans="1:5">
      <c r="A339" s="8">
        <v>3045731.833</v>
      </c>
      <c r="B339" s="8">
        <v>35400157.971</v>
      </c>
      <c r="C339" s="8">
        <v>891.566</v>
      </c>
      <c r="D339" s="34">
        <v>44167</v>
      </c>
      <c r="E339" s="96">
        <v>885.34</v>
      </c>
    </row>
    <row r="340" ht="16.5" spans="1:5">
      <c r="A340" s="8">
        <v>3045731.833</v>
      </c>
      <c r="B340" s="8">
        <v>35400157.971</v>
      </c>
      <c r="C340" s="8">
        <v>891.566</v>
      </c>
      <c r="D340" s="34">
        <v>44168</v>
      </c>
      <c r="E340" s="96">
        <v>885.34</v>
      </c>
    </row>
    <row r="341" ht="16.5" spans="1:5">
      <c r="A341" s="8">
        <v>3045731.833</v>
      </c>
      <c r="B341" s="8">
        <v>35400157.971</v>
      </c>
      <c r="C341" s="8">
        <v>891.566</v>
      </c>
      <c r="D341" s="34">
        <v>44169</v>
      </c>
      <c r="E341" s="96">
        <v>885.36</v>
      </c>
    </row>
    <row r="342" ht="16.5" spans="1:5">
      <c r="A342" s="8">
        <v>3045731.833</v>
      </c>
      <c r="B342" s="8">
        <v>35400157.971</v>
      </c>
      <c r="C342" s="8">
        <v>891.566</v>
      </c>
      <c r="D342" s="34">
        <v>44170</v>
      </c>
      <c r="E342" s="96">
        <v>885.35</v>
      </c>
    </row>
    <row r="343" ht="16.5" spans="1:5">
      <c r="A343" s="8">
        <v>3045731.833</v>
      </c>
      <c r="B343" s="8">
        <v>35400157.971</v>
      </c>
      <c r="C343" s="8">
        <v>891.566</v>
      </c>
      <c r="D343" s="34">
        <v>44171</v>
      </c>
      <c r="E343" s="96">
        <v>885.38</v>
      </c>
    </row>
    <row r="344" ht="16.5" spans="1:5">
      <c r="A344" s="8">
        <v>3045731.833</v>
      </c>
      <c r="B344" s="8">
        <v>35400157.971</v>
      </c>
      <c r="C344" s="8">
        <v>891.566</v>
      </c>
      <c r="D344" s="34">
        <v>44172</v>
      </c>
      <c r="E344" s="96">
        <v>885.4</v>
      </c>
    </row>
    <row r="345" ht="16.5" spans="1:5">
      <c r="A345" s="8">
        <v>3045731.833</v>
      </c>
      <c r="B345" s="8">
        <v>35400157.971</v>
      </c>
      <c r="C345" s="8">
        <v>891.566</v>
      </c>
      <c r="D345" s="34">
        <v>44173</v>
      </c>
      <c r="E345" s="96">
        <v>885.42</v>
      </c>
    </row>
    <row r="346" ht="16.5" spans="1:5">
      <c r="A346" s="8">
        <v>3045731.833</v>
      </c>
      <c r="B346" s="8">
        <v>35400157.971</v>
      </c>
      <c r="C346" s="8">
        <v>891.566</v>
      </c>
      <c r="D346" s="34">
        <v>44174</v>
      </c>
      <c r="E346" s="96">
        <v>885.4</v>
      </c>
    </row>
    <row r="347" ht="16.5" spans="1:5">
      <c r="A347" s="8">
        <v>3045731.833</v>
      </c>
      <c r="B347" s="8">
        <v>35400157.971</v>
      </c>
      <c r="C347" s="8">
        <v>891.566</v>
      </c>
      <c r="D347" s="34">
        <v>44175</v>
      </c>
      <c r="E347" s="96">
        <v>885.41</v>
      </c>
    </row>
    <row r="348" ht="16.5" spans="1:5">
      <c r="A348" s="8">
        <v>3045731.833</v>
      </c>
      <c r="B348" s="8">
        <v>35400157.971</v>
      </c>
      <c r="C348" s="8">
        <v>891.566</v>
      </c>
      <c r="D348" s="34">
        <v>44176</v>
      </c>
      <c r="E348" s="96">
        <v>885.42</v>
      </c>
    </row>
    <row r="349" ht="16.5" spans="1:5">
      <c r="A349" s="8">
        <v>3045731.833</v>
      </c>
      <c r="B349" s="8">
        <v>35400157.971</v>
      </c>
      <c r="C349" s="8">
        <v>891.566</v>
      </c>
      <c r="D349" s="34">
        <v>44177</v>
      </c>
      <c r="E349" s="96">
        <v>885.43</v>
      </c>
    </row>
    <row r="350" ht="16.5" spans="1:5">
      <c r="A350" s="8">
        <v>3045731.833</v>
      </c>
      <c r="B350" s="8">
        <v>35400157.971</v>
      </c>
      <c r="C350" s="8">
        <v>891.566</v>
      </c>
      <c r="D350" s="34">
        <v>44178</v>
      </c>
      <c r="E350" s="96">
        <v>885.45</v>
      </c>
    </row>
    <row r="351" ht="16.5" spans="1:5">
      <c r="A351" s="8">
        <v>3045731.833</v>
      </c>
      <c r="B351" s="8">
        <v>35400157.971</v>
      </c>
      <c r="C351" s="8">
        <v>891.566</v>
      </c>
      <c r="D351" s="34">
        <v>44179</v>
      </c>
      <c r="E351" s="96">
        <v>885.44</v>
      </c>
    </row>
    <row r="352" ht="16.5" spans="1:5">
      <c r="A352" s="8">
        <v>3045731.833</v>
      </c>
      <c r="B352" s="8">
        <v>35400157.971</v>
      </c>
      <c r="C352" s="8">
        <v>891.566</v>
      </c>
      <c r="D352" s="34">
        <v>44180</v>
      </c>
      <c r="E352" s="96">
        <v>885.47</v>
      </c>
    </row>
    <row r="353" ht="16.5" spans="1:5">
      <c r="A353" s="8">
        <v>3045731.833</v>
      </c>
      <c r="B353" s="8">
        <v>35400157.971</v>
      </c>
      <c r="C353" s="8">
        <v>891.566</v>
      </c>
      <c r="D353" s="34">
        <v>44181</v>
      </c>
      <c r="E353" s="96">
        <v>885.49</v>
      </c>
    </row>
    <row r="354" ht="16.5" spans="1:5">
      <c r="A354" s="8">
        <v>3045731.833</v>
      </c>
      <c r="B354" s="8">
        <v>35400157.971</v>
      </c>
      <c r="C354" s="8">
        <v>891.566</v>
      </c>
      <c r="D354" s="34">
        <v>44182</v>
      </c>
      <c r="E354" s="96">
        <v>885.49</v>
      </c>
    </row>
    <row r="355" ht="16.5" spans="1:5">
      <c r="A355" s="8">
        <v>3045731.833</v>
      </c>
      <c r="B355" s="8">
        <v>35400157.971</v>
      </c>
      <c r="C355" s="8">
        <v>891.566</v>
      </c>
      <c r="D355" s="34">
        <v>44183</v>
      </c>
      <c r="E355" s="96">
        <v>885.48</v>
      </c>
    </row>
    <row r="356" ht="16.5" spans="1:5">
      <c r="A356" s="8">
        <v>3045731.833</v>
      </c>
      <c r="B356" s="8">
        <v>35400157.971</v>
      </c>
      <c r="C356" s="8">
        <v>891.566</v>
      </c>
      <c r="D356" s="34">
        <v>44184</v>
      </c>
      <c r="E356" s="96">
        <v>885.5</v>
      </c>
    </row>
    <row r="357" ht="16.5" spans="1:5">
      <c r="A357" s="8">
        <v>3045731.833</v>
      </c>
      <c r="B357" s="8">
        <v>35400157.971</v>
      </c>
      <c r="C357" s="8">
        <v>891.566</v>
      </c>
      <c r="D357" s="34">
        <v>44185</v>
      </c>
      <c r="E357" s="96">
        <v>885.51</v>
      </c>
    </row>
    <row r="358" ht="16.5" spans="1:5">
      <c r="A358" s="8">
        <v>3045731.833</v>
      </c>
      <c r="B358" s="8">
        <v>35400157.971</v>
      </c>
      <c r="C358" s="8">
        <v>891.566</v>
      </c>
      <c r="D358" s="34">
        <v>44186</v>
      </c>
      <c r="E358" s="96">
        <v>885.52</v>
      </c>
    </row>
    <row r="359" ht="16.5" spans="1:5">
      <c r="A359" s="8">
        <v>3045731.833</v>
      </c>
      <c r="B359" s="8">
        <v>35400157.971</v>
      </c>
      <c r="C359" s="8">
        <v>891.566</v>
      </c>
      <c r="D359" s="34">
        <v>44187</v>
      </c>
      <c r="E359" s="96">
        <v>885.52</v>
      </c>
    </row>
    <row r="360" ht="16.5" spans="1:5">
      <c r="A360" s="8">
        <v>3045731.833</v>
      </c>
      <c r="B360" s="8">
        <v>35400157.971</v>
      </c>
      <c r="C360" s="8">
        <v>891.566</v>
      </c>
      <c r="D360" s="34">
        <v>44188</v>
      </c>
      <c r="E360" s="96">
        <v>885.55</v>
      </c>
    </row>
    <row r="361" ht="16.5" spans="1:5">
      <c r="A361" s="8">
        <v>3045731.833</v>
      </c>
      <c r="B361" s="8">
        <v>35400157.971</v>
      </c>
      <c r="C361" s="8">
        <v>891.566</v>
      </c>
      <c r="D361" s="34">
        <v>44189</v>
      </c>
      <c r="E361" s="96">
        <v>885.56</v>
      </c>
    </row>
    <row r="362" ht="16.5" spans="1:5">
      <c r="A362" s="8">
        <v>3045731.833</v>
      </c>
      <c r="B362" s="8">
        <v>35400157.971</v>
      </c>
      <c r="C362" s="8">
        <v>891.566</v>
      </c>
      <c r="D362" s="34">
        <v>44190</v>
      </c>
      <c r="E362" s="96">
        <v>885.56</v>
      </c>
    </row>
    <row r="363" ht="16.5" spans="1:5">
      <c r="A363" s="8">
        <v>3045731.833</v>
      </c>
      <c r="B363" s="8">
        <v>35400157.971</v>
      </c>
      <c r="C363" s="8">
        <v>891.566</v>
      </c>
      <c r="D363" s="34">
        <v>44191</v>
      </c>
      <c r="E363" s="97">
        <v>885.59</v>
      </c>
    </row>
    <row r="364" ht="16.5" spans="1:5">
      <c r="A364" s="8">
        <v>3045731.833</v>
      </c>
      <c r="B364" s="8">
        <v>35400157.971</v>
      </c>
      <c r="C364" s="8">
        <v>891.566</v>
      </c>
      <c r="D364" s="34">
        <v>44192</v>
      </c>
      <c r="E364" s="97">
        <v>885.58</v>
      </c>
    </row>
    <row r="365" ht="16.5" spans="1:5">
      <c r="A365" s="8">
        <v>3045731.833</v>
      </c>
      <c r="B365" s="8">
        <v>35400157.971</v>
      </c>
      <c r="C365" s="8">
        <v>891.566</v>
      </c>
      <c r="D365" s="34">
        <v>44193</v>
      </c>
      <c r="E365" s="97">
        <v>885.6</v>
      </c>
    </row>
    <row r="366" ht="16.5" spans="1:5">
      <c r="A366" s="8">
        <v>3045731.833</v>
      </c>
      <c r="B366" s="8">
        <v>35400157.971</v>
      </c>
      <c r="C366" s="8">
        <v>891.566</v>
      </c>
      <c r="D366" s="34">
        <v>44194</v>
      </c>
      <c r="E366" s="97">
        <v>885.59</v>
      </c>
    </row>
    <row r="367" ht="16.5" spans="1:5">
      <c r="A367" s="8">
        <v>3045731.833</v>
      </c>
      <c r="B367" s="8">
        <v>35400157.971</v>
      </c>
      <c r="C367" s="8">
        <v>891.566</v>
      </c>
      <c r="D367" s="34">
        <v>44195</v>
      </c>
      <c r="E367" s="97">
        <v>885.58</v>
      </c>
    </row>
    <row r="368" ht="16.5" spans="1:5">
      <c r="A368" s="8">
        <v>3045731.833</v>
      </c>
      <c r="B368" s="8">
        <v>35400157.971</v>
      </c>
      <c r="C368" s="8">
        <v>891.566</v>
      </c>
      <c r="D368" s="34">
        <v>44196</v>
      </c>
      <c r="E368" s="97">
        <v>885.59</v>
      </c>
    </row>
    <row r="369" ht="16.5" spans="1:5">
      <c r="A369" s="8">
        <v>3045731.833</v>
      </c>
      <c r="B369" s="8">
        <v>35400157.971</v>
      </c>
      <c r="C369" s="8">
        <v>891.566</v>
      </c>
      <c r="D369" s="9" t="s">
        <v>7</v>
      </c>
      <c r="E369" s="75">
        <v>885.6</v>
      </c>
    </row>
    <row r="370" ht="16.5" spans="1:5">
      <c r="A370" s="8">
        <v>3045731.833</v>
      </c>
      <c r="B370" s="8">
        <v>35400157.971</v>
      </c>
      <c r="C370" s="8">
        <v>891.566</v>
      </c>
      <c r="D370" s="9" t="s">
        <v>8</v>
      </c>
      <c r="E370" s="75">
        <v>885.6</v>
      </c>
    </row>
    <row r="371" ht="16.5" spans="1:5">
      <c r="A371" s="8">
        <v>3045731.833</v>
      </c>
      <c r="B371" s="8">
        <v>35400157.971</v>
      </c>
      <c r="C371" s="8">
        <v>891.566</v>
      </c>
      <c r="D371" s="9" t="s">
        <v>9</v>
      </c>
      <c r="E371" s="75">
        <v>885.58</v>
      </c>
    </row>
    <row r="372" ht="16.5" spans="1:5">
      <c r="A372" s="8">
        <v>3045731.833</v>
      </c>
      <c r="B372" s="8">
        <v>35400157.971</v>
      </c>
      <c r="C372" s="8">
        <v>891.566</v>
      </c>
      <c r="D372" s="9" t="s">
        <v>10</v>
      </c>
      <c r="E372" s="75">
        <v>885.6</v>
      </c>
    </row>
    <row r="373" ht="16.5" spans="1:5">
      <c r="A373" s="8">
        <v>3045731.833</v>
      </c>
      <c r="B373" s="8">
        <v>35400157.971</v>
      </c>
      <c r="C373" s="8">
        <v>891.566</v>
      </c>
      <c r="D373" s="9" t="s">
        <v>11</v>
      </c>
      <c r="E373" s="75">
        <v>885.61</v>
      </c>
    </row>
    <row r="374" ht="16.5" spans="1:5">
      <c r="A374" s="8">
        <v>3045731.833</v>
      </c>
      <c r="B374" s="8">
        <v>35400157.971</v>
      </c>
      <c r="C374" s="8">
        <v>891.566</v>
      </c>
      <c r="D374" s="9" t="s">
        <v>12</v>
      </c>
      <c r="E374" s="75">
        <v>885.62</v>
      </c>
    </row>
    <row r="375" ht="16.5" spans="1:5">
      <c r="A375" s="8">
        <v>3045731.833</v>
      </c>
      <c r="B375" s="8">
        <v>35400157.971</v>
      </c>
      <c r="C375" s="8">
        <v>891.566</v>
      </c>
      <c r="D375" s="9" t="s">
        <v>13</v>
      </c>
      <c r="E375" s="75">
        <v>885.61</v>
      </c>
    </row>
    <row r="376" ht="16.5" spans="1:5">
      <c r="A376" s="8">
        <v>3045731.833</v>
      </c>
      <c r="B376" s="8">
        <v>35400157.971</v>
      </c>
      <c r="C376" s="8">
        <v>891.566</v>
      </c>
      <c r="D376" s="9" t="s">
        <v>14</v>
      </c>
      <c r="E376" s="75">
        <v>885.63</v>
      </c>
    </row>
    <row r="377" ht="16.5" spans="1:5">
      <c r="A377" s="8">
        <v>3045731.833</v>
      </c>
      <c r="B377" s="8">
        <v>35400157.971</v>
      </c>
      <c r="C377" s="8">
        <v>891.566</v>
      </c>
      <c r="D377" s="9" t="s">
        <v>15</v>
      </c>
      <c r="E377" s="75">
        <v>885.64</v>
      </c>
    </row>
    <row r="378" ht="16.5" spans="1:5">
      <c r="A378" s="8">
        <v>3045731.833</v>
      </c>
      <c r="B378" s="8">
        <v>35400157.971</v>
      </c>
      <c r="C378" s="8">
        <v>891.566</v>
      </c>
      <c r="D378" s="9" t="s">
        <v>16</v>
      </c>
      <c r="E378" s="75">
        <v>885.62</v>
      </c>
    </row>
    <row r="379" ht="16.5" spans="1:5">
      <c r="A379" s="8">
        <v>3045731.833</v>
      </c>
      <c r="B379" s="8">
        <v>35400157.971</v>
      </c>
      <c r="C379" s="8">
        <v>891.566</v>
      </c>
      <c r="D379" s="9" t="s">
        <v>17</v>
      </c>
      <c r="E379" s="75">
        <v>885.63</v>
      </c>
    </row>
    <row r="380" ht="16.5" spans="1:5">
      <c r="A380" s="8">
        <v>3045731.833</v>
      </c>
      <c r="B380" s="8">
        <v>35400157.971</v>
      </c>
      <c r="C380" s="8">
        <v>891.566</v>
      </c>
      <c r="D380" s="9" t="s">
        <v>18</v>
      </c>
      <c r="E380" s="75">
        <v>885.65</v>
      </c>
    </row>
    <row r="381" ht="16.5" spans="1:5">
      <c r="A381" s="8">
        <v>3045731.833</v>
      </c>
      <c r="B381" s="8">
        <v>35400157.971</v>
      </c>
      <c r="C381" s="8">
        <v>891.566</v>
      </c>
      <c r="D381" s="9" t="s">
        <v>19</v>
      </c>
      <c r="E381" s="75">
        <v>885.626</v>
      </c>
    </row>
    <row r="382" ht="16.5" spans="1:5">
      <c r="A382" s="8">
        <v>3045731.833</v>
      </c>
      <c r="B382" s="8">
        <v>35400157.971</v>
      </c>
      <c r="C382" s="8">
        <v>891.566</v>
      </c>
      <c r="D382" s="9" t="s">
        <v>20</v>
      </c>
      <c r="E382" s="75">
        <v>885.636</v>
      </c>
    </row>
    <row r="383" ht="16.5" spans="1:5">
      <c r="A383" s="8">
        <v>3045731.833</v>
      </c>
      <c r="B383" s="8">
        <v>35400157.971</v>
      </c>
      <c r="C383" s="8">
        <v>891.566</v>
      </c>
      <c r="D383" s="9" t="s">
        <v>21</v>
      </c>
      <c r="E383" s="75">
        <v>885.656</v>
      </c>
    </row>
    <row r="384" ht="16.5" spans="1:5">
      <c r="A384" s="8">
        <v>3045731.833</v>
      </c>
      <c r="B384" s="8">
        <v>35400157.971</v>
      </c>
      <c r="C384" s="8">
        <v>891.566</v>
      </c>
      <c r="D384" s="9" t="s">
        <v>22</v>
      </c>
      <c r="E384" s="75">
        <v>885.676</v>
      </c>
    </row>
    <row r="385" ht="16.5" spans="1:5">
      <c r="A385" s="8">
        <v>3045731.833</v>
      </c>
      <c r="B385" s="8">
        <v>35400157.971</v>
      </c>
      <c r="C385" s="8">
        <v>891.566</v>
      </c>
      <c r="D385" s="9" t="s">
        <v>23</v>
      </c>
      <c r="E385" s="75">
        <v>885.686</v>
      </c>
    </row>
    <row r="386" ht="16.5" spans="1:5">
      <c r="A386" s="8">
        <v>3045731.833</v>
      </c>
      <c r="B386" s="8">
        <v>35400157.971</v>
      </c>
      <c r="C386" s="8">
        <v>891.566</v>
      </c>
      <c r="D386" s="9" t="s">
        <v>24</v>
      </c>
      <c r="E386" s="75">
        <v>885.666</v>
      </c>
    </row>
    <row r="387" ht="16.5" spans="1:5">
      <c r="A387" s="8">
        <v>3045731.833</v>
      </c>
      <c r="B387" s="8">
        <v>35400157.971</v>
      </c>
      <c r="C387" s="8">
        <v>891.566</v>
      </c>
      <c r="D387" s="9" t="s">
        <v>25</v>
      </c>
      <c r="E387" s="75">
        <v>885.656</v>
      </c>
    </row>
    <row r="388" ht="16.5" spans="1:5">
      <c r="A388" s="8">
        <v>3045731.833</v>
      </c>
      <c r="B388" s="8">
        <v>35400157.971</v>
      </c>
      <c r="C388" s="8">
        <v>891.566</v>
      </c>
      <c r="D388" s="9" t="s">
        <v>26</v>
      </c>
      <c r="E388" s="75">
        <v>885.656</v>
      </c>
    </row>
    <row r="389" ht="16.5" spans="1:5">
      <c r="A389" s="8">
        <v>3045731.833</v>
      </c>
      <c r="B389" s="8">
        <v>35400157.971</v>
      </c>
      <c r="C389" s="8">
        <v>891.566</v>
      </c>
      <c r="D389" s="9" t="s">
        <v>27</v>
      </c>
      <c r="E389" s="75">
        <v>885.666</v>
      </c>
    </row>
    <row r="390" ht="16.5" spans="1:5">
      <c r="A390" s="8">
        <v>3045731.833</v>
      </c>
      <c r="B390" s="8">
        <v>35400157.971</v>
      </c>
      <c r="C390" s="8">
        <v>891.566</v>
      </c>
      <c r="D390" s="9" t="s">
        <v>28</v>
      </c>
      <c r="E390" s="75">
        <v>885.656</v>
      </c>
    </row>
    <row r="391" ht="16.5" spans="1:5">
      <c r="A391" s="8">
        <v>3045731.833</v>
      </c>
      <c r="B391" s="8">
        <v>35400157.971</v>
      </c>
      <c r="C391" s="8">
        <v>891.566</v>
      </c>
      <c r="D391" s="9" t="s">
        <v>29</v>
      </c>
      <c r="E391" s="75">
        <v>885.676</v>
      </c>
    </row>
    <row r="392" ht="16.5" spans="1:5">
      <c r="A392" s="8">
        <v>3045731.833</v>
      </c>
      <c r="B392" s="8">
        <v>35400157.971</v>
      </c>
      <c r="C392" s="8">
        <v>891.566</v>
      </c>
      <c r="D392" s="9" t="s">
        <v>30</v>
      </c>
      <c r="E392" s="75">
        <v>885.686</v>
      </c>
    </row>
    <row r="393" ht="16.5" spans="1:5">
      <c r="A393" s="8">
        <v>3045731.833</v>
      </c>
      <c r="B393" s="8">
        <v>35400157.971</v>
      </c>
      <c r="C393" s="8">
        <v>891.566</v>
      </c>
      <c r="D393" s="9" t="s">
        <v>31</v>
      </c>
      <c r="E393" s="75">
        <v>885.676</v>
      </c>
    </row>
    <row r="394" ht="16.5" spans="1:5">
      <c r="A394" s="8">
        <v>3045731.833</v>
      </c>
      <c r="B394" s="8">
        <v>35400157.971</v>
      </c>
      <c r="C394" s="8">
        <v>891.566</v>
      </c>
      <c r="D394" s="9" t="s">
        <v>32</v>
      </c>
      <c r="E394" s="75">
        <v>885.666</v>
      </c>
    </row>
    <row r="395" ht="16.5" spans="1:5">
      <c r="A395" s="8">
        <v>3045731.833</v>
      </c>
      <c r="B395" s="8">
        <v>35400157.971</v>
      </c>
      <c r="C395" s="8">
        <v>891.566</v>
      </c>
      <c r="D395" s="9" t="s">
        <v>33</v>
      </c>
      <c r="E395" s="75">
        <v>885.676</v>
      </c>
    </row>
    <row r="396" ht="16.5" spans="1:5">
      <c r="A396" s="8">
        <v>3045731.833</v>
      </c>
      <c r="B396" s="8">
        <v>35400157.971</v>
      </c>
      <c r="C396" s="8">
        <v>891.566</v>
      </c>
      <c r="D396" s="9" t="s">
        <v>34</v>
      </c>
      <c r="E396" s="75">
        <v>885.706</v>
      </c>
    </row>
    <row r="397" ht="16.5" spans="1:5">
      <c r="A397" s="8">
        <v>3045731.833</v>
      </c>
      <c r="B397" s="8">
        <v>35400157.971</v>
      </c>
      <c r="C397" s="8">
        <v>891.566</v>
      </c>
      <c r="D397" s="9" t="s">
        <v>35</v>
      </c>
      <c r="E397" s="75">
        <v>885.716</v>
      </c>
    </row>
    <row r="398" ht="16.5" spans="1:5">
      <c r="A398" s="8">
        <v>3045731.833</v>
      </c>
      <c r="B398" s="8">
        <v>35400157.971</v>
      </c>
      <c r="C398" s="8">
        <v>891.566</v>
      </c>
      <c r="D398" s="9" t="s">
        <v>36</v>
      </c>
      <c r="E398" s="75">
        <v>885.746</v>
      </c>
    </row>
    <row r="399" ht="16.5" spans="1:5">
      <c r="A399" s="8">
        <v>3045731.833</v>
      </c>
      <c r="B399" s="8">
        <v>35400157.971</v>
      </c>
      <c r="C399" s="8">
        <v>891.566</v>
      </c>
      <c r="D399" s="9" t="s">
        <v>37</v>
      </c>
      <c r="E399" s="75">
        <v>885.766</v>
      </c>
    </row>
    <row r="400" ht="16.5" spans="1:5">
      <c r="A400" s="8">
        <v>3045731.833</v>
      </c>
      <c r="B400" s="8">
        <v>35400157.971</v>
      </c>
      <c r="C400" s="8">
        <v>891.566</v>
      </c>
      <c r="D400" s="9" t="s">
        <v>38</v>
      </c>
      <c r="E400" s="75">
        <v>885.776</v>
      </c>
    </row>
    <row r="401" ht="16.5" spans="1:5">
      <c r="A401" s="8">
        <v>3045731.833</v>
      </c>
      <c r="B401" s="8">
        <v>35400157.971</v>
      </c>
      <c r="C401" s="8">
        <v>891.566</v>
      </c>
      <c r="D401" s="9" t="s">
        <v>39</v>
      </c>
      <c r="E401" s="75">
        <v>885.766</v>
      </c>
    </row>
    <row r="402" ht="16.5" spans="1:5">
      <c r="A402" s="8">
        <v>3045731.833</v>
      </c>
      <c r="B402" s="8">
        <v>35400157.971</v>
      </c>
      <c r="C402" s="8">
        <v>891.566</v>
      </c>
      <c r="D402" s="9" t="s">
        <v>40</v>
      </c>
      <c r="E402" s="75">
        <v>885.786</v>
      </c>
    </row>
    <row r="403" ht="16.5" spans="1:5">
      <c r="A403" s="8">
        <v>3045731.833</v>
      </c>
      <c r="B403" s="8">
        <v>35400157.971</v>
      </c>
      <c r="C403" s="8">
        <v>891.566</v>
      </c>
      <c r="D403" s="9" t="s">
        <v>41</v>
      </c>
      <c r="E403" s="75">
        <v>885.776</v>
      </c>
    </row>
    <row r="404" ht="16.5" spans="1:5">
      <c r="A404" s="8">
        <v>3045731.833</v>
      </c>
      <c r="B404" s="8">
        <v>35400157.971</v>
      </c>
      <c r="C404" s="8">
        <v>891.566</v>
      </c>
      <c r="D404" s="9" t="s">
        <v>42</v>
      </c>
      <c r="E404" s="75">
        <v>885.786</v>
      </c>
    </row>
    <row r="405" ht="16.5" spans="1:5">
      <c r="A405" s="8">
        <v>3045731.833</v>
      </c>
      <c r="B405" s="8">
        <v>35400157.971</v>
      </c>
      <c r="C405" s="8">
        <v>891.566</v>
      </c>
      <c r="D405" s="9" t="s">
        <v>43</v>
      </c>
      <c r="E405" s="75">
        <v>885.796</v>
      </c>
    </row>
    <row r="406" ht="16.5" spans="1:5">
      <c r="A406" s="8">
        <v>3045731.833</v>
      </c>
      <c r="B406" s="8">
        <v>35400157.971</v>
      </c>
      <c r="C406" s="8">
        <v>891.566</v>
      </c>
      <c r="D406" s="9" t="s">
        <v>44</v>
      </c>
      <c r="E406" s="75">
        <v>885.816</v>
      </c>
    </row>
    <row r="407" ht="16.5" spans="1:5">
      <c r="A407" s="8">
        <v>3045731.833</v>
      </c>
      <c r="B407" s="8">
        <v>35400157.971</v>
      </c>
      <c r="C407" s="8">
        <v>891.566</v>
      </c>
      <c r="D407" s="9" t="s">
        <v>45</v>
      </c>
      <c r="E407" s="75">
        <v>885.836</v>
      </c>
    </row>
    <row r="408" ht="16.5" spans="1:5">
      <c r="A408" s="8">
        <v>3045731.833</v>
      </c>
      <c r="B408" s="8">
        <v>35400157.971</v>
      </c>
      <c r="C408" s="8">
        <v>891.566</v>
      </c>
      <c r="D408" s="9" t="s">
        <v>46</v>
      </c>
      <c r="E408" s="75">
        <v>885.826</v>
      </c>
    </row>
    <row r="409" ht="16.5" spans="1:5">
      <c r="A409" s="8">
        <v>3045731.833</v>
      </c>
      <c r="B409" s="8">
        <v>35400157.971</v>
      </c>
      <c r="C409" s="8">
        <v>891.566</v>
      </c>
      <c r="D409" s="9" t="s">
        <v>47</v>
      </c>
      <c r="E409" s="75">
        <v>885.826</v>
      </c>
    </row>
    <row r="410" ht="16.5" spans="1:5">
      <c r="A410" s="8">
        <v>3045731.833</v>
      </c>
      <c r="B410" s="8">
        <v>35400157.971</v>
      </c>
      <c r="C410" s="8">
        <v>891.566</v>
      </c>
      <c r="D410" s="9" t="s">
        <v>48</v>
      </c>
      <c r="E410" s="75">
        <v>885.836</v>
      </c>
    </row>
    <row r="411" ht="16.5" spans="1:5">
      <c r="A411" s="8">
        <v>3045731.833</v>
      </c>
      <c r="B411" s="8">
        <v>35400157.971</v>
      </c>
      <c r="C411" s="8">
        <v>891.566</v>
      </c>
      <c r="D411" s="9" t="s">
        <v>49</v>
      </c>
      <c r="E411" s="75">
        <v>885.846</v>
      </c>
    </row>
    <row r="412" ht="16.5" spans="1:5">
      <c r="A412" s="8">
        <v>3045731.833</v>
      </c>
      <c r="B412" s="8">
        <v>35400157.971</v>
      </c>
      <c r="C412" s="8">
        <v>891.566</v>
      </c>
      <c r="D412" s="9" t="s">
        <v>50</v>
      </c>
      <c r="E412" s="75">
        <v>885.846</v>
      </c>
    </row>
    <row r="413" ht="16.5" spans="1:5">
      <c r="A413" s="8">
        <v>3045731.833</v>
      </c>
      <c r="B413" s="8">
        <v>35400157.971</v>
      </c>
      <c r="C413" s="8">
        <v>891.566</v>
      </c>
      <c r="D413" s="9" t="s">
        <v>51</v>
      </c>
      <c r="E413" s="75">
        <v>885.866</v>
      </c>
    </row>
    <row r="414" ht="16.5" spans="1:5">
      <c r="A414" s="8">
        <v>3045731.833</v>
      </c>
      <c r="B414" s="8">
        <v>35400157.971</v>
      </c>
      <c r="C414" s="8">
        <v>891.566</v>
      </c>
      <c r="D414" s="9" t="s">
        <v>52</v>
      </c>
      <c r="E414" s="75">
        <v>885.876</v>
      </c>
    </row>
    <row r="415" ht="16.5" spans="1:5">
      <c r="A415" s="8">
        <v>3045731.833</v>
      </c>
      <c r="B415" s="8">
        <v>35400157.971</v>
      </c>
      <c r="C415" s="8">
        <v>891.566</v>
      </c>
      <c r="D415" s="9" t="s">
        <v>53</v>
      </c>
      <c r="E415" s="75">
        <v>885.866</v>
      </c>
    </row>
    <row r="416" ht="16.5" spans="1:5">
      <c r="A416" s="8">
        <v>3045731.833</v>
      </c>
      <c r="B416" s="8">
        <v>35400157.971</v>
      </c>
      <c r="C416" s="8">
        <v>891.566</v>
      </c>
      <c r="D416" s="9" t="s">
        <v>54</v>
      </c>
      <c r="E416" s="75">
        <v>885.866</v>
      </c>
    </row>
    <row r="417" ht="16.5" spans="1:5">
      <c r="A417" s="8">
        <v>3045731.833</v>
      </c>
      <c r="B417" s="8">
        <v>35400157.971</v>
      </c>
      <c r="C417" s="8">
        <v>891.566</v>
      </c>
      <c r="D417" s="9" t="s">
        <v>55</v>
      </c>
      <c r="E417" s="75">
        <v>885.86</v>
      </c>
    </row>
    <row r="418" ht="16.5" spans="1:5">
      <c r="A418" s="8">
        <v>3045731.833</v>
      </c>
      <c r="B418" s="8">
        <v>35400157.971</v>
      </c>
      <c r="C418" s="8">
        <v>891.566</v>
      </c>
      <c r="D418" s="9" t="s">
        <v>56</v>
      </c>
      <c r="E418" s="75">
        <v>885.85</v>
      </c>
    </row>
    <row r="419" ht="16.5" spans="1:5">
      <c r="A419" s="8">
        <v>3045731.833</v>
      </c>
      <c r="B419" s="8">
        <v>35400157.971</v>
      </c>
      <c r="C419" s="8">
        <v>891.566</v>
      </c>
      <c r="D419" s="9" t="s">
        <v>57</v>
      </c>
      <c r="E419" s="75">
        <v>885.83</v>
      </c>
    </row>
    <row r="420" ht="16.5" spans="1:5">
      <c r="A420" s="8">
        <v>3045731.833</v>
      </c>
      <c r="B420" s="8">
        <v>35400157.971</v>
      </c>
      <c r="C420" s="8">
        <v>891.566</v>
      </c>
      <c r="D420" s="9" t="s">
        <v>58</v>
      </c>
      <c r="E420" s="75">
        <v>885.84</v>
      </c>
    </row>
    <row r="421" ht="16.5" spans="1:5">
      <c r="A421" s="8">
        <v>3045731.833</v>
      </c>
      <c r="B421" s="8">
        <v>35400157.971</v>
      </c>
      <c r="C421" s="8">
        <v>891.566</v>
      </c>
      <c r="D421" s="9" t="s">
        <v>59</v>
      </c>
      <c r="E421" s="75">
        <v>885.86</v>
      </c>
    </row>
    <row r="422" ht="16.5" spans="1:5">
      <c r="A422" s="8">
        <v>3045731.833</v>
      </c>
      <c r="B422" s="8">
        <v>35400157.971</v>
      </c>
      <c r="C422" s="8">
        <v>891.566</v>
      </c>
      <c r="D422" s="9" t="s">
        <v>60</v>
      </c>
      <c r="E422" s="75">
        <v>885.85</v>
      </c>
    </row>
    <row r="423" ht="16.5" spans="1:5">
      <c r="A423" s="8">
        <v>3045731.833</v>
      </c>
      <c r="B423" s="8">
        <v>35400157.971</v>
      </c>
      <c r="C423" s="8">
        <v>891.566</v>
      </c>
      <c r="D423" s="9" t="s">
        <v>61</v>
      </c>
      <c r="E423" s="75">
        <v>885.83</v>
      </c>
    </row>
    <row r="424" ht="16.5" spans="1:5">
      <c r="A424" s="8">
        <v>3045731.833</v>
      </c>
      <c r="B424" s="8">
        <v>35400157.971</v>
      </c>
      <c r="C424" s="8">
        <v>891.566</v>
      </c>
      <c r="D424" s="9" t="s">
        <v>62</v>
      </c>
      <c r="E424" s="75"/>
    </row>
    <row r="425" ht="16.5" spans="1:5">
      <c r="A425" s="8">
        <v>3045731.833</v>
      </c>
      <c r="B425" s="8">
        <v>35400157.971</v>
      </c>
      <c r="C425" s="8">
        <v>891.566</v>
      </c>
      <c r="D425" s="9" t="s">
        <v>63</v>
      </c>
      <c r="E425" s="75"/>
    </row>
    <row r="426" ht="16.5" spans="1:5">
      <c r="A426" s="8">
        <v>3045731.833</v>
      </c>
      <c r="B426" s="8">
        <v>35400157.971</v>
      </c>
      <c r="C426" s="8">
        <v>891.566</v>
      </c>
      <c r="D426" s="9" t="s">
        <v>64</v>
      </c>
      <c r="E426" s="75"/>
    </row>
    <row r="427" ht="16.5" spans="1:5">
      <c r="A427" s="8">
        <v>3045731.833</v>
      </c>
      <c r="B427" s="8">
        <v>35400157.971</v>
      </c>
      <c r="C427" s="8">
        <v>891.566</v>
      </c>
      <c r="D427" s="9" t="s">
        <v>65</v>
      </c>
      <c r="E427" s="75"/>
    </row>
    <row r="428" ht="16.5" spans="1:5">
      <c r="A428" s="8">
        <v>3045731.833</v>
      </c>
      <c r="B428" s="8">
        <v>35400157.971</v>
      </c>
      <c r="C428" s="8">
        <v>891.566</v>
      </c>
      <c r="D428" s="9" t="s">
        <v>66</v>
      </c>
      <c r="E428" s="75"/>
    </row>
    <row r="429" ht="16.5" spans="1:5">
      <c r="A429" s="8">
        <v>3045731.833</v>
      </c>
      <c r="B429" s="8">
        <v>35400157.971</v>
      </c>
      <c r="C429" s="8">
        <v>891.566</v>
      </c>
      <c r="D429" s="9" t="s">
        <v>67</v>
      </c>
      <c r="E429" s="75"/>
    </row>
    <row r="430" ht="16.5" spans="1:5">
      <c r="A430" s="8">
        <v>3045731.833</v>
      </c>
      <c r="B430" s="8">
        <v>35400157.971</v>
      </c>
      <c r="C430" s="8">
        <v>891.566</v>
      </c>
      <c r="D430" s="9" t="s">
        <v>68</v>
      </c>
      <c r="E430" s="75">
        <v>885.856</v>
      </c>
    </row>
    <row r="431" ht="16.5" spans="1:5">
      <c r="A431" s="8">
        <v>3045731.833</v>
      </c>
      <c r="B431" s="8">
        <v>35400157.971</v>
      </c>
      <c r="C431" s="8">
        <v>891.566</v>
      </c>
      <c r="D431" s="9" t="s">
        <v>69</v>
      </c>
      <c r="E431" s="75"/>
    </row>
    <row r="432" ht="16.5" spans="1:5">
      <c r="A432" s="8">
        <v>3045731.833</v>
      </c>
      <c r="B432" s="8">
        <v>35400157.971</v>
      </c>
      <c r="C432" s="8">
        <v>891.566</v>
      </c>
      <c r="D432" s="9" t="s">
        <v>70</v>
      </c>
      <c r="E432" s="75"/>
    </row>
    <row r="433" ht="16.5" spans="1:5">
      <c r="A433" s="8">
        <v>3045731.833</v>
      </c>
      <c r="B433" s="8">
        <v>35400157.971</v>
      </c>
      <c r="C433" s="8">
        <v>891.566</v>
      </c>
      <c r="D433" s="9" t="s">
        <v>71</v>
      </c>
      <c r="E433" s="75"/>
    </row>
    <row r="434" ht="16.5" spans="1:5">
      <c r="A434" s="8">
        <v>3045731.833</v>
      </c>
      <c r="B434" s="8">
        <v>35400157.971</v>
      </c>
      <c r="C434" s="8">
        <v>891.566</v>
      </c>
      <c r="D434" s="9" t="s">
        <v>72</v>
      </c>
      <c r="E434" s="75"/>
    </row>
    <row r="435" ht="16.5" spans="1:5">
      <c r="A435" s="8">
        <v>3045731.833</v>
      </c>
      <c r="B435" s="8">
        <v>35400157.971</v>
      </c>
      <c r="C435" s="8">
        <v>891.566</v>
      </c>
      <c r="D435" s="9" t="s">
        <v>73</v>
      </c>
      <c r="E435" s="75"/>
    </row>
    <row r="436" ht="16.5" spans="1:5">
      <c r="A436" s="8">
        <v>3045731.833</v>
      </c>
      <c r="B436" s="8">
        <v>35400157.971</v>
      </c>
      <c r="C436" s="8">
        <v>891.566</v>
      </c>
      <c r="D436" s="9" t="s">
        <v>74</v>
      </c>
      <c r="E436" s="75"/>
    </row>
    <row r="437" ht="16.5" spans="1:5">
      <c r="A437" s="8">
        <v>3045731.833</v>
      </c>
      <c r="B437" s="8">
        <v>35400157.971</v>
      </c>
      <c r="C437" s="8">
        <v>891.566</v>
      </c>
      <c r="D437" s="9" t="s">
        <v>75</v>
      </c>
      <c r="E437" s="75">
        <v>885.866</v>
      </c>
    </row>
    <row r="438" ht="16.5" spans="1:5">
      <c r="A438" s="8">
        <v>3045731.833</v>
      </c>
      <c r="B438" s="8">
        <v>35400157.971</v>
      </c>
      <c r="C438" s="8">
        <v>891.566</v>
      </c>
      <c r="D438" s="9" t="s">
        <v>76</v>
      </c>
      <c r="E438" s="75"/>
    </row>
    <row r="439" ht="16.5" spans="1:5">
      <c r="A439" s="8">
        <v>3045731.833</v>
      </c>
      <c r="B439" s="8">
        <v>35400157.971</v>
      </c>
      <c r="C439" s="8">
        <v>891.566</v>
      </c>
      <c r="D439" s="9" t="s">
        <v>77</v>
      </c>
      <c r="E439" s="75"/>
    </row>
    <row r="440" ht="16.5" spans="1:5">
      <c r="A440" s="8">
        <v>3045731.833</v>
      </c>
      <c r="B440" s="8">
        <v>35400157.971</v>
      </c>
      <c r="C440" s="8">
        <v>891.566</v>
      </c>
      <c r="D440" s="9" t="s">
        <v>78</v>
      </c>
      <c r="E440" s="75"/>
    </row>
    <row r="441" ht="16.5" spans="1:5">
      <c r="A441" s="8">
        <v>3045731.833</v>
      </c>
      <c r="B441" s="8">
        <v>35400157.971</v>
      </c>
      <c r="C441" s="8">
        <v>891.566</v>
      </c>
      <c r="D441" s="9" t="s">
        <v>79</v>
      </c>
      <c r="E441" s="75"/>
    </row>
    <row r="442" ht="16.5" spans="1:5">
      <c r="A442" s="8">
        <v>3045731.833</v>
      </c>
      <c r="B442" s="8">
        <v>35400157.971</v>
      </c>
      <c r="C442" s="8">
        <v>891.566</v>
      </c>
      <c r="D442" s="9" t="s">
        <v>80</v>
      </c>
      <c r="E442" s="75"/>
    </row>
    <row r="443" ht="16.5" spans="1:5">
      <c r="A443" s="8">
        <v>3045731.833</v>
      </c>
      <c r="B443" s="8">
        <v>35400157.971</v>
      </c>
      <c r="C443" s="8">
        <v>891.566</v>
      </c>
      <c r="D443" s="9" t="s">
        <v>81</v>
      </c>
      <c r="E443" s="75"/>
    </row>
    <row r="444" ht="16.5" spans="1:5">
      <c r="A444" s="8">
        <v>3045731.833</v>
      </c>
      <c r="B444" s="8">
        <v>35400157.971</v>
      </c>
      <c r="C444" s="8">
        <v>891.566</v>
      </c>
      <c r="D444" s="9" t="s">
        <v>82</v>
      </c>
      <c r="E444" s="75">
        <v>887.206</v>
      </c>
    </row>
    <row r="445" ht="16.5" spans="1:5">
      <c r="A445" s="8">
        <v>3045731.833</v>
      </c>
      <c r="B445" s="8">
        <v>35400157.971</v>
      </c>
      <c r="C445" s="8">
        <v>891.566</v>
      </c>
      <c r="D445" s="9" t="s">
        <v>83</v>
      </c>
      <c r="E445" s="75"/>
    </row>
    <row r="446" ht="16.5" spans="1:5">
      <c r="A446" s="8">
        <v>3045731.833</v>
      </c>
      <c r="B446" s="8">
        <v>35400157.971</v>
      </c>
      <c r="C446" s="8">
        <v>891.566</v>
      </c>
      <c r="D446" s="9" t="s">
        <v>84</v>
      </c>
      <c r="E446" s="75"/>
    </row>
    <row r="447" ht="16.5" spans="1:5">
      <c r="A447" s="8">
        <v>3045731.833</v>
      </c>
      <c r="B447" s="8">
        <v>35400157.971</v>
      </c>
      <c r="C447" s="8">
        <v>891.566</v>
      </c>
      <c r="D447" s="9" t="s">
        <v>85</v>
      </c>
      <c r="E447" s="75"/>
    </row>
    <row r="448" ht="16.5" spans="1:5">
      <c r="A448" s="8">
        <v>3045731.833</v>
      </c>
      <c r="B448" s="8">
        <v>35400157.971</v>
      </c>
      <c r="C448" s="8">
        <v>891.566</v>
      </c>
      <c r="D448" s="9" t="s">
        <v>86</v>
      </c>
      <c r="E448" s="75"/>
    </row>
    <row r="449" ht="16.5" spans="1:5">
      <c r="A449" s="8">
        <v>3045731.833</v>
      </c>
      <c r="B449" s="8">
        <v>35400157.971</v>
      </c>
      <c r="C449" s="8">
        <v>891.566</v>
      </c>
      <c r="D449" s="9" t="s">
        <v>87</v>
      </c>
      <c r="E449" s="75"/>
    </row>
    <row r="450" ht="16.5" spans="1:5">
      <c r="A450" s="8">
        <v>3045731.833</v>
      </c>
      <c r="B450" s="8">
        <v>35400157.971</v>
      </c>
      <c r="C450" s="8">
        <v>891.566</v>
      </c>
      <c r="D450" s="9" t="s">
        <v>88</v>
      </c>
      <c r="E450" s="75"/>
    </row>
    <row r="451" ht="16.5" spans="1:5">
      <c r="A451" s="8">
        <v>3045731.833</v>
      </c>
      <c r="B451" s="8">
        <v>35400157.971</v>
      </c>
      <c r="C451" s="8">
        <v>891.566</v>
      </c>
      <c r="D451" s="9" t="s">
        <v>89</v>
      </c>
      <c r="E451" s="75">
        <v>887.226</v>
      </c>
    </row>
    <row r="452" ht="16.5" spans="1:5">
      <c r="A452" s="8">
        <v>3045731.833</v>
      </c>
      <c r="B452" s="8">
        <v>35400157.971</v>
      </c>
      <c r="C452" s="8">
        <v>891.566</v>
      </c>
      <c r="D452" s="9" t="s">
        <v>90</v>
      </c>
      <c r="E452" s="75"/>
    </row>
    <row r="453" ht="16.5" spans="1:5">
      <c r="A453" s="8">
        <v>3045731.833</v>
      </c>
      <c r="B453" s="8">
        <v>35400157.971</v>
      </c>
      <c r="C453" s="8">
        <v>891.566</v>
      </c>
      <c r="D453" s="9" t="s">
        <v>91</v>
      </c>
      <c r="E453" s="75"/>
    </row>
    <row r="454" ht="16.5" spans="1:5">
      <c r="A454" s="8">
        <v>3045731.833</v>
      </c>
      <c r="B454" s="8">
        <v>35400157.971</v>
      </c>
      <c r="C454" s="8">
        <v>891.566</v>
      </c>
      <c r="D454" s="9" t="s">
        <v>92</v>
      </c>
      <c r="E454" s="75"/>
    </row>
    <row r="455" ht="16.5" spans="1:5">
      <c r="A455" s="8">
        <v>3045731.833</v>
      </c>
      <c r="B455" s="8">
        <v>35400157.971</v>
      </c>
      <c r="C455" s="8">
        <v>891.566</v>
      </c>
      <c r="D455" s="9" t="s">
        <v>93</v>
      </c>
      <c r="E455" s="75"/>
    </row>
    <row r="456" ht="16.5" spans="1:5">
      <c r="A456" s="8">
        <v>3045731.833</v>
      </c>
      <c r="B456" s="8">
        <v>35400157.971</v>
      </c>
      <c r="C456" s="8">
        <v>891.566</v>
      </c>
      <c r="D456" s="9" t="s">
        <v>94</v>
      </c>
      <c r="E456" s="75"/>
    </row>
    <row r="457" ht="16.5" spans="1:5">
      <c r="A457" s="8">
        <v>3045731.833</v>
      </c>
      <c r="B457" s="8">
        <v>35400157.971</v>
      </c>
      <c r="C457" s="8">
        <v>891.566</v>
      </c>
      <c r="D457" s="9" t="s">
        <v>95</v>
      </c>
      <c r="E457" s="75"/>
    </row>
    <row r="458" ht="16.5" spans="1:5">
      <c r="A458" s="8">
        <v>3045731.833</v>
      </c>
      <c r="B458" s="8">
        <v>35400157.971</v>
      </c>
      <c r="C458" s="8">
        <v>891.566</v>
      </c>
      <c r="D458" s="9" t="s">
        <v>96</v>
      </c>
      <c r="E458" s="75">
        <v>887.156</v>
      </c>
    </row>
    <row r="459" ht="16.5" spans="1:5">
      <c r="A459" s="8">
        <v>3045731.833</v>
      </c>
      <c r="B459" s="8">
        <v>35400157.971</v>
      </c>
      <c r="C459" s="8">
        <v>891.566</v>
      </c>
      <c r="D459" s="9" t="s">
        <v>97</v>
      </c>
      <c r="E459" s="75"/>
    </row>
    <row r="460" ht="16.5" spans="1:5">
      <c r="A460" s="8">
        <v>3045731.833</v>
      </c>
      <c r="B460" s="8">
        <v>35400157.971</v>
      </c>
      <c r="C460" s="8">
        <v>891.566</v>
      </c>
      <c r="D460" s="9" t="s">
        <v>98</v>
      </c>
      <c r="E460" s="75"/>
    </row>
    <row r="461" ht="16.5" spans="1:5">
      <c r="A461" s="8">
        <v>3045731.833</v>
      </c>
      <c r="B461" s="8">
        <v>35400157.971</v>
      </c>
      <c r="C461" s="8">
        <v>891.566</v>
      </c>
      <c r="D461" s="9" t="s">
        <v>99</v>
      </c>
      <c r="E461" s="75"/>
    </row>
    <row r="462" ht="16.5" spans="1:5">
      <c r="A462" s="8">
        <v>3045731.833</v>
      </c>
      <c r="B462" s="8">
        <v>35400157.971</v>
      </c>
      <c r="C462" s="8">
        <v>891.566</v>
      </c>
      <c r="D462" s="9" t="s">
        <v>100</v>
      </c>
      <c r="E462" s="75"/>
    </row>
    <row r="463" ht="16.5" spans="1:5">
      <c r="A463" s="8">
        <v>3045731.833</v>
      </c>
      <c r="B463" s="8">
        <v>35400157.971</v>
      </c>
      <c r="C463" s="8">
        <v>891.566</v>
      </c>
      <c r="D463" s="9" t="s">
        <v>101</v>
      </c>
      <c r="E463" s="75"/>
    </row>
    <row r="464" ht="16.5" spans="1:5">
      <c r="A464" s="8">
        <v>3045731.833</v>
      </c>
      <c r="B464" s="8">
        <v>35400157.971</v>
      </c>
      <c r="C464" s="8">
        <v>891.566</v>
      </c>
      <c r="D464" s="9" t="s">
        <v>102</v>
      </c>
      <c r="E464" s="75"/>
    </row>
    <row r="465" ht="16.5" spans="1:5">
      <c r="A465" s="8">
        <v>3045731.833</v>
      </c>
      <c r="B465" s="8">
        <v>35400157.971</v>
      </c>
      <c r="C465" s="8">
        <v>891.566</v>
      </c>
      <c r="D465" s="9" t="s">
        <v>103</v>
      </c>
      <c r="E465" s="75">
        <v>887.136</v>
      </c>
    </row>
    <row r="466" ht="16.5" spans="1:5">
      <c r="A466" s="8">
        <v>3045731.833</v>
      </c>
      <c r="B466" s="8">
        <v>35400157.971</v>
      </c>
      <c r="C466" s="8">
        <v>891.566</v>
      </c>
      <c r="D466" s="9" t="s">
        <v>104</v>
      </c>
      <c r="E466" s="75"/>
    </row>
    <row r="467" ht="16.5" spans="1:5">
      <c r="A467" s="8">
        <v>3045731.833</v>
      </c>
      <c r="B467" s="8">
        <v>35400157.971</v>
      </c>
      <c r="C467" s="8">
        <v>891.566</v>
      </c>
      <c r="D467" s="9" t="s">
        <v>105</v>
      </c>
      <c r="E467" s="75"/>
    </row>
    <row r="468" ht="16.5" spans="1:5">
      <c r="A468" s="8">
        <v>3045731.833</v>
      </c>
      <c r="B468" s="8">
        <v>35400157.971</v>
      </c>
      <c r="C468" s="8">
        <v>891.566</v>
      </c>
      <c r="D468" s="9" t="s">
        <v>106</v>
      </c>
      <c r="E468" s="75"/>
    </row>
    <row r="469" ht="16.5" spans="1:5">
      <c r="A469" s="8">
        <v>3045731.833</v>
      </c>
      <c r="B469" s="8">
        <v>35400157.971</v>
      </c>
      <c r="C469" s="8">
        <v>891.566</v>
      </c>
      <c r="D469" s="9" t="s">
        <v>107</v>
      </c>
      <c r="E469" s="75"/>
    </row>
    <row r="470" ht="16.5" spans="1:5">
      <c r="A470" s="8">
        <v>3045731.833</v>
      </c>
      <c r="B470" s="8">
        <v>35400157.971</v>
      </c>
      <c r="C470" s="8">
        <v>891.566</v>
      </c>
      <c r="D470" s="9" t="s">
        <v>108</v>
      </c>
      <c r="E470" s="75"/>
    </row>
    <row r="471" ht="16.5" spans="1:5">
      <c r="A471" s="8">
        <v>3045731.833</v>
      </c>
      <c r="B471" s="8">
        <v>35400157.971</v>
      </c>
      <c r="C471" s="8">
        <v>891.566</v>
      </c>
      <c r="D471" s="9" t="s">
        <v>109</v>
      </c>
      <c r="E471" s="75">
        <v>887.166</v>
      </c>
    </row>
    <row r="472" ht="16.5" spans="1:5">
      <c r="A472" s="8">
        <v>3045731.833</v>
      </c>
      <c r="B472" s="8">
        <v>35400157.971</v>
      </c>
      <c r="C472" s="8">
        <v>891.566</v>
      </c>
      <c r="D472" s="9" t="s">
        <v>110</v>
      </c>
      <c r="E472" s="75"/>
    </row>
    <row r="473" ht="16.5" spans="1:5">
      <c r="A473" s="8">
        <v>3045731.833</v>
      </c>
      <c r="B473" s="8">
        <v>35400157.971</v>
      </c>
      <c r="C473" s="8">
        <v>891.566</v>
      </c>
      <c r="D473" s="9" t="s">
        <v>111</v>
      </c>
      <c r="E473" s="75"/>
    </row>
    <row r="474" ht="16.5" spans="1:5">
      <c r="A474" s="8">
        <v>3045731.833</v>
      </c>
      <c r="B474" s="8">
        <v>35400157.971</v>
      </c>
      <c r="C474" s="8">
        <v>891.566</v>
      </c>
      <c r="D474" s="9" t="s">
        <v>112</v>
      </c>
      <c r="E474" s="75"/>
    </row>
    <row r="475" ht="16.5" spans="1:5">
      <c r="A475" s="8">
        <v>3045731.833</v>
      </c>
      <c r="B475" s="8">
        <v>35400157.971</v>
      </c>
      <c r="C475" s="8">
        <v>891.566</v>
      </c>
      <c r="D475" s="9" t="s">
        <v>113</v>
      </c>
      <c r="E475" s="75"/>
    </row>
    <row r="476" ht="16.5" spans="1:5">
      <c r="A476" s="8">
        <v>3045731.833</v>
      </c>
      <c r="B476" s="8">
        <v>35400157.971</v>
      </c>
      <c r="C476" s="8">
        <v>891.566</v>
      </c>
      <c r="D476" s="9" t="s">
        <v>114</v>
      </c>
      <c r="E476" s="75"/>
    </row>
    <row r="477" ht="16.5" spans="1:5">
      <c r="A477" s="8">
        <v>3045731.833</v>
      </c>
      <c r="B477" s="8">
        <v>35400157.971</v>
      </c>
      <c r="C477" s="8">
        <v>891.566</v>
      </c>
      <c r="D477" s="9" t="s">
        <v>115</v>
      </c>
      <c r="E477" s="75"/>
    </row>
    <row r="478" ht="16.5" spans="1:5">
      <c r="A478" s="8">
        <v>3045731.833</v>
      </c>
      <c r="B478" s="8">
        <v>35400157.971</v>
      </c>
      <c r="C478" s="8">
        <v>891.566</v>
      </c>
      <c r="D478" s="9" t="s">
        <v>116</v>
      </c>
      <c r="E478" s="75"/>
    </row>
    <row r="479" ht="16.5" spans="1:5">
      <c r="A479" s="8">
        <v>3045731.833</v>
      </c>
      <c r="B479" s="8">
        <v>35400157.971</v>
      </c>
      <c r="C479" s="8">
        <v>891.566</v>
      </c>
      <c r="D479" s="9" t="s">
        <v>117</v>
      </c>
      <c r="E479" s="75">
        <v>887.136</v>
      </c>
    </row>
    <row r="480" ht="16.5" spans="1:5">
      <c r="A480" s="8">
        <v>3045731.833</v>
      </c>
      <c r="B480" s="8">
        <v>35400157.971</v>
      </c>
      <c r="C480" s="8">
        <v>891.566</v>
      </c>
      <c r="D480" s="9" t="s">
        <v>118</v>
      </c>
      <c r="E480" s="75"/>
    </row>
    <row r="481" ht="16.5" spans="1:5">
      <c r="A481" s="8">
        <v>3045731.833</v>
      </c>
      <c r="B481" s="8">
        <v>35400157.971</v>
      </c>
      <c r="C481" s="8">
        <v>891.566</v>
      </c>
      <c r="D481" s="9" t="s">
        <v>119</v>
      </c>
      <c r="E481" s="75"/>
    </row>
    <row r="482" ht="16.5" spans="1:5">
      <c r="A482" s="8">
        <v>3045731.833</v>
      </c>
      <c r="B482" s="8">
        <v>35400157.971</v>
      </c>
      <c r="C482" s="8">
        <v>891.566</v>
      </c>
      <c r="D482" s="9" t="s">
        <v>120</v>
      </c>
      <c r="E482" s="75"/>
    </row>
    <row r="483" ht="16.5" spans="1:5">
      <c r="A483" s="8">
        <v>3045731.833</v>
      </c>
      <c r="B483" s="8">
        <v>35400157.971</v>
      </c>
      <c r="C483" s="8">
        <v>891.566</v>
      </c>
      <c r="D483" s="9" t="s">
        <v>121</v>
      </c>
      <c r="E483" s="75"/>
    </row>
    <row r="484" ht="16.5" spans="1:5">
      <c r="A484" s="8">
        <v>3045731.833</v>
      </c>
      <c r="B484" s="8">
        <v>35400157.971</v>
      </c>
      <c r="C484" s="8">
        <v>891.566</v>
      </c>
      <c r="D484" s="9" t="s">
        <v>122</v>
      </c>
      <c r="E484" s="75"/>
    </row>
    <row r="485" ht="16.5" spans="1:5">
      <c r="A485" s="8">
        <v>3045731.833</v>
      </c>
      <c r="B485" s="8">
        <v>35400157.971</v>
      </c>
      <c r="C485" s="8">
        <v>891.566</v>
      </c>
      <c r="D485" s="9" t="s">
        <v>123</v>
      </c>
      <c r="E485" s="75"/>
    </row>
    <row r="486" ht="16.5" spans="1:5">
      <c r="A486" s="8">
        <v>3045731.833</v>
      </c>
      <c r="B486" s="8">
        <v>35400157.971</v>
      </c>
      <c r="C486" s="8">
        <v>891.566</v>
      </c>
      <c r="D486" s="9" t="s">
        <v>124</v>
      </c>
      <c r="E486" s="75">
        <v>887.156</v>
      </c>
    </row>
    <row r="487" ht="16.5" spans="1:5">
      <c r="A487" s="8">
        <v>3045731.833</v>
      </c>
      <c r="B487" s="8">
        <v>35400157.971</v>
      </c>
      <c r="C487" s="8">
        <v>891.566</v>
      </c>
      <c r="D487" s="9" t="s">
        <v>125</v>
      </c>
      <c r="E487" s="75"/>
    </row>
    <row r="488" ht="16.5" spans="1:5">
      <c r="A488" s="8">
        <v>3045731.833</v>
      </c>
      <c r="B488" s="8">
        <v>35400157.971</v>
      </c>
      <c r="C488" s="8">
        <v>891.566</v>
      </c>
      <c r="D488" s="9" t="s">
        <v>126</v>
      </c>
      <c r="E488" s="75"/>
    </row>
    <row r="489" ht="16.5" spans="1:5">
      <c r="A489" s="8">
        <v>3045731.833</v>
      </c>
      <c r="B489" s="8">
        <v>35400157.971</v>
      </c>
      <c r="C489" s="8">
        <v>891.566</v>
      </c>
      <c r="D489" s="9" t="s">
        <v>127</v>
      </c>
      <c r="E489" s="75"/>
    </row>
    <row r="490" ht="16.5" spans="1:5">
      <c r="A490" s="8">
        <v>3045731.833</v>
      </c>
      <c r="B490" s="8">
        <v>35400157.971</v>
      </c>
      <c r="C490" s="8">
        <v>891.566</v>
      </c>
      <c r="D490" s="9" t="s">
        <v>128</v>
      </c>
      <c r="E490" s="75"/>
    </row>
    <row r="491" ht="16.5" spans="1:5">
      <c r="A491" s="8">
        <v>3045731.833</v>
      </c>
      <c r="B491" s="8">
        <v>35400157.971</v>
      </c>
      <c r="C491" s="8">
        <v>891.566</v>
      </c>
      <c r="D491" s="9" t="s">
        <v>129</v>
      </c>
      <c r="E491" s="75">
        <v>887.096</v>
      </c>
    </row>
    <row r="492" ht="16.5" spans="1:5">
      <c r="A492" s="8">
        <v>3045731.833</v>
      </c>
      <c r="B492" s="8">
        <v>35400157.971</v>
      </c>
      <c r="C492" s="8">
        <v>891.566</v>
      </c>
      <c r="D492" s="9" t="s">
        <v>130</v>
      </c>
      <c r="E492" s="75"/>
    </row>
    <row r="493" ht="16.5" spans="1:5">
      <c r="A493" s="8">
        <v>3045731.833</v>
      </c>
      <c r="B493" s="8">
        <v>35400157.971</v>
      </c>
      <c r="C493" s="8">
        <v>891.566</v>
      </c>
      <c r="D493" s="9" t="s">
        <v>131</v>
      </c>
      <c r="E493" s="75"/>
    </row>
    <row r="494" ht="16.5" spans="1:5">
      <c r="A494" s="8">
        <v>3045731.833</v>
      </c>
      <c r="B494" s="8">
        <v>35400157.971</v>
      </c>
      <c r="C494" s="8">
        <v>891.566</v>
      </c>
      <c r="D494" s="9" t="s">
        <v>132</v>
      </c>
      <c r="E494" s="75"/>
    </row>
    <row r="495" ht="16.5" spans="1:5">
      <c r="A495" s="8">
        <v>3045731.833</v>
      </c>
      <c r="B495" s="8">
        <v>35400157.971</v>
      </c>
      <c r="C495" s="8">
        <v>891.566</v>
      </c>
      <c r="D495" s="9" t="s">
        <v>133</v>
      </c>
      <c r="E495" s="75"/>
    </row>
    <row r="496" ht="16.5" spans="1:5">
      <c r="A496" s="8">
        <v>3045731.833</v>
      </c>
      <c r="B496" s="8">
        <v>35400157.971</v>
      </c>
      <c r="C496" s="8">
        <v>891.566</v>
      </c>
      <c r="D496" s="9" t="s">
        <v>134</v>
      </c>
      <c r="E496" s="75"/>
    </row>
    <row r="497" ht="16.5" spans="1:5">
      <c r="A497" s="8">
        <v>3045731.833</v>
      </c>
      <c r="B497" s="8">
        <v>35400157.971</v>
      </c>
      <c r="C497" s="8">
        <v>891.566</v>
      </c>
      <c r="D497" s="9" t="s">
        <v>135</v>
      </c>
      <c r="E497" s="75"/>
    </row>
    <row r="498" ht="16.5" spans="1:5">
      <c r="A498" s="8">
        <v>3045731.833</v>
      </c>
      <c r="B498" s="8">
        <v>35400157.971</v>
      </c>
      <c r="C498" s="8">
        <v>891.566</v>
      </c>
      <c r="D498" s="9" t="s">
        <v>136</v>
      </c>
      <c r="E498" s="75"/>
    </row>
    <row r="499" ht="16.5" spans="1:5">
      <c r="A499" s="8">
        <v>3045731.833</v>
      </c>
      <c r="B499" s="8">
        <v>35400157.971</v>
      </c>
      <c r="C499" s="8">
        <v>891.566</v>
      </c>
      <c r="D499" s="9" t="s">
        <v>137</v>
      </c>
      <c r="E499" s="75"/>
    </row>
    <row r="500" ht="16.5" spans="1:5">
      <c r="A500" s="8">
        <v>3045731.833</v>
      </c>
      <c r="B500" s="8">
        <v>35400157.971</v>
      </c>
      <c r="C500" s="8">
        <v>891.566</v>
      </c>
      <c r="D500" s="9" t="s">
        <v>138</v>
      </c>
      <c r="E500" s="75">
        <v>887.066</v>
      </c>
    </row>
    <row r="501" ht="16.5" spans="1:5">
      <c r="A501" s="8">
        <v>3045731.833</v>
      </c>
      <c r="B501" s="8">
        <v>35400157.971</v>
      </c>
      <c r="C501" s="8">
        <v>891.566</v>
      </c>
      <c r="D501" s="9" t="s">
        <v>139</v>
      </c>
      <c r="E501" s="75"/>
    </row>
    <row r="502" ht="16.5" spans="1:5">
      <c r="A502" s="8">
        <v>3045731.833</v>
      </c>
      <c r="B502" s="8">
        <v>35400157.971</v>
      </c>
      <c r="C502" s="8">
        <v>891.566</v>
      </c>
      <c r="D502" s="9" t="s">
        <v>140</v>
      </c>
      <c r="E502" s="75"/>
    </row>
    <row r="503" ht="16.5" spans="1:5">
      <c r="A503" s="8">
        <v>3045731.833</v>
      </c>
      <c r="B503" s="8">
        <v>35400157.971</v>
      </c>
      <c r="C503" s="8">
        <v>891.566</v>
      </c>
      <c r="D503" s="9" t="s">
        <v>141</v>
      </c>
      <c r="E503" s="75"/>
    </row>
    <row r="504" ht="16.5" spans="1:5">
      <c r="A504" s="8">
        <v>3045731.833</v>
      </c>
      <c r="B504" s="8">
        <v>35400157.971</v>
      </c>
      <c r="C504" s="8">
        <v>891.566</v>
      </c>
      <c r="D504" s="9" t="s">
        <v>142</v>
      </c>
      <c r="E504" s="75"/>
    </row>
    <row r="505" ht="16.5" spans="1:5">
      <c r="A505" s="8">
        <v>3045731.833</v>
      </c>
      <c r="B505" s="8">
        <v>35400157.971</v>
      </c>
      <c r="C505" s="8">
        <v>891.566</v>
      </c>
      <c r="D505" s="9" t="s">
        <v>143</v>
      </c>
      <c r="E505" s="75"/>
    </row>
    <row r="506" ht="16.5" spans="1:5">
      <c r="A506" s="8">
        <v>3045731.833</v>
      </c>
      <c r="B506" s="8">
        <v>35400157.971</v>
      </c>
      <c r="C506" s="8">
        <v>891.566</v>
      </c>
      <c r="D506" s="9" t="s">
        <v>144</v>
      </c>
      <c r="E506" s="75"/>
    </row>
    <row r="507" ht="16.5" spans="1:5">
      <c r="A507" s="8">
        <v>3045731.833</v>
      </c>
      <c r="B507" s="8">
        <v>35400157.971</v>
      </c>
      <c r="C507" s="8">
        <v>891.566</v>
      </c>
      <c r="D507" s="9" t="s">
        <v>145</v>
      </c>
      <c r="E507" s="75">
        <v>887.106</v>
      </c>
    </row>
    <row r="508" ht="16.5" spans="1:5">
      <c r="A508" s="8">
        <v>3045731.833</v>
      </c>
      <c r="B508" s="8">
        <v>35400157.971</v>
      </c>
      <c r="C508" s="8">
        <v>891.566</v>
      </c>
      <c r="D508" s="9" t="s">
        <v>146</v>
      </c>
      <c r="E508" s="75"/>
    </row>
    <row r="509" ht="16.5" spans="1:5">
      <c r="A509" s="8">
        <v>3045731.833</v>
      </c>
      <c r="B509" s="8">
        <v>35400157.971</v>
      </c>
      <c r="C509" s="8">
        <v>891.566</v>
      </c>
      <c r="D509" s="9" t="s">
        <v>147</v>
      </c>
      <c r="E509" s="75"/>
    </row>
    <row r="510" ht="16.5" spans="1:5">
      <c r="A510" s="8">
        <v>3045731.833</v>
      </c>
      <c r="B510" s="8">
        <v>35400157.971</v>
      </c>
      <c r="C510" s="8">
        <v>891.566</v>
      </c>
      <c r="D510" s="9" t="s">
        <v>148</v>
      </c>
      <c r="E510" s="75"/>
    </row>
    <row r="511" ht="16.5" spans="1:5">
      <c r="A511" s="8">
        <v>3045731.833</v>
      </c>
      <c r="B511" s="8">
        <v>35400157.971</v>
      </c>
      <c r="C511" s="8">
        <v>891.566</v>
      </c>
      <c r="D511" s="9" t="s">
        <v>149</v>
      </c>
      <c r="E511" s="75"/>
    </row>
    <row r="512" ht="16.5" spans="1:5">
      <c r="A512" s="8">
        <v>3045731.833</v>
      </c>
      <c r="B512" s="8">
        <v>35400157.971</v>
      </c>
      <c r="C512" s="8">
        <v>891.566</v>
      </c>
      <c r="D512" s="9" t="s">
        <v>150</v>
      </c>
      <c r="E512" s="75"/>
    </row>
    <row r="513" ht="16.5" spans="1:5">
      <c r="A513" s="8">
        <v>3045731.833</v>
      </c>
      <c r="B513" s="8">
        <v>35400157.971</v>
      </c>
      <c r="C513" s="8">
        <v>891.566</v>
      </c>
      <c r="D513" s="9" t="s">
        <v>151</v>
      </c>
      <c r="E513" s="75"/>
    </row>
    <row r="514" ht="16.5" spans="1:5">
      <c r="A514" s="8">
        <v>3045731.833</v>
      </c>
      <c r="B514" s="8">
        <v>35400157.971</v>
      </c>
      <c r="C514" s="8">
        <v>891.566</v>
      </c>
      <c r="D514" s="9" t="s">
        <v>152</v>
      </c>
      <c r="E514" s="75">
        <v>887.126</v>
      </c>
    </row>
    <row r="515" ht="16.5" spans="1:5">
      <c r="A515" s="8">
        <v>3045731.833</v>
      </c>
      <c r="B515" s="8">
        <v>35400157.971</v>
      </c>
      <c r="C515" s="8">
        <v>891.566</v>
      </c>
      <c r="D515" s="9" t="s">
        <v>153</v>
      </c>
      <c r="E515" s="75"/>
    </row>
    <row r="516" ht="16.5" spans="1:5">
      <c r="A516" s="8">
        <v>3045731.833</v>
      </c>
      <c r="B516" s="8">
        <v>35400157.971</v>
      </c>
      <c r="C516" s="8">
        <v>891.566</v>
      </c>
      <c r="D516" s="9" t="s">
        <v>154</v>
      </c>
      <c r="E516" s="75"/>
    </row>
    <row r="517" ht="16.5" spans="1:5">
      <c r="A517" s="8">
        <v>3045731.833</v>
      </c>
      <c r="B517" s="8">
        <v>35400157.971</v>
      </c>
      <c r="C517" s="8">
        <v>891.566</v>
      </c>
      <c r="D517" s="9" t="s">
        <v>155</v>
      </c>
      <c r="E517" s="75"/>
    </row>
    <row r="518" ht="16.5" spans="1:5">
      <c r="A518" s="8">
        <v>3045731.833</v>
      </c>
      <c r="B518" s="8">
        <v>35400157.971</v>
      </c>
      <c r="C518" s="8">
        <v>891.566</v>
      </c>
      <c r="D518" s="9" t="s">
        <v>156</v>
      </c>
      <c r="E518" s="75"/>
    </row>
    <row r="519" ht="16.5" spans="1:5">
      <c r="A519" s="8">
        <v>3045731.833</v>
      </c>
      <c r="B519" s="8">
        <v>35400157.971</v>
      </c>
      <c r="C519" s="8">
        <v>891.566</v>
      </c>
      <c r="D519" s="9" t="s">
        <v>157</v>
      </c>
      <c r="E519" s="75"/>
    </row>
    <row r="520" ht="16.5" spans="1:5">
      <c r="A520" s="8">
        <v>3045731.833</v>
      </c>
      <c r="B520" s="8">
        <v>35400157.971</v>
      </c>
      <c r="C520" s="8">
        <v>891.566</v>
      </c>
      <c r="D520" s="9" t="s">
        <v>158</v>
      </c>
      <c r="E520" s="75"/>
    </row>
    <row r="521" ht="16.5" spans="1:5">
      <c r="A521" s="8">
        <v>3045731.833</v>
      </c>
      <c r="B521" s="8">
        <v>35400157.971</v>
      </c>
      <c r="C521" s="8">
        <v>891.566</v>
      </c>
      <c r="D521" s="9" t="s">
        <v>159</v>
      </c>
      <c r="E521" s="75">
        <v>887.156</v>
      </c>
    </row>
    <row r="522" ht="16.5" spans="1:5">
      <c r="A522" s="8">
        <v>3045731.833</v>
      </c>
      <c r="B522" s="8">
        <v>35400157.971</v>
      </c>
      <c r="C522" s="8">
        <v>891.566</v>
      </c>
      <c r="D522" s="9" t="s">
        <v>160</v>
      </c>
      <c r="E522" s="75"/>
    </row>
    <row r="523" ht="16.5" spans="1:5">
      <c r="A523" s="8">
        <v>3045731.833</v>
      </c>
      <c r="B523" s="8">
        <v>35400157.971</v>
      </c>
      <c r="C523" s="8">
        <v>891.566</v>
      </c>
      <c r="D523" s="9" t="s">
        <v>161</v>
      </c>
      <c r="E523" s="75"/>
    </row>
    <row r="524" ht="16.5" spans="1:5">
      <c r="A524" s="8">
        <v>3045731.833</v>
      </c>
      <c r="B524" s="8">
        <v>35400157.971</v>
      </c>
      <c r="C524" s="8">
        <v>891.566</v>
      </c>
      <c r="D524" s="9" t="s">
        <v>162</v>
      </c>
      <c r="E524" s="75"/>
    </row>
    <row r="525" ht="16.5" spans="1:5">
      <c r="A525" s="8">
        <v>3045731.833</v>
      </c>
      <c r="B525" s="8">
        <v>35400157.971</v>
      </c>
      <c r="C525" s="8">
        <v>891.566</v>
      </c>
      <c r="D525" s="9" t="s">
        <v>163</v>
      </c>
      <c r="E525" s="75"/>
    </row>
    <row r="526" ht="16.5" spans="1:5">
      <c r="A526" s="8">
        <v>3045731.833</v>
      </c>
      <c r="B526" s="8">
        <v>35400157.971</v>
      </c>
      <c r="C526" s="8">
        <v>891.566</v>
      </c>
      <c r="D526" s="9" t="s">
        <v>164</v>
      </c>
      <c r="E526" s="75"/>
    </row>
    <row r="527" ht="16.5" spans="1:5">
      <c r="A527" s="8">
        <v>3045731.833</v>
      </c>
      <c r="B527" s="8">
        <v>35400157.971</v>
      </c>
      <c r="C527" s="8">
        <v>891.566</v>
      </c>
      <c r="D527" s="9" t="s">
        <v>165</v>
      </c>
      <c r="E527" s="75"/>
    </row>
    <row r="528" ht="16.5" spans="1:5">
      <c r="A528" s="8">
        <v>3045731.833</v>
      </c>
      <c r="B528" s="8">
        <v>35400157.971</v>
      </c>
      <c r="C528" s="8">
        <v>891.566</v>
      </c>
      <c r="D528" s="9" t="s">
        <v>166</v>
      </c>
      <c r="E528" s="75">
        <v>887.176</v>
      </c>
    </row>
    <row r="529" ht="16.5" spans="1:5">
      <c r="A529" s="8">
        <v>3045731.833</v>
      </c>
      <c r="B529" s="8">
        <v>35400157.971</v>
      </c>
      <c r="C529" s="8">
        <v>891.566</v>
      </c>
      <c r="D529" s="9" t="s">
        <v>167</v>
      </c>
      <c r="E529" s="75"/>
    </row>
    <row r="530" ht="16.5" spans="1:5">
      <c r="A530" s="8">
        <v>3045731.833</v>
      </c>
      <c r="B530" s="8">
        <v>35400157.971</v>
      </c>
      <c r="C530" s="8">
        <v>891.566</v>
      </c>
      <c r="D530" s="9" t="s">
        <v>168</v>
      </c>
      <c r="E530" s="75"/>
    </row>
    <row r="531" ht="16.5" spans="1:5">
      <c r="A531" s="8">
        <v>3045731.833</v>
      </c>
      <c r="B531" s="8">
        <v>35400157.971</v>
      </c>
      <c r="C531" s="8">
        <v>891.566</v>
      </c>
      <c r="D531" s="9" t="s">
        <v>169</v>
      </c>
      <c r="E531" s="75"/>
    </row>
    <row r="532" ht="16.5" spans="1:5">
      <c r="A532" s="8">
        <v>3045731.833</v>
      </c>
      <c r="B532" s="8">
        <v>35400157.971</v>
      </c>
      <c r="C532" s="8">
        <v>891.566</v>
      </c>
      <c r="D532" s="9" t="s">
        <v>170</v>
      </c>
      <c r="E532" s="75"/>
    </row>
    <row r="533" ht="16.5" spans="1:5">
      <c r="A533" s="8">
        <v>3045731.833</v>
      </c>
      <c r="B533" s="8">
        <v>35400157.971</v>
      </c>
      <c r="C533" s="8">
        <v>891.566</v>
      </c>
      <c r="D533" s="9" t="s">
        <v>171</v>
      </c>
      <c r="E533" s="75"/>
    </row>
    <row r="534" ht="16.5" spans="1:5">
      <c r="A534" s="8">
        <v>3045731.833</v>
      </c>
      <c r="B534" s="8">
        <v>35400157.971</v>
      </c>
      <c r="C534" s="8">
        <v>891.566</v>
      </c>
      <c r="D534" s="9" t="s">
        <v>172</v>
      </c>
      <c r="E534" s="75"/>
    </row>
    <row r="535" ht="16.5" spans="1:5">
      <c r="A535" s="8">
        <v>3045731.833</v>
      </c>
      <c r="B535" s="8">
        <v>35400157.971</v>
      </c>
      <c r="C535" s="8">
        <v>891.566</v>
      </c>
      <c r="D535" s="9" t="s">
        <v>173</v>
      </c>
      <c r="E535" s="75">
        <v>887.166</v>
      </c>
    </row>
    <row r="536" ht="16.5" spans="1:5">
      <c r="A536" s="8">
        <v>3045731.833</v>
      </c>
      <c r="B536" s="8">
        <v>35400157.971</v>
      </c>
      <c r="C536" s="8">
        <v>891.566</v>
      </c>
      <c r="D536" s="9" t="s">
        <v>174</v>
      </c>
      <c r="E536" s="75"/>
    </row>
    <row r="537" ht="16.5" spans="1:5">
      <c r="A537" s="8">
        <v>3045731.833</v>
      </c>
      <c r="B537" s="8">
        <v>35400157.971</v>
      </c>
      <c r="C537" s="8">
        <v>891.566</v>
      </c>
      <c r="D537" s="9" t="s">
        <v>175</v>
      </c>
      <c r="E537" s="75"/>
    </row>
    <row r="538" ht="16.5" spans="1:5">
      <c r="A538" s="8">
        <v>3045731.833</v>
      </c>
      <c r="B538" s="8">
        <v>35400157.971</v>
      </c>
      <c r="C538" s="8">
        <v>891.566</v>
      </c>
      <c r="D538" s="9" t="s">
        <v>176</v>
      </c>
      <c r="E538" s="75"/>
    </row>
    <row r="539" ht="16.5" spans="1:5">
      <c r="A539" s="8">
        <v>3045731.833</v>
      </c>
      <c r="B539" s="8">
        <v>35400157.971</v>
      </c>
      <c r="C539" s="8">
        <v>891.566</v>
      </c>
      <c r="D539" s="9" t="s">
        <v>177</v>
      </c>
      <c r="E539" s="75"/>
    </row>
    <row r="540" ht="16.5" spans="1:5">
      <c r="A540" s="8">
        <v>3045731.833</v>
      </c>
      <c r="B540" s="8">
        <v>35400157.971</v>
      </c>
      <c r="C540" s="8">
        <v>891.566</v>
      </c>
      <c r="D540" s="9" t="s">
        <v>178</v>
      </c>
      <c r="E540" s="75"/>
    </row>
    <row r="541" ht="16.5" spans="1:5">
      <c r="A541" s="8">
        <v>3045731.833</v>
      </c>
      <c r="B541" s="8">
        <v>35400157.971</v>
      </c>
      <c r="C541" s="8">
        <v>891.566</v>
      </c>
      <c r="D541" s="9" t="s">
        <v>179</v>
      </c>
      <c r="E541" s="75"/>
    </row>
    <row r="542" ht="16.5" spans="1:5">
      <c r="A542" s="8">
        <v>3045731.833</v>
      </c>
      <c r="B542" s="8">
        <v>35400157.971</v>
      </c>
      <c r="C542" s="8">
        <v>891.566</v>
      </c>
      <c r="D542" s="9" t="s">
        <v>180</v>
      </c>
      <c r="E542" s="75"/>
    </row>
    <row r="543" ht="16.5" spans="1:5">
      <c r="A543" s="8">
        <v>3045731.833</v>
      </c>
      <c r="B543" s="8">
        <v>35400157.971</v>
      </c>
      <c r="C543" s="8">
        <v>891.566</v>
      </c>
      <c r="D543" s="9" t="s">
        <v>181</v>
      </c>
      <c r="E543" s="75"/>
    </row>
    <row r="544" ht="16.5" spans="1:5">
      <c r="A544" s="8">
        <v>3045731.833</v>
      </c>
      <c r="B544" s="8">
        <v>35400157.971</v>
      </c>
      <c r="C544" s="8">
        <v>891.566</v>
      </c>
      <c r="D544" s="9" t="s">
        <v>182</v>
      </c>
      <c r="E544" s="75"/>
    </row>
    <row r="545" ht="16.5" spans="1:5">
      <c r="A545" s="8">
        <v>3045731.833</v>
      </c>
      <c r="B545" s="8">
        <v>35400157.971</v>
      </c>
      <c r="C545" s="8">
        <v>891.566</v>
      </c>
      <c r="D545" s="9" t="s">
        <v>183</v>
      </c>
      <c r="E545" s="75"/>
    </row>
    <row r="546" ht="16.5" spans="1:5">
      <c r="A546" s="8">
        <v>3045731.833</v>
      </c>
      <c r="B546" s="8">
        <v>35400157.971</v>
      </c>
      <c r="C546" s="8">
        <v>891.566</v>
      </c>
      <c r="D546" s="9" t="s">
        <v>184</v>
      </c>
      <c r="E546" s="75"/>
    </row>
    <row r="547" ht="16.5" spans="1:5">
      <c r="A547" s="8">
        <v>3045731.833</v>
      </c>
      <c r="B547" s="8">
        <v>35400157.971</v>
      </c>
      <c r="C547" s="8">
        <v>891.566</v>
      </c>
      <c r="D547" s="9" t="s">
        <v>185</v>
      </c>
      <c r="E547" s="75"/>
    </row>
    <row r="548" ht="16.5" spans="1:5">
      <c r="A548" s="8">
        <v>3045731.833</v>
      </c>
      <c r="B548" s="8">
        <v>35400157.971</v>
      </c>
      <c r="C548" s="8">
        <v>891.566</v>
      </c>
      <c r="D548" s="9" t="s">
        <v>186</v>
      </c>
      <c r="E548" s="75"/>
    </row>
    <row r="549" ht="16.5" spans="1:5">
      <c r="A549" s="8">
        <v>3045731.833</v>
      </c>
      <c r="B549" s="8">
        <v>35400157.971</v>
      </c>
      <c r="C549" s="8">
        <v>891.566</v>
      </c>
      <c r="D549" s="9" t="s">
        <v>187</v>
      </c>
      <c r="E549" s="75">
        <v>887.126</v>
      </c>
    </row>
    <row r="550" ht="16.5" spans="1:5">
      <c r="A550" s="8">
        <v>3045731.833</v>
      </c>
      <c r="B550" s="8">
        <v>35400157.971</v>
      </c>
      <c r="C550" s="8">
        <v>891.566</v>
      </c>
      <c r="D550" s="9" t="s">
        <v>188</v>
      </c>
      <c r="E550" s="75">
        <v>887.326</v>
      </c>
    </row>
    <row r="551" ht="16.5" spans="1:5">
      <c r="A551" s="8">
        <v>3045731.833</v>
      </c>
      <c r="B551" s="8">
        <v>35400157.971</v>
      </c>
      <c r="C551" s="8">
        <v>891.566</v>
      </c>
      <c r="D551" s="9" t="s">
        <v>189</v>
      </c>
      <c r="E551" s="75">
        <v>887.426</v>
      </c>
    </row>
    <row r="552" ht="16.5" spans="1:5">
      <c r="A552" s="8">
        <v>3045731.833</v>
      </c>
      <c r="B552" s="8">
        <v>35400157.971</v>
      </c>
      <c r="C552" s="8">
        <v>891.566</v>
      </c>
      <c r="D552" s="9" t="s">
        <v>190</v>
      </c>
      <c r="E552" s="75">
        <v>887.526</v>
      </c>
    </row>
    <row r="553" ht="16.5" spans="1:5">
      <c r="A553" s="8">
        <v>3045731.833</v>
      </c>
      <c r="B553" s="8">
        <v>35400157.971</v>
      </c>
      <c r="C553" s="8">
        <v>891.566</v>
      </c>
      <c r="D553" s="9" t="s">
        <v>191</v>
      </c>
      <c r="E553" s="75">
        <v>887.626</v>
      </c>
    </row>
    <row r="554" ht="16.5" spans="1:5">
      <c r="A554" s="8">
        <v>3045731.833</v>
      </c>
      <c r="B554" s="8">
        <v>35400157.971</v>
      </c>
      <c r="C554" s="8">
        <v>891.566</v>
      </c>
      <c r="D554" s="9" t="s">
        <v>192</v>
      </c>
      <c r="E554" s="75">
        <v>887.696</v>
      </c>
    </row>
    <row r="555" ht="16.5" spans="1:5">
      <c r="A555" s="8">
        <v>3045731.833</v>
      </c>
      <c r="B555" s="8">
        <v>35400157.971</v>
      </c>
      <c r="C555" s="8">
        <v>891.566</v>
      </c>
      <c r="D555" s="9" t="s">
        <v>193</v>
      </c>
      <c r="E555" s="75">
        <v>887.866</v>
      </c>
    </row>
    <row r="556" ht="16.5" spans="1:5">
      <c r="A556" s="8">
        <v>3045731.833</v>
      </c>
      <c r="B556" s="8">
        <v>35400157.971</v>
      </c>
      <c r="C556" s="8">
        <v>891.566</v>
      </c>
      <c r="D556" s="9" t="s">
        <v>194</v>
      </c>
      <c r="E556" s="75">
        <v>887.966</v>
      </c>
    </row>
    <row r="557" ht="16.5" spans="1:5">
      <c r="A557" s="8">
        <v>3045731.833</v>
      </c>
      <c r="B557" s="8">
        <v>35400157.971</v>
      </c>
      <c r="C557" s="8">
        <v>891.566</v>
      </c>
      <c r="D557" s="9" t="s">
        <v>195</v>
      </c>
      <c r="E557" s="75">
        <v>888.126</v>
      </c>
    </row>
    <row r="558" ht="16.5" spans="1:5">
      <c r="A558" s="8">
        <v>3045731.833</v>
      </c>
      <c r="B558" s="8">
        <v>35400157.971</v>
      </c>
      <c r="C558" s="8">
        <v>891.566</v>
      </c>
      <c r="D558" s="9" t="s">
        <v>196</v>
      </c>
      <c r="E558" s="75">
        <v>888.266</v>
      </c>
    </row>
    <row r="559" ht="16.5" spans="1:5">
      <c r="A559" s="8">
        <v>3045731.833</v>
      </c>
      <c r="B559" s="8">
        <v>35400157.971</v>
      </c>
      <c r="C559" s="8">
        <v>891.566</v>
      </c>
      <c r="D559" s="9" t="s">
        <v>197</v>
      </c>
      <c r="E559" s="75">
        <v>888.256</v>
      </c>
    </row>
    <row r="560" ht="16.5" spans="1:5">
      <c r="A560" s="8">
        <v>3045731.833</v>
      </c>
      <c r="B560" s="8">
        <v>35400157.971</v>
      </c>
      <c r="C560" s="8">
        <v>891.566</v>
      </c>
      <c r="D560" s="9" t="s">
        <v>198</v>
      </c>
      <c r="E560" s="75">
        <v>888.226</v>
      </c>
    </row>
    <row r="561" ht="16.5" spans="1:5">
      <c r="A561" s="8">
        <v>3045731.833</v>
      </c>
      <c r="B561" s="8">
        <v>35400157.971</v>
      </c>
      <c r="C561" s="8">
        <v>891.566</v>
      </c>
      <c r="D561" s="9" t="s">
        <v>199</v>
      </c>
      <c r="E561" s="75">
        <v>888.166</v>
      </c>
    </row>
    <row r="562" ht="16.5" spans="1:5">
      <c r="A562" s="8">
        <v>3045731.833</v>
      </c>
      <c r="B562" s="8">
        <v>35400157.971</v>
      </c>
      <c r="C562" s="8">
        <v>891.566</v>
      </c>
      <c r="D562" s="9" t="s">
        <v>200</v>
      </c>
      <c r="E562" s="75">
        <v>888.126</v>
      </c>
    </row>
    <row r="563" ht="16.5" spans="1:5">
      <c r="A563" s="8">
        <v>3045731.833</v>
      </c>
      <c r="B563" s="8">
        <v>35400157.971</v>
      </c>
      <c r="C563" s="8">
        <v>891.566</v>
      </c>
      <c r="D563" s="9" t="s">
        <v>201</v>
      </c>
      <c r="E563" s="75">
        <v>888.036</v>
      </c>
    </row>
    <row r="564" ht="16.5" spans="1:5">
      <c r="A564" s="8">
        <v>3045731.833</v>
      </c>
      <c r="B564" s="8">
        <v>35400157.971</v>
      </c>
      <c r="C564" s="8">
        <v>891.566</v>
      </c>
      <c r="D564" s="9" t="s">
        <v>202</v>
      </c>
      <c r="E564" s="75">
        <v>888.036</v>
      </c>
    </row>
    <row r="565" ht="16.5" spans="1:5">
      <c r="A565" s="8">
        <v>3045731.833</v>
      </c>
      <c r="B565" s="8">
        <v>35400157.971</v>
      </c>
      <c r="C565" s="8">
        <v>891.566</v>
      </c>
      <c r="D565" s="9" t="s">
        <v>203</v>
      </c>
      <c r="E565" s="75">
        <v>887.936</v>
      </c>
    </row>
    <row r="566" ht="16.5" spans="1:5">
      <c r="A566" s="8">
        <v>3045731.833</v>
      </c>
      <c r="B566" s="8">
        <v>35400157.971</v>
      </c>
      <c r="C566" s="8">
        <v>891.566</v>
      </c>
      <c r="D566" s="9" t="s">
        <v>204</v>
      </c>
      <c r="E566" s="75">
        <v>887.966</v>
      </c>
    </row>
    <row r="567" ht="16.5" spans="1:5">
      <c r="A567" s="8">
        <v>3045731.833</v>
      </c>
      <c r="B567" s="8">
        <v>35400157.971</v>
      </c>
      <c r="C567" s="8">
        <v>891.566</v>
      </c>
      <c r="D567" s="9" t="s">
        <v>205</v>
      </c>
      <c r="E567" s="75">
        <v>888.196</v>
      </c>
    </row>
    <row r="568" ht="16.5" spans="1:5">
      <c r="A568" s="8">
        <v>3045731.833</v>
      </c>
      <c r="B568" s="8">
        <v>35400157.971</v>
      </c>
      <c r="C568" s="8">
        <v>891.566</v>
      </c>
      <c r="D568" s="9" t="s">
        <v>206</v>
      </c>
      <c r="E568" s="75">
        <v>888.366</v>
      </c>
    </row>
    <row r="569" ht="16.5" spans="1:5">
      <c r="A569" s="8">
        <v>3045731.833</v>
      </c>
      <c r="B569" s="8">
        <v>35400157.971</v>
      </c>
      <c r="C569" s="8">
        <v>891.566</v>
      </c>
      <c r="D569" s="9" t="s">
        <v>207</v>
      </c>
      <c r="E569" s="75"/>
    </row>
    <row r="570" ht="16.5" spans="1:5">
      <c r="A570" s="8">
        <v>3045731.833</v>
      </c>
      <c r="B570" s="8">
        <v>35400157.971</v>
      </c>
      <c r="C570" s="8">
        <v>891.566</v>
      </c>
      <c r="D570" s="9" t="s">
        <v>208</v>
      </c>
      <c r="E570" s="75"/>
    </row>
    <row r="571" ht="16.5" spans="1:5">
      <c r="A571" s="8">
        <v>3045731.833</v>
      </c>
      <c r="B571" s="8">
        <v>35400157.971</v>
      </c>
      <c r="C571" s="8">
        <v>891.566</v>
      </c>
      <c r="D571" s="9" t="s">
        <v>209</v>
      </c>
      <c r="E571" s="75"/>
    </row>
    <row r="572" ht="16.5" spans="1:5">
      <c r="A572" s="8">
        <v>3045731.833</v>
      </c>
      <c r="B572" s="8">
        <v>35400157.971</v>
      </c>
      <c r="C572" s="8">
        <v>891.566</v>
      </c>
      <c r="D572" s="9" t="s">
        <v>210</v>
      </c>
      <c r="E572" s="75"/>
    </row>
    <row r="573" ht="16.5" spans="1:5">
      <c r="A573" s="8">
        <v>3045731.833</v>
      </c>
      <c r="B573" s="8">
        <v>35400157.971</v>
      </c>
      <c r="C573" s="8">
        <v>891.566</v>
      </c>
      <c r="D573" s="9" t="s">
        <v>211</v>
      </c>
      <c r="E573" s="75"/>
    </row>
    <row r="574" ht="16.5" spans="1:5">
      <c r="A574" s="8">
        <v>3045731.833</v>
      </c>
      <c r="B574" s="8">
        <v>35400157.971</v>
      </c>
      <c r="C574" s="8">
        <v>891.566</v>
      </c>
      <c r="D574" s="9" t="s">
        <v>212</v>
      </c>
      <c r="E574" s="75"/>
    </row>
    <row r="575" ht="16.5" spans="1:5">
      <c r="A575" s="8">
        <v>3045731.833</v>
      </c>
      <c r="B575" s="8">
        <v>35400157.971</v>
      </c>
      <c r="C575" s="8">
        <v>891.566</v>
      </c>
      <c r="D575" s="9" t="s">
        <v>213</v>
      </c>
      <c r="E575" s="75">
        <v>888.426</v>
      </c>
    </row>
    <row r="576" ht="16.5" spans="1:5">
      <c r="A576" s="8">
        <v>3045731.833</v>
      </c>
      <c r="B576" s="8">
        <v>35400157.971</v>
      </c>
      <c r="C576" s="8">
        <v>891.566</v>
      </c>
      <c r="D576" s="9" t="s">
        <v>214</v>
      </c>
      <c r="E576" s="75">
        <v>888.496</v>
      </c>
    </row>
    <row r="577" ht="16.5" spans="1:5">
      <c r="A577" s="8">
        <v>3045731.833</v>
      </c>
      <c r="B577" s="8">
        <v>35400157.971</v>
      </c>
      <c r="C577" s="8">
        <v>891.566</v>
      </c>
      <c r="D577" s="9" t="s">
        <v>215</v>
      </c>
      <c r="E577" s="75">
        <v>888.466</v>
      </c>
    </row>
    <row r="578" ht="16.5" spans="1:5">
      <c r="A578" s="8">
        <v>3045731.833</v>
      </c>
      <c r="B578" s="8">
        <v>35400157.971</v>
      </c>
      <c r="C578" s="8">
        <v>891.566</v>
      </c>
      <c r="D578" s="9" t="s">
        <v>216</v>
      </c>
      <c r="E578" s="75">
        <v>888.726</v>
      </c>
    </row>
    <row r="579" ht="16.5" spans="1:5">
      <c r="A579" s="8">
        <v>3045731.833</v>
      </c>
      <c r="B579" s="8">
        <v>35400157.971</v>
      </c>
      <c r="C579" s="8">
        <v>891.566</v>
      </c>
      <c r="D579" s="9" t="s">
        <v>217</v>
      </c>
      <c r="E579" s="75">
        <v>889.946</v>
      </c>
    </row>
    <row r="580" ht="16.5" spans="1:5">
      <c r="A580" s="8">
        <v>3045731.833</v>
      </c>
      <c r="B580" s="8">
        <v>35400157.971</v>
      </c>
      <c r="C580" s="8">
        <v>891.566</v>
      </c>
      <c r="D580" s="9" t="s">
        <v>218</v>
      </c>
      <c r="E580" s="75">
        <v>887.056</v>
      </c>
    </row>
    <row r="581" ht="16.5" spans="1:5">
      <c r="A581" s="8">
        <v>3045731.833</v>
      </c>
      <c r="B581" s="8">
        <v>35400157.971</v>
      </c>
      <c r="C581" s="8">
        <v>891.566</v>
      </c>
      <c r="D581" s="9" t="s">
        <v>219</v>
      </c>
      <c r="E581" s="75">
        <v>887.056</v>
      </c>
    </row>
    <row r="582" ht="16.5" spans="1:5">
      <c r="A582" s="8">
        <v>3045731.833</v>
      </c>
      <c r="B582" s="8">
        <v>35400157.971</v>
      </c>
      <c r="C582" s="8">
        <v>891.566</v>
      </c>
      <c r="D582" s="9" t="s">
        <v>220</v>
      </c>
      <c r="E582" s="75">
        <v>887.086</v>
      </c>
    </row>
    <row r="583" ht="16.5" spans="1:5">
      <c r="A583" s="8">
        <v>3045731.833</v>
      </c>
      <c r="B583" s="8">
        <v>35400157.971</v>
      </c>
      <c r="C583" s="8">
        <v>891.566</v>
      </c>
      <c r="D583" s="9" t="s">
        <v>221</v>
      </c>
      <c r="E583" s="75">
        <v>887.086</v>
      </c>
    </row>
    <row r="584" ht="16.5" spans="1:5">
      <c r="A584" s="8">
        <v>3045731.833</v>
      </c>
      <c r="B584" s="8">
        <v>35400157.971</v>
      </c>
      <c r="C584" s="8">
        <v>891.566</v>
      </c>
      <c r="D584" s="9" t="s">
        <v>222</v>
      </c>
      <c r="E584" s="75">
        <v>887.126</v>
      </c>
    </row>
    <row r="585" ht="16.5" spans="1:5">
      <c r="A585" s="8">
        <v>3045731.833</v>
      </c>
      <c r="B585" s="8">
        <v>35400157.971</v>
      </c>
      <c r="C585" s="8">
        <v>891.566</v>
      </c>
      <c r="D585" s="9" t="s">
        <v>223</v>
      </c>
      <c r="E585" s="75">
        <v>887.086</v>
      </c>
    </row>
    <row r="586" ht="16.5" spans="1:5">
      <c r="A586" s="8">
        <v>3045731.833</v>
      </c>
      <c r="B586" s="8">
        <v>35400157.971</v>
      </c>
      <c r="C586" s="8">
        <v>891.566</v>
      </c>
      <c r="D586" s="9" t="s">
        <v>224</v>
      </c>
      <c r="E586" s="75">
        <v>887.086</v>
      </c>
    </row>
    <row r="587" ht="16.5" spans="1:5">
      <c r="A587" s="8">
        <v>3045731.833</v>
      </c>
      <c r="B587" s="8">
        <v>35400157.971</v>
      </c>
      <c r="C587" s="8">
        <v>891.566</v>
      </c>
      <c r="D587" s="9" t="s">
        <v>225</v>
      </c>
      <c r="E587" s="75">
        <v>887.126</v>
      </c>
    </row>
    <row r="588" ht="16.5" spans="1:5">
      <c r="A588" s="8">
        <v>3045731.833</v>
      </c>
      <c r="B588" s="8">
        <v>35400157.971</v>
      </c>
      <c r="C588" s="8">
        <v>891.566</v>
      </c>
      <c r="D588" s="9" t="s">
        <v>226</v>
      </c>
      <c r="E588" s="75">
        <v>887.086</v>
      </c>
    </row>
    <row r="589" ht="16.5" spans="1:5">
      <c r="A589" s="8">
        <v>3045731.833</v>
      </c>
      <c r="B589" s="8">
        <v>35400157.971</v>
      </c>
      <c r="C589" s="8">
        <v>891.566</v>
      </c>
      <c r="D589" s="9" t="s">
        <v>227</v>
      </c>
      <c r="E589" s="75">
        <v>887.086</v>
      </c>
    </row>
    <row r="590" ht="16.5" spans="1:5">
      <c r="A590" s="8">
        <v>3045731.833</v>
      </c>
      <c r="B590" s="8">
        <v>35400157.971</v>
      </c>
      <c r="C590" s="8">
        <v>891.566</v>
      </c>
      <c r="D590" s="9" t="s">
        <v>228</v>
      </c>
      <c r="E590" s="75">
        <v>887.086</v>
      </c>
    </row>
    <row r="591" ht="16.5" spans="1:5">
      <c r="A591" s="8">
        <v>3045731.833</v>
      </c>
      <c r="B591" s="8">
        <v>35400157.971</v>
      </c>
      <c r="C591" s="8">
        <v>891.566</v>
      </c>
      <c r="D591" s="9" t="s">
        <v>229</v>
      </c>
      <c r="E591" s="75">
        <v>887.086</v>
      </c>
    </row>
    <row r="592" ht="16.5" spans="1:5">
      <c r="A592" s="8">
        <v>3045731.833</v>
      </c>
      <c r="B592" s="8">
        <v>35400157.971</v>
      </c>
      <c r="C592" s="8">
        <v>891.566</v>
      </c>
      <c r="D592" s="9" t="s">
        <v>230</v>
      </c>
      <c r="E592" s="75">
        <v>887.156</v>
      </c>
    </row>
    <row r="593" ht="16.5" spans="1:5">
      <c r="A593" s="8">
        <v>3045731.833</v>
      </c>
      <c r="B593" s="8">
        <v>35400157.971</v>
      </c>
      <c r="C593" s="8">
        <v>891.566</v>
      </c>
      <c r="D593" s="9" t="s">
        <v>231</v>
      </c>
      <c r="E593" s="75">
        <v>887.126</v>
      </c>
    </row>
    <row r="594" ht="16.5" spans="1:5">
      <c r="A594" s="8">
        <v>3045731.833</v>
      </c>
      <c r="B594" s="8">
        <v>35400157.971</v>
      </c>
      <c r="C594" s="8">
        <v>891.566</v>
      </c>
      <c r="D594" s="9" t="s">
        <v>232</v>
      </c>
      <c r="E594" s="75">
        <v>887.126</v>
      </c>
    </row>
    <row r="595" ht="16.5" spans="1:5">
      <c r="A595" s="8">
        <v>3045731.833</v>
      </c>
      <c r="B595" s="8">
        <v>35400157.971</v>
      </c>
      <c r="C595" s="8">
        <v>891.566</v>
      </c>
      <c r="D595" s="9" t="s">
        <v>233</v>
      </c>
      <c r="E595" s="75">
        <v>887.126</v>
      </c>
    </row>
    <row r="596" ht="16.5" spans="1:5">
      <c r="A596" s="8">
        <v>3045731.833</v>
      </c>
      <c r="B596" s="8">
        <v>35400157.971</v>
      </c>
      <c r="C596" s="8">
        <v>891.566</v>
      </c>
      <c r="D596" s="9" t="s">
        <v>234</v>
      </c>
      <c r="E596" s="75">
        <v>887.126</v>
      </c>
    </row>
    <row r="597" ht="16.5" spans="1:5">
      <c r="A597" s="8">
        <v>3045731.833</v>
      </c>
      <c r="B597" s="8">
        <v>35400157.971</v>
      </c>
      <c r="C597" s="8">
        <v>891.566</v>
      </c>
      <c r="D597" s="9" t="s">
        <v>235</v>
      </c>
      <c r="E597" s="75">
        <v>887.126</v>
      </c>
    </row>
    <row r="598" ht="16.5" spans="1:5">
      <c r="A598" s="8">
        <v>3045731.833</v>
      </c>
      <c r="B598" s="8">
        <v>35400157.971</v>
      </c>
      <c r="C598" s="8">
        <v>891.566</v>
      </c>
      <c r="D598" s="9" t="s">
        <v>236</v>
      </c>
      <c r="E598" s="75">
        <v>887.126</v>
      </c>
    </row>
    <row r="599" ht="16.5" spans="1:5">
      <c r="A599" s="8">
        <v>3045731.833</v>
      </c>
      <c r="B599" s="8">
        <v>35400157.971</v>
      </c>
      <c r="C599" s="8">
        <v>891.566</v>
      </c>
      <c r="D599" s="9" t="s">
        <v>237</v>
      </c>
      <c r="E599" s="75">
        <v>887.156</v>
      </c>
    </row>
    <row r="600" ht="16.5" spans="1:5">
      <c r="A600" s="8">
        <v>3045731.833</v>
      </c>
      <c r="B600" s="8">
        <v>35400157.971</v>
      </c>
      <c r="C600" s="8">
        <v>891.566</v>
      </c>
      <c r="D600" s="9" t="s">
        <v>238</v>
      </c>
      <c r="E600" s="75">
        <v>887.126</v>
      </c>
    </row>
    <row r="601" ht="16.5" spans="1:5">
      <c r="A601" s="8">
        <v>3045731.833</v>
      </c>
      <c r="B601" s="8">
        <v>35400157.971</v>
      </c>
      <c r="C601" s="8">
        <v>891.566</v>
      </c>
      <c r="D601" s="9" t="s">
        <v>239</v>
      </c>
      <c r="E601" s="75">
        <v>887.126</v>
      </c>
    </row>
    <row r="602" ht="16.5" spans="1:5">
      <c r="A602" s="8">
        <v>3045731.833</v>
      </c>
      <c r="B602" s="8">
        <v>35400157.971</v>
      </c>
      <c r="C602" s="8">
        <v>891.566</v>
      </c>
      <c r="D602" s="9" t="s">
        <v>240</v>
      </c>
      <c r="E602" s="75">
        <v>887.156</v>
      </c>
    </row>
    <row r="603" ht="16.5" spans="1:5">
      <c r="A603" s="8">
        <v>3045731.833</v>
      </c>
      <c r="B603" s="8">
        <v>35400157.971</v>
      </c>
      <c r="C603" s="8">
        <v>891.566</v>
      </c>
      <c r="D603" s="9" t="s">
        <v>241</v>
      </c>
      <c r="E603" s="75">
        <v>887.156</v>
      </c>
    </row>
    <row r="604" ht="16.5" spans="1:5">
      <c r="A604" s="8">
        <v>3045731.833</v>
      </c>
      <c r="B604" s="8">
        <v>35400157.971</v>
      </c>
      <c r="C604" s="8">
        <v>891.566</v>
      </c>
      <c r="D604" s="9" t="s">
        <v>242</v>
      </c>
      <c r="E604" s="75">
        <v>887.156</v>
      </c>
    </row>
    <row r="605" ht="16.5" spans="1:5">
      <c r="A605" s="8">
        <v>3045731.833</v>
      </c>
      <c r="B605" s="8">
        <v>35400157.971</v>
      </c>
      <c r="C605" s="8">
        <v>891.566</v>
      </c>
      <c r="D605" s="9" t="s">
        <v>243</v>
      </c>
      <c r="E605" s="75">
        <v>887.156</v>
      </c>
    </row>
    <row r="606" ht="16.5" spans="1:5">
      <c r="A606" s="8">
        <v>3045731.833</v>
      </c>
      <c r="B606" s="8">
        <v>35400157.971</v>
      </c>
      <c r="C606" s="8">
        <v>891.566</v>
      </c>
      <c r="D606" s="9" t="s">
        <v>244</v>
      </c>
      <c r="E606" s="75">
        <v>887.156</v>
      </c>
    </row>
    <row r="607" ht="16.5" spans="1:5">
      <c r="A607" s="8">
        <v>3045731.833</v>
      </c>
      <c r="B607" s="8">
        <v>35400157.971</v>
      </c>
      <c r="C607" s="8">
        <v>891.566</v>
      </c>
      <c r="D607" s="9" t="s">
        <v>245</v>
      </c>
      <c r="E607" s="75">
        <v>887.156</v>
      </c>
    </row>
    <row r="608" ht="16.5" spans="1:5">
      <c r="A608" s="8">
        <v>3045731.833</v>
      </c>
      <c r="B608" s="8">
        <v>35400157.971</v>
      </c>
      <c r="C608" s="8">
        <v>891.566</v>
      </c>
      <c r="D608" s="9" t="s">
        <v>246</v>
      </c>
      <c r="E608" s="75">
        <v>887.156</v>
      </c>
    </row>
    <row r="609" ht="16.5" spans="1:5">
      <c r="A609" s="8">
        <v>3045731.833</v>
      </c>
      <c r="B609" s="8">
        <v>35400157.971</v>
      </c>
      <c r="C609" s="8">
        <v>891.566</v>
      </c>
      <c r="D609" s="9" t="s">
        <v>247</v>
      </c>
      <c r="E609" s="75">
        <v>887.156</v>
      </c>
    </row>
    <row r="610" ht="16.5" spans="1:5">
      <c r="A610" s="8">
        <v>3045731.833</v>
      </c>
      <c r="B610" s="8">
        <v>35400157.971</v>
      </c>
      <c r="C610" s="8">
        <v>891.566</v>
      </c>
      <c r="D610" s="9" t="s">
        <v>248</v>
      </c>
      <c r="E610" s="75">
        <v>887.156</v>
      </c>
    </row>
    <row r="611" ht="16.5" spans="1:5">
      <c r="A611" s="8">
        <v>3045731.833</v>
      </c>
      <c r="B611" s="8">
        <v>35400157.971</v>
      </c>
      <c r="C611" s="8">
        <v>891.566</v>
      </c>
      <c r="D611" s="9" t="s">
        <v>249</v>
      </c>
      <c r="E611" s="75">
        <v>887.156</v>
      </c>
    </row>
    <row r="612" ht="16.5" spans="1:5">
      <c r="A612" s="8">
        <v>3045731.833</v>
      </c>
      <c r="B612" s="8">
        <v>35400157.971</v>
      </c>
      <c r="C612" s="8">
        <v>891.566</v>
      </c>
      <c r="D612" s="9" t="s">
        <v>250</v>
      </c>
      <c r="E612" s="75">
        <v>887.186</v>
      </c>
    </row>
    <row r="613" ht="16.5" spans="1:5">
      <c r="A613" s="8">
        <v>3045731.833</v>
      </c>
      <c r="B613" s="8">
        <v>35400157.971</v>
      </c>
      <c r="C613" s="8">
        <v>891.566</v>
      </c>
      <c r="D613" s="9" t="s">
        <v>251</v>
      </c>
      <c r="E613" s="75">
        <v>887.186</v>
      </c>
    </row>
    <row r="614" ht="16.5" spans="1:5">
      <c r="A614" s="8">
        <v>3045731.833</v>
      </c>
      <c r="B614" s="8">
        <v>35400157.971</v>
      </c>
      <c r="C614" s="8">
        <v>891.566</v>
      </c>
      <c r="D614" s="9" t="s">
        <v>252</v>
      </c>
      <c r="E614" s="75">
        <v>887.186</v>
      </c>
    </row>
    <row r="615" ht="16.5" spans="1:5">
      <c r="A615" s="8">
        <v>3045731.833</v>
      </c>
      <c r="B615" s="8">
        <v>35400157.971</v>
      </c>
      <c r="C615" s="8">
        <v>891.566</v>
      </c>
      <c r="D615" s="9" t="s">
        <v>253</v>
      </c>
      <c r="E615" s="75">
        <v>887.186</v>
      </c>
    </row>
    <row r="616" ht="16.5" spans="1:5">
      <c r="A616" s="8">
        <v>3045731.833</v>
      </c>
      <c r="B616" s="8">
        <v>35400157.971</v>
      </c>
      <c r="C616" s="8">
        <v>891.566</v>
      </c>
      <c r="D616" s="9" t="s">
        <v>254</v>
      </c>
      <c r="E616" s="75">
        <v>887.186</v>
      </c>
    </row>
    <row r="617" ht="16.5" spans="1:5">
      <c r="A617" s="8">
        <v>3045731.833</v>
      </c>
      <c r="B617" s="8">
        <v>35400157.971</v>
      </c>
      <c r="C617" s="8">
        <v>891.566</v>
      </c>
      <c r="D617" s="9" t="s">
        <v>255</v>
      </c>
      <c r="E617" s="75">
        <v>887.186</v>
      </c>
    </row>
    <row r="618" ht="16.5" spans="1:5">
      <c r="A618" s="8">
        <v>3045731.833</v>
      </c>
      <c r="B618" s="8">
        <v>35400157.971</v>
      </c>
      <c r="C618" s="8">
        <v>891.566</v>
      </c>
      <c r="D618" s="9" t="s">
        <v>256</v>
      </c>
      <c r="E618" s="75">
        <v>887.186</v>
      </c>
    </row>
    <row r="619" ht="16.5" spans="1:5">
      <c r="A619" s="8">
        <v>3045731.833</v>
      </c>
      <c r="B619" s="8">
        <v>35400157.971</v>
      </c>
      <c r="C619" s="8">
        <v>891.566</v>
      </c>
      <c r="D619" s="9" t="s">
        <v>257</v>
      </c>
      <c r="E619" s="75">
        <v>887.226</v>
      </c>
    </row>
    <row r="620" ht="16.5" spans="1:5">
      <c r="A620" s="8">
        <v>3045731.833</v>
      </c>
      <c r="B620" s="8">
        <v>35400157.971</v>
      </c>
      <c r="C620" s="8">
        <v>891.566</v>
      </c>
      <c r="D620" s="9" t="s">
        <v>258</v>
      </c>
      <c r="E620" s="75">
        <v>887.226</v>
      </c>
    </row>
    <row r="621" ht="16.5" spans="1:5">
      <c r="A621" s="8">
        <v>3045731.833</v>
      </c>
      <c r="B621" s="8">
        <v>35400157.971</v>
      </c>
      <c r="C621" s="8">
        <v>891.566</v>
      </c>
      <c r="D621" s="9" t="s">
        <v>259</v>
      </c>
      <c r="E621" s="75">
        <v>887.226</v>
      </c>
    </row>
    <row r="622" ht="16.5" spans="1:5">
      <c r="A622" s="8">
        <v>3045731.833</v>
      </c>
      <c r="B622" s="8">
        <v>35400157.971</v>
      </c>
      <c r="C622" s="8">
        <v>891.566</v>
      </c>
      <c r="D622" s="9" t="s">
        <v>260</v>
      </c>
      <c r="E622" s="75">
        <v>887.216</v>
      </c>
    </row>
    <row r="623" ht="16.5" spans="1:5">
      <c r="A623" s="8">
        <v>3045731.833</v>
      </c>
      <c r="B623" s="8">
        <v>35400157.971</v>
      </c>
      <c r="C623" s="8">
        <v>891.566</v>
      </c>
      <c r="D623" s="9" t="s">
        <v>261</v>
      </c>
      <c r="E623" s="75">
        <v>887.216</v>
      </c>
    </row>
    <row r="624" ht="16.5" spans="1:5">
      <c r="A624" s="8">
        <v>3045731.833</v>
      </c>
      <c r="B624" s="8">
        <v>35400157.971</v>
      </c>
      <c r="C624" s="8">
        <v>891.566</v>
      </c>
      <c r="D624" s="9" t="s">
        <v>262</v>
      </c>
      <c r="E624" s="75">
        <v>887.216</v>
      </c>
    </row>
    <row r="625" ht="16.5" spans="1:5">
      <c r="A625" s="8">
        <v>3045731.833</v>
      </c>
      <c r="B625" s="8">
        <v>35400157.971</v>
      </c>
      <c r="C625" s="8">
        <v>891.566</v>
      </c>
      <c r="D625" s="9" t="s">
        <v>263</v>
      </c>
      <c r="E625" s="75">
        <v>889.236</v>
      </c>
    </row>
    <row r="626" ht="16.5" spans="1:5">
      <c r="A626" s="8">
        <v>3045731.833</v>
      </c>
      <c r="B626" s="8">
        <v>35400157.971</v>
      </c>
      <c r="C626" s="8">
        <v>891.566</v>
      </c>
      <c r="D626" s="9" t="s">
        <v>264</v>
      </c>
      <c r="E626" s="75">
        <v>889.136</v>
      </c>
    </row>
    <row r="627" ht="16.5" spans="1:5">
      <c r="A627" s="8">
        <v>3045731.833</v>
      </c>
      <c r="B627" s="8">
        <v>35400157.971</v>
      </c>
      <c r="C627" s="8">
        <v>891.566</v>
      </c>
      <c r="D627" s="9" t="s">
        <v>265</v>
      </c>
      <c r="E627" s="75">
        <v>888.966</v>
      </c>
    </row>
    <row r="628" ht="16.5" spans="1:5">
      <c r="A628" s="8">
        <v>3045731.833</v>
      </c>
      <c r="B628" s="8">
        <v>35400157.971</v>
      </c>
      <c r="C628" s="8">
        <v>891.566</v>
      </c>
      <c r="D628" s="9" t="s">
        <v>266</v>
      </c>
      <c r="E628" s="75">
        <v>888.766</v>
      </c>
    </row>
    <row r="629" ht="16.5" spans="1:5">
      <c r="A629" s="8">
        <v>3045731.833</v>
      </c>
      <c r="B629" s="8">
        <v>35400157.971</v>
      </c>
      <c r="C629" s="8">
        <v>891.566</v>
      </c>
      <c r="D629" s="9" t="s">
        <v>267</v>
      </c>
      <c r="E629" s="75">
        <v>888.766</v>
      </c>
    </row>
    <row r="630" ht="16.5" spans="1:5">
      <c r="A630" s="8">
        <v>3045731.833</v>
      </c>
      <c r="B630" s="8">
        <v>35400157.971</v>
      </c>
      <c r="C630" s="8">
        <v>891.566</v>
      </c>
      <c r="D630" s="9" t="s">
        <v>268</v>
      </c>
      <c r="E630" s="75">
        <v>888.726</v>
      </c>
    </row>
    <row r="631" ht="16.5" spans="1:5">
      <c r="A631" s="8">
        <v>3045731.833</v>
      </c>
      <c r="B631" s="8">
        <v>35400157.971</v>
      </c>
      <c r="C631" s="8">
        <v>891.566</v>
      </c>
      <c r="D631" s="9" t="s">
        <v>269</v>
      </c>
      <c r="E631" s="75">
        <v>888.866</v>
      </c>
    </row>
    <row r="632" ht="16.5" spans="1:5">
      <c r="A632" s="8">
        <v>3045731.833</v>
      </c>
      <c r="B632" s="8">
        <v>35400157.971</v>
      </c>
      <c r="C632" s="8">
        <v>891.566</v>
      </c>
      <c r="D632" s="9" t="s">
        <v>270</v>
      </c>
      <c r="E632" s="75">
        <v>888.866</v>
      </c>
    </row>
    <row r="633" ht="16.5" spans="1:5">
      <c r="A633" s="8">
        <v>3045731.833</v>
      </c>
      <c r="B633" s="8">
        <v>35400157.971</v>
      </c>
      <c r="C633" s="8">
        <v>891.566</v>
      </c>
      <c r="D633" s="9" t="s">
        <v>271</v>
      </c>
      <c r="E633" s="75">
        <v>888.796</v>
      </c>
    </row>
    <row r="634" ht="16.5" spans="1:5">
      <c r="A634" s="8">
        <v>3045731.833</v>
      </c>
      <c r="B634" s="8">
        <v>35400157.971</v>
      </c>
      <c r="C634" s="8">
        <v>891.566</v>
      </c>
      <c r="D634" s="9" t="s">
        <v>272</v>
      </c>
      <c r="E634" s="75">
        <v>888.766</v>
      </c>
    </row>
    <row r="635" ht="16.5" spans="1:5">
      <c r="A635" s="8">
        <v>3045731.833</v>
      </c>
      <c r="B635" s="8">
        <v>35400157.971</v>
      </c>
      <c r="C635" s="8">
        <v>891.566</v>
      </c>
      <c r="D635" s="9" t="s">
        <v>273</v>
      </c>
      <c r="E635" s="75">
        <v>888.696</v>
      </c>
    </row>
    <row r="636" ht="16.5" spans="1:5">
      <c r="A636" s="8">
        <v>3045731.833</v>
      </c>
      <c r="B636" s="8">
        <v>35400157.971</v>
      </c>
      <c r="C636" s="8">
        <v>891.566</v>
      </c>
      <c r="D636" s="9" t="s">
        <v>274</v>
      </c>
      <c r="E636" s="75">
        <v>888.656</v>
      </c>
    </row>
    <row r="637" ht="16.5" spans="1:5">
      <c r="A637" s="8">
        <v>3045731.833</v>
      </c>
      <c r="B637" s="8">
        <v>35400157.971</v>
      </c>
      <c r="C637" s="8">
        <v>891.566</v>
      </c>
      <c r="D637" s="9" t="s">
        <v>275</v>
      </c>
      <c r="E637" s="75">
        <v>888.656</v>
      </c>
    </row>
    <row r="638" ht="16.5" spans="1:5">
      <c r="A638" s="8">
        <v>3045731.833</v>
      </c>
      <c r="B638" s="8">
        <v>35400157.971</v>
      </c>
      <c r="C638" s="8">
        <v>891.566</v>
      </c>
      <c r="D638" s="9" t="s">
        <v>276</v>
      </c>
      <c r="E638" s="75">
        <v>888.626</v>
      </c>
    </row>
    <row r="639" ht="16.5" spans="1:5">
      <c r="A639" s="8">
        <v>3045731.833</v>
      </c>
      <c r="B639" s="8">
        <v>35400157.971</v>
      </c>
      <c r="C639" s="8">
        <v>891.566</v>
      </c>
      <c r="D639" s="9" t="s">
        <v>277</v>
      </c>
      <c r="E639" s="75">
        <v>888.656</v>
      </c>
    </row>
    <row r="640" ht="16.5" spans="1:5">
      <c r="A640" s="8">
        <v>3045731.833</v>
      </c>
      <c r="B640" s="8">
        <v>35400157.971</v>
      </c>
      <c r="C640" s="8">
        <v>891.566</v>
      </c>
      <c r="D640" s="9" t="s">
        <v>278</v>
      </c>
      <c r="E640" s="75">
        <v>888.566</v>
      </c>
    </row>
    <row r="641" ht="16.5" spans="1:5">
      <c r="A641" s="8">
        <v>3045731.833</v>
      </c>
      <c r="B641" s="8">
        <v>35400157.971</v>
      </c>
      <c r="C641" s="8">
        <v>891.566</v>
      </c>
      <c r="D641" s="9" t="s">
        <v>279</v>
      </c>
      <c r="E641" s="75">
        <v>888.496</v>
      </c>
    </row>
    <row r="642" ht="16.5" spans="1:5">
      <c r="A642" s="8">
        <v>3045731.833</v>
      </c>
      <c r="B642" s="8">
        <v>35400157.971</v>
      </c>
      <c r="C642" s="8">
        <v>891.566</v>
      </c>
      <c r="D642" s="9" t="s">
        <v>280</v>
      </c>
      <c r="E642" s="75">
        <v>888.526</v>
      </c>
    </row>
    <row r="643" ht="16.5" spans="1:5">
      <c r="A643" s="8">
        <v>3045731.833</v>
      </c>
      <c r="B643" s="8">
        <v>35400157.971</v>
      </c>
      <c r="C643" s="8">
        <v>891.566</v>
      </c>
      <c r="D643" s="9" t="s">
        <v>281</v>
      </c>
      <c r="E643" s="75">
        <v>888.466</v>
      </c>
    </row>
    <row r="644" ht="16.5" spans="1:5">
      <c r="A644" s="8">
        <v>3045731.833</v>
      </c>
      <c r="B644" s="8">
        <v>35400157.971</v>
      </c>
      <c r="C644" s="8">
        <v>891.566</v>
      </c>
      <c r="D644" s="9" t="s">
        <v>282</v>
      </c>
      <c r="E644" s="75">
        <v>888.466</v>
      </c>
    </row>
    <row r="645" ht="16.5" spans="1:5">
      <c r="A645" s="8">
        <v>3045731.833</v>
      </c>
      <c r="B645" s="8">
        <v>35400157.971</v>
      </c>
      <c r="C645" s="8">
        <v>891.566</v>
      </c>
      <c r="D645" s="9" t="s">
        <v>283</v>
      </c>
      <c r="E645" s="75">
        <v>888.396</v>
      </c>
    </row>
    <row r="646" ht="16.5" spans="1:5">
      <c r="A646" s="8">
        <v>3045731.833</v>
      </c>
      <c r="B646" s="8">
        <v>35400157.971</v>
      </c>
      <c r="C646" s="8">
        <v>891.566</v>
      </c>
      <c r="D646" s="9" t="s">
        <v>284</v>
      </c>
      <c r="E646" s="75">
        <v>888.436</v>
      </c>
    </row>
    <row r="647" ht="16.5" spans="1:5">
      <c r="A647" s="8">
        <v>3045731.833</v>
      </c>
      <c r="B647" s="8">
        <v>35400157.971</v>
      </c>
      <c r="C647" s="8">
        <v>891.566</v>
      </c>
      <c r="D647" s="9" t="s">
        <v>285</v>
      </c>
      <c r="E647" s="75">
        <v>888.396</v>
      </c>
    </row>
    <row r="648" ht="16.5" spans="1:5">
      <c r="A648" s="8">
        <v>3045731.833</v>
      </c>
      <c r="B648" s="8">
        <v>35400157.971</v>
      </c>
      <c r="C648" s="8">
        <v>891.566</v>
      </c>
      <c r="D648" s="9" t="s">
        <v>286</v>
      </c>
      <c r="E648" s="75">
        <v>888.436</v>
      </c>
    </row>
    <row r="649" ht="16.5" spans="1:5">
      <c r="A649" s="8">
        <v>3045731.833</v>
      </c>
      <c r="B649" s="8">
        <v>35400157.971</v>
      </c>
      <c r="C649" s="8">
        <v>891.566</v>
      </c>
      <c r="D649" s="9" t="s">
        <v>287</v>
      </c>
      <c r="E649" s="75">
        <v>888.396</v>
      </c>
    </row>
    <row r="650" ht="16.5" spans="1:5">
      <c r="A650" s="8">
        <v>3045731.833</v>
      </c>
      <c r="B650" s="8">
        <v>35400157.971</v>
      </c>
      <c r="C650" s="8">
        <v>891.566</v>
      </c>
      <c r="D650" s="9" t="s">
        <v>288</v>
      </c>
      <c r="E650" s="75">
        <v>888.366</v>
      </c>
    </row>
    <row r="651" ht="16.5" spans="1:5">
      <c r="A651" s="8">
        <v>3045731.833</v>
      </c>
      <c r="B651" s="8">
        <v>35400157.971</v>
      </c>
      <c r="C651" s="8">
        <v>891.566</v>
      </c>
      <c r="D651" s="9" t="s">
        <v>289</v>
      </c>
      <c r="E651" s="75">
        <v>888.366</v>
      </c>
    </row>
    <row r="652" ht="16.5" spans="1:5">
      <c r="A652" s="8">
        <v>3045731.833</v>
      </c>
      <c r="B652" s="8">
        <v>35400157.971</v>
      </c>
      <c r="C652" s="8">
        <v>891.566</v>
      </c>
      <c r="D652" s="9" t="s">
        <v>290</v>
      </c>
      <c r="E652" s="75">
        <v>888.396</v>
      </c>
    </row>
    <row r="653" ht="16.5" spans="1:5">
      <c r="A653" s="8">
        <v>3045731.833</v>
      </c>
      <c r="B653" s="8">
        <v>35400157.971</v>
      </c>
      <c r="C653" s="8">
        <v>891.566</v>
      </c>
      <c r="D653" s="9" t="s">
        <v>291</v>
      </c>
      <c r="E653" s="75">
        <v>888.396</v>
      </c>
    </row>
    <row r="654" ht="16.5" spans="1:5">
      <c r="A654" s="8">
        <v>3045731.833</v>
      </c>
      <c r="B654" s="8">
        <v>35400157.971</v>
      </c>
      <c r="C654" s="8">
        <v>891.566</v>
      </c>
      <c r="D654" s="9" t="s">
        <v>292</v>
      </c>
      <c r="E654" s="75">
        <v>888.366</v>
      </c>
    </row>
    <row r="655" ht="16.5" spans="1:5">
      <c r="A655" s="8">
        <v>3045731.833</v>
      </c>
      <c r="B655" s="8">
        <v>35400157.971</v>
      </c>
      <c r="C655" s="8">
        <v>891.566</v>
      </c>
      <c r="D655" s="9" t="s">
        <v>293</v>
      </c>
      <c r="E655" s="75">
        <v>888.366</v>
      </c>
    </row>
    <row r="656" ht="16.5" spans="1:5">
      <c r="A656" s="8">
        <v>3045731.833</v>
      </c>
      <c r="B656" s="8">
        <v>35400157.971</v>
      </c>
      <c r="C656" s="8">
        <v>891.566</v>
      </c>
      <c r="D656" s="9" t="s">
        <v>294</v>
      </c>
      <c r="E656" s="75">
        <v>888.366</v>
      </c>
    </row>
    <row r="657" ht="16.5" spans="1:5">
      <c r="A657" s="8">
        <v>3045731.833</v>
      </c>
      <c r="B657" s="8">
        <v>35400157.971</v>
      </c>
      <c r="C657" s="8">
        <v>891.566</v>
      </c>
      <c r="D657" s="9" t="s">
        <v>295</v>
      </c>
      <c r="E657" s="75">
        <v>888.366</v>
      </c>
    </row>
    <row r="658" ht="16.5" spans="1:5">
      <c r="A658" s="8">
        <v>3045731.833</v>
      </c>
      <c r="B658" s="8">
        <v>35400157.971</v>
      </c>
      <c r="C658" s="8">
        <v>891.566</v>
      </c>
      <c r="D658" s="9" t="s">
        <v>296</v>
      </c>
      <c r="E658" s="75">
        <v>888.436</v>
      </c>
    </row>
    <row r="659" ht="16.5" spans="1:5">
      <c r="A659" s="8">
        <v>3045731.833</v>
      </c>
      <c r="B659" s="8">
        <v>35400157.971</v>
      </c>
      <c r="C659" s="8">
        <v>891.566</v>
      </c>
      <c r="D659" s="9" t="s">
        <v>297</v>
      </c>
      <c r="E659" s="75">
        <v>888.436</v>
      </c>
    </row>
    <row r="660" ht="16.5" spans="1:5">
      <c r="A660" s="8">
        <v>3045731.833</v>
      </c>
      <c r="B660" s="8">
        <v>35400157.971</v>
      </c>
      <c r="C660" s="8">
        <v>891.566</v>
      </c>
      <c r="D660" s="9" t="s">
        <v>298</v>
      </c>
      <c r="E660" s="75">
        <v>888.366</v>
      </c>
    </row>
    <row r="661" ht="16.5" spans="1:5">
      <c r="A661" s="8">
        <v>3045731.833</v>
      </c>
      <c r="B661" s="8">
        <v>35400157.971</v>
      </c>
      <c r="C661" s="8">
        <v>891.566</v>
      </c>
      <c r="D661" s="9" t="s">
        <v>299</v>
      </c>
      <c r="E661" s="75">
        <v>888.366</v>
      </c>
    </row>
    <row r="662" ht="16.5" spans="1:5">
      <c r="A662" s="8">
        <v>3045731.833</v>
      </c>
      <c r="B662" s="8">
        <v>35400157.971</v>
      </c>
      <c r="C662" s="8">
        <v>891.566</v>
      </c>
      <c r="D662" s="9" t="s">
        <v>300</v>
      </c>
      <c r="E662" s="75">
        <v>888.366</v>
      </c>
    </row>
    <row r="663" ht="16.5" spans="1:5">
      <c r="A663" s="8">
        <v>3045731.833</v>
      </c>
      <c r="B663" s="8">
        <v>35400157.971</v>
      </c>
      <c r="C663" s="8">
        <v>891.566</v>
      </c>
      <c r="D663" s="9" t="s">
        <v>301</v>
      </c>
      <c r="E663" s="75">
        <v>888.336</v>
      </c>
    </row>
    <row r="664" ht="16.5" spans="1:5">
      <c r="A664" s="8">
        <v>3045731.833</v>
      </c>
      <c r="B664" s="8">
        <v>35400157.971</v>
      </c>
      <c r="C664" s="8">
        <v>891.566</v>
      </c>
      <c r="D664" s="9" t="s">
        <v>302</v>
      </c>
      <c r="E664" s="75">
        <v>888.366</v>
      </c>
    </row>
    <row r="665" ht="16.5" spans="1:5">
      <c r="A665" s="8">
        <v>3045731.833</v>
      </c>
      <c r="B665" s="8">
        <v>35400157.971</v>
      </c>
      <c r="C665" s="8">
        <v>891.566</v>
      </c>
      <c r="D665" s="9" t="s">
        <v>303</v>
      </c>
      <c r="E665" s="75">
        <v>888.366</v>
      </c>
    </row>
    <row r="666" ht="16.5" spans="1:5">
      <c r="A666" s="8">
        <v>3045731.833</v>
      </c>
      <c r="B666" s="8">
        <v>35400157.971</v>
      </c>
      <c r="C666" s="8">
        <v>891.566</v>
      </c>
      <c r="D666" s="9" t="s">
        <v>304</v>
      </c>
      <c r="E666" s="75">
        <v>888.336</v>
      </c>
    </row>
    <row r="667" ht="16.5" spans="1:5">
      <c r="A667" s="8">
        <v>3045731.833</v>
      </c>
      <c r="B667" s="8">
        <v>35400157.971</v>
      </c>
      <c r="C667" s="8">
        <v>891.566</v>
      </c>
      <c r="D667" s="9" t="s">
        <v>305</v>
      </c>
      <c r="E667" s="75">
        <v>888.296</v>
      </c>
    </row>
    <row r="668" ht="16.5" spans="1:5">
      <c r="A668" s="8">
        <v>3045731.833</v>
      </c>
      <c r="B668" s="8">
        <v>35400157.971</v>
      </c>
      <c r="C668" s="8">
        <v>891.566</v>
      </c>
      <c r="D668" s="9" t="s">
        <v>306</v>
      </c>
      <c r="E668" s="75">
        <v>888.336</v>
      </c>
    </row>
    <row r="669" ht="16.5" spans="1:5">
      <c r="A669" s="8">
        <v>3045731.833</v>
      </c>
      <c r="B669" s="8">
        <v>35400157.971</v>
      </c>
      <c r="C669" s="8">
        <v>891.566</v>
      </c>
      <c r="D669" s="9" t="s">
        <v>307</v>
      </c>
      <c r="E669" s="75">
        <v>888.326</v>
      </c>
    </row>
    <row r="670" ht="16.5" spans="1:5">
      <c r="A670" s="8">
        <v>3045731.833</v>
      </c>
      <c r="B670" s="8">
        <v>35400157.971</v>
      </c>
      <c r="C670" s="8">
        <v>891.566</v>
      </c>
      <c r="D670" s="9" t="s">
        <v>308</v>
      </c>
      <c r="E670" s="75">
        <v>888.326</v>
      </c>
    </row>
    <row r="671" ht="16.5" spans="1:5">
      <c r="A671" s="8">
        <v>3045731.833</v>
      </c>
      <c r="B671" s="8">
        <v>35400157.971</v>
      </c>
      <c r="C671" s="8">
        <v>891.566</v>
      </c>
      <c r="D671" s="9" t="s">
        <v>309</v>
      </c>
      <c r="E671" s="75">
        <v>888.336</v>
      </c>
    </row>
    <row r="672" ht="16.5" spans="1:5">
      <c r="A672" s="8">
        <v>3045731.833</v>
      </c>
      <c r="B672" s="8">
        <v>35400157.971</v>
      </c>
      <c r="C672" s="8">
        <v>891.566</v>
      </c>
      <c r="D672" s="9" t="s">
        <v>310</v>
      </c>
      <c r="E672" s="75">
        <v>888.336</v>
      </c>
    </row>
    <row r="673" ht="16.5" spans="1:5">
      <c r="A673" s="8">
        <v>3045731.833</v>
      </c>
      <c r="B673" s="8">
        <v>35400157.971</v>
      </c>
      <c r="C673" s="8">
        <v>891.566</v>
      </c>
      <c r="D673" s="9" t="s">
        <v>311</v>
      </c>
      <c r="E673" s="75">
        <v>888.366</v>
      </c>
    </row>
    <row r="674" ht="16.5" spans="1:5">
      <c r="A674" s="8">
        <v>3045731.833</v>
      </c>
      <c r="B674" s="8">
        <v>35400157.971</v>
      </c>
      <c r="C674" s="8">
        <v>891.566</v>
      </c>
      <c r="D674" s="9" t="s">
        <v>312</v>
      </c>
      <c r="E674" s="75">
        <v>888.336</v>
      </c>
    </row>
    <row r="675" ht="16.5" spans="1:5">
      <c r="A675" s="8">
        <v>3045731.833</v>
      </c>
      <c r="B675" s="8">
        <v>35400157.971</v>
      </c>
      <c r="C675" s="8">
        <v>891.566</v>
      </c>
      <c r="D675" s="9" t="s">
        <v>313</v>
      </c>
      <c r="E675" s="75">
        <v>888.336</v>
      </c>
    </row>
    <row r="676" ht="16.5" spans="1:5">
      <c r="A676" s="8">
        <v>3045731.833</v>
      </c>
      <c r="B676" s="8">
        <v>35400157.971</v>
      </c>
      <c r="C676" s="8">
        <v>891.566</v>
      </c>
      <c r="D676" s="9" t="s">
        <v>314</v>
      </c>
      <c r="E676" s="75">
        <v>888.296</v>
      </c>
    </row>
    <row r="677" ht="16.5" spans="1:5">
      <c r="A677" s="8">
        <v>3045731.833</v>
      </c>
      <c r="B677" s="8">
        <v>35400157.971</v>
      </c>
      <c r="C677" s="8">
        <v>891.566</v>
      </c>
      <c r="D677" s="9" t="s">
        <v>315</v>
      </c>
      <c r="E677" s="75">
        <v>888.296</v>
      </c>
    </row>
    <row r="678" ht="16.5" spans="1:5">
      <c r="A678" s="8">
        <v>3045731.833</v>
      </c>
      <c r="B678" s="8">
        <v>35400157.971</v>
      </c>
      <c r="C678" s="8">
        <v>891.566</v>
      </c>
      <c r="D678" s="9" t="s">
        <v>316</v>
      </c>
      <c r="E678" s="75">
        <v>888.256</v>
      </c>
    </row>
    <row r="679" ht="16.5" spans="1:5">
      <c r="A679" s="8">
        <v>3045731.833</v>
      </c>
      <c r="B679" s="8">
        <v>35400157.971</v>
      </c>
      <c r="C679" s="8">
        <v>891.566</v>
      </c>
      <c r="D679" s="9" t="s">
        <v>317</v>
      </c>
      <c r="E679" s="75">
        <v>888.256</v>
      </c>
    </row>
    <row r="680" ht="16.5" spans="1:5">
      <c r="A680" s="8">
        <v>3045731.833</v>
      </c>
      <c r="B680" s="8">
        <v>35400157.971</v>
      </c>
      <c r="C680" s="8">
        <v>891.566</v>
      </c>
      <c r="D680" s="9" t="s">
        <v>318</v>
      </c>
      <c r="E680" s="75">
        <v>888.226</v>
      </c>
    </row>
    <row r="681" ht="16.5" spans="1:5">
      <c r="A681" s="8">
        <v>3045731.833</v>
      </c>
      <c r="B681" s="8">
        <v>35400157.971</v>
      </c>
      <c r="C681" s="8">
        <v>891.566</v>
      </c>
      <c r="D681" s="9" t="s">
        <v>319</v>
      </c>
      <c r="E681" s="75">
        <v>888.196</v>
      </c>
    </row>
    <row r="682" ht="16.5" spans="1:5">
      <c r="A682" s="8">
        <v>3045731.833</v>
      </c>
      <c r="B682" s="8">
        <v>35400157.971</v>
      </c>
      <c r="C682" s="8">
        <v>891.566</v>
      </c>
      <c r="D682" s="9" t="s">
        <v>320</v>
      </c>
      <c r="E682" s="75">
        <v>888.196</v>
      </c>
    </row>
    <row r="683" ht="16.5" spans="1:5">
      <c r="A683" s="8">
        <v>3045731.833</v>
      </c>
      <c r="B683" s="8">
        <v>35400157.971</v>
      </c>
      <c r="C683" s="8">
        <v>891.566</v>
      </c>
      <c r="D683" s="9" t="s">
        <v>321</v>
      </c>
      <c r="E683" s="75">
        <v>888.196</v>
      </c>
    </row>
    <row r="684" ht="16.5" spans="1:5">
      <c r="A684" s="8">
        <v>3045731.833</v>
      </c>
      <c r="B684" s="8">
        <v>35400157.971</v>
      </c>
      <c r="C684" s="8">
        <v>891.566</v>
      </c>
      <c r="D684" s="9" t="s">
        <v>322</v>
      </c>
      <c r="E684" s="75">
        <v>888.166</v>
      </c>
    </row>
    <row r="685" ht="16.5" spans="1:5">
      <c r="A685" s="8">
        <v>3045731.833</v>
      </c>
      <c r="B685" s="8">
        <v>35400157.971</v>
      </c>
      <c r="C685" s="8">
        <v>891.566</v>
      </c>
      <c r="D685" s="9" t="s">
        <v>323</v>
      </c>
      <c r="E685" s="75">
        <v>888.126</v>
      </c>
    </row>
    <row r="686" ht="16.5" spans="1:5">
      <c r="A686" s="8">
        <v>3045731.833</v>
      </c>
      <c r="B686" s="8">
        <v>35400157.971</v>
      </c>
      <c r="C686" s="8">
        <v>891.566</v>
      </c>
      <c r="D686" s="9" t="s">
        <v>324</v>
      </c>
      <c r="E686" s="75">
        <v>888.126</v>
      </c>
    </row>
    <row r="687" ht="16.5" spans="1:5">
      <c r="A687" s="8">
        <v>3045731.833</v>
      </c>
      <c r="B687" s="8">
        <v>35400157.971</v>
      </c>
      <c r="C687" s="8">
        <v>891.566</v>
      </c>
      <c r="D687" s="9" t="s">
        <v>325</v>
      </c>
      <c r="E687" s="75">
        <v>888.096</v>
      </c>
    </row>
    <row r="688" ht="16.5" spans="1:5">
      <c r="A688" s="8">
        <v>3045731.833</v>
      </c>
      <c r="B688" s="8">
        <v>35400157.971</v>
      </c>
      <c r="C688" s="8">
        <v>891.566</v>
      </c>
      <c r="D688" s="9" t="s">
        <v>326</v>
      </c>
      <c r="E688" s="75">
        <v>888.096</v>
      </c>
    </row>
    <row r="689" ht="16.5" spans="1:5">
      <c r="A689" s="8">
        <v>3045731.833</v>
      </c>
      <c r="B689" s="8">
        <v>35400157.971</v>
      </c>
      <c r="C689" s="8">
        <v>891.566</v>
      </c>
      <c r="D689" s="9" t="s">
        <v>327</v>
      </c>
      <c r="E689" s="75">
        <v>888.096</v>
      </c>
    </row>
    <row r="690" ht="16.5" spans="1:5">
      <c r="A690" s="8">
        <v>3045731.833</v>
      </c>
      <c r="B690" s="8">
        <v>35400157.971</v>
      </c>
      <c r="C690" s="8">
        <v>891.566</v>
      </c>
      <c r="D690" s="9" t="s">
        <v>328</v>
      </c>
      <c r="E690" s="75">
        <v>888.096</v>
      </c>
    </row>
    <row r="691" ht="16.5" spans="1:5">
      <c r="A691" s="8">
        <v>3045731.833</v>
      </c>
      <c r="B691" s="8">
        <v>35400157.971</v>
      </c>
      <c r="C691" s="8">
        <v>891.566</v>
      </c>
      <c r="D691" s="9" t="s">
        <v>329</v>
      </c>
      <c r="E691" s="75">
        <v>888.096</v>
      </c>
    </row>
    <row r="692" ht="16.5" spans="1:5">
      <c r="A692" s="8">
        <v>3045731.833</v>
      </c>
      <c r="B692" s="8">
        <v>35400157.971</v>
      </c>
      <c r="C692" s="8">
        <v>891.566</v>
      </c>
      <c r="D692" s="9" t="s">
        <v>330</v>
      </c>
      <c r="E692" s="75">
        <v>888.036</v>
      </c>
    </row>
    <row r="693" ht="16.5" spans="1:5">
      <c r="A693" s="8">
        <v>3045731.833</v>
      </c>
      <c r="B693" s="8">
        <v>35400157.971</v>
      </c>
      <c r="C693" s="8">
        <v>891.566</v>
      </c>
      <c r="D693" s="9" t="s">
        <v>331</v>
      </c>
      <c r="E693" s="75">
        <v>887.996</v>
      </c>
    </row>
    <row r="694" ht="16.5" spans="1:5">
      <c r="A694" s="8">
        <v>3045731.833</v>
      </c>
      <c r="B694" s="8">
        <v>35400157.971</v>
      </c>
      <c r="C694" s="8">
        <v>891.566</v>
      </c>
      <c r="D694" s="9" t="s">
        <v>332</v>
      </c>
      <c r="E694" s="75">
        <v>887.966</v>
      </c>
    </row>
    <row r="695" ht="16.5" spans="1:5">
      <c r="A695" s="8">
        <v>3045731.833</v>
      </c>
      <c r="B695" s="8">
        <v>35400157.971</v>
      </c>
      <c r="C695" s="8">
        <v>891.566</v>
      </c>
      <c r="D695" s="9" t="s">
        <v>333</v>
      </c>
      <c r="E695" s="75">
        <v>887.966</v>
      </c>
    </row>
    <row r="696" ht="16.5" spans="1:5">
      <c r="A696" s="8">
        <v>3045731.833</v>
      </c>
      <c r="B696" s="8">
        <v>35400157.971</v>
      </c>
      <c r="C696" s="8">
        <v>891.566</v>
      </c>
      <c r="D696" s="9" t="s">
        <v>334</v>
      </c>
      <c r="E696" s="75">
        <v>887.966</v>
      </c>
    </row>
    <row r="697" ht="16.5" spans="1:5">
      <c r="A697" s="8">
        <v>3045731.833</v>
      </c>
      <c r="B697" s="8">
        <v>35400157.971</v>
      </c>
      <c r="C697" s="8">
        <v>891.566</v>
      </c>
      <c r="D697" s="9" t="s">
        <v>335</v>
      </c>
      <c r="E697" s="75">
        <v>887.966</v>
      </c>
    </row>
    <row r="698" ht="16.5" spans="1:5">
      <c r="A698" s="8">
        <v>3045731.833</v>
      </c>
      <c r="B698" s="8">
        <v>35400157.971</v>
      </c>
      <c r="C698" s="8">
        <v>891.566</v>
      </c>
      <c r="D698" s="9" t="s">
        <v>336</v>
      </c>
      <c r="E698" s="75">
        <v>887.936</v>
      </c>
    </row>
    <row r="699" ht="16.5" spans="1:5">
      <c r="A699" s="8">
        <v>3045731.833</v>
      </c>
      <c r="B699" s="8">
        <v>35400157.971</v>
      </c>
      <c r="C699" s="8">
        <v>891.566</v>
      </c>
      <c r="D699" s="9" t="s">
        <v>337</v>
      </c>
      <c r="E699" s="75">
        <v>887.936</v>
      </c>
    </row>
    <row r="700" ht="16.5" spans="1:5">
      <c r="A700" s="8">
        <v>3045731.833</v>
      </c>
      <c r="B700" s="8">
        <v>35400157.971</v>
      </c>
      <c r="C700" s="8">
        <v>891.566</v>
      </c>
      <c r="D700" s="9" t="s">
        <v>338</v>
      </c>
      <c r="E700" s="75">
        <v>887.936</v>
      </c>
    </row>
    <row r="701" ht="16.5" spans="1:5">
      <c r="A701" s="8">
        <v>3045731.833</v>
      </c>
      <c r="B701" s="8">
        <v>35400157.971</v>
      </c>
      <c r="C701" s="8">
        <v>891.566</v>
      </c>
      <c r="D701" s="9" t="s">
        <v>339</v>
      </c>
      <c r="E701" s="75">
        <v>887.966</v>
      </c>
    </row>
    <row r="702" ht="16.5" spans="1:5">
      <c r="A702" s="8">
        <v>3045731.833</v>
      </c>
      <c r="B702" s="8">
        <v>35400157.971</v>
      </c>
      <c r="C702" s="8">
        <v>891.566</v>
      </c>
      <c r="D702" s="9" t="s">
        <v>340</v>
      </c>
      <c r="E702" s="75">
        <v>887.936</v>
      </c>
    </row>
    <row r="703" ht="16.5" spans="1:5">
      <c r="A703" s="8">
        <v>3045731.833</v>
      </c>
      <c r="B703" s="8">
        <v>35400157.971</v>
      </c>
      <c r="C703" s="8">
        <v>891.566</v>
      </c>
      <c r="D703" s="9" t="s">
        <v>341</v>
      </c>
      <c r="E703" s="75">
        <v>887.966</v>
      </c>
    </row>
    <row r="704" ht="16.5" spans="1:5">
      <c r="A704" s="8">
        <v>3045731.833</v>
      </c>
      <c r="B704" s="8">
        <v>35400157.971</v>
      </c>
      <c r="C704" s="8">
        <v>891.566</v>
      </c>
      <c r="D704" s="9" t="s">
        <v>342</v>
      </c>
      <c r="E704" s="75">
        <v>887.936</v>
      </c>
    </row>
    <row r="705" ht="16.5" spans="1:5">
      <c r="A705" s="8">
        <v>3045731.833</v>
      </c>
      <c r="B705" s="8">
        <v>35400157.971</v>
      </c>
      <c r="C705" s="8">
        <v>891.566</v>
      </c>
      <c r="D705" s="9" t="s">
        <v>343</v>
      </c>
      <c r="E705" s="75">
        <v>887.896</v>
      </c>
    </row>
    <row r="706" ht="16.5" spans="1:5">
      <c r="A706" s="8">
        <v>3045731.833</v>
      </c>
      <c r="B706" s="8">
        <v>35400157.971</v>
      </c>
      <c r="C706" s="8">
        <v>891.566</v>
      </c>
      <c r="D706" s="9" t="s">
        <v>344</v>
      </c>
      <c r="E706" s="75">
        <v>887.896</v>
      </c>
    </row>
    <row r="707" ht="16.5" spans="1:5">
      <c r="A707" s="8">
        <v>3045731.833</v>
      </c>
      <c r="B707" s="8">
        <v>35400157.971</v>
      </c>
      <c r="C707" s="8">
        <v>891.566</v>
      </c>
      <c r="D707" s="9" t="s">
        <v>345</v>
      </c>
      <c r="E707" s="75">
        <v>887.866</v>
      </c>
    </row>
    <row r="708" ht="16.5" spans="1:5">
      <c r="A708" s="8">
        <v>3045731.833</v>
      </c>
      <c r="B708" s="8">
        <v>35400157.971</v>
      </c>
      <c r="C708" s="8">
        <v>891.566</v>
      </c>
      <c r="D708" s="9" t="s">
        <v>346</v>
      </c>
      <c r="E708" s="75">
        <v>887.896</v>
      </c>
    </row>
    <row r="709" ht="16.5" spans="1:5">
      <c r="A709" s="8">
        <v>3045731.833</v>
      </c>
      <c r="B709" s="8">
        <v>35400157.971</v>
      </c>
      <c r="C709" s="8">
        <v>891.566</v>
      </c>
      <c r="D709" s="9" t="s">
        <v>347</v>
      </c>
      <c r="E709" s="75">
        <v>887.866</v>
      </c>
    </row>
    <row r="710" ht="16.5" spans="1:5">
      <c r="A710" s="8">
        <v>3045731.833</v>
      </c>
      <c r="B710" s="8">
        <v>35400157.971</v>
      </c>
      <c r="C710" s="8">
        <v>891.566</v>
      </c>
      <c r="D710" s="9" t="s">
        <v>348</v>
      </c>
      <c r="E710" s="75">
        <v>887.896</v>
      </c>
    </row>
    <row r="711" ht="16.5" spans="1:5">
      <c r="A711" s="8">
        <v>3045731.833</v>
      </c>
      <c r="B711" s="8">
        <v>35400157.971</v>
      </c>
      <c r="C711" s="8">
        <v>891.566</v>
      </c>
      <c r="D711" s="9" t="s">
        <v>349</v>
      </c>
      <c r="E711" s="75">
        <v>887.866</v>
      </c>
    </row>
    <row r="712" ht="16.5" spans="1:5">
      <c r="A712" s="8">
        <v>3045731.833</v>
      </c>
      <c r="B712" s="8">
        <v>35400157.971</v>
      </c>
      <c r="C712" s="8">
        <v>891.566</v>
      </c>
      <c r="D712" s="9" t="s">
        <v>350</v>
      </c>
      <c r="E712" s="75">
        <v>887.866</v>
      </c>
    </row>
    <row r="713" ht="16.5" spans="1:5">
      <c r="A713" s="8">
        <v>3045731.833</v>
      </c>
      <c r="B713" s="8">
        <v>35400157.971</v>
      </c>
      <c r="C713" s="8">
        <v>891.566</v>
      </c>
      <c r="D713" s="9" t="s">
        <v>351</v>
      </c>
      <c r="E713" s="75">
        <v>887.826</v>
      </c>
    </row>
    <row r="714" ht="16.5" spans="1:5">
      <c r="A714" s="8">
        <v>3045731.833</v>
      </c>
      <c r="B714" s="8">
        <v>35400157.971</v>
      </c>
      <c r="C714" s="8">
        <v>891.566</v>
      </c>
      <c r="D714" s="9" t="s">
        <v>352</v>
      </c>
      <c r="E714" s="75">
        <v>887.866</v>
      </c>
    </row>
    <row r="715" ht="16.5" spans="1:5">
      <c r="A715" s="8">
        <v>3045731.833</v>
      </c>
      <c r="B715" s="8">
        <v>35400157.971</v>
      </c>
      <c r="C715" s="8">
        <v>891.566</v>
      </c>
      <c r="D715" s="9" t="s">
        <v>353</v>
      </c>
      <c r="E715" s="75">
        <v>887.866</v>
      </c>
    </row>
    <row r="716" ht="16.5" spans="1:5">
      <c r="A716" s="8">
        <v>3045731.833</v>
      </c>
      <c r="B716" s="8">
        <v>35400157.971</v>
      </c>
      <c r="C716" s="8">
        <v>891.566</v>
      </c>
      <c r="D716" s="9" t="s">
        <v>354</v>
      </c>
      <c r="E716" s="75">
        <v>887.826</v>
      </c>
    </row>
    <row r="717" ht="16.5" spans="1:5">
      <c r="A717" s="8">
        <v>3045731.833</v>
      </c>
      <c r="B717" s="8">
        <v>35400157.971</v>
      </c>
      <c r="C717" s="8">
        <v>891.566</v>
      </c>
      <c r="D717" s="9" t="s">
        <v>355</v>
      </c>
      <c r="E717" s="75">
        <v>887.866</v>
      </c>
    </row>
    <row r="718" ht="16.5" spans="1:5">
      <c r="A718" s="8">
        <v>3045731.833</v>
      </c>
      <c r="B718" s="8">
        <v>35400157.971</v>
      </c>
      <c r="C718" s="8">
        <v>891.566</v>
      </c>
      <c r="D718" s="9" t="s">
        <v>356</v>
      </c>
      <c r="E718" s="75">
        <v>887.866</v>
      </c>
    </row>
    <row r="719" ht="16.5" spans="1:5">
      <c r="A719" s="8">
        <v>3045731.833</v>
      </c>
      <c r="B719" s="8">
        <v>35400157.971</v>
      </c>
      <c r="C719" s="8">
        <v>891.566</v>
      </c>
      <c r="D719" s="9" t="s">
        <v>357</v>
      </c>
      <c r="E719" s="75">
        <v>887.826</v>
      </c>
    </row>
    <row r="720" ht="16.5" spans="1:5">
      <c r="A720" s="8">
        <v>3045731.833</v>
      </c>
      <c r="B720" s="8">
        <v>35400157.971</v>
      </c>
      <c r="C720" s="8">
        <v>891.566</v>
      </c>
      <c r="D720" s="9" t="s">
        <v>358</v>
      </c>
      <c r="E720" s="75">
        <v>887.866</v>
      </c>
    </row>
    <row r="721" ht="16.5" spans="1:5">
      <c r="A721" s="8">
        <v>3045731.833</v>
      </c>
      <c r="B721" s="8">
        <v>35400157.971</v>
      </c>
      <c r="C721" s="8">
        <v>891.566</v>
      </c>
      <c r="D721" s="9" t="s">
        <v>359</v>
      </c>
      <c r="E721" s="75">
        <v>887.826</v>
      </c>
    </row>
    <row r="722" ht="16.5" spans="1:5">
      <c r="A722" s="8">
        <v>3045731.833</v>
      </c>
      <c r="B722" s="8">
        <v>35400157.971</v>
      </c>
      <c r="C722" s="8">
        <v>891.566</v>
      </c>
      <c r="D722" s="9" t="s">
        <v>360</v>
      </c>
      <c r="E722" s="75">
        <v>887.826</v>
      </c>
    </row>
    <row r="723" ht="16.5" spans="1:5">
      <c r="A723" s="8">
        <v>3045731.833</v>
      </c>
      <c r="B723" s="8">
        <v>35400157.971</v>
      </c>
      <c r="C723" s="8">
        <v>891.566</v>
      </c>
      <c r="D723" s="9" t="s">
        <v>361</v>
      </c>
      <c r="E723" s="75">
        <v>887.826</v>
      </c>
    </row>
    <row r="724" ht="16.5" spans="1:5">
      <c r="A724" s="8">
        <v>3045731.833</v>
      </c>
      <c r="B724" s="8">
        <v>35400157.971</v>
      </c>
      <c r="C724" s="8">
        <v>891.566</v>
      </c>
      <c r="D724" s="9" t="s">
        <v>362</v>
      </c>
      <c r="E724" s="75">
        <v>887.826</v>
      </c>
    </row>
    <row r="725" ht="16.5" spans="1:5">
      <c r="A725" s="8">
        <v>3045731.833</v>
      </c>
      <c r="B725" s="8">
        <v>35400157.971</v>
      </c>
      <c r="C725" s="8">
        <v>891.566</v>
      </c>
      <c r="D725" s="9" t="s">
        <v>363</v>
      </c>
      <c r="E725" s="75">
        <v>887.796</v>
      </c>
    </row>
    <row r="726" ht="16.5" spans="1:5">
      <c r="A726" s="8">
        <v>3045731.833</v>
      </c>
      <c r="B726" s="8">
        <v>35400157.971</v>
      </c>
      <c r="C726" s="8">
        <v>891.566</v>
      </c>
      <c r="D726" s="9" t="s">
        <v>364</v>
      </c>
      <c r="E726" s="75">
        <v>887.826</v>
      </c>
    </row>
    <row r="727" ht="16.5" spans="1:5">
      <c r="A727" s="8">
        <v>3045731.833</v>
      </c>
      <c r="B727" s="8">
        <v>35400157.971</v>
      </c>
      <c r="C727" s="8">
        <v>891.566</v>
      </c>
      <c r="D727" s="9" t="s">
        <v>365</v>
      </c>
      <c r="E727" s="75">
        <v>887.796</v>
      </c>
    </row>
    <row r="728" ht="16.5" spans="1:5">
      <c r="A728" s="8">
        <v>3045731.833</v>
      </c>
      <c r="B728" s="8">
        <v>35400157.971</v>
      </c>
      <c r="C728" s="8">
        <v>891.566</v>
      </c>
      <c r="D728" s="9" t="s">
        <v>366</v>
      </c>
      <c r="E728" s="75">
        <v>887.796</v>
      </c>
    </row>
    <row r="729" ht="16.5" spans="1:5">
      <c r="A729" s="8">
        <v>3045731.833</v>
      </c>
      <c r="B729" s="8">
        <v>35400157.971</v>
      </c>
      <c r="C729" s="8">
        <v>891.566</v>
      </c>
      <c r="D729" s="9" t="s">
        <v>367</v>
      </c>
      <c r="E729" s="75">
        <v>887.796</v>
      </c>
    </row>
    <row r="730" ht="16.5" spans="1:5">
      <c r="A730" s="8">
        <v>3045731.833</v>
      </c>
      <c r="B730" s="8">
        <v>35400157.971</v>
      </c>
      <c r="C730" s="8">
        <v>891.566</v>
      </c>
      <c r="D730" s="9" t="s">
        <v>368</v>
      </c>
      <c r="E730" s="75">
        <v>887.796</v>
      </c>
    </row>
    <row r="731" ht="16.5" spans="1:5">
      <c r="A731" s="8">
        <v>3045731.833</v>
      </c>
      <c r="B731" s="8">
        <v>35400157.971</v>
      </c>
      <c r="C731" s="8">
        <v>891.566</v>
      </c>
      <c r="D731" s="9" t="s">
        <v>369</v>
      </c>
      <c r="E731" s="75">
        <v>887.796</v>
      </c>
    </row>
    <row r="732" ht="16.5" spans="1:5">
      <c r="A732" s="8">
        <v>3045731.833</v>
      </c>
      <c r="B732" s="8">
        <v>35400157.971</v>
      </c>
      <c r="C732" s="8">
        <v>891.566</v>
      </c>
      <c r="D732" s="9" t="s">
        <v>370</v>
      </c>
      <c r="E732" s="75">
        <v>887.796</v>
      </c>
    </row>
    <row r="733" ht="16.5" spans="1:5">
      <c r="A733" s="8">
        <v>3045731.833</v>
      </c>
      <c r="B733" s="8">
        <v>35400157.971</v>
      </c>
      <c r="C733" s="8">
        <v>891.566</v>
      </c>
      <c r="D733" s="9" t="s">
        <v>371</v>
      </c>
      <c r="E733" s="75">
        <v>887.756</v>
      </c>
    </row>
    <row r="734" ht="16.5" spans="1:5">
      <c r="A734" s="8">
        <v>3045731.833</v>
      </c>
      <c r="B734" s="8">
        <v>35400157.971</v>
      </c>
      <c r="C734" s="8">
        <v>891.566</v>
      </c>
      <c r="D734" s="9" t="s">
        <v>372</v>
      </c>
      <c r="E734" s="75">
        <v>887.756</v>
      </c>
    </row>
    <row r="735" ht="16.5" spans="1:5">
      <c r="A735" s="8">
        <v>3045731.833</v>
      </c>
      <c r="B735" s="8">
        <v>35400157.971</v>
      </c>
      <c r="C735" s="8">
        <v>891.566</v>
      </c>
      <c r="D735" s="9" t="s">
        <v>373</v>
      </c>
      <c r="E735" s="75">
        <v>887.756</v>
      </c>
    </row>
    <row r="736" ht="16.5" spans="1:5">
      <c r="A736" s="8">
        <v>3045731.833</v>
      </c>
      <c r="B736" s="8">
        <v>35400157.971</v>
      </c>
      <c r="C736" s="8">
        <v>891.566</v>
      </c>
      <c r="D736" s="9" t="s">
        <v>374</v>
      </c>
      <c r="E736" s="75">
        <v>887.756</v>
      </c>
    </row>
    <row r="737" ht="16.5" spans="1:5">
      <c r="A737" s="8">
        <v>3045731.833</v>
      </c>
      <c r="B737" s="8">
        <v>35400157.971</v>
      </c>
      <c r="C737" s="8">
        <v>891.566</v>
      </c>
      <c r="D737" s="9" t="s">
        <v>375</v>
      </c>
      <c r="E737" s="75">
        <v>887.796</v>
      </c>
    </row>
    <row r="738" ht="16.5" spans="1:5">
      <c r="A738" s="8">
        <v>3045731.833</v>
      </c>
      <c r="B738" s="8">
        <v>35400157.971</v>
      </c>
      <c r="C738" s="8">
        <v>891.566</v>
      </c>
      <c r="D738" s="9" t="s">
        <v>376</v>
      </c>
      <c r="E738" s="75">
        <v>887.756</v>
      </c>
    </row>
    <row r="739" ht="16.5" spans="1:5">
      <c r="A739" s="8">
        <v>3045731.833</v>
      </c>
      <c r="B739" s="8">
        <v>35400157.971</v>
      </c>
      <c r="C739" s="8">
        <v>891.566</v>
      </c>
      <c r="D739" s="9" t="s">
        <v>377</v>
      </c>
      <c r="E739" s="75">
        <v>887.756</v>
      </c>
    </row>
    <row r="740" ht="16.5" spans="1:5">
      <c r="A740" s="8">
        <v>3045731.833</v>
      </c>
      <c r="B740" s="8">
        <v>35400157.971</v>
      </c>
      <c r="C740" s="8">
        <v>891.566</v>
      </c>
      <c r="D740" s="9" t="s">
        <v>378</v>
      </c>
      <c r="E740" s="75">
        <v>887.726</v>
      </c>
    </row>
    <row r="741" ht="16.5" spans="1:5">
      <c r="A741" s="8">
        <v>3045731.833</v>
      </c>
      <c r="B741" s="8">
        <v>35400157.971</v>
      </c>
      <c r="C741" s="8">
        <v>891.566</v>
      </c>
      <c r="D741" s="9" t="s">
        <v>379</v>
      </c>
      <c r="E741" s="75">
        <v>887.796</v>
      </c>
    </row>
    <row r="742" ht="16.5" spans="1:5">
      <c r="A742" s="8">
        <v>3045731.833</v>
      </c>
      <c r="B742" s="8">
        <v>35400157.971</v>
      </c>
      <c r="C742" s="8">
        <v>891.566</v>
      </c>
      <c r="D742" s="9" t="s">
        <v>380</v>
      </c>
      <c r="E742" s="75">
        <v>887.826</v>
      </c>
    </row>
    <row r="743" ht="16.5" spans="1:5">
      <c r="A743" s="8">
        <v>3045731.833</v>
      </c>
      <c r="B743" s="8">
        <v>35400157.971</v>
      </c>
      <c r="C743" s="8">
        <v>891.566</v>
      </c>
      <c r="D743" s="9" t="s">
        <v>381</v>
      </c>
      <c r="E743" s="75">
        <v>887.796</v>
      </c>
    </row>
    <row r="744" ht="16.5" spans="1:5">
      <c r="A744" s="8">
        <v>3045731.833</v>
      </c>
      <c r="B744" s="8">
        <v>35400157.971</v>
      </c>
      <c r="C744" s="8">
        <v>891.566</v>
      </c>
      <c r="D744" s="9" t="s">
        <v>382</v>
      </c>
      <c r="E744" s="75">
        <v>887.756</v>
      </c>
    </row>
    <row r="745" ht="16.5" spans="1:5">
      <c r="A745" s="8">
        <v>3045731.833</v>
      </c>
      <c r="B745" s="8">
        <v>35400157.971</v>
      </c>
      <c r="C745" s="8">
        <v>891.566</v>
      </c>
      <c r="D745" s="9" t="s">
        <v>383</v>
      </c>
      <c r="E745" s="75">
        <v>887.826</v>
      </c>
    </row>
    <row r="746" ht="16.5" spans="1:5">
      <c r="A746" s="8">
        <v>3045731.833</v>
      </c>
      <c r="B746" s="8">
        <v>35400157.971</v>
      </c>
      <c r="C746" s="8">
        <v>891.566</v>
      </c>
      <c r="D746" s="9" t="s">
        <v>384</v>
      </c>
      <c r="E746" s="75">
        <v>887.796</v>
      </c>
    </row>
    <row r="747" ht="16.5" spans="1:5">
      <c r="A747" s="8">
        <v>3045731.833</v>
      </c>
      <c r="B747" s="8">
        <v>35400157.971</v>
      </c>
      <c r="C747" s="8">
        <v>891.566</v>
      </c>
      <c r="D747" s="9" t="s">
        <v>385</v>
      </c>
      <c r="E747" s="75">
        <v>887.756</v>
      </c>
    </row>
    <row r="748" ht="16.5" spans="1:5">
      <c r="A748" s="8">
        <v>3045731.833</v>
      </c>
      <c r="B748" s="8">
        <v>35400157.971</v>
      </c>
      <c r="C748" s="8">
        <v>891.566</v>
      </c>
      <c r="D748" s="9" t="s">
        <v>386</v>
      </c>
      <c r="E748" s="75">
        <v>887.756</v>
      </c>
    </row>
    <row r="749" ht="16.5" spans="1:5">
      <c r="A749" s="8">
        <v>3045731.833</v>
      </c>
      <c r="B749" s="8">
        <v>35400157.971</v>
      </c>
      <c r="C749" s="8">
        <v>891.566</v>
      </c>
      <c r="D749" s="9" t="s">
        <v>387</v>
      </c>
      <c r="E749" s="75">
        <v>887.796</v>
      </c>
    </row>
    <row r="750" ht="16.5" spans="1:5">
      <c r="A750" s="8">
        <v>3045731.833</v>
      </c>
      <c r="B750" s="8">
        <v>35400157.971</v>
      </c>
      <c r="C750" s="8">
        <v>891.566</v>
      </c>
      <c r="D750" s="9" t="s">
        <v>388</v>
      </c>
      <c r="E750" s="75">
        <v>887.866</v>
      </c>
    </row>
    <row r="751" ht="16.5" spans="1:5">
      <c r="A751" s="8">
        <v>3045731.833</v>
      </c>
      <c r="B751" s="8">
        <v>35400157.971</v>
      </c>
      <c r="C751" s="8">
        <v>891.566</v>
      </c>
      <c r="D751" s="9" t="s">
        <v>389</v>
      </c>
      <c r="E751" s="75">
        <v>887.856</v>
      </c>
    </row>
    <row r="752" ht="16.5" spans="1:5">
      <c r="A752" s="8">
        <v>3045731.833</v>
      </c>
      <c r="B752" s="8">
        <v>35400157.971</v>
      </c>
      <c r="C752" s="8">
        <v>891.566</v>
      </c>
      <c r="D752" s="9" t="s">
        <v>390</v>
      </c>
      <c r="E752" s="75">
        <v>887.866</v>
      </c>
    </row>
    <row r="753" ht="16.5" spans="1:5">
      <c r="A753" s="8">
        <v>3045731.833</v>
      </c>
      <c r="B753" s="8">
        <v>35400157.971</v>
      </c>
      <c r="C753" s="8">
        <v>891.566</v>
      </c>
      <c r="D753" s="9" t="s">
        <v>391</v>
      </c>
      <c r="E753" s="75">
        <v>887.866</v>
      </c>
    </row>
    <row r="754" ht="16.5" spans="1:5">
      <c r="A754" s="8">
        <v>3045731.833</v>
      </c>
      <c r="B754" s="8">
        <v>35400157.971</v>
      </c>
      <c r="C754" s="8">
        <v>891.566</v>
      </c>
      <c r="D754" s="9" t="s">
        <v>392</v>
      </c>
      <c r="E754" s="75">
        <v>887.866</v>
      </c>
    </row>
    <row r="755" ht="16.5" spans="1:5">
      <c r="A755" s="8">
        <v>3045731.833</v>
      </c>
      <c r="B755" s="8">
        <v>35400157.971</v>
      </c>
      <c r="C755" s="8">
        <v>891.566</v>
      </c>
      <c r="D755" s="9" t="s">
        <v>393</v>
      </c>
      <c r="E755" s="75">
        <v>887.896</v>
      </c>
    </row>
    <row r="756" ht="16.5" spans="1:5">
      <c r="A756" s="8">
        <v>3045731.833</v>
      </c>
      <c r="B756" s="8">
        <v>35400157.971</v>
      </c>
      <c r="C756" s="8">
        <v>891.566</v>
      </c>
      <c r="D756" s="9" t="s">
        <v>394</v>
      </c>
      <c r="E756" s="75">
        <v>887.826</v>
      </c>
    </row>
    <row r="757" ht="16.5" spans="1:5">
      <c r="A757" s="8">
        <v>3045731.833</v>
      </c>
      <c r="B757" s="8">
        <v>35400157.971</v>
      </c>
      <c r="C757" s="8">
        <v>891.566</v>
      </c>
      <c r="D757" s="9" t="s">
        <v>395</v>
      </c>
      <c r="E757" s="75">
        <v>887.826</v>
      </c>
    </row>
    <row r="758" ht="16.5" spans="1:5">
      <c r="A758" s="8">
        <v>3045731.833</v>
      </c>
      <c r="B758" s="8">
        <v>35400157.971</v>
      </c>
      <c r="C758" s="8">
        <v>891.566</v>
      </c>
      <c r="D758" s="9" t="s">
        <v>396</v>
      </c>
      <c r="E758" s="75">
        <v>887.826</v>
      </c>
    </row>
    <row r="759" ht="16.5" spans="1:5">
      <c r="A759" s="8">
        <v>3045731.833</v>
      </c>
      <c r="B759" s="8">
        <v>35400157.971</v>
      </c>
      <c r="C759" s="8">
        <v>891.566</v>
      </c>
      <c r="D759" s="9" t="s">
        <v>397</v>
      </c>
      <c r="E759" s="75">
        <v>887.826</v>
      </c>
    </row>
    <row r="760" ht="16.5" spans="1:5">
      <c r="A760" s="8">
        <v>3045731.833</v>
      </c>
      <c r="B760" s="8">
        <v>35400157.971</v>
      </c>
      <c r="C760" s="8">
        <v>891.566</v>
      </c>
      <c r="D760" s="9" t="s">
        <v>398</v>
      </c>
      <c r="E760" s="75">
        <v>887.826</v>
      </c>
    </row>
    <row r="761" ht="16.5" spans="1:5">
      <c r="A761" s="8">
        <v>3045731.833</v>
      </c>
      <c r="B761" s="8">
        <v>35400157.971</v>
      </c>
      <c r="C761" s="8">
        <v>891.566</v>
      </c>
      <c r="D761" s="9" t="s">
        <v>399</v>
      </c>
      <c r="E761" s="75">
        <v>887.866</v>
      </c>
    </row>
    <row r="762" ht="16.5" spans="1:5">
      <c r="A762" s="8">
        <v>3045731.833</v>
      </c>
      <c r="B762" s="8">
        <v>35400157.971</v>
      </c>
      <c r="C762" s="8">
        <v>891.566</v>
      </c>
      <c r="D762" s="9" t="s">
        <v>400</v>
      </c>
      <c r="E762" s="75">
        <v>887.866</v>
      </c>
    </row>
    <row r="763" ht="16.5" spans="1:5">
      <c r="A763" s="8">
        <v>3045731.833</v>
      </c>
      <c r="B763" s="8">
        <v>35400157.971</v>
      </c>
      <c r="C763" s="8">
        <v>891.566</v>
      </c>
      <c r="D763" s="9" t="s">
        <v>401</v>
      </c>
      <c r="E763" s="75">
        <v>887.896</v>
      </c>
    </row>
    <row r="764" ht="16.5" spans="1:5">
      <c r="A764" s="8">
        <v>3045731.833</v>
      </c>
      <c r="B764" s="8">
        <v>35400157.971</v>
      </c>
      <c r="C764" s="8">
        <v>891.566</v>
      </c>
      <c r="D764" s="9" t="s">
        <v>402</v>
      </c>
      <c r="E764" s="75">
        <v>887.896</v>
      </c>
    </row>
    <row r="765" ht="16.5" spans="1:5">
      <c r="A765" s="8">
        <v>3045731.833</v>
      </c>
      <c r="B765" s="8">
        <v>35400157.971</v>
      </c>
      <c r="C765" s="8">
        <v>891.566</v>
      </c>
      <c r="D765" s="9" t="s">
        <v>403</v>
      </c>
      <c r="E765" s="75">
        <v>887.866</v>
      </c>
    </row>
    <row r="766" ht="16.5" spans="1:5">
      <c r="A766" s="8">
        <v>3045731.833</v>
      </c>
      <c r="B766" s="8">
        <v>35400157.971</v>
      </c>
      <c r="C766" s="8">
        <v>891.566</v>
      </c>
      <c r="D766" s="9" t="s">
        <v>404</v>
      </c>
      <c r="E766" s="75">
        <v>887.856</v>
      </c>
    </row>
    <row r="767" ht="16.5" spans="1:5">
      <c r="A767" s="8">
        <v>3045731.833</v>
      </c>
      <c r="B767" s="8">
        <v>35400157.971</v>
      </c>
      <c r="C767" s="8">
        <v>891.566</v>
      </c>
      <c r="D767" s="9" t="s">
        <v>405</v>
      </c>
      <c r="E767" s="75">
        <v>887.896</v>
      </c>
    </row>
    <row r="768" ht="16.5" spans="1:5">
      <c r="A768" s="8">
        <v>3045731.833</v>
      </c>
      <c r="B768" s="8">
        <v>35400157.971</v>
      </c>
      <c r="C768" s="8">
        <v>891.566</v>
      </c>
      <c r="D768" s="9" t="s">
        <v>406</v>
      </c>
      <c r="E768" s="75">
        <v>887.896</v>
      </c>
    </row>
    <row r="769" ht="16.5" spans="1:5">
      <c r="A769" s="8">
        <v>3045731.833</v>
      </c>
      <c r="B769" s="8">
        <v>35400157.971</v>
      </c>
      <c r="C769" s="8">
        <v>891.566</v>
      </c>
      <c r="D769" s="9" t="s">
        <v>407</v>
      </c>
      <c r="E769" s="75">
        <v>887.826</v>
      </c>
    </row>
    <row r="770" ht="16.5" spans="1:5">
      <c r="A770" s="8">
        <v>3045731.833</v>
      </c>
      <c r="B770" s="8">
        <v>35400157.971</v>
      </c>
      <c r="C770" s="8">
        <v>891.566</v>
      </c>
      <c r="D770" s="9" t="s">
        <v>408</v>
      </c>
      <c r="E770" s="75">
        <v>887.856</v>
      </c>
    </row>
    <row r="771" ht="16.5" spans="1:5">
      <c r="A771" s="8">
        <v>3045731.833</v>
      </c>
      <c r="B771" s="8">
        <v>35400157.971</v>
      </c>
      <c r="C771" s="8">
        <v>891.566</v>
      </c>
      <c r="D771" s="9" t="s">
        <v>409</v>
      </c>
      <c r="E771" s="75">
        <v>887.966</v>
      </c>
    </row>
    <row r="772" ht="16.5" spans="1:5">
      <c r="A772" s="8">
        <v>3045731.833</v>
      </c>
      <c r="B772" s="8">
        <v>35400157.971</v>
      </c>
      <c r="C772" s="8">
        <v>891.566</v>
      </c>
      <c r="D772" s="9" t="s">
        <v>410</v>
      </c>
      <c r="E772" s="75">
        <v>887.936</v>
      </c>
    </row>
    <row r="773" ht="16.5" spans="1:5">
      <c r="A773" s="8">
        <v>3045731.833</v>
      </c>
      <c r="B773" s="8">
        <v>35400157.971</v>
      </c>
      <c r="C773" s="8">
        <v>891.566</v>
      </c>
      <c r="D773" s="9" t="s">
        <v>411</v>
      </c>
      <c r="E773" s="75">
        <v>887.966</v>
      </c>
    </row>
    <row r="774" ht="16.5" spans="1:5">
      <c r="A774" s="8">
        <v>3045731.833</v>
      </c>
      <c r="B774" s="8">
        <v>35400157.971</v>
      </c>
      <c r="C774" s="8">
        <v>891.566</v>
      </c>
      <c r="D774" s="9" t="s">
        <v>412</v>
      </c>
      <c r="E774" s="75">
        <v>887.936</v>
      </c>
    </row>
    <row r="775" ht="16.5" spans="1:5">
      <c r="A775" s="8">
        <v>3045731.833</v>
      </c>
      <c r="B775" s="8">
        <v>35400157.971</v>
      </c>
      <c r="C775" s="8">
        <v>891.566</v>
      </c>
      <c r="D775" s="9" t="s">
        <v>413</v>
      </c>
      <c r="E775" s="75">
        <v>887.936</v>
      </c>
    </row>
    <row r="776" ht="16.5" spans="1:5">
      <c r="A776" s="8">
        <v>3045731.833</v>
      </c>
      <c r="B776" s="8">
        <v>35400157.971</v>
      </c>
      <c r="C776" s="8">
        <v>891.566</v>
      </c>
      <c r="D776" s="9" t="s">
        <v>414</v>
      </c>
      <c r="E776" s="75">
        <v>887.896</v>
      </c>
    </row>
    <row r="777" ht="16.5" spans="1:5">
      <c r="A777" s="8">
        <v>3045731.833</v>
      </c>
      <c r="B777" s="8">
        <v>35400157.971</v>
      </c>
      <c r="C777" s="8">
        <v>891.566</v>
      </c>
      <c r="D777" s="9" t="s">
        <v>415</v>
      </c>
      <c r="E777" s="75">
        <v>887.896</v>
      </c>
    </row>
    <row r="778" ht="16.5" spans="1:5">
      <c r="A778" s="8">
        <v>3045731.833</v>
      </c>
      <c r="B778" s="8">
        <v>35400157.971</v>
      </c>
      <c r="C778" s="8">
        <v>891.566</v>
      </c>
      <c r="D778" s="9" t="s">
        <v>416</v>
      </c>
      <c r="E778" s="75">
        <v>887.896</v>
      </c>
    </row>
    <row r="779" ht="16.5" spans="1:5">
      <c r="A779" s="8">
        <v>3045731.833</v>
      </c>
      <c r="B779" s="8">
        <v>35400157.971</v>
      </c>
      <c r="C779" s="8">
        <v>891.566</v>
      </c>
      <c r="D779" s="9" t="s">
        <v>417</v>
      </c>
      <c r="E779" s="75">
        <v>887.936</v>
      </c>
    </row>
    <row r="780" ht="16.5" spans="1:5">
      <c r="A780" s="8">
        <v>3045731.833</v>
      </c>
      <c r="B780" s="8">
        <v>35400157.971</v>
      </c>
      <c r="C780" s="8">
        <v>891.566</v>
      </c>
      <c r="D780" s="9" t="s">
        <v>418</v>
      </c>
      <c r="E780" s="75">
        <v>887.936</v>
      </c>
    </row>
    <row r="781" ht="16.5" spans="1:5">
      <c r="A781" s="8">
        <v>3045731.833</v>
      </c>
      <c r="B781" s="8">
        <v>35400157.971</v>
      </c>
      <c r="C781" s="8">
        <v>891.566</v>
      </c>
      <c r="D781" s="9" t="s">
        <v>419</v>
      </c>
      <c r="E781" s="75">
        <v>887.936</v>
      </c>
    </row>
    <row r="782" ht="16.5" spans="1:5">
      <c r="A782" s="8">
        <v>3045731.833</v>
      </c>
      <c r="B782" s="8">
        <v>35400157.971</v>
      </c>
      <c r="C782" s="8">
        <v>891.566</v>
      </c>
      <c r="D782" s="9" t="s">
        <v>420</v>
      </c>
      <c r="E782" s="75">
        <v>887.936</v>
      </c>
    </row>
    <row r="783" ht="16.5" spans="1:5">
      <c r="A783" s="8">
        <v>3045731.833</v>
      </c>
      <c r="B783" s="8">
        <v>35400157.971</v>
      </c>
      <c r="C783" s="8">
        <v>891.566</v>
      </c>
      <c r="D783" s="9" t="s">
        <v>421</v>
      </c>
      <c r="E783" s="75">
        <v>887.896</v>
      </c>
    </row>
    <row r="784" ht="16.5" spans="1:5">
      <c r="A784" s="8">
        <v>3045731.833</v>
      </c>
      <c r="B784" s="8">
        <v>35400157.971</v>
      </c>
      <c r="C784" s="8">
        <v>891.566</v>
      </c>
      <c r="D784" s="9" t="s">
        <v>422</v>
      </c>
      <c r="E784" s="75">
        <v>887.896</v>
      </c>
    </row>
    <row r="785" ht="16.5" spans="1:5">
      <c r="A785" s="8">
        <v>3045731.833</v>
      </c>
      <c r="B785" s="8">
        <v>35400157.971</v>
      </c>
      <c r="C785" s="8">
        <v>891.566</v>
      </c>
      <c r="D785" s="9" t="s">
        <v>423</v>
      </c>
      <c r="E785" s="75">
        <v>887.896</v>
      </c>
    </row>
    <row r="786" ht="16.5" spans="1:5">
      <c r="A786" s="8">
        <v>3045731.833</v>
      </c>
      <c r="B786" s="8">
        <v>35400157.971</v>
      </c>
      <c r="C786" s="8">
        <v>891.566</v>
      </c>
      <c r="D786" s="9" t="s">
        <v>424</v>
      </c>
      <c r="E786" s="75">
        <v>887.896</v>
      </c>
    </row>
    <row r="787" ht="16.5" spans="1:5">
      <c r="A787" s="8">
        <v>3045731.833</v>
      </c>
      <c r="B787" s="8">
        <v>35400157.971</v>
      </c>
      <c r="C787" s="8">
        <v>891.566</v>
      </c>
      <c r="D787" s="9" t="s">
        <v>425</v>
      </c>
      <c r="E787" s="75">
        <v>887.896</v>
      </c>
    </row>
    <row r="788" ht="16.5" spans="1:5">
      <c r="A788" s="8">
        <v>3045731.833</v>
      </c>
      <c r="B788" s="8">
        <v>35400157.971</v>
      </c>
      <c r="C788" s="8">
        <v>891.566</v>
      </c>
      <c r="D788" s="9" t="s">
        <v>426</v>
      </c>
      <c r="E788" s="75">
        <v>887.926</v>
      </c>
    </row>
    <row r="789" ht="16.5" spans="1:5">
      <c r="A789" s="8">
        <v>3045731.833</v>
      </c>
      <c r="B789" s="8">
        <v>35400157.971</v>
      </c>
      <c r="C789" s="8">
        <v>891.566</v>
      </c>
      <c r="D789" s="9" t="s">
        <v>427</v>
      </c>
      <c r="E789" s="75">
        <v>887.856</v>
      </c>
    </row>
    <row r="790" ht="16.5" spans="1:5">
      <c r="A790" s="8">
        <v>3045731.833</v>
      </c>
      <c r="B790" s="8">
        <v>35400157.971</v>
      </c>
      <c r="C790" s="8">
        <v>891.566</v>
      </c>
      <c r="D790" s="9" t="s">
        <v>428</v>
      </c>
      <c r="E790" s="75">
        <v>887.826</v>
      </c>
    </row>
    <row r="791" ht="16.5" spans="1:5">
      <c r="A791" s="8">
        <v>3045731.833</v>
      </c>
      <c r="B791" s="8">
        <v>35400157.971</v>
      </c>
      <c r="C791" s="8">
        <v>891.566</v>
      </c>
      <c r="D791" s="9" t="s">
        <v>429</v>
      </c>
      <c r="E791" s="75">
        <v>887.856</v>
      </c>
    </row>
    <row r="792" ht="16.5" spans="1:5">
      <c r="A792" s="8">
        <v>3045731.833</v>
      </c>
      <c r="B792" s="8">
        <v>35400157.971</v>
      </c>
      <c r="C792" s="8">
        <v>891.566</v>
      </c>
      <c r="D792" s="9" t="s">
        <v>430</v>
      </c>
      <c r="E792" s="75">
        <v>887.896</v>
      </c>
    </row>
    <row r="793" ht="16.5" spans="1:5">
      <c r="A793" s="8">
        <v>3045731.833</v>
      </c>
      <c r="B793" s="8">
        <v>35400157.971</v>
      </c>
      <c r="C793" s="8">
        <v>891.566</v>
      </c>
      <c r="D793" s="9" t="s">
        <v>431</v>
      </c>
      <c r="E793" s="75"/>
    </row>
    <row r="794" ht="16.5" spans="1:5">
      <c r="A794" s="8">
        <v>3045731.833</v>
      </c>
      <c r="B794" s="8">
        <v>35400157.971</v>
      </c>
      <c r="C794" s="8">
        <v>891.566</v>
      </c>
      <c r="D794" s="9" t="s">
        <v>432</v>
      </c>
      <c r="E794" s="75"/>
    </row>
    <row r="795" ht="16.5" spans="1:5">
      <c r="A795" s="8">
        <v>3045731.833</v>
      </c>
      <c r="B795" s="8">
        <v>35400157.971</v>
      </c>
      <c r="C795" s="8">
        <v>891.566</v>
      </c>
      <c r="D795" s="9" t="s">
        <v>433</v>
      </c>
      <c r="E795" s="75"/>
    </row>
    <row r="796" ht="16.5" spans="1:5">
      <c r="A796" s="8">
        <v>3045731.833</v>
      </c>
      <c r="B796" s="8">
        <v>35400157.971</v>
      </c>
      <c r="C796" s="8">
        <v>891.566</v>
      </c>
      <c r="D796" s="9" t="s">
        <v>434</v>
      </c>
      <c r="E796" s="75"/>
    </row>
    <row r="797" ht="16.5" spans="1:5">
      <c r="A797" s="8">
        <v>3045731.833</v>
      </c>
      <c r="B797" s="8">
        <v>35400157.971</v>
      </c>
      <c r="C797" s="8">
        <v>891.566</v>
      </c>
      <c r="D797" s="9" t="s">
        <v>435</v>
      </c>
      <c r="E797" s="75"/>
    </row>
    <row r="798" ht="16.5" spans="1:5">
      <c r="A798" s="8">
        <v>3045731.833</v>
      </c>
      <c r="B798" s="8">
        <v>35400157.971</v>
      </c>
      <c r="C798" s="8">
        <v>891.566</v>
      </c>
      <c r="D798" s="9" t="s">
        <v>436</v>
      </c>
      <c r="E798" s="75"/>
    </row>
    <row r="799" ht="16.5" spans="1:5">
      <c r="A799" s="8">
        <v>3045731.833</v>
      </c>
      <c r="B799" s="8">
        <v>35400157.971</v>
      </c>
      <c r="C799" s="8">
        <v>891.566</v>
      </c>
      <c r="D799" s="9" t="s">
        <v>437</v>
      </c>
      <c r="E799" s="75"/>
    </row>
    <row r="800" ht="16.5" spans="1:5">
      <c r="A800" s="8">
        <v>3045731.833</v>
      </c>
      <c r="B800" s="8">
        <v>35400157.971</v>
      </c>
      <c r="C800" s="8">
        <v>891.566</v>
      </c>
      <c r="D800" s="9" t="s">
        <v>438</v>
      </c>
      <c r="E800" s="75"/>
    </row>
    <row r="801" ht="16.5" spans="1:5">
      <c r="A801" s="8">
        <v>3045731.833</v>
      </c>
      <c r="B801" s="8">
        <v>35400157.971</v>
      </c>
      <c r="C801" s="8">
        <v>891.566</v>
      </c>
      <c r="D801" s="9" t="s">
        <v>439</v>
      </c>
      <c r="E801" s="75"/>
    </row>
    <row r="802" ht="16.5" spans="1:5">
      <c r="A802" s="8">
        <v>3045731.833</v>
      </c>
      <c r="B802" s="8">
        <v>35400157.971</v>
      </c>
      <c r="C802" s="8">
        <v>891.566</v>
      </c>
      <c r="D802" s="9" t="s">
        <v>440</v>
      </c>
      <c r="E802" s="75"/>
    </row>
    <row r="803" ht="16.5" spans="1:5">
      <c r="A803" s="8">
        <v>3045731.833</v>
      </c>
      <c r="B803" s="8">
        <v>35400157.971</v>
      </c>
      <c r="C803" s="8">
        <v>891.566</v>
      </c>
      <c r="D803" s="9" t="s">
        <v>441</v>
      </c>
      <c r="E803" s="75"/>
    </row>
    <row r="804" ht="16.5" spans="1:5">
      <c r="A804" s="8">
        <v>3045731.833</v>
      </c>
      <c r="B804" s="8">
        <v>35400157.971</v>
      </c>
      <c r="C804" s="8">
        <v>891.566</v>
      </c>
      <c r="D804" s="9" t="s">
        <v>442</v>
      </c>
      <c r="E804" s="75"/>
    </row>
    <row r="805" ht="16.5" spans="1:5">
      <c r="A805" s="8">
        <v>3045731.833</v>
      </c>
      <c r="B805" s="8">
        <v>35400157.971</v>
      </c>
      <c r="C805" s="8">
        <v>891.566</v>
      </c>
      <c r="D805" s="9" t="s">
        <v>443</v>
      </c>
      <c r="E805" s="75"/>
    </row>
    <row r="806" ht="16.5" spans="1:5">
      <c r="A806" s="8">
        <v>3045731.833</v>
      </c>
      <c r="B806" s="8">
        <v>35400157.971</v>
      </c>
      <c r="C806" s="8">
        <v>891.566</v>
      </c>
      <c r="D806" s="9" t="s">
        <v>444</v>
      </c>
      <c r="E806" s="75"/>
    </row>
    <row r="807" ht="16.5" spans="1:5">
      <c r="A807" s="8">
        <v>3045731.833</v>
      </c>
      <c r="B807" s="8">
        <v>35400157.971</v>
      </c>
      <c r="C807" s="8">
        <v>891.566</v>
      </c>
      <c r="D807" s="9" t="s">
        <v>445</v>
      </c>
      <c r="E807" s="75"/>
    </row>
    <row r="808" ht="16.5" spans="1:5">
      <c r="A808" s="8">
        <v>3045731.833</v>
      </c>
      <c r="B808" s="8">
        <v>35400157.971</v>
      </c>
      <c r="C808" s="8">
        <v>891.566</v>
      </c>
      <c r="D808" s="9" t="s">
        <v>446</v>
      </c>
      <c r="E808" s="75"/>
    </row>
    <row r="809" ht="16.5" spans="1:5">
      <c r="A809" s="8">
        <v>3045731.833</v>
      </c>
      <c r="B809" s="8">
        <v>35400157.971</v>
      </c>
      <c r="C809" s="8">
        <v>891.566</v>
      </c>
      <c r="D809" s="9" t="s">
        <v>447</v>
      </c>
      <c r="E809" s="75"/>
    </row>
    <row r="810" ht="16.5" spans="1:5">
      <c r="A810" s="8">
        <v>3045731.833</v>
      </c>
      <c r="B810" s="8">
        <v>35400157.971</v>
      </c>
      <c r="C810" s="8">
        <v>891.566</v>
      </c>
      <c r="D810" s="9" t="s">
        <v>448</v>
      </c>
      <c r="E810" s="75"/>
    </row>
    <row r="811" ht="16.5" spans="1:5">
      <c r="A811" s="8">
        <v>3045731.833</v>
      </c>
      <c r="B811" s="8">
        <v>35400157.971</v>
      </c>
      <c r="C811" s="8">
        <v>891.566</v>
      </c>
      <c r="D811" s="9" t="s">
        <v>449</v>
      </c>
      <c r="E811" s="75"/>
    </row>
    <row r="812" ht="16.5" spans="1:5">
      <c r="A812" s="8">
        <v>3045731.833</v>
      </c>
      <c r="B812" s="8">
        <v>35400157.971</v>
      </c>
      <c r="C812" s="8">
        <v>891.566</v>
      </c>
      <c r="D812" s="9" t="s">
        <v>450</v>
      </c>
      <c r="E812" s="75"/>
    </row>
    <row r="813" ht="16.5" spans="1:5">
      <c r="A813" s="8">
        <v>3045731.833</v>
      </c>
      <c r="B813" s="8">
        <v>35400157.971</v>
      </c>
      <c r="C813" s="8">
        <v>891.566</v>
      </c>
      <c r="D813" s="9" t="s">
        <v>451</v>
      </c>
      <c r="E813" s="75"/>
    </row>
    <row r="814" ht="16.5" spans="1:5">
      <c r="A814" s="8">
        <v>3045731.833</v>
      </c>
      <c r="B814" s="8">
        <v>35400157.971</v>
      </c>
      <c r="C814" s="8">
        <v>891.566</v>
      </c>
      <c r="D814" s="9" t="s">
        <v>452</v>
      </c>
      <c r="E814" s="75"/>
    </row>
    <row r="815" ht="16.5" spans="1:5">
      <c r="A815" s="8">
        <v>3045731.833</v>
      </c>
      <c r="B815" s="8">
        <v>35400157.971</v>
      </c>
      <c r="C815" s="8">
        <v>891.566</v>
      </c>
      <c r="D815" s="9" t="s">
        <v>453</v>
      </c>
      <c r="E815" s="75"/>
    </row>
    <row r="816" ht="16.5" spans="1:5">
      <c r="A816" s="8">
        <v>3045731.833</v>
      </c>
      <c r="B816" s="8">
        <v>35400157.971</v>
      </c>
      <c r="C816" s="8">
        <v>891.566</v>
      </c>
      <c r="D816" s="9" t="s">
        <v>454</v>
      </c>
      <c r="E816" s="75"/>
    </row>
    <row r="817" ht="16.5" spans="1:5">
      <c r="A817" s="8">
        <v>3045731.833</v>
      </c>
      <c r="B817" s="8">
        <v>35400157.971</v>
      </c>
      <c r="C817" s="8">
        <v>891.566</v>
      </c>
      <c r="D817" s="9" t="s">
        <v>455</v>
      </c>
      <c r="E817" s="75"/>
    </row>
    <row r="818" ht="16.5" spans="1:5">
      <c r="A818" s="8">
        <v>3045731.833</v>
      </c>
      <c r="B818" s="8">
        <v>35400157.971</v>
      </c>
      <c r="C818" s="8">
        <v>891.566</v>
      </c>
      <c r="D818" s="9" t="s">
        <v>456</v>
      </c>
      <c r="E818" s="75"/>
    </row>
    <row r="819" ht="16.5" spans="1:5">
      <c r="A819" s="8">
        <v>3045731.833</v>
      </c>
      <c r="B819" s="8">
        <v>35400157.971</v>
      </c>
      <c r="C819" s="8">
        <v>891.566</v>
      </c>
      <c r="D819" s="9" t="s">
        <v>457</v>
      </c>
      <c r="E819" s="75"/>
    </row>
    <row r="820" ht="16.5" spans="1:5">
      <c r="A820" s="8">
        <v>3045731.833</v>
      </c>
      <c r="B820" s="8">
        <v>35400157.971</v>
      </c>
      <c r="C820" s="8">
        <v>891.566</v>
      </c>
      <c r="D820" s="9" t="s">
        <v>458</v>
      </c>
      <c r="E820" s="75"/>
    </row>
    <row r="821" ht="16.5" spans="1:5">
      <c r="A821" s="8">
        <v>3045731.833</v>
      </c>
      <c r="B821" s="8">
        <v>35400157.971</v>
      </c>
      <c r="C821" s="8">
        <v>891.566</v>
      </c>
      <c r="D821" s="9" t="s">
        <v>459</v>
      </c>
      <c r="E821" s="75"/>
    </row>
    <row r="822" ht="16.5" spans="1:5">
      <c r="A822" s="8">
        <v>3045731.833</v>
      </c>
      <c r="B822" s="8">
        <v>35400157.971</v>
      </c>
      <c r="C822" s="8">
        <v>891.566</v>
      </c>
      <c r="D822" s="9" t="s">
        <v>460</v>
      </c>
      <c r="E822" s="75"/>
    </row>
    <row r="823" ht="16.5" spans="1:5">
      <c r="A823" s="8">
        <v>3045731.833</v>
      </c>
      <c r="B823" s="8">
        <v>35400157.971</v>
      </c>
      <c r="C823" s="8">
        <v>891.566</v>
      </c>
      <c r="D823" s="9" t="s">
        <v>461</v>
      </c>
      <c r="E823" s="75"/>
    </row>
    <row r="824" ht="16.5" spans="1:5">
      <c r="A824" s="8">
        <v>3045731.833</v>
      </c>
      <c r="B824" s="8">
        <v>35400157.971</v>
      </c>
      <c r="C824" s="8">
        <v>891.566</v>
      </c>
      <c r="D824" s="9" t="s">
        <v>462</v>
      </c>
      <c r="E824" s="75"/>
    </row>
    <row r="825" ht="16.5" spans="1:5">
      <c r="A825" s="8">
        <v>3045731.833</v>
      </c>
      <c r="B825" s="8">
        <v>35400157.971</v>
      </c>
      <c r="C825" s="8">
        <v>891.566</v>
      </c>
      <c r="D825" s="9" t="s">
        <v>463</v>
      </c>
      <c r="E825" s="75"/>
    </row>
    <row r="826" ht="16.5" spans="1:5">
      <c r="A826" s="8">
        <v>3045731.833</v>
      </c>
      <c r="B826" s="8">
        <v>35400157.971</v>
      </c>
      <c r="C826" s="8">
        <v>891.566</v>
      </c>
      <c r="D826" s="9" t="s">
        <v>464</v>
      </c>
      <c r="E826" s="75">
        <v>886.636</v>
      </c>
    </row>
    <row r="827" ht="16.5" spans="1:5">
      <c r="A827" s="8">
        <v>3045731.833</v>
      </c>
      <c r="B827" s="8">
        <v>35400157.971</v>
      </c>
      <c r="C827" s="8">
        <v>891.566</v>
      </c>
      <c r="D827" s="9" t="s">
        <v>465</v>
      </c>
      <c r="E827" s="75"/>
    </row>
    <row r="828" ht="16.5" spans="1:5">
      <c r="A828" s="8">
        <v>3045731.833</v>
      </c>
      <c r="B828" s="8">
        <v>35400157.971</v>
      </c>
      <c r="C828" s="8">
        <v>891.566</v>
      </c>
      <c r="D828" s="9" t="s">
        <v>466</v>
      </c>
      <c r="E828" s="75"/>
    </row>
    <row r="829" ht="16.5" spans="1:5">
      <c r="A829" s="8">
        <v>3045731.833</v>
      </c>
      <c r="B829" s="8">
        <v>35400157.971</v>
      </c>
      <c r="C829" s="8">
        <v>891.566</v>
      </c>
      <c r="D829" s="9" t="s">
        <v>467</v>
      </c>
      <c r="E829" s="75"/>
    </row>
    <row r="830" ht="16.5" spans="1:5">
      <c r="A830" s="8">
        <v>3045731.833</v>
      </c>
      <c r="B830" s="8">
        <v>35400157.971</v>
      </c>
      <c r="C830" s="8">
        <v>891.566</v>
      </c>
      <c r="D830" s="9" t="s">
        <v>468</v>
      </c>
      <c r="E830" s="75"/>
    </row>
    <row r="831" ht="16.5" spans="1:5">
      <c r="A831" s="8">
        <v>3045731.833</v>
      </c>
      <c r="B831" s="8">
        <v>35400157.971</v>
      </c>
      <c r="C831" s="8">
        <v>891.566</v>
      </c>
      <c r="D831" s="9" t="s">
        <v>469</v>
      </c>
      <c r="E831" s="75"/>
    </row>
    <row r="832" ht="16.5" spans="1:5">
      <c r="A832" s="8">
        <v>3045731.833</v>
      </c>
      <c r="B832" s="8">
        <v>35400157.971</v>
      </c>
      <c r="C832" s="8">
        <v>891.566</v>
      </c>
      <c r="D832" s="9" t="s">
        <v>470</v>
      </c>
      <c r="E832" s="75"/>
    </row>
    <row r="833" ht="16.5" spans="1:5">
      <c r="A833" s="8">
        <v>3045731.833</v>
      </c>
      <c r="B833" s="8">
        <v>35400157.971</v>
      </c>
      <c r="C833" s="8">
        <v>891.566</v>
      </c>
      <c r="D833" s="9" t="s">
        <v>471</v>
      </c>
      <c r="E833" s="75"/>
    </row>
    <row r="834" ht="16.5" spans="1:5">
      <c r="A834" s="8">
        <v>3045731.833</v>
      </c>
      <c r="B834" s="8">
        <v>35400157.971</v>
      </c>
      <c r="C834" s="8">
        <v>891.566</v>
      </c>
      <c r="D834" s="9" t="s">
        <v>472</v>
      </c>
      <c r="E834" s="75"/>
    </row>
    <row r="835" ht="16.5" spans="1:5">
      <c r="A835" s="8">
        <v>3045731.833</v>
      </c>
      <c r="B835" s="8">
        <v>35400157.971</v>
      </c>
      <c r="C835" s="8">
        <v>891.566</v>
      </c>
      <c r="D835" s="9" t="s">
        <v>473</v>
      </c>
      <c r="E835" s="75"/>
    </row>
    <row r="836" ht="16.5" spans="1:5">
      <c r="A836" s="8">
        <v>3045731.833</v>
      </c>
      <c r="B836" s="8">
        <v>35400157.971</v>
      </c>
      <c r="C836" s="8">
        <v>891.566</v>
      </c>
      <c r="D836" s="9" t="s">
        <v>474</v>
      </c>
      <c r="E836" s="75"/>
    </row>
    <row r="837" ht="16.5" spans="1:5">
      <c r="A837" s="8">
        <v>3045731.833</v>
      </c>
      <c r="B837" s="8">
        <v>35400157.971</v>
      </c>
      <c r="C837" s="8">
        <v>891.566</v>
      </c>
      <c r="D837" s="9" t="s">
        <v>475</v>
      </c>
      <c r="E837" s="75"/>
    </row>
    <row r="838" ht="16.5" spans="1:5">
      <c r="A838" s="8">
        <v>3045731.833</v>
      </c>
      <c r="B838" s="8">
        <v>35400157.971</v>
      </c>
      <c r="C838" s="8">
        <v>891.566</v>
      </c>
      <c r="D838" s="9" t="s">
        <v>476</v>
      </c>
      <c r="E838" s="75">
        <v>886.586</v>
      </c>
    </row>
    <row r="839" ht="16.5" spans="1:5">
      <c r="A839" s="8">
        <v>3045731.833</v>
      </c>
      <c r="B839" s="8">
        <v>35400157.971</v>
      </c>
      <c r="C839" s="8">
        <v>891.566</v>
      </c>
      <c r="D839" s="9" t="s">
        <v>477</v>
      </c>
      <c r="E839" s="75"/>
    </row>
    <row r="840" ht="16.5" spans="1:5">
      <c r="A840" s="8">
        <v>3045731.833</v>
      </c>
      <c r="B840" s="8">
        <v>35400157.971</v>
      </c>
      <c r="C840" s="8">
        <v>891.566</v>
      </c>
      <c r="D840" s="9" t="s">
        <v>478</v>
      </c>
      <c r="E840" s="75"/>
    </row>
    <row r="841" ht="16.5" spans="1:5">
      <c r="A841" s="8">
        <v>3045731.833</v>
      </c>
      <c r="B841" s="8">
        <v>35400157.971</v>
      </c>
      <c r="C841" s="8">
        <v>891.566</v>
      </c>
      <c r="D841" s="9" t="s">
        <v>479</v>
      </c>
      <c r="E841" s="75"/>
    </row>
    <row r="842" ht="16.5" spans="1:5">
      <c r="A842" s="8">
        <v>3045731.833</v>
      </c>
      <c r="B842" s="8">
        <v>35400157.971</v>
      </c>
      <c r="C842" s="8">
        <v>891.566</v>
      </c>
      <c r="D842" s="9" t="s">
        <v>480</v>
      </c>
      <c r="E842" s="75"/>
    </row>
    <row r="843" ht="16.5" spans="1:5">
      <c r="A843" s="8">
        <v>3045731.833</v>
      </c>
      <c r="B843" s="8">
        <v>35400157.971</v>
      </c>
      <c r="C843" s="8">
        <v>891.566</v>
      </c>
      <c r="D843" s="9" t="s">
        <v>481</v>
      </c>
      <c r="E843" s="75"/>
    </row>
    <row r="844" ht="16.5" spans="1:5">
      <c r="A844" s="8">
        <v>3045731.833</v>
      </c>
      <c r="B844" s="8">
        <v>35400157.971</v>
      </c>
      <c r="C844" s="8">
        <v>891.566</v>
      </c>
      <c r="D844" s="9" t="s">
        <v>482</v>
      </c>
      <c r="E844" s="75"/>
    </row>
    <row r="845" ht="16.5" spans="1:5">
      <c r="A845" s="8">
        <v>3045731.833</v>
      </c>
      <c r="B845" s="8">
        <v>35400157.971</v>
      </c>
      <c r="C845" s="8">
        <v>891.566</v>
      </c>
      <c r="D845" s="9" t="s">
        <v>483</v>
      </c>
      <c r="E845" s="75"/>
    </row>
    <row r="846" ht="16.5" spans="1:5">
      <c r="A846" s="8">
        <v>3045731.833</v>
      </c>
      <c r="B846" s="8">
        <v>35400157.971</v>
      </c>
      <c r="C846" s="8">
        <v>891.566</v>
      </c>
      <c r="D846" s="9" t="s">
        <v>484</v>
      </c>
      <c r="E846" s="75"/>
    </row>
    <row r="847" ht="16.5" spans="1:5">
      <c r="A847" s="8">
        <v>3045731.833</v>
      </c>
      <c r="B847" s="8">
        <v>35400157.971</v>
      </c>
      <c r="C847" s="8">
        <v>891.566</v>
      </c>
      <c r="D847" s="9" t="s">
        <v>485</v>
      </c>
      <c r="E847" s="75"/>
    </row>
    <row r="848" ht="16.5" spans="1:5">
      <c r="A848" s="8">
        <v>3045731.833</v>
      </c>
      <c r="B848" s="8">
        <v>35400157.971</v>
      </c>
      <c r="C848" s="8">
        <v>891.566</v>
      </c>
      <c r="D848" s="9" t="s">
        <v>486</v>
      </c>
      <c r="E848" s="75"/>
    </row>
    <row r="849" ht="16.5" spans="1:5">
      <c r="A849" s="8">
        <v>3045731.833</v>
      </c>
      <c r="B849" s="8">
        <v>35400157.971</v>
      </c>
      <c r="C849" s="8">
        <v>891.566</v>
      </c>
      <c r="D849" s="9" t="s">
        <v>487</v>
      </c>
      <c r="E849" s="75"/>
    </row>
    <row r="850" ht="16.5" spans="1:5">
      <c r="A850" s="8">
        <v>3045731.833</v>
      </c>
      <c r="B850" s="8">
        <v>35400157.971</v>
      </c>
      <c r="C850" s="8">
        <v>891.566</v>
      </c>
      <c r="D850" s="9" t="s">
        <v>488</v>
      </c>
      <c r="E850" s="75"/>
    </row>
    <row r="851" ht="16.5" spans="1:5">
      <c r="A851" s="8">
        <v>3045731.833</v>
      </c>
      <c r="B851" s="8">
        <v>35400157.971</v>
      </c>
      <c r="C851" s="8">
        <v>891.566</v>
      </c>
      <c r="D851" s="9" t="s">
        <v>489</v>
      </c>
      <c r="E851" s="75"/>
    </row>
    <row r="852" ht="16.5" spans="1:5">
      <c r="A852" s="8">
        <v>3045731.833</v>
      </c>
      <c r="B852" s="8">
        <v>35400157.971</v>
      </c>
      <c r="C852" s="8">
        <v>891.566</v>
      </c>
      <c r="D852" s="9" t="s">
        <v>490</v>
      </c>
      <c r="E852" s="75"/>
    </row>
    <row r="853" ht="16.5" spans="1:5">
      <c r="A853" s="8">
        <v>3045731.833</v>
      </c>
      <c r="B853" s="8">
        <v>35400157.971</v>
      </c>
      <c r="C853" s="8">
        <v>891.566</v>
      </c>
      <c r="D853" s="9" t="s">
        <v>491</v>
      </c>
      <c r="E853" s="75"/>
    </row>
    <row r="854" ht="16.5" spans="1:5">
      <c r="A854" s="8">
        <v>3045731.833</v>
      </c>
      <c r="B854" s="8">
        <v>35400157.971</v>
      </c>
      <c r="C854" s="8">
        <v>891.566</v>
      </c>
      <c r="D854" s="11">
        <v>44682</v>
      </c>
      <c r="E854" s="75"/>
    </row>
    <row r="855" ht="16.5" spans="1:5">
      <c r="A855" s="8">
        <v>3045731.833</v>
      </c>
      <c r="B855" s="8">
        <v>35400157.971</v>
      </c>
      <c r="C855" s="8">
        <v>891.566</v>
      </c>
      <c r="D855" s="11">
        <v>44683</v>
      </c>
      <c r="E855" s="75"/>
    </row>
    <row r="856" ht="16.5" spans="1:5">
      <c r="A856" s="8">
        <v>3045731.833</v>
      </c>
      <c r="B856" s="8">
        <v>35400157.971</v>
      </c>
      <c r="C856" s="8">
        <v>891.566</v>
      </c>
      <c r="D856" s="11">
        <v>44684</v>
      </c>
      <c r="E856" s="75"/>
    </row>
    <row r="857" ht="16.5" spans="1:5">
      <c r="A857" s="8">
        <v>3045731.833</v>
      </c>
      <c r="B857" s="8">
        <v>35400157.971</v>
      </c>
      <c r="C857" s="8">
        <v>891.566</v>
      </c>
      <c r="D857" s="11">
        <v>44685</v>
      </c>
      <c r="E857" s="75"/>
    </row>
    <row r="858" ht="16.5" spans="1:5">
      <c r="A858" s="8">
        <v>3045731.833</v>
      </c>
      <c r="B858" s="8">
        <v>35400157.971</v>
      </c>
      <c r="C858" s="8">
        <v>891.566</v>
      </c>
      <c r="D858" s="11">
        <v>44686</v>
      </c>
      <c r="E858" s="75"/>
    </row>
    <row r="859" ht="16.5" spans="1:5">
      <c r="A859" s="8">
        <v>3045731.833</v>
      </c>
      <c r="B859" s="8">
        <v>35400157.971</v>
      </c>
      <c r="C859" s="8">
        <v>891.566</v>
      </c>
      <c r="D859" s="11">
        <v>44687</v>
      </c>
      <c r="E859" s="75"/>
    </row>
    <row r="860" ht="16.5" spans="1:5">
      <c r="A860" s="8">
        <v>3045731.833</v>
      </c>
      <c r="B860" s="8">
        <v>35400157.971</v>
      </c>
      <c r="C860" s="8">
        <v>891.566</v>
      </c>
      <c r="D860" s="11">
        <v>44688</v>
      </c>
      <c r="E860" s="75"/>
    </row>
    <row r="861" ht="16.5" spans="1:5">
      <c r="A861" s="8">
        <v>3045731.833</v>
      </c>
      <c r="B861" s="8">
        <v>35400157.971</v>
      </c>
      <c r="C861" s="8">
        <v>891.566</v>
      </c>
      <c r="D861" s="11">
        <v>44689</v>
      </c>
      <c r="E861" s="75"/>
    </row>
    <row r="862" ht="16.5" spans="1:5">
      <c r="A862" s="8">
        <v>3045731.833</v>
      </c>
      <c r="B862" s="8">
        <v>35400157.971</v>
      </c>
      <c r="C862" s="8">
        <v>891.566</v>
      </c>
      <c r="D862" s="11">
        <v>44690</v>
      </c>
      <c r="E862" s="75"/>
    </row>
    <row r="863" ht="16.5" spans="1:5">
      <c r="A863" s="8">
        <v>3045731.833</v>
      </c>
      <c r="B863" s="8">
        <v>35400157.971</v>
      </c>
      <c r="C863" s="8">
        <v>891.566</v>
      </c>
      <c r="D863" s="11">
        <v>44691</v>
      </c>
      <c r="E863" s="75"/>
    </row>
    <row r="864" ht="16.5" spans="1:5">
      <c r="A864" s="8">
        <v>3045731.833</v>
      </c>
      <c r="B864" s="8">
        <v>35400157.971</v>
      </c>
      <c r="C864" s="8">
        <v>891.566</v>
      </c>
      <c r="D864" s="11">
        <v>44692</v>
      </c>
      <c r="E864" s="75"/>
    </row>
    <row r="865" ht="16.5" spans="1:5">
      <c r="A865" s="8">
        <v>3045731.833</v>
      </c>
      <c r="B865" s="8">
        <v>35400157.971</v>
      </c>
      <c r="C865" s="8">
        <v>891.566</v>
      </c>
      <c r="D865" s="11">
        <v>44693</v>
      </c>
      <c r="E865" s="75"/>
    </row>
    <row r="866" ht="16.5" spans="1:5">
      <c r="A866" s="8">
        <v>3045731.833</v>
      </c>
      <c r="B866" s="8">
        <v>35400157.971</v>
      </c>
      <c r="C866" s="8">
        <v>891.566</v>
      </c>
      <c r="D866" s="11">
        <v>44694</v>
      </c>
      <c r="E866" s="75"/>
    </row>
    <row r="867" ht="16.5" spans="1:5">
      <c r="A867" s="8">
        <v>3045731.833</v>
      </c>
      <c r="B867" s="8">
        <v>35400157.971</v>
      </c>
      <c r="C867" s="8">
        <v>891.566</v>
      </c>
      <c r="D867" s="11">
        <v>44695</v>
      </c>
      <c r="E867" s="75"/>
    </row>
    <row r="868" ht="16.5" spans="1:5">
      <c r="A868" s="8">
        <v>3045731.833</v>
      </c>
      <c r="B868" s="8">
        <v>35400157.971</v>
      </c>
      <c r="C868" s="8">
        <v>891.566</v>
      </c>
      <c r="D868" s="11">
        <v>44696</v>
      </c>
      <c r="E868" s="75"/>
    </row>
    <row r="869" ht="16.5" spans="1:5">
      <c r="A869" s="8">
        <v>3045731.833</v>
      </c>
      <c r="B869" s="8">
        <v>35400157.971</v>
      </c>
      <c r="C869" s="8">
        <v>891.566</v>
      </c>
      <c r="D869" s="11">
        <v>44697</v>
      </c>
      <c r="E869" s="75">
        <v>886.836</v>
      </c>
    </row>
    <row r="870" ht="16.5" spans="1:5">
      <c r="A870" s="8">
        <v>3045731.833</v>
      </c>
      <c r="B870" s="8">
        <v>35400157.971</v>
      </c>
      <c r="C870" s="8">
        <v>891.566</v>
      </c>
      <c r="D870" s="11">
        <v>44698</v>
      </c>
      <c r="E870" s="75"/>
    </row>
    <row r="871" ht="16.5" spans="1:5">
      <c r="A871" s="8">
        <v>3045731.833</v>
      </c>
      <c r="B871" s="8">
        <v>35400157.971</v>
      </c>
      <c r="C871" s="8">
        <v>891.566</v>
      </c>
      <c r="D871" s="11">
        <v>44699</v>
      </c>
      <c r="E871" s="75"/>
    </row>
    <row r="872" ht="16.5" spans="1:5">
      <c r="A872" s="8">
        <v>3045731.833</v>
      </c>
      <c r="B872" s="8">
        <v>35400157.971</v>
      </c>
      <c r="C872" s="8">
        <v>891.566</v>
      </c>
      <c r="D872" s="11">
        <v>44700</v>
      </c>
      <c r="E872" s="75"/>
    </row>
    <row r="873" ht="16.5" spans="1:5">
      <c r="A873" s="8">
        <v>3045731.833</v>
      </c>
      <c r="B873" s="8">
        <v>35400157.971</v>
      </c>
      <c r="C873" s="8">
        <v>891.566</v>
      </c>
      <c r="D873" s="11">
        <v>44701</v>
      </c>
      <c r="E873" s="75"/>
    </row>
    <row r="874" ht="16.5" spans="1:5">
      <c r="A874" s="8">
        <v>3045731.833</v>
      </c>
      <c r="B874" s="8">
        <v>35400157.971</v>
      </c>
      <c r="C874" s="8">
        <v>891.566</v>
      </c>
      <c r="D874" s="11">
        <v>44702</v>
      </c>
      <c r="E874" s="75"/>
    </row>
    <row r="875" ht="16.5" spans="1:5">
      <c r="A875" s="8">
        <v>3045731.833</v>
      </c>
      <c r="B875" s="8">
        <v>35400157.971</v>
      </c>
      <c r="C875" s="8">
        <v>891.566</v>
      </c>
      <c r="D875" s="11">
        <v>44703</v>
      </c>
      <c r="E875" s="75"/>
    </row>
    <row r="876" ht="16.5" spans="1:5">
      <c r="A876" s="8">
        <v>3045731.833</v>
      </c>
      <c r="B876" s="8">
        <v>35400157.971</v>
      </c>
      <c r="C876" s="8">
        <v>891.566</v>
      </c>
      <c r="D876" s="11">
        <v>44704</v>
      </c>
      <c r="E876" s="75"/>
    </row>
    <row r="877" ht="16.5" spans="1:5">
      <c r="A877" s="8">
        <v>3045731.833</v>
      </c>
      <c r="B877" s="8">
        <v>35400157.971</v>
      </c>
      <c r="C877" s="8">
        <v>891.566</v>
      </c>
      <c r="D877" s="11">
        <v>44705</v>
      </c>
      <c r="E877" s="75"/>
    </row>
    <row r="878" ht="16.5" spans="1:5">
      <c r="A878" s="8">
        <v>3045731.833</v>
      </c>
      <c r="B878" s="8">
        <v>35400157.971</v>
      </c>
      <c r="C878" s="8">
        <v>891.566</v>
      </c>
      <c r="D878" s="11">
        <v>44706</v>
      </c>
      <c r="E878" s="75"/>
    </row>
    <row r="879" ht="16.5" spans="1:5">
      <c r="A879" s="8">
        <v>3045731.833</v>
      </c>
      <c r="B879" s="8">
        <v>35400157.971</v>
      </c>
      <c r="C879" s="8">
        <v>891.566</v>
      </c>
      <c r="D879" s="11">
        <v>44707</v>
      </c>
      <c r="E879" s="75"/>
    </row>
    <row r="880" ht="16.5" spans="1:5">
      <c r="A880" s="8">
        <v>3045731.833</v>
      </c>
      <c r="B880" s="8">
        <v>35400157.971</v>
      </c>
      <c r="C880" s="8">
        <v>891.566</v>
      </c>
      <c r="D880" s="11">
        <v>44708</v>
      </c>
      <c r="E880" s="75"/>
    </row>
    <row r="881" ht="16.5" spans="1:5">
      <c r="A881" s="8">
        <v>3045731.833</v>
      </c>
      <c r="B881" s="8">
        <v>35400157.971</v>
      </c>
      <c r="C881" s="8">
        <v>891.566</v>
      </c>
      <c r="D881" s="11">
        <v>44709</v>
      </c>
      <c r="E881" s="75"/>
    </row>
    <row r="882" ht="16.5" spans="1:5">
      <c r="A882" s="8">
        <v>3045731.833</v>
      </c>
      <c r="B882" s="8">
        <v>35400157.971</v>
      </c>
      <c r="C882" s="8">
        <v>891.566</v>
      </c>
      <c r="D882" s="11">
        <v>44710</v>
      </c>
      <c r="E882" s="75"/>
    </row>
    <row r="883" ht="16.5" spans="1:5">
      <c r="A883" s="8">
        <v>3045731.833</v>
      </c>
      <c r="B883" s="8">
        <v>35400157.971</v>
      </c>
      <c r="C883" s="8">
        <v>891.566</v>
      </c>
      <c r="D883" s="11">
        <v>44711</v>
      </c>
      <c r="E883" s="75"/>
    </row>
    <row r="884" ht="16.5" spans="1:5">
      <c r="A884" s="8">
        <v>3045731.833</v>
      </c>
      <c r="B884" s="8">
        <v>35400157.971</v>
      </c>
      <c r="C884" s="8">
        <v>891.566</v>
      </c>
      <c r="D884" s="11">
        <v>44712</v>
      </c>
      <c r="E884" s="75"/>
    </row>
    <row r="885" ht="16.5" spans="1:5">
      <c r="A885" s="8">
        <v>3045731.833</v>
      </c>
      <c r="B885" s="8">
        <v>35400157.971</v>
      </c>
      <c r="C885" s="8">
        <v>891.566</v>
      </c>
      <c r="D885" s="11">
        <v>44713</v>
      </c>
      <c r="E885" s="74"/>
    </row>
    <row r="886" ht="16.5" spans="1:5">
      <c r="A886" s="8">
        <v>3045731.833</v>
      </c>
      <c r="B886" s="8">
        <v>35400157.971</v>
      </c>
      <c r="C886" s="8">
        <v>891.566</v>
      </c>
      <c r="D886" s="11">
        <v>44714</v>
      </c>
      <c r="E886" s="74"/>
    </row>
    <row r="887" ht="16.5" spans="1:5">
      <c r="A887" s="8">
        <v>3045731.833</v>
      </c>
      <c r="B887" s="8">
        <v>35400157.971</v>
      </c>
      <c r="C887" s="8">
        <v>891.566</v>
      </c>
      <c r="D887" s="11">
        <v>44715</v>
      </c>
      <c r="E887" s="74"/>
    </row>
    <row r="888" ht="16.5" spans="1:5">
      <c r="A888" s="8">
        <v>3045731.833</v>
      </c>
      <c r="B888" s="8">
        <v>35400157.971</v>
      </c>
      <c r="C888" s="8">
        <v>891.566</v>
      </c>
      <c r="D888" s="11">
        <v>44716</v>
      </c>
      <c r="E888" s="74"/>
    </row>
    <row r="889" ht="16.5" spans="1:5">
      <c r="A889" s="8">
        <v>3045731.833</v>
      </c>
      <c r="B889" s="8">
        <v>35400157.971</v>
      </c>
      <c r="C889" s="8">
        <v>891.566</v>
      </c>
      <c r="D889" s="11">
        <v>44717</v>
      </c>
      <c r="E889" s="74"/>
    </row>
    <row r="890" ht="16.5" spans="1:5">
      <c r="A890" s="8">
        <v>3045731.833</v>
      </c>
      <c r="B890" s="8">
        <v>35400157.971</v>
      </c>
      <c r="C890" s="8">
        <v>891.566</v>
      </c>
      <c r="D890" s="11">
        <v>44718</v>
      </c>
      <c r="E890" s="74"/>
    </row>
    <row r="891" ht="16.5" spans="1:5">
      <c r="A891" s="8">
        <v>3045731.833</v>
      </c>
      <c r="B891" s="8">
        <v>35400157.971</v>
      </c>
      <c r="C891" s="8">
        <v>891.566</v>
      </c>
      <c r="D891" s="11">
        <v>44719</v>
      </c>
      <c r="E891" s="74"/>
    </row>
    <row r="892" ht="16.5" spans="1:5">
      <c r="A892" s="8">
        <v>3045731.833</v>
      </c>
      <c r="B892" s="8">
        <v>35400157.971</v>
      </c>
      <c r="C892" s="8">
        <v>891.566</v>
      </c>
      <c r="D892" s="11">
        <v>44720</v>
      </c>
      <c r="E892" s="74"/>
    </row>
    <row r="893" ht="16.5" spans="1:5">
      <c r="A893" s="8">
        <v>3045731.833</v>
      </c>
      <c r="B893" s="8">
        <v>35400157.971</v>
      </c>
      <c r="C893" s="8">
        <v>891.566</v>
      </c>
      <c r="D893" s="11">
        <v>44721</v>
      </c>
      <c r="E893" s="75">
        <v>887.336</v>
      </c>
    </row>
    <row r="894" ht="16.5" spans="1:5">
      <c r="A894" s="8">
        <v>3045731.833</v>
      </c>
      <c r="B894" s="8">
        <v>35400157.971</v>
      </c>
      <c r="C894" s="8">
        <v>891.566</v>
      </c>
      <c r="D894" s="11">
        <v>44722</v>
      </c>
      <c r="E894" s="74"/>
    </row>
    <row r="895" ht="16.5" spans="1:5">
      <c r="A895" s="8">
        <v>3045731.833</v>
      </c>
      <c r="B895" s="8">
        <v>35400157.971</v>
      </c>
      <c r="C895" s="8">
        <v>891.566</v>
      </c>
      <c r="D895" s="11">
        <v>44723</v>
      </c>
      <c r="E895" s="74"/>
    </row>
    <row r="896" ht="16.5" spans="1:5">
      <c r="A896" s="8">
        <v>3045731.833</v>
      </c>
      <c r="B896" s="8">
        <v>35400157.971</v>
      </c>
      <c r="C896" s="8">
        <v>891.566</v>
      </c>
      <c r="D896" s="11">
        <v>44724</v>
      </c>
      <c r="E896" s="74"/>
    </row>
    <row r="897" ht="16.5" spans="1:5">
      <c r="A897" s="8">
        <v>3045731.833</v>
      </c>
      <c r="B897" s="8">
        <v>35400157.971</v>
      </c>
      <c r="C897" s="8">
        <v>891.566</v>
      </c>
      <c r="D897" s="11">
        <v>44725</v>
      </c>
      <c r="E897" s="74"/>
    </row>
    <row r="898" ht="16.5" spans="1:5">
      <c r="A898" s="8">
        <v>3045731.833</v>
      </c>
      <c r="B898" s="8">
        <v>35400157.971</v>
      </c>
      <c r="C898" s="8">
        <v>891.566</v>
      </c>
      <c r="D898" s="11">
        <v>44726</v>
      </c>
      <c r="E898" s="74"/>
    </row>
    <row r="899" ht="16.5" spans="1:5">
      <c r="A899" s="8">
        <v>3045731.833</v>
      </c>
      <c r="B899" s="8">
        <v>35400157.971</v>
      </c>
      <c r="C899" s="8">
        <v>891.566</v>
      </c>
      <c r="D899" s="11">
        <v>44727</v>
      </c>
      <c r="E899" s="74"/>
    </row>
    <row r="900" ht="16.5" spans="1:5">
      <c r="A900" s="8">
        <v>3045731.833</v>
      </c>
      <c r="B900" s="8">
        <v>35400157.971</v>
      </c>
      <c r="C900" s="8">
        <v>891.566</v>
      </c>
      <c r="D900" s="11">
        <v>44728</v>
      </c>
      <c r="E900" s="74"/>
    </row>
    <row r="901" ht="16.5" spans="1:5">
      <c r="A901" s="8">
        <v>3045731.833</v>
      </c>
      <c r="B901" s="8">
        <v>35400157.971</v>
      </c>
      <c r="C901" s="8">
        <v>891.566</v>
      </c>
      <c r="D901" s="11">
        <v>44729</v>
      </c>
      <c r="E901" s="74"/>
    </row>
    <row r="902" ht="16.5" spans="1:5">
      <c r="A902" s="8">
        <v>3045731.833</v>
      </c>
      <c r="B902" s="8">
        <v>35400157.971</v>
      </c>
      <c r="C902" s="8">
        <v>891.566</v>
      </c>
      <c r="D902" s="11">
        <v>44730</v>
      </c>
      <c r="E902" s="74"/>
    </row>
    <row r="903" ht="16.5" spans="1:5">
      <c r="A903" s="8">
        <v>3045731.833</v>
      </c>
      <c r="B903" s="8">
        <v>35400157.971</v>
      </c>
      <c r="C903" s="8">
        <v>891.566</v>
      </c>
      <c r="D903" s="11">
        <v>44731</v>
      </c>
      <c r="E903" s="75">
        <v>887.386</v>
      </c>
    </row>
    <row r="904" ht="16.5" spans="1:5">
      <c r="A904" s="8">
        <v>3045731.833</v>
      </c>
      <c r="B904" s="8">
        <v>35400157.971</v>
      </c>
      <c r="C904" s="8">
        <v>891.566</v>
      </c>
      <c r="D904" s="13">
        <v>44732</v>
      </c>
      <c r="E904" s="75"/>
    </row>
    <row r="905" ht="16.5" spans="1:5">
      <c r="A905" s="8">
        <v>3045731.833</v>
      </c>
      <c r="B905" s="8">
        <v>35400157.971</v>
      </c>
      <c r="C905" s="8">
        <v>891.566</v>
      </c>
      <c r="D905" s="13">
        <v>44733</v>
      </c>
      <c r="E905" s="75"/>
    </row>
    <row r="906" ht="16.5" spans="1:5">
      <c r="A906" s="8">
        <v>3045731.833</v>
      </c>
      <c r="B906" s="8">
        <v>35400157.971</v>
      </c>
      <c r="C906" s="8">
        <v>891.566</v>
      </c>
      <c r="D906" s="13">
        <v>44734</v>
      </c>
      <c r="E906" s="75"/>
    </row>
    <row r="907" ht="16.5" spans="1:5">
      <c r="A907" s="8">
        <v>3045731.833</v>
      </c>
      <c r="B907" s="8">
        <v>35400157.971</v>
      </c>
      <c r="C907" s="8">
        <v>891.566</v>
      </c>
      <c r="D907" s="13">
        <v>44735</v>
      </c>
      <c r="E907" s="75"/>
    </row>
    <row r="908" ht="16.5" spans="1:5">
      <c r="A908" s="8">
        <v>3045731.833</v>
      </c>
      <c r="B908" s="8">
        <v>35400157.971</v>
      </c>
      <c r="C908" s="8">
        <v>891.566</v>
      </c>
      <c r="D908" s="13">
        <v>44736</v>
      </c>
      <c r="E908" s="75"/>
    </row>
    <row r="909" ht="16.5" spans="1:5">
      <c r="A909" s="8">
        <v>3045731.833</v>
      </c>
      <c r="B909" s="8">
        <v>35400157.971</v>
      </c>
      <c r="C909" s="8">
        <v>891.566</v>
      </c>
      <c r="D909" s="13">
        <v>44737</v>
      </c>
      <c r="E909" s="75"/>
    </row>
    <row r="910" ht="16.5" spans="1:5">
      <c r="A910" s="8">
        <v>3045731.833</v>
      </c>
      <c r="B910" s="8">
        <v>35400157.971</v>
      </c>
      <c r="C910" s="8">
        <v>891.566</v>
      </c>
      <c r="D910" s="13">
        <v>44738</v>
      </c>
      <c r="E910" s="75"/>
    </row>
    <row r="911" ht="16.5" spans="1:5">
      <c r="A911" s="8">
        <v>3045731.833</v>
      </c>
      <c r="B911" s="8">
        <v>35400157.971</v>
      </c>
      <c r="C911" s="8">
        <v>891.566</v>
      </c>
      <c r="D911" s="13">
        <v>44739</v>
      </c>
      <c r="E911" s="74"/>
    </row>
    <row r="912" ht="16.5" spans="1:5">
      <c r="A912" s="8">
        <v>3045731.833</v>
      </c>
      <c r="B912" s="8">
        <v>35400157.971</v>
      </c>
      <c r="C912" s="8">
        <v>891.566</v>
      </c>
      <c r="D912" s="13">
        <v>44740</v>
      </c>
      <c r="E912" s="74"/>
    </row>
    <row r="913" ht="16.5" spans="1:5">
      <c r="A913" s="8">
        <v>3045731.833</v>
      </c>
      <c r="B913" s="8">
        <v>35400157.971</v>
      </c>
      <c r="C913" s="8">
        <v>891.566</v>
      </c>
      <c r="D913" s="13">
        <v>44741</v>
      </c>
      <c r="E913" s="74"/>
    </row>
    <row r="914" ht="16.5" spans="1:5">
      <c r="A914" s="8">
        <v>3045731.833</v>
      </c>
      <c r="B914" s="8">
        <v>35400157.971</v>
      </c>
      <c r="C914" s="8">
        <v>891.566</v>
      </c>
      <c r="D914" s="13">
        <v>44742</v>
      </c>
      <c r="E914" s="74"/>
    </row>
    <row r="915" ht="16.5" spans="1:5">
      <c r="A915" s="8">
        <v>3045731.833</v>
      </c>
      <c r="B915" s="8">
        <v>35400157.971</v>
      </c>
      <c r="C915" s="8">
        <v>891.566</v>
      </c>
      <c r="D915" s="13">
        <v>44743</v>
      </c>
      <c r="E915" s="75">
        <v>887.26</v>
      </c>
    </row>
    <row r="916" ht="16.5" spans="1:5">
      <c r="A916" s="8">
        <v>3045731.833</v>
      </c>
      <c r="B916" s="8">
        <v>35400157.971</v>
      </c>
      <c r="C916" s="8">
        <v>891.566</v>
      </c>
      <c r="D916" s="13">
        <v>44744</v>
      </c>
      <c r="E916" s="74"/>
    </row>
    <row r="917" ht="16.5" spans="1:5">
      <c r="A917" s="8">
        <v>3045731.833</v>
      </c>
      <c r="B917" s="8">
        <v>35400157.971</v>
      </c>
      <c r="C917" s="8">
        <v>891.566</v>
      </c>
      <c r="D917" s="13">
        <v>44745</v>
      </c>
      <c r="E917" s="74"/>
    </row>
    <row r="918" ht="16.5" spans="1:5">
      <c r="A918" s="8">
        <v>3045731.833</v>
      </c>
      <c r="B918" s="8">
        <v>35400157.971</v>
      </c>
      <c r="C918" s="8">
        <v>891.566</v>
      </c>
      <c r="D918" s="13">
        <v>44746</v>
      </c>
      <c r="E918" s="74"/>
    </row>
    <row r="919" ht="16.5" spans="1:5">
      <c r="A919" s="8">
        <v>3045731.833</v>
      </c>
      <c r="B919" s="8">
        <v>35400157.971</v>
      </c>
      <c r="C919" s="8">
        <v>891.566</v>
      </c>
      <c r="D919" s="13">
        <v>44747</v>
      </c>
      <c r="E919" s="74"/>
    </row>
    <row r="920" ht="16.5" spans="1:5">
      <c r="A920" s="8">
        <v>3045731.833</v>
      </c>
      <c r="B920" s="8">
        <v>35400157.971</v>
      </c>
      <c r="C920" s="8">
        <v>891.566</v>
      </c>
      <c r="D920" s="13">
        <v>44748</v>
      </c>
      <c r="E920" s="74"/>
    </row>
    <row r="921" ht="16.5" spans="1:5">
      <c r="A921" s="8">
        <v>3045731.833</v>
      </c>
      <c r="B921" s="8">
        <v>35400157.971</v>
      </c>
      <c r="C921" s="8">
        <v>891.566</v>
      </c>
      <c r="D921" s="13">
        <v>44749</v>
      </c>
      <c r="E921" s="74"/>
    </row>
    <row r="922" ht="16.5" spans="1:5">
      <c r="A922" s="8">
        <v>3045731.833</v>
      </c>
      <c r="B922" s="8">
        <v>35400157.971</v>
      </c>
      <c r="C922" s="8">
        <v>891.566</v>
      </c>
      <c r="D922" s="13">
        <v>44750</v>
      </c>
      <c r="E922" s="74"/>
    </row>
    <row r="923" ht="16.5" spans="1:5">
      <c r="A923" s="8">
        <v>3045731.833</v>
      </c>
      <c r="B923" s="8">
        <v>35400157.971</v>
      </c>
      <c r="C923" s="8">
        <v>891.566</v>
      </c>
      <c r="D923" s="13">
        <v>44751</v>
      </c>
      <c r="E923" s="74"/>
    </row>
    <row r="924" ht="16.5" spans="1:5">
      <c r="A924" s="8">
        <v>3045731.833</v>
      </c>
      <c r="B924" s="8">
        <v>35400157.971</v>
      </c>
      <c r="C924" s="8">
        <v>891.566</v>
      </c>
      <c r="D924" s="13">
        <v>44752</v>
      </c>
      <c r="E924" s="75">
        <v>887.18</v>
      </c>
    </row>
    <row r="925" ht="16.5" spans="1:5">
      <c r="A925" s="8">
        <v>3045731.833</v>
      </c>
      <c r="B925" s="8">
        <v>35400157.971</v>
      </c>
      <c r="C925" s="8">
        <v>891.566</v>
      </c>
      <c r="D925" s="13">
        <v>44753</v>
      </c>
      <c r="E925" s="74"/>
    </row>
    <row r="926" ht="16.5" spans="1:5">
      <c r="A926" s="8">
        <v>3045731.833</v>
      </c>
      <c r="B926" s="8">
        <v>35400157.971</v>
      </c>
      <c r="C926" s="8">
        <v>891.566</v>
      </c>
      <c r="D926" s="13">
        <v>44754</v>
      </c>
      <c r="E926" s="74"/>
    </row>
    <row r="927" ht="16.5" spans="1:5">
      <c r="A927" s="8">
        <v>3045731.833</v>
      </c>
      <c r="B927" s="8">
        <v>35400157.971</v>
      </c>
      <c r="C927" s="8">
        <v>891.566</v>
      </c>
      <c r="D927" s="13">
        <v>44755</v>
      </c>
      <c r="E927" s="74"/>
    </row>
    <row r="928" ht="16.5" spans="1:5">
      <c r="A928" s="8">
        <v>3045731.833</v>
      </c>
      <c r="B928" s="8">
        <v>35400157.971</v>
      </c>
      <c r="C928" s="8">
        <v>891.566</v>
      </c>
      <c r="D928" s="13">
        <v>44756</v>
      </c>
      <c r="E928" s="74"/>
    </row>
    <row r="929" ht="16.5" spans="1:5">
      <c r="A929" s="8">
        <v>3045731.833</v>
      </c>
      <c r="B929" s="8">
        <v>35400157.971</v>
      </c>
      <c r="C929" s="8">
        <v>891.566</v>
      </c>
      <c r="D929" s="13">
        <v>44757</v>
      </c>
      <c r="E929" s="74"/>
    </row>
    <row r="930" ht="16.5" spans="1:5">
      <c r="A930" s="8">
        <v>3045731.833</v>
      </c>
      <c r="B930" s="8">
        <v>35400157.971</v>
      </c>
      <c r="C930" s="8">
        <v>891.566</v>
      </c>
      <c r="D930" s="13">
        <v>44758</v>
      </c>
      <c r="E930" s="74"/>
    </row>
    <row r="931" ht="16.5" spans="1:5">
      <c r="A931" s="8">
        <v>3045731.833</v>
      </c>
      <c r="B931" s="8">
        <v>35400157.971</v>
      </c>
      <c r="C931" s="8">
        <v>891.566</v>
      </c>
      <c r="D931" s="13">
        <v>44759</v>
      </c>
      <c r="E931" s="74"/>
    </row>
    <row r="932" ht="16.5" spans="1:5">
      <c r="A932" s="8">
        <v>3045731.833</v>
      </c>
      <c r="B932" s="8">
        <v>35400157.971</v>
      </c>
      <c r="C932" s="8">
        <v>891.566</v>
      </c>
      <c r="D932" s="13">
        <v>44760</v>
      </c>
      <c r="E932" s="74"/>
    </row>
    <row r="933" ht="16.5" spans="1:5">
      <c r="A933" s="8">
        <v>3045731.833</v>
      </c>
      <c r="B933" s="8">
        <v>35400157.971</v>
      </c>
      <c r="C933" s="8">
        <v>891.566</v>
      </c>
      <c r="D933" s="13">
        <v>44761</v>
      </c>
      <c r="E933" s="75">
        <v>887.286</v>
      </c>
    </row>
    <row r="934" ht="16.5" spans="1:5">
      <c r="A934" s="8">
        <v>3045731.833</v>
      </c>
      <c r="B934" s="8">
        <v>35400157.971</v>
      </c>
      <c r="C934" s="8">
        <v>891.566</v>
      </c>
      <c r="D934" s="13">
        <v>44762</v>
      </c>
      <c r="E934" s="74"/>
    </row>
    <row r="935" ht="16.5" spans="1:5">
      <c r="A935" s="8">
        <v>3045731.833</v>
      </c>
      <c r="B935" s="8">
        <v>35400157.971</v>
      </c>
      <c r="C935" s="8">
        <v>891.566</v>
      </c>
      <c r="D935" s="13">
        <v>44763</v>
      </c>
      <c r="E935" s="74"/>
    </row>
    <row r="936" ht="16.5" spans="1:5">
      <c r="A936" s="8">
        <v>3045731.833</v>
      </c>
      <c r="B936" s="8">
        <v>35400157.971</v>
      </c>
      <c r="C936" s="8">
        <v>891.566</v>
      </c>
      <c r="D936" s="13">
        <v>44764</v>
      </c>
      <c r="E936" s="74"/>
    </row>
    <row r="937" ht="16.5" spans="1:5">
      <c r="A937" s="8">
        <v>3045731.833</v>
      </c>
      <c r="B937" s="8">
        <v>35400157.971</v>
      </c>
      <c r="C937" s="8">
        <v>891.566</v>
      </c>
      <c r="D937" s="13">
        <v>44765</v>
      </c>
      <c r="E937" s="74"/>
    </row>
    <row r="938" ht="16.5" spans="1:5">
      <c r="A938" s="8">
        <v>3045731.833</v>
      </c>
      <c r="B938" s="8">
        <v>35400157.971</v>
      </c>
      <c r="C938" s="8">
        <v>891.566</v>
      </c>
      <c r="D938" s="13">
        <v>44766</v>
      </c>
      <c r="E938" s="74"/>
    </row>
    <row r="939" ht="16.5" spans="1:5">
      <c r="A939" s="8">
        <v>3045731.833</v>
      </c>
      <c r="B939" s="8">
        <v>35400157.971</v>
      </c>
      <c r="C939" s="8">
        <v>891.566</v>
      </c>
      <c r="D939" s="13">
        <v>44767</v>
      </c>
      <c r="E939" s="74"/>
    </row>
    <row r="940" ht="16.5" spans="1:5">
      <c r="A940" s="8">
        <v>3045731.833</v>
      </c>
      <c r="B940" s="8">
        <v>35400157.971</v>
      </c>
      <c r="C940" s="8">
        <v>891.566</v>
      </c>
      <c r="D940" s="13">
        <v>44768</v>
      </c>
      <c r="E940" s="74"/>
    </row>
    <row r="941" ht="16.5" spans="1:5">
      <c r="A941" s="8">
        <v>3045731.833</v>
      </c>
      <c r="B941" s="8">
        <v>35400157.971</v>
      </c>
      <c r="C941" s="8">
        <v>891.566</v>
      </c>
      <c r="D941" s="13">
        <v>44769</v>
      </c>
      <c r="E941" s="74"/>
    </row>
    <row r="942" ht="16.5" spans="1:5">
      <c r="A942" s="8">
        <v>3045731.833</v>
      </c>
      <c r="B942" s="8">
        <v>35400157.971</v>
      </c>
      <c r="C942" s="8">
        <v>891.566</v>
      </c>
      <c r="D942" s="13">
        <v>44770</v>
      </c>
      <c r="E942" s="74"/>
    </row>
    <row r="943" ht="16.5" spans="1:5">
      <c r="A943" s="8">
        <v>3045731.833</v>
      </c>
      <c r="B943" s="8">
        <v>35400157.971</v>
      </c>
      <c r="C943" s="8">
        <v>891.566</v>
      </c>
      <c r="D943" s="13">
        <v>44771</v>
      </c>
      <c r="E943" s="75">
        <v>887.32</v>
      </c>
    </row>
    <row r="944" ht="16.5" spans="1:5">
      <c r="A944" s="8">
        <v>3045731.833</v>
      </c>
      <c r="B944" s="8">
        <v>35400157.971</v>
      </c>
      <c r="C944" s="8">
        <v>891.566</v>
      </c>
      <c r="D944" s="13">
        <v>44772</v>
      </c>
      <c r="E944" s="74"/>
    </row>
    <row r="945" ht="16.5" spans="1:5">
      <c r="A945" s="8">
        <v>3045731.833</v>
      </c>
      <c r="B945" s="8">
        <v>35400157.971</v>
      </c>
      <c r="C945" s="8">
        <v>891.566</v>
      </c>
      <c r="D945" s="13">
        <v>44773</v>
      </c>
      <c r="E945" s="74"/>
    </row>
    <row r="946" ht="16.5" spans="1:5">
      <c r="A946" s="8">
        <v>3045731.833</v>
      </c>
      <c r="B946" s="8">
        <v>35400157.971</v>
      </c>
      <c r="C946" s="8">
        <v>891.566</v>
      </c>
      <c r="D946" s="13">
        <v>44774</v>
      </c>
      <c r="E946" s="74"/>
    </row>
    <row r="947" ht="16.5" spans="1:5">
      <c r="A947" s="8">
        <v>3045731.833</v>
      </c>
      <c r="B947" s="8">
        <v>35400157.971</v>
      </c>
      <c r="C947" s="8">
        <v>891.566</v>
      </c>
      <c r="D947" s="13">
        <v>44775</v>
      </c>
      <c r="E947" s="74"/>
    </row>
    <row r="948" ht="16.5" spans="1:5">
      <c r="A948" s="8">
        <v>3045731.833</v>
      </c>
      <c r="B948" s="8">
        <v>35400157.971</v>
      </c>
      <c r="C948" s="8">
        <v>891.566</v>
      </c>
      <c r="D948" s="13">
        <v>44776</v>
      </c>
      <c r="E948" s="74"/>
    </row>
    <row r="949" ht="16.5" spans="1:5">
      <c r="A949" s="8">
        <v>3045731.833</v>
      </c>
      <c r="B949" s="8">
        <v>35400157.971</v>
      </c>
      <c r="C949" s="8">
        <v>891.566</v>
      </c>
      <c r="D949" s="13">
        <v>44777</v>
      </c>
      <c r="E949" s="74"/>
    </row>
    <row r="950" ht="16.5" spans="1:5">
      <c r="A950" s="8">
        <v>3045731.833</v>
      </c>
      <c r="B950" s="8">
        <v>35400157.971</v>
      </c>
      <c r="C950" s="8">
        <v>891.566</v>
      </c>
      <c r="D950" s="13">
        <v>44778</v>
      </c>
      <c r="E950" s="74"/>
    </row>
    <row r="951" ht="16.5" spans="1:5">
      <c r="A951" s="8">
        <v>3045731.833</v>
      </c>
      <c r="B951" s="8">
        <v>35400157.971</v>
      </c>
      <c r="C951" s="8">
        <v>891.566</v>
      </c>
      <c r="D951" s="13">
        <v>44779</v>
      </c>
      <c r="E951" s="74"/>
    </row>
    <row r="952" ht="16.5" spans="1:5">
      <c r="A952" s="8">
        <v>3045731.833</v>
      </c>
      <c r="B952" s="8">
        <v>35400157.971</v>
      </c>
      <c r="C952" s="8">
        <v>891.566</v>
      </c>
      <c r="D952" s="13">
        <v>44780</v>
      </c>
      <c r="E952" s="74"/>
    </row>
    <row r="953" ht="16.5" spans="1:5">
      <c r="A953" s="8">
        <v>3045731.833</v>
      </c>
      <c r="B953" s="8">
        <v>35400157.971</v>
      </c>
      <c r="C953" s="8">
        <v>891.566</v>
      </c>
      <c r="D953" s="13">
        <v>44781</v>
      </c>
      <c r="E953" s="75">
        <v>887.38</v>
      </c>
    </row>
    <row r="954" ht="16.5" spans="1:5">
      <c r="A954" s="8">
        <v>3045731.833</v>
      </c>
      <c r="B954" s="8">
        <v>35400157.971</v>
      </c>
      <c r="C954" s="8">
        <v>891.566</v>
      </c>
      <c r="D954" s="13">
        <v>44782</v>
      </c>
      <c r="E954" s="74"/>
    </row>
    <row r="955" ht="16.5" spans="1:5">
      <c r="A955" s="8">
        <v>3045731.833</v>
      </c>
      <c r="B955" s="8">
        <v>35400157.971</v>
      </c>
      <c r="C955" s="8">
        <v>891.566</v>
      </c>
      <c r="D955" s="13">
        <v>44783</v>
      </c>
      <c r="E955" s="74"/>
    </row>
    <row r="956" ht="16.5" spans="1:5">
      <c r="A956" s="8">
        <v>3045731.833</v>
      </c>
      <c r="B956" s="8">
        <v>35400157.971</v>
      </c>
      <c r="C956" s="8">
        <v>891.566</v>
      </c>
      <c r="D956" s="13">
        <v>44784</v>
      </c>
      <c r="E956" s="74"/>
    </row>
    <row r="957" ht="16.5" spans="1:5">
      <c r="A957" s="8">
        <v>3045731.833</v>
      </c>
      <c r="B957" s="8">
        <v>35400157.971</v>
      </c>
      <c r="C957" s="8">
        <v>891.566</v>
      </c>
      <c r="D957" s="13">
        <v>44785</v>
      </c>
      <c r="E957" s="74"/>
    </row>
    <row r="958" ht="16.5" spans="1:5">
      <c r="A958" s="8">
        <v>3045731.833</v>
      </c>
      <c r="B958" s="8">
        <v>35400157.971</v>
      </c>
      <c r="C958" s="8">
        <v>891.566</v>
      </c>
      <c r="D958" s="13">
        <v>44786</v>
      </c>
      <c r="E958" s="74"/>
    </row>
    <row r="959" ht="16.5" spans="1:5">
      <c r="A959" s="8">
        <v>3045731.833</v>
      </c>
      <c r="B959" s="8">
        <v>35400157.971</v>
      </c>
      <c r="C959" s="8">
        <v>891.566</v>
      </c>
      <c r="D959" s="13">
        <v>44787</v>
      </c>
      <c r="E959" s="74"/>
    </row>
    <row r="960" ht="16.5" spans="1:5">
      <c r="A960" s="8">
        <v>3045731.833</v>
      </c>
      <c r="B960" s="8">
        <v>35400157.971</v>
      </c>
      <c r="C960" s="8">
        <v>891.566</v>
      </c>
      <c r="D960" s="13">
        <v>44788</v>
      </c>
      <c r="E960" s="74"/>
    </row>
    <row r="961" ht="16.5" spans="1:5">
      <c r="A961" s="8">
        <v>3045731.833</v>
      </c>
      <c r="B961" s="8">
        <v>35400157.971</v>
      </c>
      <c r="C961" s="8">
        <v>891.566</v>
      </c>
      <c r="D961" s="13">
        <v>44789</v>
      </c>
      <c r="E961" s="74"/>
    </row>
    <row r="962" ht="16.5" spans="1:5">
      <c r="A962" s="8">
        <v>3045731.833</v>
      </c>
      <c r="B962" s="8">
        <v>35400157.971</v>
      </c>
      <c r="C962" s="8">
        <v>891.566</v>
      </c>
      <c r="D962" s="13">
        <v>44790</v>
      </c>
      <c r="E962" s="74"/>
    </row>
    <row r="963" ht="16.5" spans="1:5">
      <c r="A963" s="8">
        <v>3045731.833</v>
      </c>
      <c r="B963" s="8">
        <v>35400157.971</v>
      </c>
      <c r="C963" s="8">
        <v>891.566</v>
      </c>
      <c r="D963" s="13">
        <v>44791</v>
      </c>
      <c r="E963" s="74"/>
    </row>
    <row r="964" ht="16.5" spans="1:5">
      <c r="A964" s="8">
        <v>3045731.833</v>
      </c>
      <c r="B964" s="8">
        <v>35400157.971</v>
      </c>
      <c r="C964" s="8">
        <v>891.566</v>
      </c>
      <c r="D964" s="13">
        <v>44792</v>
      </c>
      <c r="E964" s="74"/>
    </row>
    <row r="965" ht="16.5" spans="1:5">
      <c r="A965" s="8">
        <v>3045731.833</v>
      </c>
      <c r="B965" s="8">
        <v>35400157.971</v>
      </c>
      <c r="C965" s="8">
        <v>891.566</v>
      </c>
      <c r="D965" s="13">
        <v>44793</v>
      </c>
      <c r="E965" s="74"/>
    </row>
    <row r="966" ht="16.5" spans="1:5">
      <c r="A966" s="8">
        <v>3045731.833</v>
      </c>
      <c r="B966" s="8">
        <v>35400157.971</v>
      </c>
      <c r="C966" s="8">
        <v>891.566</v>
      </c>
      <c r="D966" s="13">
        <v>44794</v>
      </c>
      <c r="E966" s="74"/>
    </row>
    <row r="967" ht="16.5" spans="1:5">
      <c r="A967" s="8">
        <v>3045731.833</v>
      </c>
      <c r="B967" s="8">
        <v>35400157.971</v>
      </c>
      <c r="C967" s="8">
        <v>891.566</v>
      </c>
      <c r="D967" s="13">
        <v>44795</v>
      </c>
      <c r="E967" s="74"/>
    </row>
    <row r="968" ht="16.5" spans="1:5">
      <c r="A968" s="8">
        <v>3045731.833</v>
      </c>
      <c r="B968" s="8">
        <v>35400157.971</v>
      </c>
      <c r="C968" s="8">
        <v>891.566</v>
      </c>
      <c r="D968" s="13">
        <v>44796</v>
      </c>
      <c r="E968" s="75">
        <v>887.42</v>
      </c>
    </row>
    <row r="969" ht="16.5" spans="1:5">
      <c r="A969" s="8">
        <v>3045731.833</v>
      </c>
      <c r="B969" s="8">
        <v>35400157.971</v>
      </c>
      <c r="C969" s="8">
        <v>891.566</v>
      </c>
      <c r="D969" s="13">
        <v>44797</v>
      </c>
      <c r="E969" s="74"/>
    </row>
    <row r="970" ht="16.5" spans="1:5">
      <c r="A970" s="8">
        <v>3045731.833</v>
      </c>
      <c r="B970" s="8">
        <v>35400157.971</v>
      </c>
      <c r="C970" s="8">
        <v>891.566</v>
      </c>
      <c r="D970" s="13">
        <v>44798</v>
      </c>
      <c r="E970" s="74"/>
    </row>
    <row r="971" ht="16.5" spans="1:5">
      <c r="A971" s="8">
        <v>3045731.833</v>
      </c>
      <c r="B971" s="8">
        <v>35400157.971</v>
      </c>
      <c r="C971" s="8">
        <v>891.566</v>
      </c>
      <c r="D971" s="13">
        <v>44799</v>
      </c>
      <c r="E971" s="74"/>
    </row>
    <row r="972" ht="16.5" spans="1:5">
      <c r="A972" s="8">
        <v>3045731.833</v>
      </c>
      <c r="B972" s="8">
        <v>35400157.971</v>
      </c>
      <c r="C972" s="8">
        <v>891.566</v>
      </c>
      <c r="D972" s="13">
        <v>44800</v>
      </c>
      <c r="E972" s="74"/>
    </row>
    <row r="973" ht="16.5" spans="1:5">
      <c r="A973" s="8">
        <v>3045731.833</v>
      </c>
      <c r="B973" s="8">
        <v>35400157.971</v>
      </c>
      <c r="C973" s="8">
        <v>891.566</v>
      </c>
      <c r="D973" s="13">
        <v>44801</v>
      </c>
      <c r="E973" s="74"/>
    </row>
    <row r="974" ht="16.5" spans="1:5">
      <c r="A974" s="8">
        <v>3045731.833</v>
      </c>
      <c r="B974" s="8">
        <v>35400157.971</v>
      </c>
      <c r="C974" s="8">
        <v>891.566</v>
      </c>
      <c r="D974" s="13">
        <v>44802</v>
      </c>
      <c r="E974" s="74"/>
    </row>
    <row r="975" ht="16.5" spans="1:5">
      <c r="A975" s="8">
        <v>3045731.833</v>
      </c>
      <c r="B975" s="8">
        <v>35400157.971</v>
      </c>
      <c r="C975" s="8">
        <v>891.566</v>
      </c>
      <c r="D975" s="13">
        <v>44803</v>
      </c>
      <c r="E975" s="74"/>
    </row>
    <row r="976" ht="16.5" spans="1:5">
      <c r="A976" s="8">
        <v>3045731.833</v>
      </c>
      <c r="B976" s="8">
        <v>35400157.971</v>
      </c>
      <c r="C976" s="8">
        <v>891.566</v>
      </c>
      <c r="D976" s="13">
        <v>44804</v>
      </c>
      <c r="E976" s="75">
        <v>887.35</v>
      </c>
    </row>
    <row r="977" ht="16.5" spans="1:5">
      <c r="A977" s="8">
        <v>3045731.833</v>
      </c>
      <c r="B977" s="8">
        <v>35400157.971</v>
      </c>
      <c r="C977" s="8">
        <v>891.566</v>
      </c>
      <c r="D977" s="13">
        <v>44805</v>
      </c>
      <c r="E977" s="74"/>
    </row>
    <row r="978" ht="16.5" spans="1:5">
      <c r="A978" s="8">
        <v>3045731.833</v>
      </c>
      <c r="B978" s="8">
        <v>35400157.971</v>
      </c>
      <c r="C978" s="8">
        <v>891.566</v>
      </c>
      <c r="D978" s="13">
        <v>44806</v>
      </c>
      <c r="E978" s="74"/>
    </row>
    <row r="979" ht="16.5" spans="1:5">
      <c r="A979" s="8">
        <v>3045731.833</v>
      </c>
      <c r="B979" s="8">
        <v>35400157.971</v>
      </c>
      <c r="C979" s="8">
        <v>891.566</v>
      </c>
      <c r="D979" s="13">
        <v>44807</v>
      </c>
      <c r="E979" s="74"/>
    </row>
    <row r="980" ht="16.5" spans="1:5">
      <c r="A980" s="8">
        <v>3045731.833</v>
      </c>
      <c r="B980" s="8">
        <v>35400157.971</v>
      </c>
      <c r="C980" s="8">
        <v>891.566</v>
      </c>
      <c r="D980" s="13">
        <v>44808</v>
      </c>
      <c r="E980" s="74"/>
    </row>
    <row r="981" ht="16.5" spans="1:5">
      <c r="A981" s="8">
        <v>3045731.833</v>
      </c>
      <c r="B981" s="8">
        <v>35400157.971</v>
      </c>
      <c r="C981" s="8">
        <v>891.566</v>
      </c>
      <c r="D981" s="13">
        <v>44809</v>
      </c>
      <c r="E981" s="74"/>
    </row>
    <row r="982" ht="16.5" spans="1:5">
      <c r="A982" s="8">
        <v>3045731.833</v>
      </c>
      <c r="B982" s="8">
        <v>35400157.971</v>
      </c>
      <c r="C982" s="8">
        <v>891.566</v>
      </c>
      <c r="D982" s="13">
        <v>44810</v>
      </c>
      <c r="E982" s="74"/>
    </row>
    <row r="983" ht="16.5" spans="1:5">
      <c r="A983" s="8">
        <v>3045731.833</v>
      </c>
      <c r="B983" s="8">
        <v>35400157.971</v>
      </c>
      <c r="C983" s="8">
        <v>891.566</v>
      </c>
      <c r="D983" s="13">
        <v>44811</v>
      </c>
      <c r="E983" s="74"/>
    </row>
    <row r="984" ht="16.5" spans="1:5">
      <c r="A984" s="8">
        <v>3045731.833</v>
      </c>
      <c r="B984" s="8">
        <v>35400157.971</v>
      </c>
      <c r="C984" s="8">
        <v>891.566</v>
      </c>
      <c r="D984" s="13">
        <v>44812</v>
      </c>
      <c r="E984" s="74"/>
    </row>
    <row r="985" ht="16.5" spans="1:5">
      <c r="A985" s="8">
        <v>3045731.833</v>
      </c>
      <c r="B985" s="8">
        <v>35400157.971</v>
      </c>
      <c r="C985" s="8">
        <v>891.566</v>
      </c>
      <c r="D985" s="13">
        <v>44813</v>
      </c>
      <c r="E985" s="74"/>
    </row>
    <row r="986" ht="16.5" spans="1:5">
      <c r="A986" s="8">
        <v>3045731.833</v>
      </c>
      <c r="B986" s="8">
        <v>35400157.971</v>
      </c>
      <c r="C986" s="8">
        <v>891.566</v>
      </c>
      <c r="D986" s="13">
        <v>44814</v>
      </c>
      <c r="E986" s="74"/>
    </row>
    <row r="987" ht="16.5" spans="1:5">
      <c r="A987" s="8">
        <v>3045731.833</v>
      </c>
      <c r="B987" s="8">
        <v>35400157.971</v>
      </c>
      <c r="C987" s="8">
        <v>891.566</v>
      </c>
      <c r="D987" s="13">
        <v>44815</v>
      </c>
      <c r="E987" s="74"/>
    </row>
    <row r="988" ht="16.5" spans="1:5">
      <c r="A988" s="8">
        <v>3045731.833</v>
      </c>
      <c r="B988" s="8">
        <v>35400157.971</v>
      </c>
      <c r="C988" s="8">
        <v>891.566</v>
      </c>
      <c r="D988" s="13">
        <v>44816</v>
      </c>
      <c r="E988" s="74"/>
    </row>
    <row r="989" ht="16.5" spans="1:5">
      <c r="A989" s="8">
        <v>3045731.833</v>
      </c>
      <c r="B989" s="8">
        <v>35400157.971</v>
      </c>
      <c r="C989" s="8">
        <v>891.566</v>
      </c>
      <c r="D989" s="13">
        <v>44817</v>
      </c>
      <c r="E989" s="74"/>
    </row>
    <row r="990" ht="16.5" spans="1:5">
      <c r="A990" s="8">
        <v>3045731.833</v>
      </c>
      <c r="B990" s="8">
        <v>35400157.971</v>
      </c>
      <c r="C990" s="8">
        <v>891.566</v>
      </c>
      <c r="D990" s="13">
        <v>44818</v>
      </c>
      <c r="E990" s="74"/>
    </row>
    <row r="991" ht="16.5" spans="1:5">
      <c r="A991" s="8">
        <v>3045731.833</v>
      </c>
      <c r="B991" s="8">
        <v>35400157.971</v>
      </c>
      <c r="C991" s="8">
        <v>891.566</v>
      </c>
      <c r="D991" s="11">
        <v>44819</v>
      </c>
      <c r="E991" s="74"/>
    </row>
    <row r="992" ht="16.5" spans="1:5">
      <c r="A992" s="8">
        <v>3045731.833</v>
      </c>
      <c r="B992" s="8">
        <v>35400157.971</v>
      </c>
      <c r="C992" s="8">
        <v>891.566</v>
      </c>
      <c r="D992" s="11">
        <v>44820</v>
      </c>
      <c r="E992" s="74"/>
    </row>
    <row r="993" ht="16.5" spans="1:5">
      <c r="A993" s="8">
        <v>3045731.833</v>
      </c>
      <c r="B993" s="8">
        <v>35400157.971</v>
      </c>
      <c r="C993" s="8">
        <v>891.566</v>
      </c>
      <c r="D993" s="11">
        <v>44821</v>
      </c>
      <c r="E993" s="74"/>
    </row>
    <row r="994" ht="16.5" spans="1:5">
      <c r="A994" s="8">
        <v>3045731.833</v>
      </c>
      <c r="B994" s="8">
        <v>35400157.971</v>
      </c>
      <c r="C994" s="8">
        <v>891.566</v>
      </c>
      <c r="D994" s="11">
        <v>44822</v>
      </c>
      <c r="E994" s="74"/>
    </row>
    <row r="995" ht="16.5" spans="1:5">
      <c r="A995" s="8">
        <v>3045731.833</v>
      </c>
      <c r="B995" s="8">
        <v>35400157.971</v>
      </c>
      <c r="C995" s="8">
        <v>891.566</v>
      </c>
      <c r="D995" s="11">
        <v>44823</v>
      </c>
      <c r="E995" s="74"/>
    </row>
    <row r="996" ht="16.5" spans="1:5">
      <c r="A996" s="8">
        <v>3045731.833</v>
      </c>
      <c r="B996" s="8">
        <v>35400157.971</v>
      </c>
      <c r="C996" s="8">
        <v>891.566</v>
      </c>
      <c r="D996" s="11">
        <v>44824</v>
      </c>
      <c r="E996" s="74"/>
    </row>
    <row r="997" ht="16.5" spans="1:5">
      <c r="A997" s="8">
        <v>3045731.833</v>
      </c>
      <c r="B997" s="8">
        <v>35400157.971</v>
      </c>
      <c r="C997" s="8">
        <v>891.566</v>
      </c>
      <c r="D997" s="11">
        <v>44825</v>
      </c>
      <c r="E997" s="74"/>
    </row>
    <row r="998" ht="16.5" spans="1:5">
      <c r="A998" s="8">
        <v>3045731.833</v>
      </c>
      <c r="B998" s="8">
        <v>35400157.971</v>
      </c>
      <c r="C998" s="8">
        <v>891.566</v>
      </c>
      <c r="D998" s="11">
        <v>44826</v>
      </c>
      <c r="E998" s="74"/>
    </row>
    <row r="999" ht="16.5" spans="1:5">
      <c r="A999" s="8">
        <v>3045731.833</v>
      </c>
      <c r="B999" s="8">
        <v>35400157.971</v>
      </c>
      <c r="C999" s="8">
        <v>891.566</v>
      </c>
      <c r="D999" s="11">
        <v>44827</v>
      </c>
      <c r="E999" s="74"/>
    </row>
    <row r="1000" ht="16.5" spans="1:5">
      <c r="A1000" s="8">
        <v>3045731.833</v>
      </c>
      <c r="B1000" s="8">
        <v>35400157.971</v>
      </c>
      <c r="C1000" s="8">
        <v>891.566</v>
      </c>
      <c r="D1000" s="11">
        <v>44828</v>
      </c>
      <c r="E1000" s="75">
        <v>884.87</v>
      </c>
    </row>
    <row r="1001" ht="16.5" spans="1:5">
      <c r="A1001" s="8">
        <v>3045731.833</v>
      </c>
      <c r="B1001" s="8">
        <v>35400157.971</v>
      </c>
      <c r="C1001" s="8">
        <v>891.566</v>
      </c>
      <c r="D1001" s="11">
        <v>44829</v>
      </c>
      <c r="E1001" s="74"/>
    </row>
    <row r="1002" ht="16.5" spans="1:5">
      <c r="A1002" s="8">
        <v>3045731.833</v>
      </c>
      <c r="B1002" s="8">
        <v>35400157.971</v>
      </c>
      <c r="C1002" s="8">
        <v>891.566</v>
      </c>
      <c r="D1002" s="11">
        <v>44830</v>
      </c>
      <c r="E1002" s="77"/>
    </row>
    <row r="1003" ht="16.5" spans="1:5">
      <c r="A1003" s="8">
        <v>3045731.833</v>
      </c>
      <c r="B1003" s="8">
        <v>35400157.971</v>
      </c>
      <c r="C1003" s="8">
        <v>891.566</v>
      </c>
      <c r="D1003" s="11">
        <v>44831</v>
      </c>
      <c r="E1003" s="75"/>
    </row>
    <row r="1004" ht="16.5" spans="1:5">
      <c r="A1004" s="8">
        <v>3045731.833</v>
      </c>
      <c r="B1004" s="8">
        <v>35400157.971</v>
      </c>
      <c r="C1004" s="8">
        <v>891.566</v>
      </c>
      <c r="D1004" s="11">
        <v>44832</v>
      </c>
      <c r="E1004" s="75"/>
    </row>
    <row r="1005" ht="16.5" spans="1:5">
      <c r="A1005" s="8">
        <v>3045731.833</v>
      </c>
      <c r="B1005" s="8">
        <v>35400157.971</v>
      </c>
      <c r="C1005" s="8">
        <v>891.566</v>
      </c>
      <c r="D1005" s="11">
        <v>44833</v>
      </c>
      <c r="E1005" s="75"/>
    </row>
    <row r="1006" ht="16.5" spans="1:5">
      <c r="A1006" s="8">
        <v>3045731.833</v>
      </c>
      <c r="B1006" s="8">
        <v>35400157.971</v>
      </c>
      <c r="C1006" s="8">
        <v>891.566</v>
      </c>
      <c r="D1006" s="11">
        <v>44834</v>
      </c>
      <c r="E1006" s="75"/>
    </row>
    <row r="1007" ht="16.5" spans="1:5">
      <c r="A1007" s="8">
        <v>3045731.833</v>
      </c>
      <c r="B1007" s="8">
        <v>35400157.971</v>
      </c>
      <c r="C1007" s="8">
        <v>891.566</v>
      </c>
      <c r="D1007" s="11">
        <v>44835</v>
      </c>
      <c r="E1007" s="83"/>
    </row>
    <row r="1008" ht="16.5" spans="1:5">
      <c r="A1008" s="8">
        <v>3045731.833</v>
      </c>
      <c r="B1008" s="8">
        <v>35400157.971</v>
      </c>
      <c r="C1008" s="8">
        <v>891.566</v>
      </c>
      <c r="D1008" s="11">
        <v>44836</v>
      </c>
      <c r="E1008" s="75">
        <v>884.48</v>
      </c>
    </row>
    <row r="1009" ht="16.5" spans="1:5">
      <c r="A1009" s="8">
        <v>3045731.833</v>
      </c>
      <c r="B1009" s="8">
        <v>35400157.971</v>
      </c>
      <c r="C1009" s="8">
        <v>891.566</v>
      </c>
      <c r="D1009" s="11">
        <v>44837</v>
      </c>
      <c r="E1009" s="75"/>
    </row>
    <row r="1010" ht="16.5" spans="1:5">
      <c r="A1010" s="8">
        <v>3045731.833</v>
      </c>
      <c r="B1010" s="8">
        <v>35400157.971</v>
      </c>
      <c r="C1010" s="8">
        <v>891.566</v>
      </c>
      <c r="D1010" s="11">
        <v>44838</v>
      </c>
      <c r="E1010" s="75"/>
    </row>
    <row r="1011" ht="16.5" spans="1:5">
      <c r="A1011" s="8">
        <v>3045731.833</v>
      </c>
      <c r="B1011" s="8">
        <v>35400157.971</v>
      </c>
      <c r="C1011" s="8">
        <v>891.566</v>
      </c>
      <c r="D1011" s="11">
        <v>44839</v>
      </c>
      <c r="E1011" s="75"/>
    </row>
    <row r="1012" ht="16.5" spans="1:5">
      <c r="A1012" s="8">
        <v>3045731.833</v>
      </c>
      <c r="B1012" s="8">
        <v>35400157.971</v>
      </c>
      <c r="C1012" s="8">
        <v>891.566</v>
      </c>
      <c r="D1012" s="11">
        <v>44840</v>
      </c>
      <c r="E1012" s="75"/>
    </row>
    <row r="1013" ht="16.5" spans="1:5">
      <c r="A1013" s="8">
        <v>3045731.833</v>
      </c>
      <c r="B1013" s="8">
        <v>35400157.971</v>
      </c>
      <c r="C1013" s="8">
        <v>891.566</v>
      </c>
      <c r="D1013" s="11">
        <v>44841</v>
      </c>
      <c r="E1013" s="75"/>
    </row>
    <row r="1014" ht="16.5" spans="1:5">
      <c r="A1014" s="8">
        <v>3045731.833</v>
      </c>
      <c r="B1014" s="8">
        <v>35400157.971</v>
      </c>
      <c r="C1014" s="8">
        <v>891.566</v>
      </c>
      <c r="D1014" s="11">
        <v>44842</v>
      </c>
      <c r="E1014" s="75"/>
    </row>
    <row r="1015" ht="16.5" spans="1:5">
      <c r="A1015" s="8">
        <v>3045731.833</v>
      </c>
      <c r="B1015" s="8">
        <v>35400157.971</v>
      </c>
      <c r="C1015" s="8">
        <v>891.566</v>
      </c>
      <c r="D1015" s="11">
        <v>44843</v>
      </c>
      <c r="E1015" s="74"/>
    </row>
    <row r="1016" ht="16.5" spans="1:5">
      <c r="A1016" s="8">
        <v>3045731.833</v>
      </c>
      <c r="B1016" s="8">
        <v>35400157.971</v>
      </c>
      <c r="C1016" s="8">
        <v>891.566</v>
      </c>
      <c r="D1016" s="11">
        <v>44844</v>
      </c>
      <c r="E1016" s="74"/>
    </row>
    <row r="1017" ht="16.5" spans="1:5">
      <c r="A1017" s="8">
        <v>3045731.833</v>
      </c>
      <c r="B1017" s="8">
        <v>35400157.971</v>
      </c>
      <c r="C1017" s="8">
        <v>891.566</v>
      </c>
      <c r="D1017" s="11">
        <v>44845</v>
      </c>
      <c r="E1017" s="75"/>
    </row>
    <row r="1018" ht="16.5" spans="1:5">
      <c r="A1018" s="8">
        <v>3045731.833</v>
      </c>
      <c r="B1018" s="8">
        <v>35400157.971</v>
      </c>
      <c r="C1018" s="8">
        <v>891.566</v>
      </c>
      <c r="D1018" s="11">
        <v>44846</v>
      </c>
      <c r="E1018" s="75">
        <v>884.336</v>
      </c>
    </row>
    <row r="1019" ht="16.5" spans="1:5">
      <c r="A1019" s="8">
        <v>3045731.833</v>
      </c>
      <c r="B1019" s="8">
        <v>35400157.971</v>
      </c>
      <c r="C1019" s="8">
        <v>891.566</v>
      </c>
      <c r="D1019" s="11">
        <v>44847</v>
      </c>
      <c r="E1019" s="75">
        <v>884.316</v>
      </c>
    </row>
    <row r="1020" ht="16.5" spans="1:5">
      <c r="A1020" s="8">
        <v>3045731.833</v>
      </c>
      <c r="B1020" s="8">
        <v>35400157.971</v>
      </c>
      <c r="C1020" s="8">
        <v>891.566</v>
      </c>
      <c r="D1020" s="11">
        <v>44848</v>
      </c>
      <c r="E1020" s="75">
        <v>884.306</v>
      </c>
    </row>
    <row r="1021" ht="16.5" spans="1:5">
      <c r="A1021" s="8">
        <v>3045731.833</v>
      </c>
      <c r="B1021" s="8">
        <v>35400157.971</v>
      </c>
      <c r="C1021" s="8">
        <v>891.566</v>
      </c>
      <c r="D1021" s="11">
        <v>44849</v>
      </c>
      <c r="E1021" s="75">
        <v>884.296</v>
      </c>
    </row>
    <row r="1022" ht="16.5" spans="1:5">
      <c r="A1022" s="8">
        <v>3045731.833</v>
      </c>
      <c r="B1022" s="8">
        <v>35400157.971</v>
      </c>
      <c r="C1022" s="8">
        <v>891.566</v>
      </c>
      <c r="D1022" s="11">
        <v>44850</v>
      </c>
      <c r="E1022" s="75">
        <v>884.286</v>
      </c>
    </row>
    <row r="1023" ht="16.5" spans="1:5">
      <c r="A1023" s="8">
        <v>3045731.833</v>
      </c>
      <c r="B1023" s="8">
        <v>35400157.971</v>
      </c>
      <c r="C1023" s="8">
        <v>891.566</v>
      </c>
      <c r="D1023" s="11">
        <v>44851</v>
      </c>
      <c r="E1023" s="75">
        <v>884.276</v>
      </c>
    </row>
    <row r="1024" ht="16.5" spans="1:5">
      <c r="A1024" s="8">
        <v>3045731.833</v>
      </c>
      <c r="B1024" s="8">
        <v>35400157.971</v>
      </c>
      <c r="C1024" s="8">
        <v>891.566</v>
      </c>
      <c r="D1024" s="11">
        <v>44852</v>
      </c>
      <c r="E1024" s="75">
        <v>884.276</v>
      </c>
    </row>
    <row r="1025" ht="16.5" spans="1:5">
      <c r="A1025" s="8">
        <v>3045731.833</v>
      </c>
      <c r="B1025" s="8">
        <v>35400157.971</v>
      </c>
      <c r="C1025" s="8">
        <v>891.566</v>
      </c>
      <c r="D1025" s="11">
        <v>44853</v>
      </c>
      <c r="E1025" s="75">
        <v>884.256</v>
      </c>
    </row>
    <row r="1026" ht="16.5" spans="1:5">
      <c r="A1026" s="8">
        <v>3045731.833</v>
      </c>
      <c r="B1026" s="8">
        <v>35400157.971</v>
      </c>
      <c r="C1026" s="8">
        <v>891.566</v>
      </c>
      <c r="D1026" s="11">
        <v>44854</v>
      </c>
      <c r="E1026" s="75">
        <v>884.246</v>
      </c>
    </row>
    <row r="1027" ht="16.5" spans="1:5">
      <c r="A1027" s="8">
        <v>3045731.833</v>
      </c>
      <c r="B1027" s="8">
        <v>35400157.971</v>
      </c>
      <c r="C1027" s="8">
        <v>891.566</v>
      </c>
      <c r="D1027" s="11">
        <v>44855</v>
      </c>
      <c r="E1027" s="75">
        <v>884.226</v>
      </c>
    </row>
    <row r="1028" ht="16.5" spans="1:5">
      <c r="A1028" s="8">
        <v>3045731.833</v>
      </c>
      <c r="B1028" s="8">
        <v>35400157.971</v>
      </c>
      <c r="C1028" s="8">
        <v>891.566</v>
      </c>
      <c r="D1028" s="11">
        <v>44856</v>
      </c>
      <c r="E1028" s="75">
        <v>881.206</v>
      </c>
    </row>
    <row r="1029" ht="16.5" spans="1:5">
      <c r="A1029" s="8">
        <v>3045731.833</v>
      </c>
      <c r="B1029" s="8">
        <v>35400157.971</v>
      </c>
      <c r="C1029" s="8">
        <v>891.566</v>
      </c>
      <c r="D1029" s="11">
        <v>44857</v>
      </c>
      <c r="E1029" s="75">
        <v>884.186</v>
      </c>
    </row>
    <row r="1030" ht="16.5" spans="1:5">
      <c r="A1030" s="8">
        <v>3045731.833</v>
      </c>
      <c r="B1030" s="8">
        <v>35400157.971</v>
      </c>
      <c r="C1030" s="8">
        <v>891.566</v>
      </c>
      <c r="D1030" s="11">
        <v>44858</v>
      </c>
      <c r="E1030" s="75">
        <v>884.166</v>
      </c>
    </row>
    <row r="1031" ht="16.5" spans="1:5">
      <c r="A1031" s="8">
        <v>3045731.833</v>
      </c>
      <c r="B1031" s="8">
        <v>35400157.971</v>
      </c>
      <c r="C1031" s="8">
        <v>891.566</v>
      </c>
      <c r="D1031" s="11">
        <v>44859</v>
      </c>
      <c r="E1031" s="75">
        <v>884.156</v>
      </c>
    </row>
    <row r="1032" ht="16.5" spans="1:5">
      <c r="A1032" s="8">
        <v>3045731.833</v>
      </c>
      <c r="B1032" s="8">
        <v>35400157.971</v>
      </c>
      <c r="C1032" s="8">
        <v>891.566</v>
      </c>
      <c r="D1032" s="11">
        <v>44860</v>
      </c>
      <c r="E1032" s="75">
        <v>884.146</v>
      </c>
    </row>
    <row r="1033" ht="16.5" spans="1:5">
      <c r="A1033" s="8">
        <v>3045731.833</v>
      </c>
      <c r="B1033" s="8">
        <v>35400157.971</v>
      </c>
      <c r="C1033" s="8">
        <v>891.566</v>
      </c>
      <c r="D1033" s="11">
        <v>44861</v>
      </c>
      <c r="E1033" s="75">
        <v>884.126</v>
      </c>
    </row>
    <row r="1034" ht="16.5" spans="1:5">
      <c r="A1034" s="8">
        <v>3045731.833</v>
      </c>
      <c r="B1034" s="8">
        <v>35400157.971</v>
      </c>
      <c r="C1034" s="8">
        <v>891.566</v>
      </c>
      <c r="D1034" s="11">
        <v>44862</v>
      </c>
      <c r="E1034" s="75">
        <v>884.116</v>
      </c>
    </row>
    <row r="1035" ht="16.5" spans="1:5">
      <c r="A1035" s="8">
        <v>3045731.833</v>
      </c>
      <c r="B1035" s="8">
        <v>35400157.971</v>
      </c>
      <c r="C1035" s="8">
        <v>891.566</v>
      </c>
      <c r="D1035" s="11">
        <v>44863</v>
      </c>
      <c r="E1035" s="75">
        <v>884.096</v>
      </c>
    </row>
    <row r="1036" ht="16.5" spans="1:5">
      <c r="A1036" s="8">
        <v>3045731.833</v>
      </c>
      <c r="B1036" s="8">
        <v>35400157.971</v>
      </c>
      <c r="C1036" s="8">
        <v>891.566</v>
      </c>
      <c r="D1036" s="11">
        <v>44864</v>
      </c>
      <c r="E1036" s="75">
        <v>884.096</v>
      </c>
    </row>
    <row r="1037" ht="16.5" spans="1:5">
      <c r="A1037" s="8">
        <v>3045731.833</v>
      </c>
      <c r="B1037" s="8">
        <v>35400157.971</v>
      </c>
      <c r="C1037" s="8">
        <v>891.566</v>
      </c>
      <c r="D1037" s="11">
        <v>44865</v>
      </c>
      <c r="E1037" s="75">
        <v>884.096</v>
      </c>
    </row>
    <row r="1038" ht="16.5" spans="1:5">
      <c r="A1038" s="8">
        <v>3045731.833</v>
      </c>
      <c r="B1038" s="8">
        <v>35400157.971</v>
      </c>
      <c r="C1038" s="8">
        <v>891.566</v>
      </c>
      <c r="D1038" s="11">
        <v>44866</v>
      </c>
      <c r="E1038" s="75">
        <v>884.096</v>
      </c>
    </row>
    <row r="1039" ht="16.5" spans="1:5">
      <c r="A1039" s="8">
        <v>3045731.833</v>
      </c>
      <c r="B1039" s="8">
        <v>35400157.971</v>
      </c>
      <c r="C1039" s="8">
        <v>891.566</v>
      </c>
      <c r="D1039" s="11">
        <v>44867</v>
      </c>
      <c r="E1039" s="75">
        <v>884.096</v>
      </c>
    </row>
    <row r="1040" ht="16.5" spans="1:5">
      <c r="A1040" s="8">
        <v>3045731.833</v>
      </c>
      <c r="B1040" s="8">
        <v>35400157.971</v>
      </c>
      <c r="C1040" s="8">
        <v>891.566</v>
      </c>
      <c r="D1040" s="11">
        <v>44868</v>
      </c>
      <c r="E1040" s="75">
        <v>884.08</v>
      </c>
    </row>
    <row r="1041" ht="16.5" spans="1:5">
      <c r="A1041" s="8">
        <v>3045731.833</v>
      </c>
      <c r="B1041" s="8">
        <v>35400157.971</v>
      </c>
      <c r="C1041" s="8">
        <v>891.566</v>
      </c>
      <c r="D1041" s="11">
        <v>44869</v>
      </c>
      <c r="E1041" s="75">
        <v>884.07</v>
      </c>
    </row>
    <row r="1042" ht="16.5" spans="1:5">
      <c r="A1042" s="8">
        <v>3045731.833</v>
      </c>
      <c r="B1042" s="8">
        <v>35400157.971</v>
      </c>
      <c r="C1042" s="8">
        <v>891.566</v>
      </c>
      <c r="D1042" s="11">
        <v>44870</v>
      </c>
      <c r="E1042" s="75">
        <v>884.06</v>
      </c>
    </row>
    <row r="1043" ht="16.5" spans="1:5">
      <c r="A1043" s="8">
        <v>3045731.833</v>
      </c>
      <c r="B1043" s="8">
        <v>35400157.971</v>
      </c>
      <c r="C1043" s="8">
        <v>891.566</v>
      </c>
      <c r="D1043" s="11">
        <v>44871</v>
      </c>
      <c r="E1043" s="75">
        <v>884.06</v>
      </c>
    </row>
    <row r="1044" ht="16.5" spans="1:5">
      <c r="A1044" s="8">
        <v>3045731.833</v>
      </c>
      <c r="B1044" s="8">
        <v>35400157.971</v>
      </c>
      <c r="C1044" s="8">
        <v>891.566</v>
      </c>
      <c r="D1044" s="11">
        <v>44872</v>
      </c>
      <c r="E1044" s="75">
        <v>884.06</v>
      </c>
    </row>
    <row r="1045" ht="16.5" spans="1:5">
      <c r="A1045" s="8">
        <v>3045731.833</v>
      </c>
      <c r="B1045" s="8">
        <v>35400157.971</v>
      </c>
      <c r="C1045" s="8">
        <v>891.566</v>
      </c>
      <c r="D1045" s="11">
        <v>44873</v>
      </c>
      <c r="E1045" s="75">
        <v>884.06</v>
      </c>
    </row>
    <row r="1046" ht="16.5" spans="1:5">
      <c r="A1046" s="8">
        <v>3045731.833</v>
      </c>
      <c r="B1046" s="8">
        <v>35400157.971</v>
      </c>
      <c r="C1046" s="8">
        <v>891.566</v>
      </c>
      <c r="D1046" s="11">
        <v>44874</v>
      </c>
      <c r="E1046" s="75">
        <v>884.05</v>
      </c>
    </row>
    <row r="1047" ht="16.5" spans="1:5">
      <c r="A1047" s="8">
        <v>3045731.833</v>
      </c>
      <c r="B1047" s="8">
        <v>35400157.971</v>
      </c>
      <c r="C1047" s="8">
        <v>891.566</v>
      </c>
      <c r="D1047" s="11">
        <v>44875</v>
      </c>
      <c r="E1047" s="75">
        <v>884.04</v>
      </c>
    </row>
    <row r="1048" ht="16.5" spans="1:5">
      <c r="A1048" s="8">
        <v>3045731.833</v>
      </c>
      <c r="B1048" s="8">
        <v>35400157.971</v>
      </c>
      <c r="C1048" s="8">
        <v>891.566</v>
      </c>
      <c r="D1048" s="11">
        <v>44876</v>
      </c>
      <c r="E1048" s="75">
        <v>884.03</v>
      </c>
    </row>
    <row r="1049" ht="16.5" spans="1:5">
      <c r="A1049" s="8">
        <v>3045731.833</v>
      </c>
      <c r="B1049" s="8">
        <v>35400157.971</v>
      </c>
      <c r="C1049" s="8">
        <v>891.566</v>
      </c>
      <c r="D1049" s="11">
        <v>44877</v>
      </c>
      <c r="E1049" s="75">
        <v>884.02</v>
      </c>
    </row>
    <row r="1050" ht="16.5" spans="1:5">
      <c r="A1050" s="8">
        <v>3045731.833</v>
      </c>
      <c r="B1050" s="8">
        <v>35400157.971</v>
      </c>
      <c r="C1050" s="8">
        <v>891.566</v>
      </c>
      <c r="D1050" s="11">
        <v>44878</v>
      </c>
      <c r="E1050" s="75">
        <v>884.01</v>
      </c>
    </row>
    <row r="1051" ht="16.5" spans="1:5">
      <c r="A1051" s="8">
        <v>3045731.833</v>
      </c>
      <c r="B1051" s="8">
        <v>35400157.971</v>
      </c>
      <c r="C1051" s="8">
        <v>891.566</v>
      </c>
      <c r="D1051" s="11">
        <v>44879</v>
      </c>
      <c r="E1051" s="75">
        <v>883.98</v>
      </c>
    </row>
    <row r="1052" ht="16.5" spans="1:5">
      <c r="A1052" s="8">
        <v>3045731.833</v>
      </c>
      <c r="B1052" s="8">
        <v>35400157.971</v>
      </c>
      <c r="C1052" s="8">
        <v>891.566</v>
      </c>
      <c r="D1052" s="11">
        <v>44880</v>
      </c>
      <c r="E1052" s="75">
        <v>883.96</v>
      </c>
    </row>
    <row r="1053" ht="16.5" spans="1:5">
      <c r="A1053" s="8">
        <v>3045731.833</v>
      </c>
      <c r="B1053" s="8">
        <v>35400157.971</v>
      </c>
      <c r="C1053" s="8">
        <v>891.566</v>
      </c>
      <c r="D1053" s="11">
        <v>44881</v>
      </c>
      <c r="E1053" s="75">
        <v>883.94</v>
      </c>
    </row>
    <row r="1054" ht="16.5" spans="1:5">
      <c r="A1054" s="8">
        <v>3045731.833</v>
      </c>
      <c r="B1054" s="8">
        <v>35400157.971</v>
      </c>
      <c r="C1054" s="8">
        <v>891.566</v>
      </c>
      <c r="D1054" s="11">
        <v>44882</v>
      </c>
      <c r="E1054" s="75">
        <v>883.92</v>
      </c>
    </row>
    <row r="1055" ht="16.5" spans="1:5">
      <c r="A1055" s="8">
        <v>3045731.833</v>
      </c>
      <c r="B1055" s="8">
        <v>35400157.971</v>
      </c>
      <c r="C1055" s="8">
        <v>891.566</v>
      </c>
      <c r="D1055" s="11">
        <v>44883</v>
      </c>
      <c r="E1055" s="75">
        <v>883.91</v>
      </c>
    </row>
    <row r="1056" ht="16.5" spans="1:5">
      <c r="A1056" s="8">
        <v>3045731.833</v>
      </c>
      <c r="B1056" s="8">
        <v>35400157.971</v>
      </c>
      <c r="C1056" s="8">
        <v>891.566</v>
      </c>
      <c r="D1056" s="11">
        <v>44884</v>
      </c>
      <c r="E1056" s="75">
        <v>883.9</v>
      </c>
    </row>
    <row r="1057" ht="16.5" spans="1:5">
      <c r="A1057" s="8">
        <v>3045731.833</v>
      </c>
      <c r="B1057" s="8">
        <v>35400157.971</v>
      </c>
      <c r="C1057" s="8">
        <v>891.566</v>
      </c>
      <c r="D1057" s="11">
        <v>44885</v>
      </c>
      <c r="E1057" s="75">
        <v>883.9</v>
      </c>
    </row>
    <row r="1058" ht="16.5" spans="1:5">
      <c r="A1058" s="8">
        <v>3045731.833</v>
      </c>
      <c r="B1058" s="8">
        <v>35400157.971</v>
      </c>
      <c r="C1058" s="8">
        <v>891.566</v>
      </c>
      <c r="D1058" s="11">
        <v>44886</v>
      </c>
      <c r="E1058" s="75">
        <v>883.89</v>
      </c>
    </row>
    <row r="1059" ht="16.5" spans="1:5">
      <c r="A1059" s="8">
        <v>3045731.833</v>
      </c>
      <c r="B1059" s="8">
        <v>35400157.971</v>
      </c>
      <c r="C1059" s="8">
        <v>891.566</v>
      </c>
      <c r="D1059" s="11">
        <v>44887</v>
      </c>
      <c r="E1059" s="78">
        <v>883.88</v>
      </c>
    </row>
    <row r="1060" ht="16.5" spans="1:5">
      <c r="A1060" s="8">
        <v>3045731.833</v>
      </c>
      <c r="B1060" s="8">
        <v>35400157.971</v>
      </c>
      <c r="C1060" s="8">
        <v>891.566</v>
      </c>
      <c r="D1060" s="11">
        <v>44888</v>
      </c>
      <c r="E1060" s="75">
        <v>883.87</v>
      </c>
    </row>
    <row r="1061" ht="16.5" spans="1:5">
      <c r="A1061" s="8">
        <v>3045731.833</v>
      </c>
      <c r="B1061" s="8">
        <v>35400157.971</v>
      </c>
      <c r="C1061" s="8">
        <v>891.566</v>
      </c>
      <c r="D1061" s="11">
        <v>44889</v>
      </c>
      <c r="E1061" s="75">
        <v>883.87</v>
      </c>
    </row>
    <row r="1062" ht="16.5" spans="1:5">
      <c r="A1062" s="8">
        <v>3045731.833</v>
      </c>
      <c r="B1062" s="8">
        <v>35400157.971</v>
      </c>
      <c r="C1062" s="8">
        <v>891.566</v>
      </c>
      <c r="D1062" s="11">
        <v>44890</v>
      </c>
      <c r="E1062" s="75">
        <v>883.86</v>
      </c>
    </row>
    <row r="1063" ht="16.5" spans="1:5">
      <c r="A1063" s="8">
        <v>3045731.833</v>
      </c>
      <c r="B1063" s="8">
        <v>35400157.971</v>
      </c>
      <c r="C1063" s="8">
        <v>891.566</v>
      </c>
      <c r="D1063" s="11">
        <v>44891</v>
      </c>
      <c r="E1063" s="75">
        <v>883.86</v>
      </c>
    </row>
    <row r="1064" ht="16.5" spans="1:5">
      <c r="A1064" s="8">
        <v>3045731.833</v>
      </c>
      <c r="B1064" s="8">
        <v>35400157.971</v>
      </c>
      <c r="C1064" s="8">
        <v>891.566</v>
      </c>
      <c r="D1064" s="11">
        <v>44892</v>
      </c>
      <c r="E1064" s="74"/>
    </row>
    <row r="1065" ht="16.5" spans="1:5">
      <c r="A1065" s="8">
        <v>3045731.833</v>
      </c>
      <c r="B1065" s="8">
        <v>35400157.971</v>
      </c>
      <c r="C1065" s="8">
        <v>891.566</v>
      </c>
      <c r="D1065" s="11">
        <v>44893</v>
      </c>
      <c r="E1065" s="74"/>
    </row>
    <row r="1066" ht="16.5" spans="1:5">
      <c r="A1066" s="8">
        <v>3045731.833</v>
      </c>
      <c r="B1066" s="8">
        <v>35400157.971</v>
      </c>
      <c r="C1066" s="8">
        <v>891.566</v>
      </c>
      <c r="D1066" s="11">
        <v>44894</v>
      </c>
      <c r="E1066" s="74"/>
    </row>
    <row r="1067" ht="16.5" spans="1:5">
      <c r="A1067" s="8">
        <v>3045731.833</v>
      </c>
      <c r="B1067" s="8">
        <v>35400157.971</v>
      </c>
      <c r="C1067" s="8">
        <v>891.566</v>
      </c>
      <c r="D1067" s="11">
        <v>44895</v>
      </c>
      <c r="E1067" s="74"/>
    </row>
    <row r="1068" ht="16.5" spans="1:5">
      <c r="A1068" s="8">
        <v>3045731.833</v>
      </c>
      <c r="B1068" s="8">
        <v>35400157.971</v>
      </c>
      <c r="C1068" s="8">
        <v>891.566</v>
      </c>
      <c r="D1068" s="11">
        <v>44896</v>
      </c>
      <c r="E1068" s="74"/>
    </row>
    <row r="1069" ht="16.5" spans="1:5">
      <c r="A1069" s="8">
        <v>3045731.833</v>
      </c>
      <c r="B1069" s="8">
        <v>35400157.971</v>
      </c>
      <c r="C1069" s="8">
        <v>891.566</v>
      </c>
      <c r="D1069" s="11">
        <v>44897</v>
      </c>
      <c r="E1069" s="74"/>
    </row>
    <row r="1070" ht="16.5" spans="1:5">
      <c r="A1070" s="8">
        <v>3045731.833</v>
      </c>
      <c r="B1070" s="8">
        <v>35400157.971</v>
      </c>
      <c r="C1070" s="8">
        <v>891.566</v>
      </c>
      <c r="D1070" s="11">
        <v>44898</v>
      </c>
      <c r="E1070" s="75">
        <v>883.813</v>
      </c>
    </row>
    <row r="1071" ht="16.5" spans="1:5">
      <c r="A1071" s="8">
        <v>3045731.833</v>
      </c>
      <c r="B1071" s="8">
        <v>35400157.971</v>
      </c>
      <c r="C1071" s="8">
        <v>891.566</v>
      </c>
      <c r="D1071" s="11">
        <v>44899</v>
      </c>
      <c r="E1071" s="75">
        <v>883.805</v>
      </c>
    </row>
    <row r="1072" ht="16.5" spans="1:5">
      <c r="A1072" s="8">
        <v>3045731.833</v>
      </c>
      <c r="B1072" s="8">
        <v>35400157.971</v>
      </c>
      <c r="C1072" s="8">
        <v>891.566</v>
      </c>
      <c r="D1072" s="11">
        <v>44900</v>
      </c>
      <c r="E1072" s="75">
        <v>883.796</v>
      </c>
    </row>
    <row r="1073" ht="16.5" spans="1:5">
      <c r="A1073" s="8">
        <v>3045731.833</v>
      </c>
      <c r="B1073" s="8">
        <v>35400157.971</v>
      </c>
      <c r="C1073" s="8">
        <v>891.566</v>
      </c>
      <c r="D1073" s="11">
        <v>44901</v>
      </c>
      <c r="E1073" s="75">
        <v>883.792</v>
      </c>
    </row>
    <row r="1074" ht="16.5" spans="1:5">
      <c r="A1074" s="8">
        <v>3045731.833</v>
      </c>
      <c r="B1074" s="8">
        <v>35400157.971</v>
      </c>
      <c r="C1074" s="8">
        <v>891.566</v>
      </c>
      <c r="D1074" s="11">
        <v>44902</v>
      </c>
      <c r="E1074" s="75">
        <v>883.786</v>
      </c>
    </row>
    <row r="1075" ht="16.5" spans="1:5">
      <c r="A1075" s="8">
        <v>3045731.833</v>
      </c>
      <c r="B1075" s="8">
        <v>35400157.971</v>
      </c>
      <c r="C1075" s="8">
        <v>891.566</v>
      </c>
      <c r="D1075" s="11">
        <v>44903</v>
      </c>
      <c r="E1075" s="75">
        <v>883.78</v>
      </c>
    </row>
    <row r="1076" ht="16.5" spans="1:5">
      <c r="A1076" s="8">
        <v>3045731.833</v>
      </c>
      <c r="B1076" s="8">
        <v>35400157.971</v>
      </c>
      <c r="C1076" s="8">
        <v>891.566</v>
      </c>
      <c r="D1076" s="11">
        <v>44904</v>
      </c>
      <c r="E1076" s="75">
        <v>883.78</v>
      </c>
    </row>
    <row r="1077" ht="16.5" spans="1:5">
      <c r="A1077" s="8">
        <v>3045731.833</v>
      </c>
      <c r="B1077" s="8">
        <v>35400157.971</v>
      </c>
      <c r="C1077" s="8">
        <v>891.566</v>
      </c>
      <c r="D1077" s="11">
        <v>44905</v>
      </c>
      <c r="E1077" s="75">
        <v>883.78</v>
      </c>
    </row>
    <row r="1078" ht="16.5" spans="1:5">
      <c r="A1078" s="8">
        <v>3045731.833</v>
      </c>
      <c r="B1078" s="8">
        <v>35400157.971</v>
      </c>
      <c r="C1078" s="8">
        <v>891.566</v>
      </c>
      <c r="D1078" s="11">
        <v>44906</v>
      </c>
      <c r="E1078" s="75">
        <v>883.78</v>
      </c>
    </row>
    <row r="1079" ht="16.5" spans="1:5">
      <c r="A1079" s="8">
        <v>3045731.833</v>
      </c>
      <c r="B1079" s="8">
        <v>35400157.971</v>
      </c>
      <c r="C1079" s="8">
        <v>891.566</v>
      </c>
      <c r="D1079" s="11">
        <v>44907</v>
      </c>
      <c r="E1079" s="75">
        <v>883.78</v>
      </c>
    </row>
    <row r="1080" ht="16.5" spans="1:5">
      <c r="A1080" s="8">
        <v>3045731.833</v>
      </c>
      <c r="B1080" s="8">
        <v>35400157.971</v>
      </c>
      <c r="C1080" s="8">
        <v>891.566</v>
      </c>
      <c r="D1080" s="11">
        <v>44908</v>
      </c>
      <c r="E1080" s="75">
        <v>883.78</v>
      </c>
    </row>
    <row r="1081" ht="16.5" spans="1:5">
      <c r="A1081" s="8">
        <v>3045731.833</v>
      </c>
      <c r="B1081" s="8">
        <v>35400157.971</v>
      </c>
      <c r="C1081" s="8">
        <v>891.566</v>
      </c>
      <c r="D1081" s="11">
        <v>44909</v>
      </c>
      <c r="E1081" s="75">
        <v>883.77</v>
      </c>
    </row>
    <row r="1082" ht="16.5" spans="1:5">
      <c r="A1082" s="8">
        <v>3045731.833</v>
      </c>
      <c r="B1082" s="8">
        <v>35400157.971</v>
      </c>
      <c r="C1082" s="8">
        <v>891.566</v>
      </c>
      <c r="D1082" s="11">
        <v>44910</v>
      </c>
      <c r="E1082" s="75">
        <v>883.76</v>
      </c>
    </row>
    <row r="1083" ht="16.5" spans="1:5">
      <c r="A1083" s="8">
        <v>3045731.833</v>
      </c>
      <c r="B1083" s="8">
        <v>35400157.971</v>
      </c>
      <c r="C1083" s="8">
        <v>891.566</v>
      </c>
      <c r="D1083" s="11">
        <v>44911</v>
      </c>
      <c r="E1083" s="75">
        <v>883.75</v>
      </c>
    </row>
    <row r="1084" ht="16.5" spans="1:5">
      <c r="A1084" s="8">
        <v>3045731.833</v>
      </c>
      <c r="B1084" s="8">
        <v>35400157.971</v>
      </c>
      <c r="C1084" s="8">
        <v>891.566</v>
      </c>
      <c r="D1084" s="11">
        <v>44912</v>
      </c>
      <c r="E1084" s="75">
        <v>883.74</v>
      </c>
    </row>
    <row r="1085" ht="16.5" spans="1:5">
      <c r="A1085" s="8">
        <v>3045731.833</v>
      </c>
      <c r="B1085" s="8">
        <v>35400157.971</v>
      </c>
      <c r="C1085" s="8">
        <v>891.566</v>
      </c>
      <c r="D1085" s="11">
        <v>44913</v>
      </c>
      <c r="E1085" s="75">
        <v>883.73</v>
      </c>
    </row>
    <row r="1086" ht="16.5" spans="1:5">
      <c r="A1086" s="8">
        <v>3045731.833</v>
      </c>
      <c r="B1086" s="8">
        <v>35400157.971</v>
      </c>
      <c r="C1086" s="8">
        <v>891.566</v>
      </c>
      <c r="D1086" s="11">
        <v>44914</v>
      </c>
      <c r="E1086" s="75">
        <v>883.73</v>
      </c>
    </row>
    <row r="1087" ht="16.5" spans="1:5">
      <c r="A1087" s="8">
        <v>3045731.833</v>
      </c>
      <c r="B1087" s="8">
        <v>35400157.971</v>
      </c>
      <c r="C1087" s="8">
        <v>891.566</v>
      </c>
      <c r="D1087" s="11">
        <v>44915</v>
      </c>
      <c r="E1087" s="75">
        <v>883.72</v>
      </c>
    </row>
    <row r="1088" ht="16.5" spans="1:5">
      <c r="A1088" s="8">
        <v>3045731.833</v>
      </c>
      <c r="B1088" s="8">
        <v>35400157.971</v>
      </c>
      <c r="C1088" s="8">
        <v>891.566</v>
      </c>
      <c r="D1088" s="11">
        <v>44916</v>
      </c>
      <c r="E1088" s="75">
        <v>883.72</v>
      </c>
    </row>
    <row r="1089" ht="16.5" spans="1:5">
      <c r="A1089" s="8">
        <v>3045731.833</v>
      </c>
      <c r="B1089" s="8">
        <v>35400157.971</v>
      </c>
      <c r="C1089" s="8">
        <v>891.566</v>
      </c>
      <c r="D1089" s="11">
        <v>44917</v>
      </c>
      <c r="E1089" s="75">
        <v>883.72</v>
      </c>
    </row>
    <row r="1090" ht="16.5" spans="1:5">
      <c r="A1090" s="8">
        <v>3045731.833</v>
      </c>
      <c r="B1090" s="8">
        <v>35400157.971</v>
      </c>
      <c r="C1090" s="8">
        <v>891.566</v>
      </c>
      <c r="D1090" s="11">
        <v>44918</v>
      </c>
      <c r="E1090" s="75">
        <v>883.72</v>
      </c>
    </row>
    <row r="1091" ht="16.5" spans="1:5">
      <c r="A1091" s="8">
        <v>3045731.833</v>
      </c>
      <c r="B1091" s="8">
        <v>35400157.971</v>
      </c>
      <c r="C1091" s="8">
        <v>891.566</v>
      </c>
      <c r="D1091" s="11">
        <v>44919</v>
      </c>
      <c r="E1091" s="75">
        <v>883.72</v>
      </c>
    </row>
    <row r="1092" ht="16.5" spans="1:5">
      <c r="A1092" s="8">
        <v>3045731.833</v>
      </c>
      <c r="B1092" s="8">
        <v>35400157.971</v>
      </c>
      <c r="C1092" s="8">
        <v>891.566</v>
      </c>
      <c r="D1092" s="11">
        <v>44920</v>
      </c>
      <c r="E1092" s="75">
        <v>883.71</v>
      </c>
    </row>
    <row r="1093" ht="16.5" spans="1:5">
      <c r="A1093" s="8">
        <v>3045731.833</v>
      </c>
      <c r="B1093" s="8">
        <v>35400157.971</v>
      </c>
      <c r="C1093" s="8">
        <v>891.566</v>
      </c>
      <c r="D1093" s="11">
        <v>44921</v>
      </c>
      <c r="E1093" s="75">
        <v>883.7</v>
      </c>
    </row>
    <row r="1094" ht="16.5" spans="1:5">
      <c r="A1094" s="8">
        <v>3045731.833</v>
      </c>
      <c r="B1094" s="8">
        <v>35400157.971</v>
      </c>
      <c r="C1094" s="8">
        <v>891.566</v>
      </c>
      <c r="D1094" s="11">
        <v>44922</v>
      </c>
      <c r="E1094" s="75">
        <v>883.69</v>
      </c>
    </row>
    <row r="1095" ht="16.5" spans="1:5">
      <c r="A1095" s="8">
        <v>3045731.833</v>
      </c>
      <c r="B1095" s="8">
        <v>35400157.971</v>
      </c>
      <c r="C1095" s="8">
        <v>891.566</v>
      </c>
      <c r="D1095" s="11">
        <v>44923</v>
      </c>
      <c r="E1095" s="75">
        <v>883.69</v>
      </c>
    </row>
    <row r="1096" ht="16.5" spans="1:5">
      <c r="A1096" s="8">
        <v>3045731.833</v>
      </c>
      <c r="B1096" s="8">
        <v>35400157.971</v>
      </c>
      <c r="C1096" s="8">
        <v>891.566</v>
      </c>
      <c r="D1096" s="11">
        <v>44924</v>
      </c>
      <c r="E1096" s="75">
        <v>883.68</v>
      </c>
    </row>
    <row r="1097" ht="16.5" spans="1:5">
      <c r="A1097" s="8">
        <v>3045731.833</v>
      </c>
      <c r="B1097" s="8">
        <v>35400157.971</v>
      </c>
      <c r="C1097" s="8">
        <v>891.566</v>
      </c>
      <c r="D1097" s="11">
        <v>44925</v>
      </c>
      <c r="E1097" s="75">
        <v>883.68</v>
      </c>
    </row>
    <row r="1098" ht="16.5" spans="1:5">
      <c r="A1098" s="8">
        <v>3045731.833</v>
      </c>
      <c r="B1098" s="8">
        <v>35400157.971</v>
      </c>
      <c r="C1098" s="8">
        <v>891.566</v>
      </c>
      <c r="D1098" s="11">
        <v>44926</v>
      </c>
      <c r="E1098" s="75">
        <v>883.67</v>
      </c>
    </row>
    <row r="1099" ht="16.5" spans="1:5">
      <c r="A1099" s="8">
        <v>3045731.833</v>
      </c>
      <c r="B1099" s="8">
        <v>35400157.971</v>
      </c>
      <c r="C1099" s="8">
        <v>891.566</v>
      </c>
      <c r="D1099" s="11">
        <v>44927</v>
      </c>
      <c r="E1099" s="75">
        <v>883.68</v>
      </c>
    </row>
    <row r="1100" ht="16.5" spans="1:5">
      <c r="A1100" s="8">
        <v>3045731.833</v>
      </c>
      <c r="B1100" s="8">
        <v>35400157.971</v>
      </c>
      <c r="C1100" s="8">
        <v>891.566</v>
      </c>
      <c r="D1100" s="11">
        <v>44928</v>
      </c>
      <c r="E1100" s="75">
        <v>883.67</v>
      </c>
    </row>
    <row r="1101" ht="16.5" spans="1:5">
      <c r="A1101" s="8">
        <v>3045731.833</v>
      </c>
      <c r="B1101" s="8">
        <v>35400157.971</v>
      </c>
      <c r="C1101" s="8">
        <v>891.566</v>
      </c>
      <c r="D1101" s="11">
        <v>44929</v>
      </c>
      <c r="E1101" s="75">
        <v>883.67</v>
      </c>
    </row>
    <row r="1102" ht="16.5" spans="1:5">
      <c r="A1102" s="8">
        <v>3045731.833</v>
      </c>
      <c r="B1102" s="8">
        <v>35400157.971</v>
      </c>
      <c r="C1102" s="8">
        <v>891.566</v>
      </c>
      <c r="D1102" s="11">
        <v>44930</v>
      </c>
      <c r="E1102" s="75">
        <v>883.67</v>
      </c>
    </row>
    <row r="1103" ht="16.5" spans="1:5">
      <c r="A1103" s="8">
        <v>3045731.833</v>
      </c>
      <c r="B1103" s="8">
        <v>35400157.971</v>
      </c>
      <c r="C1103" s="8">
        <v>891.566</v>
      </c>
      <c r="D1103" s="11">
        <v>44931</v>
      </c>
      <c r="E1103" s="78">
        <v>883.67</v>
      </c>
    </row>
    <row r="1104" ht="16.5" spans="1:5">
      <c r="A1104" s="8">
        <v>3045731.833</v>
      </c>
      <c r="B1104" s="8">
        <v>35400157.971</v>
      </c>
      <c r="C1104" s="8">
        <v>891.566</v>
      </c>
      <c r="D1104" s="11">
        <v>44932</v>
      </c>
      <c r="E1104" s="75">
        <v>883.67</v>
      </c>
    </row>
    <row r="1105" ht="16.5" spans="1:5">
      <c r="A1105" s="8">
        <v>3045731.833</v>
      </c>
      <c r="B1105" s="8">
        <v>35400157.971</v>
      </c>
      <c r="C1105" s="8">
        <v>891.566</v>
      </c>
      <c r="D1105" s="11">
        <v>44933</v>
      </c>
      <c r="E1105" s="75">
        <v>883.69</v>
      </c>
    </row>
    <row r="1106" ht="16.5" spans="1:5">
      <c r="A1106" s="8">
        <v>3045731.833</v>
      </c>
      <c r="B1106" s="8">
        <v>35400157.971</v>
      </c>
      <c r="C1106" s="8">
        <v>891.566</v>
      </c>
      <c r="D1106" s="11">
        <v>44934</v>
      </c>
      <c r="E1106" s="75">
        <v>883.7</v>
      </c>
    </row>
    <row r="1107" ht="16.5" spans="1:5">
      <c r="A1107" s="8">
        <v>3045731.833</v>
      </c>
      <c r="B1107" s="8">
        <v>35400157.971</v>
      </c>
      <c r="C1107" s="8">
        <v>891.566</v>
      </c>
      <c r="D1107" s="11">
        <v>44935</v>
      </c>
      <c r="E1107" s="75">
        <v>883.7</v>
      </c>
    </row>
    <row r="1108" ht="16.5" spans="1:5">
      <c r="A1108" s="8">
        <v>3045731.833</v>
      </c>
      <c r="B1108" s="8">
        <v>35400157.971</v>
      </c>
      <c r="C1108" s="8">
        <v>891.566</v>
      </c>
      <c r="D1108" s="11">
        <v>44936</v>
      </c>
      <c r="E1108" s="75">
        <v>883.7</v>
      </c>
    </row>
    <row r="1109" ht="16.5" spans="1:5">
      <c r="A1109" s="8">
        <v>3045731.833</v>
      </c>
      <c r="B1109" s="8">
        <v>35400157.971</v>
      </c>
      <c r="C1109" s="8">
        <v>891.566</v>
      </c>
      <c r="D1109" s="11">
        <v>44937</v>
      </c>
      <c r="E1109" s="75">
        <v>883.71</v>
      </c>
    </row>
    <row r="1110" ht="16.5" spans="1:5">
      <c r="A1110" s="8">
        <v>3045731.833</v>
      </c>
      <c r="B1110" s="8">
        <v>35400157.971</v>
      </c>
      <c r="C1110" s="8">
        <v>891.566</v>
      </c>
      <c r="D1110" s="11">
        <v>44938</v>
      </c>
      <c r="E1110" s="74"/>
    </row>
    <row r="1111" ht="16.5" spans="1:5">
      <c r="A1111" s="8">
        <v>3045731.833</v>
      </c>
      <c r="B1111" s="8">
        <v>35400157.971</v>
      </c>
      <c r="C1111" s="8">
        <v>891.566</v>
      </c>
      <c r="D1111" s="11">
        <v>44939</v>
      </c>
      <c r="E1111" s="74"/>
    </row>
    <row r="1112" ht="16.5" spans="1:5">
      <c r="A1112" s="8">
        <v>3045731.833</v>
      </c>
      <c r="B1112" s="8">
        <v>35400157.971</v>
      </c>
      <c r="C1112" s="8">
        <v>891.566</v>
      </c>
      <c r="D1112" s="11">
        <v>44940</v>
      </c>
      <c r="E1112" s="74"/>
    </row>
    <row r="1113" ht="16.5" spans="1:5">
      <c r="A1113" s="8">
        <v>3045731.833</v>
      </c>
      <c r="B1113" s="8">
        <v>35400157.971</v>
      </c>
      <c r="C1113" s="8">
        <v>891.566</v>
      </c>
      <c r="D1113" s="11">
        <v>44941</v>
      </c>
      <c r="E1113" s="74"/>
    </row>
    <row r="1114" ht="16.5" spans="1:5">
      <c r="A1114" s="8">
        <v>3045731.833</v>
      </c>
      <c r="B1114" s="8">
        <v>35400157.971</v>
      </c>
      <c r="C1114" s="8">
        <v>891.566</v>
      </c>
      <c r="D1114" s="11">
        <v>44942</v>
      </c>
      <c r="E1114" s="75">
        <v>883.69</v>
      </c>
    </row>
    <row r="1115" ht="16.5" spans="1:5">
      <c r="A1115" s="8">
        <v>3045731.833</v>
      </c>
      <c r="B1115" s="8">
        <v>35400157.971</v>
      </c>
      <c r="C1115" s="8">
        <v>891.566</v>
      </c>
      <c r="D1115" s="11">
        <v>44943</v>
      </c>
      <c r="E1115" s="75">
        <v>883.69</v>
      </c>
    </row>
    <row r="1116" ht="16.5" spans="1:5">
      <c r="A1116" s="8">
        <v>3045731.833</v>
      </c>
      <c r="B1116" s="8">
        <v>35400157.971</v>
      </c>
      <c r="C1116" s="8">
        <v>891.566</v>
      </c>
      <c r="D1116" s="11">
        <v>44944</v>
      </c>
      <c r="E1116" s="75">
        <v>883.68</v>
      </c>
    </row>
    <row r="1117" ht="16.5" spans="1:5">
      <c r="A1117" s="8">
        <v>3045731.833</v>
      </c>
      <c r="B1117" s="8">
        <v>35400157.971</v>
      </c>
      <c r="C1117" s="8">
        <v>891.566</v>
      </c>
      <c r="D1117" s="11">
        <v>44945</v>
      </c>
      <c r="E1117" s="75">
        <v>883.67</v>
      </c>
    </row>
    <row r="1118" ht="16.5" spans="1:5">
      <c r="A1118" s="8">
        <v>3045731.833</v>
      </c>
      <c r="B1118" s="8">
        <v>35400157.971</v>
      </c>
      <c r="C1118" s="8">
        <v>891.566</v>
      </c>
      <c r="D1118" s="11">
        <v>44946</v>
      </c>
      <c r="E1118" s="75">
        <v>883.67</v>
      </c>
    </row>
    <row r="1119" ht="16.5" spans="1:5">
      <c r="A1119" s="8">
        <v>3045731.833</v>
      </c>
      <c r="B1119" s="8">
        <v>35400157.971</v>
      </c>
      <c r="C1119" s="8">
        <v>891.566</v>
      </c>
      <c r="D1119" s="11">
        <v>44947</v>
      </c>
      <c r="E1119" s="75">
        <v>883.66</v>
      </c>
    </row>
    <row r="1120" ht="16.5" spans="1:5">
      <c r="A1120" s="8">
        <v>3045731.833</v>
      </c>
      <c r="B1120" s="8">
        <v>35400157.971</v>
      </c>
      <c r="C1120" s="8">
        <v>891.566</v>
      </c>
      <c r="D1120" s="11">
        <v>44948</v>
      </c>
      <c r="E1120" s="75">
        <v>883.66</v>
      </c>
    </row>
    <row r="1121" ht="16.5" spans="1:5">
      <c r="A1121" s="8">
        <v>3045731.833</v>
      </c>
      <c r="B1121" s="8">
        <v>35400157.971</v>
      </c>
      <c r="C1121" s="8">
        <v>891.566</v>
      </c>
      <c r="D1121" s="11">
        <v>44949</v>
      </c>
      <c r="E1121" s="75">
        <v>883.65</v>
      </c>
    </row>
    <row r="1122" ht="16.5" spans="1:5">
      <c r="A1122" s="8">
        <v>3045731.833</v>
      </c>
      <c r="B1122" s="8">
        <v>35400157.971</v>
      </c>
      <c r="C1122" s="8">
        <v>891.566</v>
      </c>
      <c r="D1122" s="11">
        <v>44950</v>
      </c>
      <c r="E1122" s="75">
        <v>883.65</v>
      </c>
    </row>
    <row r="1123" ht="16.5" spans="1:5">
      <c r="A1123" s="8">
        <v>3045731.833</v>
      </c>
      <c r="B1123" s="8">
        <v>35400157.971</v>
      </c>
      <c r="C1123" s="8">
        <v>891.566</v>
      </c>
      <c r="D1123" s="11">
        <v>44951</v>
      </c>
      <c r="E1123" s="75">
        <v>883.65</v>
      </c>
    </row>
    <row r="1124" ht="16.5" spans="1:5">
      <c r="A1124" s="8">
        <v>3045731.833</v>
      </c>
      <c r="B1124" s="8">
        <v>35400157.971</v>
      </c>
      <c r="C1124" s="8">
        <v>891.566</v>
      </c>
      <c r="D1124" s="11">
        <v>44952</v>
      </c>
      <c r="E1124" s="75">
        <v>883.64</v>
      </c>
    </row>
    <row r="1125" ht="16.5" spans="1:5">
      <c r="A1125" s="8">
        <v>3045731.833</v>
      </c>
      <c r="B1125" s="8">
        <v>35400157.971</v>
      </c>
      <c r="C1125" s="8">
        <v>891.566</v>
      </c>
      <c r="D1125" s="11">
        <v>44953</v>
      </c>
      <c r="E1125" s="75">
        <v>883.64</v>
      </c>
    </row>
    <row r="1126" ht="16.5" spans="1:5">
      <c r="A1126" s="8">
        <v>3045731.833</v>
      </c>
      <c r="B1126" s="8">
        <v>35400157.971</v>
      </c>
      <c r="C1126" s="8">
        <v>891.566</v>
      </c>
      <c r="D1126" s="11">
        <v>44954</v>
      </c>
      <c r="E1126" s="75">
        <v>883.64</v>
      </c>
    </row>
    <row r="1127" ht="16.5" spans="1:5">
      <c r="A1127" s="8">
        <v>3045731.833</v>
      </c>
      <c r="B1127" s="8">
        <v>35400157.971</v>
      </c>
      <c r="C1127" s="8">
        <v>891.566</v>
      </c>
      <c r="D1127" s="11">
        <v>44955</v>
      </c>
      <c r="E1127" s="75">
        <v>883.63</v>
      </c>
    </row>
    <row r="1128" ht="16.5" spans="1:5">
      <c r="A1128" s="8">
        <v>3045731.833</v>
      </c>
      <c r="B1128" s="8">
        <v>35400157.971</v>
      </c>
      <c r="C1128" s="8">
        <v>891.566</v>
      </c>
      <c r="D1128" s="11">
        <v>44956</v>
      </c>
      <c r="E1128" s="75">
        <v>883.63</v>
      </c>
    </row>
    <row r="1129" ht="16.5" spans="1:5">
      <c r="A1129" s="8">
        <v>3045731.833</v>
      </c>
      <c r="B1129" s="8">
        <v>35400157.971</v>
      </c>
      <c r="C1129" s="8">
        <v>891.566</v>
      </c>
      <c r="D1129" s="11">
        <v>44957</v>
      </c>
      <c r="E1129" s="75">
        <v>883.63</v>
      </c>
    </row>
    <row r="1130" ht="16.5" spans="1:5">
      <c r="A1130" s="8">
        <v>3045731.833</v>
      </c>
      <c r="B1130" s="8">
        <v>35400157.971</v>
      </c>
      <c r="C1130" s="8">
        <v>891.566</v>
      </c>
      <c r="D1130" s="11">
        <v>44958</v>
      </c>
      <c r="E1130" s="75">
        <v>883.63</v>
      </c>
    </row>
    <row r="1131" ht="16.5" spans="1:5">
      <c r="A1131" s="8">
        <v>3045731.833</v>
      </c>
      <c r="B1131" s="8">
        <v>35400157.971</v>
      </c>
      <c r="C1131" s="8">
        <v>891.566</v>
      </c>
      <c r="D1131" s="11">
        <v>44959</v>
      </c>
      <c r="E1131" s="75">
        <v>883.63</v>
      </c>
    </row>
    <row r="1132" ht="16.5" spans="1:5">
      <c r="A1132" s="8">
        <v>3045731.833</v>
      </c>
      <c r="B1132" s="8">
        <v>35400157.971</v>
      </c>
      <c r="C1132" s="8">
        <v>891.566</v>
      </c>
      <c r="D1132" s="11">
        <v>44960</v>
      </c>
      <c r="E1132" s="75">
        <v>883.63</v>
      </c>
    </row>
    <row r="1133" ht="16.5" spans="1:5">
      <c r="A1133" s="8">
        <v>3045731.833</v>
      </c>
      <c r="B1133" s="8">
        <v>35400157.971</v>
      </c>
      <c r="C1133" s="8">
        <v>891.566</v>
      </c>
      <c r="D1133" s="11">
        <v>44961</v>
      </c>
      <c r="E1133" s="75">
        <v>883.63</v>
      </c>
    </row>
    <row r="1134" ht="16.5" spans="1:5">
      <c r="A1134" s="8">
        <v>3045731.833</v>
      </c>
      <c r="B1134" s="8">
        <v>35400157.971</v>
      </c>
      <c r="C1134" s="8">
        <v>891.566</v>
      </c>
      <c r="D1134" s="11">
        <v>44962</v>
      </c>
      <c r="E1134" s="75">
        <v>883.63</v>
      </c>
    </row>
    <row r="1135" ht="16.5" spans="1:5">
      <c r="A1135" s="8">
        <v>3045731.833</v>
      </c>
      <c r="B1135" s="8">
        <v>35400157.971</v>
      </c>
      <c r="C1135" s="8">
        <v>891.566</v>
      </c>
      <c r="D1135" s="11">
        <v>44963</v>
      </c>
      <c r="E1135" s="75">
        <v>883.63</v>
      </c>
    </row>
    <row r="1136" ht="16.5" spans="1:5">
      <c r="A1136" s="8">
        <v>3045731.833</v>
      </c>
      <c r="B1136" s="8">
        <v>35400157.971</v>
      </c>
      <c r="C1136" s="8">
        <v>891.566</v>
      </c>
      <c r="D1136" s="11">
        <v>44964</v>
      </c>
      <c r="E1136" s="75">
        <v>883.62</v>
      </c>
    </row>
    <row r="1137" ht="16.5" spans="1:5">
      <c r="A1137" s="8">
        <v>3045731.833</v>
      </c>
      <c r="B1137" s="8">
        <v>35400157.971</v>
      </c>
      <c r="C1137" s="8">
        <v>891.566</v>
      </c>
      <c r="D1137" s="11">
        <v>44965</v>
      </c>
      <c r="E1137" s="75">
        <v>883.62</v>
      </c>
    </row>
    <row r="1138" ht="16.5" spans="1:5">
      <c r="A1138" s="8">
        <v>3045731.833</v>
      </c>
      <c r="B1138" s="8">
        <v>35400157.971</v>
      </c>
      <c r="C1138" s="8">
        <v>891.566</v>
      </c>
      <c r="D1138" s="11">
        <v>44966</v>
      </c>
      <c r="E1138" s="75">
        <v>883.62</v>
      </c>
    </row>
    <row r="1139" ht="16.5" spans="1:5">
      <c r="A1139" s="8">
        <v>3045731.833</v>
      </c>
      <c r="B1139" s="8">
        <v>35400157.971</v>
      </c>
      <c r="C1139" s="8">
        <v>891.566</v>
      </c>
      <c r="D1139" s="11">
        <v>44967</v>
      </c>
      <c r="E1139" s="75">
        <v>883.63</v>
      </c>
    </row>
    <row r="1140" ht="16.5" spans="1:5">
      <c r="A1140" s="8">
        <v>3045731.833</v>
      </c>
      <c r="B1140" s="8">
        <v>35400157.971</v>
      </c>
      <c r="C1140" s="8">
        <v>891.566</v>
      </c>
      <c r="D1140" s="11">
        <v>44968</v>
      </c>
      <c r="E1140" s="75">
        <v>883.63</v>
      </c>
    </row>
    <row r="1141" ht="16.5" spans="1:5">
      <c r="A1141" s="8">
        <v>3045731.833</v>
      </c>
      <c r="B1141" s="8">
        <v>35400157.971</v>
      </c>
      <c r="C1141" s="8">
        <v>891.566</v>
      </c>
      <c r="D1141" s="11">
        <v>44969</v>
      </c>
      <c r="E1141" s="75">
        <v>883.64</v>
      </c>
    </row>
    <row r="1142" ht="16.5" spans="1:5">
      <c r="A1142" s="8">
        <v>3045731.833</v>
      </c>
      <c r="B1142" s="8">
        <v>35400157.971</v>
      </c>
      <c r="C1142" s="8">
        <v>891.566</v>
      </c>
      <c r="D1142" s="11">
        <v>44970</v>
      </c>
      <c r="E1142" s="78">
        <v>883.63</v>
      </c>
    </row>
    <row r="1143" ht="16.5" spans="1:5">
      <c r="A1143" s="8">
        <v>3045731.833</v>
      </c>
      <c r="B1143" s="8">
        <v>35400157.971</v>
      </c>
      <c r="C1143" s="8">
        <v>891.566</v>
      </c>
      <c r="D1143" s="11">
        <v>44971</v>
      </c>
      <c r="E1143" s="75">
        <v>883.63</v>
      </c>
    </row>
    <row r="1144" ht="16.5" spans="1:5">
      <c r="A1144" s="8">
        <v>3045731.833</v>
      </c>
      <c r="B1144" s="8">
        <v>35400157.971</v>
      </c>
      <c r="C1144" s="8">
        <v>891.566</v>
      </c>
      <c r="D1144" s="11">
        <v>44972</v>
      </c>
      <c r="E1144" s="75">
        <v>883.64</v>
      </c>
    </row>
    <row r="1145" ht="16.5" spans="1:5">
      <c r="A1145" s="8">
        <v>3045731.833</v>
      </c>
      <c r="B1145" s="8">
        <v>35400157.971</v>
      </c>
      <c r="C1145" s="8">
        <v>891.566</v>
      </c>
      <c r="D1145" s="11">
        <v>44973</v>
      </c>
      <c r="E1145" s="75">
        <v>883.65</v>
      </c>
    </row>
    <row r="1146" ht="16.5" spans="1:5">
      <c r="A1146" s="8">
        <v>3045731.833</v>
      </c>
      <c r="B1146" s="8">
        <v>35400157.971</v>
      </c>
      <c r="C1146" s="8">
        <v>891.566</v>
      </c>
      <c r="D1146" s="11">
        <v>44974</v>
      </c>
      <c r="E1146" s="75">
        <v>883.65</v>
      </c>
    </row>
    <row r="1147" ht="16.5" spans="1:5">
      <c r="A1147" s="8">
        <v>3045731.833</v>
      </c>
      <c r="B1147" s="8">
        <v>35400157.971</v>
      </c>
      <c r="C1147" s="8">
        <v>891.566</v>
      </c>
      <c r="D1147" s="11">
        <v>44975</v>
      </c>
      <c r="E1147" s="75">
        <v>883.65</v>
      </c>
    </row>
    <row r="1148" ht="16.5" spans="1:5">
      <c r="A1148" s="8">
        <v>3045731.833</v>
      </c>
      <c r="B1148" s="8">
        <v>35400157.971</v>
      </c>
      <c r="C1148" s="8">
        <v>891.566</v>
      </c>
      <c r="D1148" s="11">
        <v>44976</v>
      </c>
      <c r="E1148" s="75">
        <v>882.12</v>
      </c>
    </row>
    <row r="1149" ht="16.5" spans="1:5">
      <c r="A1149" s="8">
        <v>3045731.833</v>
      </c>
      <c r="B1149" s="8">
        <v>35400157.971</v>
      </c>
      <c r="C1149" s="8">
        <v>891.566</v>
      </c>
      <c r="D1149" s="11">
        <v>44977</v>
      </c>
      <c r="E1149" s="75">
        <v>882.13</v>
      </c>
    </row>
    <row r="1150" ht="16.5" spans="1:5">
      <c r="A1150" s="8">
        <v>3045731.833</v>
      </c>
      <c r="B1150" s="8">
        <v>35400157.971</v>
      </c>
      <c r="C1150" s="8">
        <v>891.566</v>
      </c>
      <c r="D1150" s="11">
        <v>44978</v>
      </c>
      <c r="E1150" s="75">
        <v>882.13</v>
      </c>
    </row>
    <row r="1151" ht="16.5" spans="1:5">
      <c r="A1151" s="8">
        <v>3045731.833</v>
      </c>
      <c r="B1151" s="8">
        <v>35400157.971</v>
      </c>
      <c r="C1151" s="8">
        <v>891.566</v>
      </c>
      <c r="D1151" s="11">
        <v>44979</v>
      </c>
      <c r="E1151" s="75">
        <v>885.22</v>
      </c>
    </row>
    <row r="1152" ht="16.5" spans="1:5">
      <c r="A1152" s="8">
        <v>3045731.833</v>
      </c>
      <c r="B1152" s="8">
        <v>35400157.971</v>
      </c>
      <c r="C1152" s="8">
        <v>891.566</v>
      </c>
      <c r="D1152" s="11">
        <v>44980</v>
      </c>
      <c r="E1152" s="75">
        <v>884.14</v>
      </c>
    </row>
    <row r="1153" ht="16.5" spans="1:5">
      <c r="A1153" s="8">
        <v>3045731.833</v>
      </c>
      <c r="B1153" s="8">
        <v>35400157.971</v>
      </c>
      <c r="C1153" s="8">
        <v>891.566</v>
      </c>
      <c r="D1153" s="11">
        <v>44981</v>
      </c>
      <c r="E1153" s="75">
        <v>882.95</v>
      </c>
    </row>
    <row r="1154" ht="16.5" spans="1:5">
      <c r="A1154" s="8">
        <v>3045731.833</v>
      </c>
      <c r="B1154" s="8">
        <v>35400157.971</v>
      </c>
      <c r="C1154" s="8">
        <v>891.566</v>
      </c>
      <c r="D1154" s="11">
        <v>44982</v>
      </c>
      <c r="E1154" s="75">
        <v>881.02</v>
      </c>
    </row>
    <row r="1155" ht="16.5" spans="1:5">
      <c r="A1155" s="8">
        <v>3045731.833</v>
      </c>
      <c r="B1155" s="8">
        <v>35400157.971</v>
      </c>
      <c r="C1155" s="8">
        <v>891.566</v>
      </c>
      <c r="D1155" s="11">
        <v>44983</v>
      </c>
      <c r="E1155" s="75">
        <v>882.21</v>
      </c>
    </row>
    <row r="1156" ht="16.5" spans="1:5">
      <c r="A1156" s="8">
        <v>3045731.833</v>
      </c>
      <c r="B1156" s="8">
        <v>35400157.971</v>
      </c>
      <c r="C1156" s="8">
        <v>891.566</v>
      </c>
      <c r="D1156" s="11">
        <v>44984</v>
      </c>
      <c r="E1156" s="75">
        <v>882.08</v>
      </c>
    </row>
    <row r="1157" ht="16.5" spans="1:5">
      <c r="A1157" s="8">
        <v>3045731.833</v>
      </c>
      <c r="B1157" s="8">
        <v>35400157.971</v>
      </c>
      <c r="C1157" s="8">
        <v>891.566</v>
      </c>
      <c r="D1157" s="11">
        <v>44985</v>
      </c>
      <c r="E1157" s="75">
        <v>882.01</v>
      </c>
    </row>
    <row r="1158" ht="16.5" spans="1:5">
      <c r="A1158" s="8">
        <v>3045731.833</v>
      </c>
      <c r="B1158" s="8">
        <v>35400157.971</v>
      </c>
      <c r="C1158" s="8">
        <v>891.566</v>
      </c>
      <c r="D1158" s="11">
        <v>44986</v>
      </c>
      <c r="E1158" s="75">
        <v>881.96</v>
      </c>
    </row>
    <row r="1159" ht="16.5" spans="1:5">
      <c r="A1159" s="8">
        <v>3045731.833</v>
      </c>
      <c r="B1159" s="8">
        <v>35400157.971</v>
      </c>
      <c r="C1159" s="8">
        <v>891.566</v>
      </c>
      <c r="D1159" s="11">
        <v>44987</v>
      </c>
      <c r="E1159" s="75">
        <v>881.91</v>
      </c>
    </row>
    <row r="1160" ht="16.5" spans="1:5">
      <c r="A1160" s="8">
        <v>3045731.833</v>
      </c>
      <c r="B1160" s="8">
        <v>35400157.971</v>
      </c>
      <c r="C1160" s="8">
        <v>891.566</v>
      </c>
      <c r="D1160" s="11">
        <v>44988</v>
      </c>
      <c r="E1160" s="75">
        <v>881.87</v>
      </c>
    </row>
    <row r="1161" ht="16.5" spans="1:5">
      <c r="A1161" s="8">
        <v>3045731.833</v>
      </c>
      <c r="B1161" s="8">
        <v>35400157.971</v>
      </c>
      <c r="C1161" s="8">
        <v>891.566</v>
      </c>
      <c r="D1161" s="11">
        <v>44989</v>
      </c>
      <c r="E1161" s="75">
        <v>881.84</v>
      </c>
    </row>
    <row r="1162" ht="16.5" spans="1:5">
      <c r="A1162" s="8">
        <v>3045731.833</v>
      </c>
      <c r="B1162" s="8">
        <v>35400157.971</v>
      </c>
      <c r="C1162" s="8">
        <v>891.566</v>
      </c>
      <c r="D1162" s="11">
        <v>44990</v>
      </c>
      <c r="E1162" s="74"/>
    </row>
    <row r="1163" ht="16.5" spans="1:5">
      <c r="A1163" s="8">
        <v>3045731.833</v>
      </c>
      <c r="B1163" s="8">
        <v>35400157.971</v>
      </c>
      <c r="C1163" s="8">
        <v>891.566</v>
      </c>
      <c r="D1163" s="11">
        <v>44991</v>
      </c>
      <c r="E1163" s="74"/>
    </row>
    <row r="1164" ht="16.5" spans="1:5">
      <c r="A1164" s="8">
        <v>3045731.833</v>
      </c>
      <c r="B1164" s="8">
        <v>35400157.971</v>
      </c>
      <c r="C1164" s="8">
        <v>891.566</v>
      </c>
      <c r="D1164" s="11">
        <v>44992</v>
      </c>
      <c r="E1164" s="74"/>
    </row>
    <row r="1165" ht="16.5" spans="1:5">
      <c r="A1165" s="8">
        <v>3045731.833</v>
      </c>
      <c r="B1165" s="8">
        <v>35400157.971</v>
      </c>
      <c r="C1165" s="8">
        <v>891.566</v>
      </c>
      <c r="D1165" s="11">
        <v>44993</v>
      </c>
      <c r="E1165" s="75">
        <v>889.27</v>
      </c>
    </row>
    <row r="1166" ht="16.5" spans="1:5">
      <c r="A1166" s="8">
        <v>3045731.833</v>
      </c>
      <c r="B1166" s="8">
        <v>35400157.971</v>
      </c>
      <c r="C1166" s="8">
        <v>891.566</v>
      </c>
      <c r="D1166" s="11">
        <v>44994</v>
      </c>
      <c r="E1166" s="75"/>
    </row>
    <row r="1167" ht="16.5" spans="1:5">
      <c r="A1167" s="8">
        <v>3045731.833</v>
      </c>
      <c r="B1167" s="8">
        <v>35400157.971</v>
      </c>
      <c r="C1167" s="8">
        <v>891.566</v>
      </c>
      <c r="D1167" s="11">
        <v>44995</v>
      </c>
      <c r="E1167" s="75"/>
    </row>
    <row r="1168" ht="16.5" spans="1:5">
      <c r="A1168" s="8">
        <v>3045731.833</v>
      </c>
      <c r="B1168" s="8">
        <v>35400157.971</v>
      </c>
      <c r="C1168" s="8">
        <v>891.566</v>
      </c>
      <c r="D1168" s="11">
        <v>44996</v>
      </c>
      <c r="E1168" s="75">
        <v>889.23</v>
      </c>
    </row>
    <row r="1169" ht="16.5" spans="1:5">
      <c r="A1169" s="8">
        <v>3045731.833</v>
      </c>
      <c r="B1169" s="8">
        <v>35400157.971</v>
      </c>
      <c r="C1169" s="8">
        <v>891.566</v>
      </c>
      <c r="D1169" s="11">
        <v>44997</v>
      </c>
      <c r="E1169" s="75">
        <v>889.22</v>
      </c>
    </row>
    <row r="1170" ht="16.5" spans="1:5">
      <c r="A1170" s="8">
        <v>3045731.833</v>
      </c>
      <c r="B1170" s="8">
        <v>35400157.971</v>
      </c>
      <c r="C1170" s="8">
        <v>891.566</v>
      </c>
      <c r="D1170" s="11">
        <v>44998</v>
      </c>
      <c r="E1170" s="75">
        <v>889.22</v>
      </c>
    </row>
    <row r="1171" ht="16.5" spans="1:5">
      <c r="A1171" s="8">
        <v>3045731.833</v>
      </c>
      <c r="B1171" s="8">
        <v>35400157.971</v>
      </c>
      <c r="C1171" s="8">
        <v>891.566</v>
      </c>
      <c r="D1171" s="11">
        <v>44999</v>
      </c>
      <c r="E1171" s="75">
        <v>889.21</v>
      </c>
    </row>
    <row r="1172" ht="16.5" spans="1:5">
      <c r="A1172" s="8">
        <v>3045731.833</v>
      </c>
      <c r="B1172" s="8">
        <v>35400157.971</v>
      </c>
      <c r="C1172" s="8">
        <v>891.566</v>
      </c>
      <c r="D1172" s="11">
        <v>45000</v>
      </c>
      <c r="E1172" s="75">
        <v>889.21</v>
      </c>
    </row>
    <row r="1173" ht="16.5" spans="1:5">
      <c r="A1173" s="8">
        <v>3045731.833</v>
      </c>
      <c r="B1173" s="8">
        <v>35400157.971</v>
      </c>
      <c r="C1173" s="8">
        <v>891.566</v>
      </c>
      <c r="D1173" s="11">
        <v>45001</v>
      </c>
      <c r="E1173" s="75">
        <v>889.22</v>
      </c>
    </row>
    <row r="1174" ht="16.5" spans="1:5">
      <c r="A1174" s="8">
        <v>3045731.833</v>
      </c>
      <c r="B1174" s="8">
        <v>35400157.971</v>
      </c>
      <c r="C1174" s="8">
        <v>891.566</v>
      </c>
      <c r="D1174" s="11">
        <v>45002</v>
      </c>
      <c r="E1174" s="83"/>
    </row>
    <row r="1175" ht="16.5" spans="1:5">
      <c r="A1175" s="8">
        <v>3045731.833</v>
      </c>
      <c r="B1175" s="8">
        <v>35400157.971</v>
      </c>
      <c r="C1175" s="8">
        <v>891.566</v>
      </c>
      <c r="D1175" s="11">
        <v>45003</v>
      </c>
      <c r="E1175" s="75">
        <v>889.22</v>
      </c>
    </row>
    <row r="1176" ht="16.5" spans="1:5">
      <c r="A1176" s="8">
        <v>3045731.833</v>
      </c>
      <c r="B1176" s="8">
        <v>35400157.971</v>
      </c>
      <c r="C1176" s="8">
        <v>891.566</v>
      </c>
      <c r="D1176" s="11">
        <v>45004</v>
      </c>
      <c r="E1176" s="75">
        <v>889.22</v>
      </c>
    </row>
    <row r="1177" ht="16.5" spans="1:5">
      <c r="A1177" s="8">
        <v>3045731.833</v>
      </c>
      <c r="B1177" s="8">
        <v>35400157.971</v>
      </c>
      <c r="C1177" s="8">
        <v>891.566</v>
      </c>
      <c r="D1177" s="11">
        <v>45005</v>
      </c>
      <c r="E1177" s="75">
        <v>889.23</v>
      </c>
    </row>
    <row r="1178" ht="16.5" spans="1:5">
      <c r="A1178" s="8">
        <v>3045731.833</v>
      </c>
      <c r="B1178" s="8">
        <v>35400157.971</v>
      </c>
      <c r="C1178" s="8">
        <v>891.566</v>
      </c>
      <c r="D1178" s="11">
        <v>45006</v>
      </c>
      <c r="E1178" s="75">
        <v>889.23</v>
      </c>
    </row>
    <row r="1179" ht="16.5" spans="1:5">
      <c r="A1179" s="8">
        <v>3045731.833</v>
      </c>
      <c r="B1179" s="8">
        <v>35400157.971</v>
      </c>
      <c r="C1179" s="8">
        <v>891.566</v>
      </c>
      <c r="D1179" s="11">
        <v>45007</v>
      </c>
      <c r="E1179" s="75">
        <v>889.23</v>
      </c>
    </row>
    <row r="1180" ht="16.5" spans="1:5">
      <c r="A1180" s="8">
        <v>3045731.833</v>
      </c>
      <c r="B1180" s="8">
        <v>35400157.971</v>
      </c>
      <c r="C1180" s="8">
        <v>891.566</v>
      </c>
      <c r="D1180" s="11">
        <v>45008</v>
      </c>
      <c r="E1180" s="75">
        <v>889.22</v>
      </c>
    </row>
    <row r="1181" ht="16.5" spans="1:5">
      <c r="A1181" s="8">
        <v>3045731.833</v>
      </c>
      <c r="B1181" s="8">
        <v>35400157.971</v>
      </c>
      <c r="C1181" s="8">
        <v>891.566</v>
      </c>
      <c r="D1181" s="11">
        <v>45009</v>
      </c>
      <c r="E1181" s="75">
        <v>889.21</v>
      </c>
    </row>
    <row r="1182" ht="16.5" spans="1:5">
      <c r="A1182" s="8">
        <v>3045731.833</v>
      </c>
      <c r="B1182" s="8">
        <v>35400157.971</v>
      </c>
      <c r="C1182" s="8">
        <v>891.566</v>
      </c>
      <c r="D1182" s="11">
        <v>45010</v>
      </c>
      <c r="E1182" s="75">
        <v>889.19</v>
      </c>
    </row>
    <row r="1183" ht="16.5" spans="1:5">
      <c r="A1183" s="8">
        <v>3045731.833</v>
      </c>
      <c r="B1183" s="8">
        <v>35400157.971</v>
      </c>
      <c r="C1183" s="8">
        <v>891.566</v>
      </c>
      <c r="D1183" s="11">
        <v>45011</v>
      </c>
      <c r="E1183" s="75">
        <v>889.19</v>
      </c>
    </row>
    <row r="1184" ht="16.5" spans="1:5">
      <c r="A1184" s="8">
        <v>3045731.833</v>
      </c>
      <c r="B1184" s="8">
        <v>35400157.971</v>
      </c>
      <c r="C1184" s="8">
        <v>891.566</v>
      </c>
      <c r="D1184" s="11">
        <v>45012</v>
      </c>
      <c r="E1184" s="75">
        <v>889.18</v>
      </c>
    </row>
    <row r="1185" ht="16.5" spans="1:5">
      <c r="A1185" s="8">
        <v>3045731.833</v>
      </c>
      <c r="B1185" s="8">
        <v>35400157.971</v>
      </c>
      <c r="C1185" s="8">
        <v>891.566</v>
      </c>
      <c r="D1185" s="11">
        <v>45013</v>
      </c>
      <c r="E1185" s="74"/>
    </row>
    <row r="1186" ht="16.5" spans="1:5">
      <c r="A1186" s="8">
        <v>3045731.833</v>
      </c>
      <c r="B1186" s="8">
        <v>35400157.971</v>
      </c>
      <c r="C1186" s="8">
        <v>891.566</v>
      </c>
      <c r="D1186" s="11">
        <v>45014</v>
      </c>
      <c r="E1186" s="74"/>
    </row>
    <row r="1187" ht="16.5" spans="1:5">
      <c r="A1187" s="8">
        <v>3045731.833</v>
      </c>
      <c r="B1187" s="8">
        <v>35400157.971</v>
      </c>
      <c r="C1187" s="8">
        <v>891.566</v>
      </c>
      <c r="D1187" s="11">
        <v>45015</v>
      </c>
      <c r="E1187" s="77">
        <v>889.2</v>
      </c>
    </row>
    <row r="1188" ht="16.5" spans="1:5">
      <c r="A1188" s="8">
        <v>3045731.833</v>
      </c>
      <c r="B1188" s="8">
        <v>35400157.971</v>
      </c>
      <c r="C1188" s="8">
        <v>891.566</v>
      </c>
      <c r="D1188" s="11">
        <v>45016</v>
      </c>
      <c r="E1188" s="74"/>
    </row>
    <row r="1189" ht="16.5" spans="1:5">
      <c r="A1189" s="8">
        <v>3045731.833</v>
      </c>
      <c r="B1189" s="8">
        <v>35400157.971</v>
      </c>
      <c r="C1189" s="8">
        <v>891.566</v>
      </c>
      <c r="D1189" s="11">
        <v>45017</v>
      </c>
      <c r="E1189" s="75">
        <v>889.22</v>
      </c>
    </row>
    <row r="1190" ht="16.5" spans="1:5">
      <c r="A1190" s="8">
        <v>3045731.833</v>
      </c>
      <c r="B1190" s="8">
        <v>35400157.971</v>
      </c>
      <c r="C1190" s="8">
        <v>891.566</v>
      </c>
      <c r="D1190" s="11">
        <v>45018</v>
      </c>
      <c r="E1190" s="75">
        <v>889.22</v>
      </c>
    </row>
    <row r="1191" ht="16.5" spans="1:5">
      <c r="A1191" s="8">
        <v>3045731.833</v>
      </c>
      <c r="B1191" s="8">
        <v>35400157.971</v>
      </c>
      <c r="C1191" s="8">
        <v>891.566</v>
      </c>
      <c r="D1191" s="11">
        <v>45019</v>
      </c>
      <c r="E1191" s="75">
        <v>889.23</v>
      </c>
    </row>
    <row r="1192" ht="16.5" spans="1:5">
      <c r="A1192" s="8">
        <v>3045731.833</v>
      </c>
      <c r="B1192" s="8">
        <v>35400157.971</v>
      </c>
      <c r="C1192" s="8">
        <v>891.566</v>
      </c>
      <c r="D1192" s="11">
        <v>45020</v>
      </c>
      <c r="E1192" s="75">
        <v>889.22</v>
      </c>
    </row>
    <row r="1193" ht="16.5" spans="1:5">
      <c r="A1193" s="8">
        <v>3045731.833</v>
      </c>
      <c r="B1193" s="8">
        <v>35400157.971</v>
      </c>
      <c r="C1193" s="8">
        <v>891.566</v>
      </c>
      <c r="D1193" s="11">
        <v>45021</v>
      </c>
      <c r="E1193" s="75">
        <v>889.22</v>
      </c>
    </row>
    <row r="1194" ht="16.5" spans="1:5">
      <c r="A1194" s="8">
        <v>3045731.833</v>
      </c>
      <c r="B1194" s="8">
        <v>35400157.971</v>
      </c>
      <c r="C1194" s="8">
        <v>891.566</v>
      </c>
      <c r="D1194" s="11">
        <v>45022</v>
      </c>
      <c r="E1194" s="75">
        <v>889.21</v>
      </c>
    </row>
    <row r="1195" ht="16.5" spans="1:5">
      <c r="A1195" s="8">
        <v>3045731.833</v>
      </c>
      <c r="B1195" s="8">
        <v>35400157.971</v>
      </c>
      <c r="C1195" s="8">
        <v>891.566</v>
      </c>
      <c r="D1195" s="11">
        <v>45023</v>
      </c>
      <c r="E1195" s="75">
        <v>889.2</v>
      </c>
    </row>
    <row r="1196" ht="16.5" spans="1:5">
      <c r="A1196" s="8">
        <v>3045731.833</v>
      </c>
      <c r="B1196" s="8">
        <v>35400157.971</v>
      </c>
      <c r="C1196" s="8">
        <v>891.566</v>
      </c>
      <c r="D1196" s="11">
        <v>45024</v>
      </c>
      <c r="E1196" s="75">
        <v>889.2</v>
      </c>
    </row>
    <row r="1197" ht="16.5" spans="1:5">
      <c r="A1197" s="8">
        <v>3045731.833</v>
      </c>
      <c r="B1197" s="8">
        <v>35400157.971</v>
      </c>
      <c r="C1197" s="8">
        <v>891.566</v>
      </c>
      <c r="D1197" s="11">
        <v>45025</v>
      </c>
      <c r="E1197" s="75">
        <v>889.19</v>
      </c>
    </row>
    <row r="1198" ht="16.5" spans="1:5">
      <c r="A1198" s="8">
        <v>3045731.833</v>
      </c>
      <c r="B1198" s="8">
        <v>35400157.971</v>
      </c>
      <c r="C1198" s="8">
        <v>891.566</v>
      </c>
      <c r="D1198" s="11">
        <v>45026</v>
      </c>
      <c r="E1198" s="75">
        <v>889.18</v>
      </c>
    </row>
    <row r="1199" ht="16.5" spans="1:5">
      <c r="A1199" s="8">
        <v>3045731.833</v>
      </c>
      <c r="B1199" s="8">
        <v>35400157.971</v>
      </c>
      <c r="C1199" s="8">
        <v>891.566</v>
      </c>
      <c r="D1199" s="11">
        <v>45027</v>
      </c>
      <c r="E1199" s="75"/>
    </row>
    <row r="1200" ht="16.5" spans="1:5">
      <c r="A1200" s="8">
        <v>3045731.833</v>
      </c>
      <c r="B1200" s="8">
        <v>35400157.971</v>
      </c>
      <c r="C1200" s="8">
        <v>891.566</v>
      </c>
      <c r="D1200" s="11">
        <v>45028</v>
      </c>
      <c r="E1200" s="75"/>
    </row>
    <row r="1201" ht="16.5" spans="1:5">
      <c r="A1201" s="8">
        <v>3045731.833</v>
      </c>
      <c r="B1201" s="8">
        <v>35400157.971</v>
      </c>
      <c r="C1201" s="8">
        <v>891.566</v>
      </c>
      <c r="D1201" s="11">
        <v>45029</v>
      </c>
      <c r="E1201" s="75"/>
    </row>
    <row r="1202" ht="16.5" spans="1:5">
      <c r="A1202" s="8">
        <v>3045731.833</v>
      </c>
      <c r="B1202" s="8">
        <v>35400157.971</v>
      </c>
      <c r="C1202" s="8">
        <v>891.566</v>
      </c>
      <c r="D1202" s="11">
        <v>45030</v>
      </c>
      <c r="E1202" s="75">
        <v>889.15</v>
      </c>
    </row>
    <row r="1203" ht="16.5" spans="1:5">
      <c r="A1203" s="8">
        <v>3045731.833</v>
      </c>
      <c r="B1203" s="8">
        <v>35400157.971</v>
      </c>
      <c r="C1203" s="8">
        <v>891.566</v>
      </c>
      <c r="D1203" s="11">
        <v>45031</v>
      </c>
      <c r="E1203" s="75">
        <v>889.15</v>
      </c>
    </row>
    <row r="1204" ht="16.5" spans="1:5">
      <c r="A1204" s="8">
        <v>3045731.833</v>
      </c>
      <c r="B1204" s="8">
        <v>35400157.971</v>
      </c>
      <c r="C1204" s="8">
        <v>891.566</v>
      </c>
      <c r="D1204" s="11">
        <v>45032</v>
      </c>
      <c r="E1204" s="75">
        <v>889.17</v>
      </c>
    </row>
    <row r="1205" ht="16.5" spans="1:5">
      <c r="A1205" s="8">
        <v>3045731.833</v>
      </c>
      <c r="B1205" s="8">
        <v>35400157.971</v>
      </c>
      <c r="C1205" s="8">
        <v>891.566</v>
      </c>
      <c r="D1205" s="11">
        <v>45033</v>
      </c>
      <c r="E1205" s="75"/>
    </row>
    <row r="1206" ht="16.5" spans="1:5">
      <c r="A1206" s="8">
        <v>3045731.833</v>
      </c>
      <c r="B1206" s="8">
        <v>35400157.971</v>
      </c>
      <c r="C1206" s="8">
        <v>891.566</v>
      </c>
      <c r="D1206" s="11">
        <v>45034</v>
      </c>
      <c r="E1206" s="75"/>
    </row>
    <row r="1207" ht="16.5" spans="1:5">
      <c r="A1207" s="8">
        <v>3045731.833</v>
      </c>
      <c r="B1207" s="8">
        <v>35400157.971</v>
      </c>
      <c r="C1207" s="8">
        <v>891.566</v>
      </c>
      <c r="D1207" s="11">
        <v>45035</v>
      </c>
      <c r="E1207" s="75"/>
    </row>
    <row r="1208" ht="16.5" spans="1:5">
      <c r="A1208" s="8">
        <v>3045731.833</v>
      </c>
      <c r="B1208" s="8">
        <v>35400157.971</v>
      </c>
      <c r="C1208" s="8">
        <v>891.566</v>
      </c>
      <c r="D1208" s="11">
        <v>45036</v>
      </c>
      <c r="E1208" s="75"/>
    </row>
    <row r="1209" ht="16.5" spans="1:5">
      <c r="A1209" s="8">
        <v>3045731.833</v>
      </c>
      <c r="B1209" s="8">
        <v>35400157.971</v>
      </c>
      <c r="C1209" s="8">
        <v>891.566</v>
      </c>
      <c r="D1209" s="11">
        <v>45037</v>
      </c>
      <c r="E1209" s="75"/>
    </row>
    <row r="1210" ht="16.5" spans="1:5">
      <c r="A1210" s="8">
        <v>3045731.833</v>
      </c>
      <c r="B1210" s="8">
        <v>35400157.971</v>
      </c>
      <c r="C1210" s="8">
        <v>891.566</v>
      </c>
      <c r="D1210" s="11">
        <v>45038</v>
      </c>
      <c r="E1210" s="75"/>
    </row>
    <row r="1211" ht="16.5" spans="1:5">
      <c r="A1211" s="8">
        <v>3045731.833</v>
      </c>
      <c r="B1211" s="8">
        <v>35400157.971</v>
      </c>
      <c r="C1211" s="8">
        <v>891.566</v>
      </c>
      <c r="D1211" s="11">
        <v>45039</v>
      </c>
      <c r="E1211" s="75">
        <v>889.16</v>
      </c>
    </row>
    <row r="1212" ht="16.5" spans="1:5">
      <c r="A1212" s="8">
        <v>3045731.833</v>
      </c>
      <c r="B1212" s="8">
        <v>35400157.971</v>
      </c>
      <c r="C1212" s="8">
        <v>891.566</v>
      </c>
      <c r="D1212" s="11">
        <v>45040</v>
      </c>
      <c r="E1212" s="75">
        <v>889.15</v>
      </c>
    </row>
    <row r="1213" ht="16.5" spans="1:5">
      <c r="A1213" s="8">
        <v>3045731.833</v>
      </c>
      <c r="B1213" s="8">
        <v>35400157.971</v>
      </c>
      <c r="C1213" s="8">
        <v>891.566</v>
      </c>
      <c r="D1213" s="11">
        <v>45041</v>
      </c>
      <c r="E1213" s="75">
        <v>889.14</v>
      </c>
    </row>
    <row r="1214" ht="16.5" spans="1:5">
      <c r="A1214" s="8">
        <v>3045731.833</v>
      </c>
      <c r="B1214" s="8">
        <v>35400157.971</v>
      </c>
      <c r="C1214" s="8">
        <v>891.566</v>
      </c>
      <c r="D1214" s="11">
        <v>45042</v>
      </c>
      <c r="E1214" s="75">
        <v>889.13</v>
      </c>
    </row>
    <row r="1215" ht="16.5" spans="1:5">
      <c r="A1215" s="8">
        <v>3045731.833</v>
      </c>
      <c r="B1215" s="8">
        <v>35400157.971</v>
      </c>
      <c r="C1215" s="8">
        <v>891.566</v>
      </c>
      <c r="D1215" s="11">
        <v>45043</v>
      </c>
      <c r="E1215" s="75">
        <v>889.12</v>
      </c>
    </row>
    <row r="1216" ht="16.5" spans="1:5">
      <c r="A1216" s="8">
        <v>3045731.833</v>
      </c>
      <c r="B1216" s="8">
        <v>35400157.971</v>
      </c>
      <c r="C1216" s="8">
        <v>891.566</v>
      </c>
      <c r="D1216" s="11">
        <v>45044</v>
      </c>
      <c r="E1216" s="75">
        <v>889.1</v>
      </c>
    </row>
    <row r="1217" ht="16.5" spans="1:5">
      <c r="A1217" s="8">
        <v>3045731.833</v>
      </c>
      <c r="B1217" s="8">
        <v>35400157.971</v>
      </c>
      <c r="C1217" s="8">
        <v>891.566</v>
      </c>
      <c r="D1217" s="11">
        <v>45045</v>
      </c>
      <c r="E1217" s="75">
        <v>889.1</v>
      </c>
    </row>
    <row r="1218" ht="16.5" spans="1:5">
      <c r="A1218" s="8">
        <v>3045731.833</v>
      </c>
      <c r="B1218" s="8">
        <v>35400157.971</v>
      </c>
      <c r="C1218" s="8">
        <v>891.566</v>
      </c>
      <c r="D1218" s="11">
        <v>45046</v>
      </c>
      <c r="E1218" s="75">
        <v>889.11</v>
      </c>
    </row>
    <row r="1219" ht="16.5" spans="1:5">
      <c r="A1219" s="8">
        <v>3045731.833</v>
      </c>
      <c r="B1219" s="8">
        <v>35400157.971</v>
      </c>
      <c r="C1219" s="8">
        <v>891.566</v>
      </c>
      <c r="D1219" s="11">
        <v>45047</v>
      </c>
      <c r="E1219" s="75">
        <v>889.12</v>
      </c>
    </row>
    <row r="1220" ht="16.5" spans="1:5">
      <c r="A1220" s="8">
        <v>3045731.833</v>
      </c>
      <c r="B1220" s="8">
        <v>35400157.971</v>
      </c>
      <c r="C1220" s="8">
        <v>891.566</v>
      </c>
      <c r="D1220" s="11">
        <v>45048</v>
      </c>
      <c r="E1220" s="75">
        <v>889.11</v>
      </c>
    </row>
    <row r="1221" ht="16.5" spans="1:5">
      <c r="A1221" s="8">
        <v>3045731.833</v>
      </c>
      <c r="B1221" s="8">
        <v>35400157.971</v>
      </c>
      <c r="C1221" s="8">
        <v>891.566</v>
      </c>
      <c r="D1221" s="11">
        <v>45049</v>
      </c>
      <c r="E1221" s="75">
        <v>889.11</v>
      </c>
    </row>
    <row r="1222" ht="16.5" spans="1:5">
      <c r="A1222" s="8">
        <v>3045731.833</v>
      </c>
      <c r="B1222" s="8">
        <v>35400157.971</v>
      </c>
      <c r="C1222" s="8">
        <v>891.566</v>
      </c>
      <c r="D1222" s="11">
        <v>45050</v>
      </c>
      <c r="E1222" s="75">
        <v>889.1</v>
      </c>
    </row>
    <row r="1223" ht="16.5" spans="1:5">
      <c r="A1223" s="8">
        <v>3045731.833</v>
      </c>
      <c r="B1223" s="8">
        <v>35400157.971</v>
      </c>
      <c r="C1223" s="8">
        <v>891.566</v>
      </c>
      <c r="D1223" s="11">
        <v>45051</v>
      </c>
      <c r="E1223" s="75">
        <v>889.09</v>
      </c>
    </row>
    <row r="1224" ht="16.5" spans="1:5">
      <c r="A1224" s="8">
        <v>3045731.833</v>
      </c>
      <c r="B1224" s="8">
        <v>35400157.971</v>
      </c>
      <c r="C1224" s="8">
        <v>891.566</v>
      </c>
      <c r="D1224" s="11">
        <v>45052</v>
      </c>
      <c r="E1224" s="75">
        <v>889.09</v>
      </c>
    </row>
    <row r="1225" ht="16.5" spans="1:5">
      <c r="A1225" s="8">
        <v>3045731.833</v>
      </c>
      <c r="B1225" s="8">
        <v>35400157.971</v>
      </c>
      <c r="C1225" s="8">
        <v>891.566</v>
      </c>
      <c r="D1225" s="11">
        <v>45053</v>
      </c>
      <c r="E1225" s="75">
        <v>889.08</v>
      </c>
    </row>
    <row r="1226" ht="16.5" spans="1:5">
      <c r="A1226" s="8">
        <v>3045731.833</v>
      </c>
      <c r="B1226" s="8">
        <v>35400157.971</v>
      </c>
      <c r="C1226" s="8">
        <v>891.566</v>
      </c>
      <c r="D1226" s="11">
        <v>45054</v>
      </c>
      <c r="E1226" s="75">
        <v>889.08</v>
      </c>
    </row>
    <row r="1227" ht="16.5" spans="1:5">
      <c r="A1227" s="8">
        <v>3045731.833</v>
      </c>
      <c r="B1227" s="8">
        <v>35400157.971</v>
      </c>
      <c r="C1227" s="8">
        <v>891.566</v>
      </c>
      <c r="D1227" s="11">
        <v>45055</v>
      </c>
      <c r="E1227" s="75">
        <v>889.07</v>
      </c>
    </row>
    <row r="1228" ht="16.5" spans="1:5">
      <c r="A1228" s="8">
        <v>3045731.833</v>
      </c>
      <c r="B1228" s="8">
        <v>35400157.971</v>
      </c>
      <c r="C1228" s="8">
        <v>891.566</v>
      </c>
      <c r="D1228" s="11">
        <v>45056</v>
      </c>
      <c r="E1228" s="75">
        <v>889.06</v>
      </c>
    </row>
    <row r="1229" ht="16.5" spans="1:5">
      <c r="A1229" s="8">
        <v>3045731.833</v>
      </c>
      <c r="B1229" s="8">
        <v>35400157.971</v>
      </c>
      <c r="C1229" s="8">
        <v>891.566</v>
      </c>
      <c r="D1229" s="11">
        <v>45057</v>
      </c>
      <c r="E1229" s="74"/>
    </row>
    <row r="1230" ht="16.5" spans="1:5">
      <c r="A1230" s="8">
        <v>3045731.833</v>
      </c>
      <c r="B1230" s="8">
        <v>35400157.971</v>
      </c>
      <c r="C1230" s="8">
        <v>891.566</v>
      </c>
      <c r="D1230" s="11">
        <v>45058</v>
      </c>
      <c r="E1230" s="74"/>
    </row>
    <row r="1231" ht="16.5" spans="1:5">
      <c r="A1231" s="8">
        <v>3045731.833</v>
      </c>
      <c r="B1231" s="8">
        <v>35400157.971</v>
      </c>
      <c r="C1231" s="8">
        <v>891.566</v>
      </c>
      <c r="D1231" s="11">
        <v>45059</v>
      </c>
      <c r="E1231" s="74"/>
    </row>
    <row r="1232" ht="16.5" spans="1:5">
      <c r="A1232" s="8">
        <v>3045731.833</v>
      </c>
      <c r="B1232" s="8">
        <v>35400157.971</v>
      </c>
      <c r="C1232" s="8">
        <v>891.566</v>
      </c>
      <c r="D1232" s="11">
        <v>45060</v>
      </c>
      <c r="E1232" s="74"/>
    </row>
    <row r="1233" ht="16.5" spans="1:5">
      <c r="A1233" s="8">
        <v>3045731.833</v>
      </c>
      <c r="B1233" s="8">
        <v>35400157.971</v>
      </c>
      <c r="C1233" s="8">
        <v>891.566</v>
      </c>
      <c r="D1233" s="11">
        <v>45061</v>
      </c>
      <c r="E1233" s="74"/>
    </row>
    <row r="1234" ht="16.5" spans="1:5">
      <c r="A1234" s="8">
        <v>3045731.833</v>
      </c>
      <c r="B1234" s="8">
        <v>35400157.971</v>
      </c>
      <c r="C1234" s="8">
        <v>891.566</v>
      </c>
      <c r="D1234" s="11">
        <v>45062</v>
      </c>
      <c r="E1234" s="74"/>
    </row>
    <row r="1235" ht="16.5" spans="1:5">
      <c r="A1235" s="8">
        <v>3045731.833</v>
      </c>
      <c r="B1235" s="8">
        <v>35400157.971</v>
      </c>
      <c r="C1235" s="8">
        <v>891.566</v>
      </c>
      <c r="D1235" s="11">
        <v>45063</v>
      </c>
      <c r="E1235" s="74"/>
    </row>
    <row r="1236" ht="16.5" spans="1:5">
      <c r="A1236" s="8">
        <v>3045731.833</v>
      </c>
      <c r="B1236" s="8">
        <v>35400157.971</v>
      </c>
      <c r="C1236" s="8">
        <v>891.566</v>
      </c>
      <c r="D1236" s="11">
        <v>45064</v>
      </c>
      <c r="E1236" s="75">
        <v>889.03</v>
      </c>
    </row>
    <row r="1237" ht="16.5" spans="1:5">
      <c r="A1237" s="8">
        <v>3045731.833</v>
      </c>
      <c r="B1237" s="8">
        <v>35400157.971</v>
      </c>
      <c r="C1237" s="8">
        <v>891.566</v>
      </c>
      <c r="D1237" s="11">
        <v>45065</v>
      </c>
      <c r="E1237" s="74"/>
    </row>
    <row r="1238" ht="16.5" spans="1:5">
      <c r="A1238" s="8">
        <v>3045731.833</v>
      </c>
      <c r="B1238" s="8">
        <v>35400157.971</v>
      </c>
      <c r="C1238" s="8">
        <v>891.566</v>
      </c>
      <c r="D1238" s="11">
        <v>45066</v>
      </c>
      <c r="E1238" s="74"/>
    </row>
    <row r="1239" ht="16.5" spans="1:5">
      <c r="A1239" s="8">
        <v>3045731.833</v>
      </c>
      <c r="B1239" s="8">
        <v>35400157.971</v>
      </c>
      <c r="C1239" s="8">
        <v>891.566</v>
      </c>
      <c r="D1239" s="11">
        <v>45067</v>
      </c>
      <c r="E1239" s="74"/>
    </row>
    <row r="1240" ht="16.5" spans="1:5">
      <c r="A1240" s="8">
        <v>3045731.833</v>
      </c>
      <c r="B1240" s="8">
        <v>35400157.971</v>
      </c>
      <c r="C1240" s="8">
        <v>891.566</v>
      </c>
      <c r="D1240" s="11">
        <v>45068</v>
      </c>
      <c r="E1240" s="74"/>
    </row>
    <row r="1241" ht="16.5" spans="1:5">
      <c r="A1241" s="8">
        <v>3045731.833</v>
      </c>
      <c r="B1241" s="8">
        <v>35400157.971</v>
      </c>
      <c r="C1241" s="8">
        <v>891.566</v>
      </c>
      <c r="D1241" s="11">
        <v>45069</v>
      </c>
      <c r="E1241" s="74"/>
    </row>
    <row r="1242" ht="16.5" spans="1:5">
      <c r="A1242" s="8">
        <v>3045731.833</v>
      </c>
      <c r="B1242" s="8">
        <v>35400157.971</v>
      </c>
      <c r="C1242" s="8">
        <v>891.566</v>
      </c>
      <c r="D1242" s="11">
        <v>45070</v>
      </c>
      <c r="E1242" s="74"/>
    </row>
    <row r="1243" ht="16.5" spans="1:5">
      <c r="A1243" s="8">
        <v>3045731.833</v>
      </c>
      <c r="B1243" s="8">
        <v>35400157.971</v>
      </c>
      <c r="C1243" s="8">
        <v>891.566</v>
      </c>
      <c r="D1243" s="11">
        <v>45071</v>
      </c>
      <c r="E1243" s="75">
        <v>889.18</v>
      </c>
    </row>
    <row r="1244" ht="16.5" spans="1:5">
      <c r="A1244" s="8">
        <v>3045731.833</v>
      </c>
      <c r="B1244" s="8">
        <v>35400157.971</v>
      </c>
      <c r="C1244" s="8">
        <v>891.566</v>
      </c>
      <c r="D1244" s="11">
        <v>45072</v>
      </c>
      <c r="E1244" s="74"/>
    </row>
    <row r="1245" ht="16.5" spans="1:5">
      <c r="A1245" s="8">
        <v>3045731.833</v>
      </c>
      <c r="B1245" s="8">
        <v>35400157.971</v>
      </c>
      <c r="C1245" s="8">
        <v>891.566</v>
      </c>
      <c r="D1245" s="11">
        <v>45073</v>
      </c>
      <c r="E1245" s="74"/>
    </row>
    <row r="1246" ht="16.5" spans="1:5">
      <c r="A1246" s="8">
        <v>3045731.833</v>
      </c>
      <c r="B1246" s="8">
        <v>35400157.971</v>
      </c>
      <c r="C1246" s="8">
        <v>891.566</v>
      </c>
      <c r="D1246" s="11">
        <v>45074</v>
      </c>
      <c r="E1246" s="74"/>
    </row>
    <row r="1247" ht="16.5" spans="1:5">
      <c r="A1247" s="8">
        <v>3045731.833</v>
      </c>
      <c r="B1247" s="8">
        <v>35400157.971</v>
      </c>
      <c r="C1247" s="8">
        <v>891.566</v>
      </c>
      <c r="D1247" s="11">
        <v>45075</v>
      </c>
      <c r="E1247" s="74"/>
    </row>
    <row r="1248" ht="16.5" spans="1:5">
      <c r="A1248" s="8">
        <v>3045731.833</v>
      </c>
      <c r="B1248" s="8">
        <v>35400157.971</v>
      </c>
      <c r="C1248" s="8">
        <v>891.566</v>
      </c>
      <c r="D1248" s="11">
        <v>45076</v>
      </c>
      <c r="E1248" s="74"/>
    </row>
    <row r="1249" ht="16.5" spans="1:5">
      <c r="A1249" s="8">
        <v>3045731.833</v>
      </c>
      <c r="B1249" s="8">
        <v>35400157.971</v>
      </c>
      <c r="C1249" s="8">
        <v>891.566</v>
      </c>
      <c r="D1249" s="11">
        <v>45077</v>
      </c>
      <c r="E1249" s="74"/>
    </row>
    <row r="1250" ht="16.5" spans="1:5">
      <c r="A1250" s="8">
        <v>3045731.833</v>
      </c>
      <c r="B1250" s="8">
        <v>35400157.971</v>
      </c>
      <c r="C1250" s="8">
        <v>891.566</v>
      </c>
      <c r="D1250" s="11">
        <v>45078</v>
      </c>
      <c r="E1250" s="75">
        <v>889.15</v>
      </c>
    </row>
    <row r="1251" ht="16.5" spans="1:5">
      <c r="A1251" s="8">
        <v>3045731.833</v>
      </c>
      <c r="B1251" s="8">
        <v>35400157.971</v>
      </c>
      <c r="C1251" s="8">
        <v>891.566</v>
      </c>
      <c r="D1251" s="11">
        <v>45079</v>
      </c>
      <c r="E1251" s="74"/>
    </row>
    <row r="1252" ht="16.5" spans="1:5">
      <c r="A1252" s="8">
        <v>3045731.833</v>
      </c>
      <c r="B1252" s="8">
        <v>35400157.971</v>
      </c>
      <c r="C1252" s="8">
        <v>891.566</v>
      </c>
      <c r="D1252" s="11">
        <v>45080</v>
      </c>
      <c r="E1252" s="74"/>
    </row>
    <row r="1253" ht="16.5" spans="1:5">
      <c r="A1253" s="8">
        <v>3045731.833</v>
      </c>
      <c r="B1253" s="8">
        <v>35400157.971</v>
      </c>
      <c r="C1253" s="8">
        <v>891.566</v>
      </c>
      <c r="D1253" s="11">
        <v>45081</v>
      </c>
      <c r="E1253" s="74"/>
    </row>
    <row r="1254" ht="16.5" spans="1:5">
      <c r="A1254" s="8">
        <v>3045731.833</v>
      </c>
      <c r="B1254" s="8">
        <v>35400157.971</v>
      </c>
      <c r="C1254" s="8">
        <v>891.566</v>
      </c>
      <c r="D1254" s="11">
        <v>45082</v>
      </c>
      <c r="E1254" s="74"/>
    </row>
    <row r="1255" ht="16.5" spans="1:5">
      <c r="A1255" s="8">
        <v>3045731.833</v>
      </c>
      <c r="B1255" s="8">
        <v>35400157.971</v>
      </c>
      <c r="C1255" s="8">
        <v>891.566</v>
      </c>
      <c r="D1255" s="11">
        <v>45083</v>
      </c>
      <c r="E1255" s="74"/>
    </row>
    <row r="1256" ht="16.5" spans="1:5">
      <c r="A1256" s="8">
        <v>3045731.833</v>
      </c>
      <c r="B1256" s="8">
        <v>35400157.971</v>
      </c>
      <c r="C1256" s="8">
        <v>891.566</v>
      </c>
      <c r="D1256" s="11">
        <v>45084</v>
      </c>
      <c r="E1256" s="74"/>
    </row>
    <row r="1257" ht="16.5" spans="1:5">
      <c r="A1257" s="8">
        <v>3045731.833</v>
      </c>
      <c r="B1257" s="8">
        <v>35400157.971</v>
      </c>
      <c r="C1257" s="8">
        <v>891.566</v>
      </c>
      <c r="D1257" s="11">
        <v>45085</v>
      </c>
      <c r="E1257" s="75">
        <v>889.18</v>
      </c>
    </row>
    <row r="1258" ht="16.5" spans="1:5">
      <c r="A1258" s="8">
        <v>3045731.833</v>
      </c>
      <c r="B1258" s="8">
        <v>35400157.971</v>
      </c>
      <c r="C1258" s="8">
        <v>891.566</v>
      </c>
      <c r="D1258" s="11">
        <v>45086</v>
      </c>
      <c r="E1258" s="74"/>
    </row>
    <row r="1259" ht="16.5" spans="1:5">
      <c r="A1259" s="8">
        <v>3045731.833</v>
      </c>
      <c r="B1259" s="8">
        <v>35400157.971</v>
      </c>
      <c r="C1259" s="8">
        <v>891.566</v>
      </c>
      <c r="D1259" s="11">
        <v>45087</v>
      </c>
      <c r="E1259" s="74"/>
    </row>
    <row r="1260" ht="16.5" spans="1:5">
      <c r="A1260" s="8">
        <v>3045731.833</v>
      </c>
      <c r="B1260" s="8">
        <v>35400157.971</v>
      </c>
      <c r="C1260" s="8">
        <v>891.566</v>
      </c>
      <c r="D1260" s="11">
        <v>45088</v>
      </c>
      <c r="E1260" s="74"/>
    </row>
    <row r="1261" ht="16.5" spans="1:5">
      <c r="A1261" s="8">
        <v>3045731.833</v>
      </c>
      <c r="B1261" s="8">
        <v>35400157.971</v>
      </c>
      <c r="C1261" s="8">
        <v>891.566</v>
      </c>
      <c r="D1261" s="11">
        <v>45089</v>
      </c>
      <c r="E1261" s="74"/>
    </row>
    <row r="1262" ht="16.5" spans="1:5">
      <c r="A1262" s="8">
        <v>3045731.833</v>
      </c>
      <c r="B1262" s="8">
        <v>35400157.971</v>
      </c>
      <c r="C1262" s="8">
        <v>891.566</v>
      </c>
      <c r="D1262" s="11">
        <v>45090</v>
      </c>
      <c r="E1262" s="74"/>
    </row>
    <row r="1263" ht="16.5" spans="1:5">
      <c r="A1263" s="8">
        <v>3045731.833</v>
      </c>
      <c r="B1263" s="8">
        <v>35400157.971</v>
      </c>
      <c r="C1263" s="8">
        <v>891.566</v>
      </c>
      <c r="D1263" s="11">
        <v>45091</v>
      </c>
      <c r="E1263" s="74"/>
    </row>
    <row r="1264" ht="16.5" spans="1:5">
      <c r="A1264" s="8">
        <v>3045731.833</v>
      </c>
      <c r="B1264" s="8">
        <v>35400157.971</v>
      </c>
      <c r="C1264" s="8">
        <v>891.566</v>
      </c>
      <c r="D1264" s="11">
        <v>45092</v>
      </c>
      <c r="E1264" s="75">
        <v>889.1</v>
      </c>
    </row>
    <row r="1265" ht="16.5" spans="1:5">
      <c r="A1265" s="8">
        <v>3045731.833</v>
      </c>
      <c r="B1265" s="8">
        <v>35400157.971</v>
      </c>
      <c r="C1265" s="8">
        <v>891.566</v>
      </c>
      <c r="D1265" s="11">
        <v>45093</v>
      </c>
      <c r="E1265" s="75">
        <v>889</v>
      </c>
    </row>
    <row r="1266" ht="16.5" spans="1:5">
      <c r="A1266" s="8">
        <v>3045731.833</v>
      </c>
      <c r="B1266" s="8">
        <v>35400157.971</v>
      </c>
      <c r="C1266" s="8">
        <v>891.566</v>
      </c>
      <c r="D1266" s="11">
        <v>45094</v>
      </c>
      <c r="E1266" s="75">
        <v>888.99</v>
      </c>
    </row>
    <row r="1267" ht="16.5" spans="1:5">
      <c r="A1267" s="8">
        <v>3045731.833</v>
      </c>
      <c r="B1267" s="8">
        <v>35400157.971</v>
      </c>
      <c r="C1267" s="8">
        <v>891.566</v>
      </c>
      <c r="D1267" s="11">
        <v>45095</v>
      </c>
      <c r="E1267" s="75">
        <v>888.99</v>
      </c>
    </row>
    <row r="1268" ht="16.5" spans="1:5">
      <c r="A1268" s="8">
        <v>3045731.833</v>
      </c>
      <c r="B1268" s="8">
        <v>35400157.971</v>
      </c>
      <c r="C1268" s="8">
        <v>891.566</v>
      </c>
      <c r="D1268" s="11">
        <v>45096</v>
      </c>
      <c r="E1268" s="75">
        <v>888.98</v>
      </c>
    </row>
    <row r="1269" ht="16.5" spans="1:5">
      <c r="A1269" s="8">
        <v>3045731.833</v>
      </c>
      <c r="B1269" s="8">
        <v>35400157.971</v>
      </c>
      <c r="C1269" s="8">
        <v>891.566</v>
      </c>
      <c r="D1269" s="11">
        <v>45097</v>
      </c>
      <c r="E1269" s="75">
        <v>888.98</v>
      </c>
    </row>
    <row r="1270" ht="16.5" spans="1:5">
      <c r="A1270" s="8">
        <v>3045731.833</v>
      </c>
      <c r="B1270" s="8">
        <v>35400157.971</v>
      </c>
      <c r="C1270" s="8">
        <v>891.566</v>
      </c>
      <c r="D1270" s="11">
        <v>45098</v>
      </c>
      <c r="E1270" s="75">
        <v>888.98</v>
      </c>
    </row>
    <row r="1271" ht="16.5" spans="1:5">
      <c r="A1271" s="8">
        <v>3045731.833</v>
      </c>
      <c r="B1271" s="8">
        <v>35400157.971</v>
      </c>
      <c r="C1271" s="8">
        <v>891.566</v>
      </c>
      <c r="D1271" s="11">
        <v>45099</v>
      </c>
      <c r="E1271" s="75">
        <v>888.97</v>
      </c>
    </row>
    <row r="1272" ht="16.5" spans="1:5">
      <c r="A1272" s="8">
        <v>3045731.833</v>
      </c>
      <c r="B1272" s="8">
        <v>35400157.971</v>
      </c>
      <c r="C1272" s="8">
        <v>891.566</v>
      </c>
      <c r="D1272" s="11">
        <v>45100</v>
      </c>
      <c r="E1272" s="75">
        <v>888.97</v>
      </c>
    </row>
    <row r="1273" ht="16.5" spans="1:5">
      <c r="A1273" s="8">
        <v>3045731.833</v>
      </c>
      <c r="B1273" s="8">
        <v>35400157.971</v>
      </c>
      <c r="C1273" s="8">
        <v>891.566</v>
      </c>
      <c r="D1273" s="11">
        <v>45101</v>
      </c>
      <c r="E1273" s="75">
        <v>888.96</v>
      </c>
    </row>
    <row r="1274" ht="16.5" spans="1:5">
      <c r="A1274" s="8">
        <v>3045731.833</v>
      </c>
      <c r="B1274" s="8">
        <v>35400157.971</v>
      </c>
      <c r="C1274" s="8">
        <v>891.566</v>
      </c>
      <c r="D1274" s="11">
        <v>45102</v>
      </c>
      <c r="E1274" s="75">
        <v>888.95</v>
      </c>
    </row>
    <row r="1275" ht="16.5" spans="1:5">
      <c r="A1275" s="8">
        <v>3045731.833</v>
      </c>
      <c r="B1275" s="8">
        <v>35400157.971</v>
      </c>
      <c r="C1275" s="8">
        <v>891.566</v>
      </c>
      <c r="D1275" s="11">
        <v>45103</v>
      </c>
      <c r="E1275" s="75">
        <v>888.95</v>
      </c>
    </row>
    <row r="1276" ht="16.5" spans="1:5">
      <c r="A1276" s="8">
        <v>3045731.833</v>
      </c>
      <c r="B1276" s="8">
        <v>35400157.971</v>
      </c>
      <c r="C1276" s="8">
        <v>891.566</v>
      </c>
      <c r="D1276" s="11">
        <v>45104</v>
      </c>
      <c r="E1276" s="75">
        <v>888.95</v>
      </c>
    </row>
    <row r="1277" ht="16.5" spans="1:5">
      <c r="A1277" s="8">
        <v>3045731.833</v>
      </c>
      <c r="B1277" s="8">
        <v>35400157.971</v>
      </c>
      <c r="C1277" s="8">
        <v>891.566</v>
      </c>
      <c r="D1277" s="11">
        <v>45105</v>
      </c>
      <c r="E1277" s="75">
        <v>888.94</v>
      </c>
    </row>
    <row r="1278" ht="16.5" spans="1:5">
      <c r="A1278" s="8">
        <v>3045731.833</v>
      </c>
      <c r="B1278" s="8">
        <v>35400157.971</v>
      </c>
      <c r="C1278" s="8">
        <v>891.566</v>
      </c>
      <c r="D1278" s="11">
        <v>45106</v>
      </c>
      <c r="E1278" s="75">
        <v>888.94</v>
      </c>
    </row>
    <row r="1279" ht="16.5" spans="1:5">
      <c r="A1279" s="8">
        <v>3045731.833</v>
      </c>
      <c r="B1279" s="8">
        <v>35400157.971</v>
      </c>
      <c r="C1279" s="8">
        <v>891.566</v>
      </c>
      <c r="D1279" s="11">
        <v>45107</v>
      </c>
      <c r="E1279" s="75">
        <v>888.93</v>
      </c>
    </row>
    <row r="1280" ht="16.5" spans="1:5">
      <c r="A1280" s="8">
        <v>3045731.833</v>
      </c>
      <c r="B1280" s="8">
        <v>35400157.971</v>
      </c>
      <c r="C1280" s="8">
        <v>891.566</v>
      </c>
      <c r="D1280" s="11">
        <v>45108</v>
      </c>
      <c r="E1280" s="75">
        <v>888.93</v>
      </c>
    </row>
    <row r="1281" ht="16.5" spans="1:5">
      <c r="A1281" s="8">
        <v>3045731.833</v>
      </c>
      <c r="B1281" s="8">
        <v>35400157.971</v>
      </c>
      <c r="C1281" s="8">
        <v>891.566</v>
      </c>
      <c r="D1281" s="11">
        <v>45109</v>
      </c>
      <c r="E1281" s="75">
        <v>888.92</v>
      </c>
    </row>
    <row r="1282" ht="16.5" spans="1:5">
      <c r="A1282" s="8">
        <v>3045731.833</v>
      </c>
      <c r="B1282" s="8">
        <v>35400157.971</v>
      </c>
      <c r="C1282" s="8">
        <v>891.566</v>
      </c>
      <c r="D1282" s="11">
        <v>45110</v>
      </c>
      <c r="E1282" s="75">
        <v>888.92</v>
      </c>
    </row>
    <row r="1283" ht="16.5" spans="1:5">
      <c r="A1283" s="8">
        <v>3045731.833</v>
      </c>
      <c r="B1283" s="8">
        <v>35400157.971</v>
      </c>
      <c r="C1283" s="8">
        <v>891.566</v>
      </c>
      <c r="D1283" s="11">
        <v>45111</v>
      </c>
      <c r="E1283" s="75">
        <v>888.92</v>
      </c>
    </row>
    <row r="1284" ht="16.5" spans="1:5">
      <c r="A1284" s="8">
        <v>3045731.833</v>
      </c>
      <c r="B1284" s="8">
        <v>35400157.971</v>
      </c>
      <c r="C1284" s="8">
        <v>891.566</v>
      </c>
      <c r="D1284" s="11">
        <v>45112</v>
      </c>
      <c r="E1284" s="75">
        <v>888.91</v>
      </c>
    </row>
    <row r="1285" ht="16.5" spans="1:5">
      <c r="A1285" s="8">
        <v>3045731.833</v>
      </c>
      <c r="B1285" s="8">
        <v>35400157.971</v>
      </c>
      <c r="C1285" s="8">
        <v>891.566</v>
      </c>
      <c r="D1285" s="11">
        <v>45113</v>
      </c>
      <c r="E1285" s="75">
        <v>888.91</v>
      </c>
    </row>
    <row r="1286" ht="16.5" spans="1:5">
      <c r="A1286" s="8">
        <v>3045731.833</v>
      </c>
      <c r="B1286" s="8">
        <v>35400157.971</v>
      </c>
      <c r="C1286" s="8">
        <v>891.566</v>
      </c>
      <c r="D1286" s="11">
        <v>45114</v>
      </c>
      <c r="E1286" s="75">
        <v>888.91</v>
      </c>
    </row>
    <row r="1287" ht="16.5" spans="1:5">
      <c r="A1287" s="8">
        <v>3045731.833</v>
      </c>
      <c r="B1287" s="8">
        <v>35400157.971</v>
      </c>
      <c r="C1287" s="8">
        <v>891.566</v>
      </c>
      <c r="D1287" s="11">
        <v>45115</v>
      </c>
      <c r="E1287" s="75">
        <v>888.9</v>
      </c>
    </row>
    <row r="1288" ht="16.5" spans="1:5">
      <c r="A1288" s="8">
        <v>3045731.833</v>
      </c>
      <c r="B1288" s="8">
        <v>35400157.971</v>
      </c>
      <c r="C1288" s="8">
        <v>891.566</v>
      </c>
      <c r="D1288" s="11">
        <v>45116</v>
      </c>
      <c r="E1288" s="75">
        <v>888.9</v>
      </c>
    </row>
    <row r="1289" ht="16.5" spans="1:5">
      <c r="A1289" s="8">
        <v>3045731.833</v>
      </c>
      <c r="B1289" s="8">
        <v>35400157.971</v>
      </c>
      <c r="C1289" s="8">
        <v>891.566</v>
      </c>
      <c r="D1289" s="11">
        <v>45117</v>
      </c>
      <c r="E1289" s="75">
        <v>888.89</v>
      </c>
    </row>
    <row r="1290" ht="16.5" spans="1:5">
      <c r="A1290" s="8">
        <v>3045731.833</v>
      </c>
      <c r="B1290" s="8">
        <v>35400157.971</v>
      </c>
      <c r="C1290" s="8">
        <v>891.566</v>
      </c>
      <c r="D1290" s="11">
        <v>45118</v>
      </c>
      <c r="E1290" s="75">
        <v>888.89</v>
      </c>
    </row>
    <row r="1291" ht="16.5" spans="1:5">
      <c r="A1291" s="8">
        <v>3045731.833</v>
      </c>
      <c r="B1291" s="8">
        <v>35400157.971</v>
      </c>
      <c r="C1291" s="8">
        <v>891.566</v>
      </c>
      <c r="D1291" s="11">
        <v>45119</v>
      </c>
      <c r="E1291" s="75">
        <v>888.88</v>
      </c>
    </row>
    <row r="1292" ht="16.5" spans="1:5">
      <c r="A1292" s="8">
        <v>3045731.833</v>
      </c>
      <c r="B1292" s="8">
        <v>35400157.971</v>
      </c>
      <c r="C1292" s="8">
        <v>891.566</v>
      </c>
      <c r="D1292" s="11">
        <v>45120</v>
      </c>
      <c r="E1292" s="75">
        <v>888.88</v>
      </c>
    </row>
    <row r="1293" ht="16.5" spans="1:5">
      <c r="A1293" s="8">
        <v>3045731.833</v>
      </c>
      <c r="B1293" s="8">
        <v>35400157.971</v>
      </c>
      <c r="C1293" s="8">
        <v>891.566</v>
      </c>
      <c r="D1293" s="11">
        <v>45121</v>
      </c>
      <c r="E1293" s="75">
        <v>888.88</v>
      </c>
    </row>
    <row r="1294" ht="16.5" spans="1:5">
      <c r="A1294" s="8">
        <v>3045731.833</v>
      </c>
      <c r="B1294" s="8">
        <v>35400157.971</v>
      </c>
      <c r="C1294" s="8">
        <v>891.566</v>
      </c>
      <c r="D1294" s="11">
        <v>45122</v>
      </c>
      <c r="E1294" s="75">
        <v>888.88</v>
      </c>
    </row>
    <row r="1295" ht="16.5" spans="1:5">
      <c r="A1295" s="8">
        <v>3045731.833</v>
      </c>
      <c r="B1295" s="8">
        <v>35400157.971</v>
      </c>
      <c r="C1295" s="8">
        <v>891.566</v>
      </c>
      <c r="D1295" s="11">
        <v>45123</v>
      </c>
      <c r="E1295" s="75">
        <v>888.87</v>
      </c>
    </row>
    <row r="1296" ht="16.5" spans="1:5">
      <c r="A1296" s="8">
        <v>3045731.833</v>
      </c>
      <c r="B1296" s="8">
        <v>35400157.971</v>
      </c>
      <c r="C1296" s="8">
        <v>891.566</v>
      </c>
      <c r="D1296" s="11">
        <v>45124</v>
      </c>
      <c r="E1296" s="75">
        <v>888.87</v>
      </c>
    </row>
    <row r="1297" ht="16.5" spans="1:5">
      <c r="A1297" s="8">
        <v>3045731.833</v>
      </c>
      <c r="B1297" s="8">
        <v>35400157.971</v>
      </c>
      <c r="C1297" s="8">
        <v>891.566</v>
      </c>
      <c r="D1297" s="11">
        <v>45125</v>
      </c>
      <c r="E1297" s="75">
        <v>888.86</v>
      </c>
    </row>
    <row r="1298" ht="16.5" spans="1:5">
      <c r="A1298" s="8">
        <v>3045731.833</v>
      </c>
      <c r="B1298" s="8">
        <v>35400157.971</v>
      </c>
      <c r="C1298" s="8">
        <v>891.566</v>
      </c>
      <c r="D1298" s="11">
        <v>45126</v>
      </c>
      <c r="E1298" s="75">
        <v>888.86</v>
      </c>
    </row>
    <row r="1299" ht="16.5" spans="1:5">
      <c r="A1299" s="8">
        <v>3045731.833</v>
      </c>
      <c r="B1299" s="8">
        <v>35400157.971</v>
      </c>
      <c r="C1299" s="8">
        <v>891.566</v>
      </c>
      <c r="D1299" s="11">
        <v>45127</v>
      </c>
      <c r="E1299" s="75">
        <v>888.85</v>
      </c>
    </row>
    <row r="1300" ht="16.5" spans="1:5">
      <c r="A1300" s="8">
        <v>3045731.833</v>
      </c>
      <c r="B1300" s="8">
        <v>35400157.971</v>
      </c>
      <c r="C1300" s="8">
        <v>891.566</v>
      </c>
      <c r="D1300" s="11">
        <v>45128</v>
      </c>
      <c r="E1300" s="75">
        <v>888.85</v>
      </c>
    </row>
    <row r="1301" ht="16.5" spans="1:5">
      <c r="A1301" s="8">
        <v>3045731.833</v>
      </c>
      <c r="B1301" s="8">
        <v>35400157.971</v>
      </c>
      <c r="C1301" s="8">
        <v>891.566</v>
      </c>
      <c r="D1301" s="11">
        <v>45129</v>
      </c>
      <c r="E1301" s="75">
        <v>888.85</v>
      </c>
    </row>
    <row r="1302" ht="16.5" spans="1:5">
      <c r="A1302" s="8">
        <v>3045731.833</v>
      </c>
      <c r="B1302" s="8">
        <v>35400157.971</v>
      </c>
      <c r="C1302" s="8">
        <v>891.566</v>
      </c>
      <c r="D1302" s="11">
        <v>45130</v>
      </c>
      <c r="E1302" s="75">
        <v>888.84</v>
      </c>
    </row>
    <row r="1303" ht="16.5" spans="1:5">
      <c r="A1303" s="8">
        <v>3045731.833</v>
      </c>
      <c r="B1303" s="8">
        <v>35400157.971</v>
      </c>
      <c r="C1303" s="8">
        <v>891.566</v>
      </c>
      <c r="D1303" s="11">
        <v>45131</v>
      </c>
      <c r="E1303" s="75">
        <v>888.84</v>
      </c>
    </row>
    <row r="1304" ht="16.5" spans="1:5">
      <c r="A1304" s="8">
        <v>3045731.833</v>
      </c>
      <c r="B1304" s="8">
        <v>35400157.971</v>
      </c>
      <c r="C1304" s="8">
        <v>891.566</v>
      </c>
      <c r="D1304" s="11">
        <v>45132</v>
      </c>
      <c r="E1304" s="75">
        <v>888.84</v>
      </c>
    </row>
    <row r="1305" ht="16.5" spans="1:5">
      <c r="A1305" s="8">
        <v>3045731.833</v>
      </c>
      <c r="B1305" s="8">
        <v>35400157.971</v>
      </c>
      <c r="C1305" s="8">
        <v>891.566</v>
      </c>
      <c r="D1305" s="11">
        <v>45133</v>
      </c>
      <c r="E1305" s="75">
        <v>888.84</v>
      </c>
    </row>
    <row r="1306" ht="16.5" spans="1:5">
      <c r="A1306" s="8">
        <v>3045731.833</v>
      </c>
      <c r="B1306" s="8">
        <v>35400157.971</v>
      </c>
      <c r="C1306" s="8">
        <v>891.566</v>
      </c>
      <c r="D1306" s="11">
        <v>45134</v>
      </c>
      <c r="E1306" s="75">
        <v>888.83</v>
      </c>
    </row>
    <row r="1307" ht="16.5" spans="1:5">
      <c r="A1307" s="8">
        <v>3045731.833</v>
      </c>
      <c r="B1307" s="8">
        <v>35400157.971</v>
      </c>
      <c r="C1307" s="8">
        <v>891.566</v>
      </c>
      <c r="D1307" s="11">
        <v>45135</v>
      </c>
      <c r="E1307" s="75">
        <v>888.83</v>
      </c>
    </row>
    <row r="1308" ht="16.5" spans="1:5">
      <c r="A1308" s="8">
        <v>3045731.833</v>
      </c>
      <c r="B1308" s="8">
        <v>35400157.971</v>
      </c>
      <c r="C1308" s="8">
        <v>891.566</v>
      </c>
      <c r="D1308" s="11">
        <v>45136</v>
      </c>
      <c r="E1308" s="75">
        <v>888.83</v>
      </c>
    </row>
    <row r="1309" ht="16.5" spans="1:5">
      <c r="A1309" s="8">
        <v>3045731.833</v>
      </c>
      <c r="B1309" s="8">
        <v>35400157.971</v>
      </c>
      <c r="C1309" s="8">
        <v>891.566</v>
      </c>
      <c r="D1309" s="11">
        <v>45137</v>
      </c>
      <c r="E1309" s="75">
        <v>888.82</v>
      </c>
    </row>
    <row r="1310" ht="16.5" spans="1:5">
      <c r="A1310" s="8">
        <v>3045731.833</v>
      </c>
      <c r="B1310" s="8">
        <v>35400157.971</v>
      </c>
      <c r="C1310" s="8">
        <v>891.566</v>
      </c>
      <c r="D1310" s="11">
        <v>45138</v>
      </c>
      <c r="E1310" s="75">
        <v>888.82</v>
      </c>
    </row>
    <row r="1311" ht="16.5" spans="1:5">
      <c r="A1311" s="8">
        <v>3045731.833</v>
      </c>
      <c r="B1311" s="8">
        <v>35400157.971</v>
      </c>
      <c r="C1311" s="8">
        <v>891.566</v>
      </c>
      <c r="D1311" s="11">
        <v>45139</v>
      </c>
      <c r="E1311" s="75">
        <v>888.82</v>
      </c>
    </row>
    <row r="1312" ht="16.5" spans="1:5">
      <c r="A1312" s="8">
        <v>3045731.833</v>
      </c>
      <c r="B1312" s="8">
        <v>35400157.971</v>
      </c>
      <c r="C1312" s="8">
        <v>891.566</v>
      </c>
      <c r="D1312" s="11">
        <v>45140</v>
      </c>
      <c r="E1312" s="75">
        <v>888.82</v>
      </c>
    </row>
    <row r="1313" ht="16.5" spans="1:5">
      <c r="A1313" s="8">
        <v>3045731.833</v>
      </c>
      <c r="B1313" s="8">
        <v>35400157.971</v>
      </c>
      <c r="C1313" s="8">
        <v>891.566</v>
      </c>
      <c r="D1313" s="11">
        <v>45141</v>
      </c>
      <c r="E1313" s="75">
        <v>888.816</v>
      </c>
    </row>
    <row r="1314" ht="16.5" spans="1:5">
      <c r="A1314" s="8">
        <v>3045731.833</v>
      </c>
      <c r="B1314" s="8">
        <v>35400157.971</v>
      </c>
      <c r="C1314" s="8">
        <v>891.566</v>
      </c>
      <c r="D1314" s="11">
        <v>45142</v>
      </c>
      <c r="E1314" s="75">
        <v>888.815</v>
      </c>
    </row>
    <row r="1315" ht="16.5" spans="1:5">
      <c r="A1315" s="8">
        <v>3045731.833</v>
      </c>
      <c r="B1315" s="8">
        <v>35400157.971</v>
      </c>
      <c r="C1315" s="8">
        <v>891.566</v>
      </c>
      <c r="D1315" s="11">
        <v>45143</v>
      </c>
      <c r="E1315" s="75">
        <v>888.814</v>
      </c>
    </row>
    <row r="1316" ht="16.5" spans="1:5">
      <c r="A1316" s="8">
        <v>3045731.833</v>
      </c>
      <c r="B1316" s="8">
        <v>35400157.971</v>
      </c>
      <c r="C1316" s="8">
        <v>891.566</v>
      </c>
      <c r="D1316" s="11">
        <v>45144</v>
      </c>
      <c r="E1316" s="75">
        <v>888.813</v>
      </c>
    </row>
    <row r="1317" ht="16.5" spans="1:5">
      <c r="A1317" s="8">
        <v>3045731.833</v>
      </c>
      <c r="B1317" s="8">
        <v>35400157.971</v>
      </c>
      <c r="C1317" s="8">
        <v>891.566</v>
      </c>
      <c r="D1317" s="11">
        <v>45145</v>
      </c>
      <c r="E1317" s="75">
        <v>888.812</v>
      </c>
    </row>
    <row r="1318" ht="16.5" spans="1:5">
      <c r="A1318" s="8">
        <v>3045731.833</v>
      </c>
      <c r="B1318" s="8">
        <v>35400157.971</v>
      </c>
      <c r="C1318" s="8">
        <v>891.566</v>
      </c>
      <c r="D1318" s="11">
        <v>45146</v>
      </c>
      <c r="E1318" s="75">
        <v>888.807</v>
      </c>
    </row>
    <row r="1319" ht="16.5" spans="1:5">
      <c r="A1319" s="8">
        <v>3045731.833</v>
      </c>
      <c r="B1319" s="8">
        <v>35400157.971</v>
      </c>
      <c r="C1319" s="8">
        <v>891.566</v>
      </c>
      <c r="D1319" s="11">
        <v>45147</v>
      </c>
      <c r="E1319" s="74"/>
    </row>
    <row r="1320" ht="16.5" spans="1:5">
      <c r="A1320" s="8">
        <v>3045731.833</v>
      </c>
      <c r="B1320" s="8">
        <v>35400157.971</v>
      </c>
      <c r="C1320" s="8">
        <v>891.566</v>
      </c>
      <c r="D1320" s="11">
        <v>45148</v>
      </c>
      <c r="E1320" s="74"/>
    </row>
    <row r="1321" ht="16.5" spans="1:5">
      <c r="A1321" s="8">
        <v>3045731.833</v>
      </c>
      <c r="B1321" s="8">
        <v>35400157.971</v>
      </c>
      <c r="C1321" s="8">
        <v>891.566</v>
      </c>
      <c r="D1321" s="11">
        <v>45149</v>
      </c>
      <c r="E1321" s="75"/>
    </row>
    <row r="1322" ht="16.5" spans="1:5">
      <c r="A1322" s="8">
        <v>3045731.833</v>
      </c>
      <c r="B1322" s="8">
        <v>35400157.971</v>
      </c>
      <c r="C1322" s="8">
        <v>891.566</v>
      </c>
      <c r="D1322" s="11">
        <v>45150</v>
      </c>
      <c r="E1322" s="75">
        <v>888.79</v>
      </c>
    </row>
    <row r="1323" ht="16.5" spans="1:5">
      <c r="A1323" s="8">
        <v>3045731.833</v>
      </c>
      <c r="B1323" s="8">
        <v>35400157.971</v>
      </c>
      <c r="C1323" s="8">
        <v>891.566</v>
      </c>
      <c r="D1323" s="11">
        <v>45151</v>
      </c>
      <c r="E1323" s="75">
        <v>888.79</v>
      </c>
    </row>
    <row r="1324" ht="16.5" spans="1:5">
      <c r="A1324" s="8">
        <v>3045731.833</v>
      </c>
      <c r="B1324" s="8">
        <v>35400157.971</v>
      </c>
      <c r="C1324" s="8">
        <v>891.566</v>
      </c>
      <c r="D1324" s="11">
        <v>45152</v>
      </c>
      <c r="E1324" s="75">
        <v>888.78</v>
      </c>
    </row>
    <row r="1325" ht="16.5" spans="1:5">
      <c r="A1325" s="8">
        <v>3045731.833</v>
      </c>
      <c r="B1325" s="8">
        <v>35400157.971</v>
      </c>
      <c r="C1325" s="8">
        <v>891.566</v>
      </c>
      <c r="D1325" s="11">
        <v>45153</v>
      </c>
      <c r="E1325" s="77">
        <v>888.74</v>
      </c>
    </row>
    <row r="1326" ht="16.5" spans="1:5">
      <c r="A1326" s="8">
        <v>3045731.833</v>
      </c>
      <c r="B1326" s="8">
        <v>35400157.971</v>
      </c>
      <c r="C1326" s="8">
        <v>891.566</v>
      </c>
      <c r="D1326" s="11">
        <v>45154</v>
      </c>
      <c r="E1326" s="75">
        <v>888.7</v>
      </c>
    </row>
    <row r="1327" ht="16.5" spans="1:5">
      <c r="A1327" s="8">
        <v>3045731.833</v>
      </c>
      <c r="B1327" s="8">
        <v>35400157.971</v>
      </c>
      <c r="C1327" s="8">
        <v>891.566</v>
      </c>
      <c r="D1327" s="11">
        <v>45155</v>
      </c>
      <c r="E1327" s="75">
        <v>888.67</v>
      </c>
    </row>
    <row r="1328" ht="16.5" spans="1:5">
      <c r="A1328" s="8">
        <v>3045731.833</v>
      </c>
      <c r="B1328" s="8">
        <v>35400157.971</v>
      </c>
      <c r="C1328" s="8">
        <v>891.566</v>
      </c>
      <c r="D1328" s="11">
        <v>45156</v>
      </c>
      <c r="E1328" s="75">
        <v>888.652</v>
      </c>
    </row>
    <row r="1329" ht="16.5" spans="1:5">
      <c r="A1329" s="8">
        <v>3045731.833</v>
      </c>
      <c r="B1329" s="8">
        <v>35400157.971</v>
      </c>
      <c r="C1329" s="8">
        <v>891.566</v>
      </c>
      <c r="D1329" s="11">
        <v>45157</v>
      </c>
      <c r="E1329" s="75">
        <v>888.762</v>
      </c>
    </row>
    <row r="1330" ht="16.5" spans="1:5">
      <c r="A1330" s="8">
        <v>3045731.833</v>
      </c>
      <c r="B1330" s="8">
        <v>35400157.971</v>
      </c>
      <c r="C1330" s="8">
        <v>891.566</v>
      </c>
      <c r="D1330" s="11">
        <v>45158</v>
      </c>
      <c r="E1330" s="75">
        <v>888.777</v>
      </c>
    </row>
    <row r="1331" ht="16.5" spans="1:5">
      <c r="A1331" s="8">
        <v>3045731.833</v>
      </c>
      <c r="B1331" s="8">
        <v>35400157.971</v>
      </c>
      <c r="C1331" s="8">
        <v>891.566</v>
      </c>
      <c r="D1331" s="11">
        <v>45159</v>
      </c>
      <c r="E1331" s="75">
        <v>888.78</v>
      </c>
    </row>
    <row r="1332" ht="16.5" spans="1:5">
      <c r="A1332" s="8">
        <v>3045731.833</v>
      </c>
      <c r="B1332" s="8">
        <v>35400157.971</v>
      </c>
      <c r="C1332" s="8">
        <v>891.566</v>
      </c>
      <c r="D1332" s="11">
        <v>45160</v>
      </c>
      <c r="E1332" s="75">
        <v>888.781</v>
      </c>
    </row>
    <row r="1333" ht="16.5" spans="1:5">
      <c r="A1333" s="8">
        <v>3045731.833</v>
      </c>
      <c r="B1333" s="8">
        <v>35400157.971</v>
      </c>
      <c r="C1333" s="8">
        <v>891.566</v>
      </c>
      <c r="D1333" s="11">
        <v>45161</v>
      </c>
      <c r="E1333" s="75">
        <v>888.766</v>
      </c>
    </row>
    <row r="1334" ht="16.5" spans="1:5">
      <c r="A1334" s="8">
        <v>3045731.833</v>
      </c>
      <c r="B1334" s="8">
        <v>35400157.971</v>
      </c>
      <c r="C1334" s="8">
        <v>891.566</v>
      </c>
      <c r="D1334" s="11">
        <v>45162</v>
      </c>
      <c r="E1334" s="75">
        <v>888.772</v>
      </c>
    </row>
    <row r="1335" ht="16.5" spans="1:5">
      <c r="A1335" s="8">
        <v>3045731.833</v>
      </c>
      <c r="B1335" s="8">
        <v>35400157.971</v>
      </c>
      <c r="C1335" s="8">
        <v>891.566</v>
      </c>
      <c r="D1335" s="11">
        <v>45163</v>
      </c>
      <c r="E1335" s="75">
        <v>888.772</v>
      </c>
    </row>
    <row r="1336" ht="16.5" spans="1:5">
      <c r="A1336" s="8">
        <v>3045731.833</v>
      </c>
      <c r="B1336" s="8">
        <v>35400157.971</v>
      </c>
      <c r="C1336" s="8">
        <v>891.566</v>
      </c>
      <c r="D1336" s="11">
        <v>45164</v>
      </c>
      <c r="E1336" s="75">
        <v>888.774</v>
      </c>
    </row>
    <row r="1337" ht="16.5" spans="1:5">
      <c r="A1337" s="8">
        <v>3045731.833</v>
      </c>
      <c r="B1337" s="8">
        <v>35400157.971</v>
      </c>
      <c r="C1337" s="8">
        <v>891.566</v>
      </c>
      <c r="D1337" s="11">
        <v>45165</v>
      </c>
      <c r="E1337" s="75">
        <v>888.769</v>
      </c>
    </row>
    <row r="1338" ht="16.5" spans="1:5">
      <c r="A1338" s="8">
        <v>3045731.833</v>
      </c>
      <c r="B1338" s="8">
        <v>35400157.971</v>
      </c>
      <c r="C1338" s="8">
        <v>891.566</v>
      </c>
      <c r="D1338" s="11">
        <v>45166</v>
      </c>
      <c r="E1338" s="75">
        <v>888.769</v>
      </c>
    </row>
    <row r="1339" ht="16.5" spans="1:5">
      <c r="A1339" s="8">
        <v>3045731.833</v>
      </c>
      <c r="B1339" s="8">
        <v>35400157.971</v>
      </c>
      <c r="C1339" s="8">
        <v>891.566</v>
      </c>
      <c r="D1339" s="11">
        <v>45167</v>
      </c>
      <c r="E1339" s="75">
        <v>888.767</v>
      </c>
    </row>
    <row r="1340" ht="16.5" spans="1:5">
      <c r="A1340" s="8">
        <v>3045731.833</v>
      </c>
      <c r="B1340" s="8">
        <v>35400157.971</v>
      </c>
      <c r="C1340" s="8">
        <v>891.566</v>
      </c>
      <c r="D1340" s="11">
        <v>45168</v>
      </c>
      <c r="E1340" s="75">
        <v>888.757</v>
      </c>
    </row>
    <row r="1341" ht="16.5" spans="1:5">
      <c r="A1341" s="8">
        <v>3045731.833</v>
      </c>
      <c r="B1341" s="8">
        <v>35400157.971</v>
      </c>
      <c r="C1341" s="8">
        <v>891.566</v>
      </c>
      <c r="D1341" s="11">
        <v>45169</v>
      </c>
      <c r="E1341" s="75">
        <v>888.726</v>
      </c>
    </row>
    <row r="1342" ht="16.5" spans="1:5">
      <c r="A1342" s="8">
        <v>3045731.833</v>
      </c>
      <c r="B1342" s="8">
        <v>35400157.971</v>
      </c>
      <c r="C1342" s="8">
        <v>891.566</v>
      </c>
      <c r="D1342" s="11">
        <v>45170</v>
      </c>
      <c r="E1342" s="75">
        <v>888.673</v>
      </c>
    </row>
    <row r="1343" ht="16.5" spans="1:5">
      <c r="A1343" s="8">
        <v>3045731.833</v>
      </c>
      <c r="B1343" s="8">
        <v>35400157.971</v>
      </c>
      <c r="C1343" s="8">
        <v>891.566</v>
      </c>
      <c r="D1343" s="11">
        <v>45171</v>
      </c>
      <c r="E1343" s="75">
        <v>888.627</v>
      </c>
    </row>
    <row r="1344" ht="16.5" spans="1:5">
      <c r="A1344" s="8">
        <v>3045731.833</v>
      </c>
      <c r="B1344" s="8">
        <v>35400157.971</v>
      </c>
      <c r="C1344" s="8">
        <v>891.566</v>
      </c>
      <c r="D1344" s="11">
        <v>45172</v>
      </c>
      <c r="E1344" s="75">
        <v>888.584</v>
      </c>
    </row>
    <row r="1345" ht="16.5" spans="1:5">
      <c r="A1345" s="8">
        <v>3045731.833</v>
      </c>
      <c r="B1345" s="8">
        <v>35400157.971</v>
      </c>
      <c r="C1345" s="8">
        <v>891.566</v>
      </c>
      <c r="D1345" s="11">
        <v>45173</v>
      </c>
      <c r="E1345" s="75">
        <v>888.546</v>
      </c>
    </row>
    <row r="1346" ht="16.5" spans="1:5">
      <c r="A1346" s="8">
        <v>3045731.833</v>
      </c>
      <c r="B1346" s="8">
        <v>35400157.971</v>
      </c>
      <c r="C1346" s="8">
        <v>891.566</v>
      </c>
      <c r="D1346" s="11">
        <v>45174</v>
      </c>
      <c r="E1346" s="75">
        <v>888.5</v>
      </c>
    </row>
    <row r="1347" ht="16.5" spans="1:5">
      <c r="A1347" s="8">
        <v>3045731.833</v>
      </c>
      <c r="B1347" s="8">
        <v>35400157.971</v>
      </c>
      <c r="C1347" s="8">
        <v>891.566</v>
      </c>
      <c r="D1347" s="11">
        <v>45175</v>
      </c>
      <c r="E1347" s="75">
        <v>888.455</v>
      </c>
    </row>
    <row r="1348" ht="16.5" spans="1:5">
      <c r="A1348" s="8">
        <v>3045731.833</v>
      </c>
      <c r="B1348" s="8">
        <v>35400157.971</v>
      </c>
      <c r="C1348" s="8">
        <v>891.566</v>
      </c>
      <c r="D1348" s="11">
        <v>45176</v>
      </c>
      <c r="E1348" s="75">
        <v>888.455</v>
      </c>
    </row>
    <row r="1349" ht="16.5" spans="1:5">
      <c r="A1349" s="8">
        <v>3045731.833</v>
      </c>
      <c r="B1349" s="8">
        <v>35400157.971</v>
      </c>
      <c r="C1349" s="8">
        <v>891.566</v>
      </c>
      <c r="D1349" s="11">
        <v>45177</v>
      </c>
      <c r="E1349" s="75">
        <v>887.806</v>
      </c>
    </row>
    <row r="1350" ht="16.5" spans="1:5">
      <c r="A1350" s="8">
        <v>3045731.833</v>
      </c>
      <c r="B1350" s="8">
        <v>35400157.971</v>
      </c>
      <c r="C1350" s="8">
        <v>891.566</v>
      </c>
      <c r="D1350" s="11">
        <v>45178</v>
      </c>
      <c r="E1350" s="75">
        <v>888.083</v>
      </c>
    </row>
    <row r="1351" ht="16.5" spans="1:5">
      <c r="A1351" s="8">
        <v>3045731.833</v>
      </c>
      <c r="B1351" s="8">
        <v>35400157.971</v>
      </c>
      <c r="C1351" s="8">
        <v>891.566</v>
      </c>
      <c r="D1351" s="11">
        <v>45179</v>
      </c>
      <c r="E1351" s="75">
        <v>888.27</v>
      </c>
    </row>
    <row r="1352" ht="16.5" spans="1:5">
      <c r="A1352" s="8">
        <v>3045731.833</v>
      </c>
      <c r="B1352" s="8">
        <v>35400157.971</v>
      </c>
      <c r="C1352" s="8">
        <v>891.566</v>
      </c>
      <c r="D1352" s="11">
        <v>45180</v>
      </c>
      <c r="E1352" s="75">
        <v>888.451</v>
      </c>
    </row>
    <row r="1353" ht="16.5" spans="1:5">
      <c r="A1353" s="8">
        <v>3045731.833</v>
      </c>
      <c r="B1353" s="8">
        <v>35400157.971</v>
      </c>
      <c r="C1353" s="8">
        <v>891.566</v>
      </c>
      <c r="D1353" s="11">
        <v>45181</v>
      </c>
      <c r="E1353" s="75">
        <v>888.463</v>
      </c>
    </row>
    <row r="1354" ht="16.5" spans="1:5">
      <c r="A1354" s="8">
        <v>3045731.833</v>
      </c>
      <c r="B1354" s="8">
        <v>35400157.971</v>
      </c>
      <c r="C1354" s="8">
        <v>891.566</v>
      </c>
      <c r="D1354" s="11">
        <v>45182</v>
      </c>
      <c r="E1354" s="75">
        <v>888.458</v>
      </c>
    </row>
    <row r="1355" ht="16.5" spans="1:5">
      <c r="A1355" s="8">
        <v>3045731.833</v>
      </c>
      <c r="B1355" s="8">
        <v>35400157.971</v>
      </c>
      <c r="C1355" s="8">
        <v>891.566</v>
      </c>
      <c r="D1355" s="11">
        <v>45183</v>
      </c>
      <c r="E1355" s="75">
        <v>888.425</v>
      </c>
    </row>
    <row r="1356" ht="16.5" spans="1:5">
      <c r="A1356" s="8">
        <v>3045731.833</v>
      </c>
      <c r="B1356" s="8">
        <v>35400157.971</v>
      </c>
      <c r="C1356" s="8">
        <v>891.566</v>
      </c>
      <c r="D1356" s="11">
        <v>45184</v>
      </c>
      <c r="E1356" s="75">
        <v>888.372</v>
      </c>
    </row>
    <row r="1357" ht="16.5" spans="1:5">
      <c r="A1357" s="8">
        <v>3045731.833</v>
      </c>
      <c r="B1357" s="8">
        <v>35400157.971</v>
      </c>
      <c r="C1357" s="8">
        <v>891.566</v>
      </c>
      <c r="D1357" s="11">
        <v>45185</v>
      </c>
      <c r="E1357" s="75">
        <v>888.326</v>
      </c>
    </row>
    <row r="1358" ht="16.5" spans="1:5">
      <c r="A1358" s="8">
        <v>3045731.833</v>
      </c>
      <c r="B1358" s="8">
        <v>35400157.971</v>
      </c>
      <c r="C1358" s="8">
        <v>891.566</v>
      </c>
      <c r="D1358" s="11">
        <v>45186</v>
      </c>
      <c r="E1358" s="75">
        <v>888.289</v>
      </c>
    </row>
    <row r="1359" ht="16.5" spans="1:5">
      <c r="A1359" s="8">
        <v>3045731.833</v>
      </c>
      <c r="B1359" s="8">
        <v>35400157.971</v>
      </c>
      <c r="C1359" s="8">
        <v>891.566</v>
      </c>
      <c r="D1359" s="11">
        <v>45187</v>
      </c>
      <c r="E1359" s="75">
        <v>888.253</v>
      </c>
    </row>
    <row r="1360" ht="16.5" spans="1:5">
      <c r="A1360" s="8">
        <v>3045731.833</v>
      </c>
      <c r="B1360" s="8">
        <v>35400157.971</v>
      </c>
      <c r="C1360" s="8">
        <v>891.566</v>
      </c>
      <c r="D1360" s="11">
        <v>45188</v>
      </c>
      <c r="E1360" s="75">
        <v>888.228</v>
      </c>
    </row>
    <row r="1361" ht="16.5" spans="1:5">
      <c r="A1361" s="8">
        <v>3045731.833</v>
      </c>
      <c r="B1361" s="8">
        <v>35400157.971</v>
      </c>
      <c r="C1361" s="8">
        <v>891.566</v>
      </c>
      <c r="D1361" s="11">
        <v>45189</v>
      </c>
      <c r="E1361" s="75">
        <v>888.195</v>
      </c>
    </row>
    <row r="1362" ht="16.5" spans="1:5">
      <c r="A1362" s="8">
        <v>3045731.833</v>
      </c>
      <c r="B1362" s="8">
        <v>35400157.971</v>
      </c>
      <c r="C1362" s="8">
        <v>891.566</v>
      </c>
      <c r="D1362" s="11">
        <v>45190</v>
      </c>
      <c r="E1362" s="75">
        <v>888.18</v>
      </c>
    </row>
    <row r="1363" ht="16.5" spans="1:5">
      <c r="A1363" s="8">
        <v>3045731.833</v>
      </c>
      <c r="B1363" s="8">
        <v>35400157.971</v>
      </c>
      <c r="C1363" s="8">
        <v>891.566</v>
      </c>
      <c r="D1363" s="11">
        <v>45191</v>
      </c>
      <c r="E1363" s="75">
        <v>888.2</v>
      </c>
    </row>
    <row r="1364" ht="16.5" spans="1:5">
      <c r="A1364" s="8">
        <v>3045731.833</v>
      </c>
      <c r="B1364" s="8">
        <v>35400157.971</v>
      </c>
      <c r="C1364" s="8">
        <v>891.566</v>
      </c>
      <c r="D1364" s="11">
        <v>45192</v>
      </c>
      <c r="E1364" s="75">
        <v>888.201</v>
      </c>
    </row>
    <row r="1365" ht="16.5" spans="1:5">
      <c r="A1365" s="8">
        <v>3045731.833</v>
      </c>
      <c r="B1365" s="8">
        <v>35400157.971</v>
      </c>
      <c r="C1365" s="8">
        <v>891.566</v>
      </c>
      <c r="D1365" s="11">
        <v>45193</v>
      </c>
      <c r="E1365" s="75">
        <v>888.18</v>
      </c>
    </row>
    <row r="1366" ht="16.5" spans="1:5">
      <c r="A1366" s="8">
        <v>3045731.833</v>
      </c>
      <c r="B1366" s="8">
        <v>35400157.971</v>
      </c>
      <c r="C1366" s="8">
        <v>891.566</v>
      </c>
      <c r="D1366" s="11">
        <v>45194</v>
      </c>
      <c r="E1366" s="75">
        <v>888.158</v>
      </c>
    </row>
    <row r="1367" ht="16.5" spans="1:5">
      <c r="A1367" s="8">
        <v>3045731.833</v>
      </c>
      <c r="B1367" s="8">
        <v>35400157.971</v>
      </c>
      <c r="C1367" s="8">
        <v>891.566</v>
      </c>
      <c r="D1367" s="11">
        <v>45195</v>
      </c>
      <c r="E1367" s="75">
        <v>888.135</v>
      </c>
    </row>
    <row r="1368" ht="16.5" spans="1:5">
      <c r="A1368" s="8">
        <v>3045731.833</v>
      </c>
      <c r="B1368" s="8">
        <v>35400157.971</v>
      </c>
      <c r="C1368" s="8">
        <v>891.566</v>
      </c>
      <c r="D1368" s="11">
        <v>45196</v>
      </c>
      <c r="E1368" s="75">
        <v>888.124</v>
      </c>
    </row>
    <row r="1369" ht="16.5" spans="1:5">
      <c r="A1369" s="8">
        <v>3045731.833</v>
      </c>
      <c r="B1369" s="8">
        <v>35400157.971</v>
      </c>
      <c r="C1369" s="8">
        <v>891.566</v>
      </c>
      <c r="D1369" s="11">
        <v>45197</v>
      </c>
      <c r="E1369" s="75">
        <v>888.112</v>
      </c>
    </row>
    <row r="1370" ht="16.5" spans="1:5">
      <c r="A1370" s="8">
        <v>3045731.833</v>
      </c>
      <c r="B1370" s="8">
        <v>35400157.971</v>
      </c>
      <c r="C1370" s="8">
        <v>891.566</v>
      </c>
      <c r="D1370" s="11">
        <v>45198</v>
      </c>
      <c r="E1370" s="75">
        <v>888.078</v>
      </c>
    </row>
    <row r="1371" ht="16.5" spans="1:5">
      <c r="A1371" s="8">
        <v>3045731.833</v>
      </c>
      <c r="B1371" s="8">
        <v>35400157.971</v>
      </c>
      <c r="C1371" s="8">
        <v>891.566</v>
      </c>
      <c r="D1371" s="11">
        <v>45199</v>
      </c>
      <c r="E1371" s="75">
        <v>888.063</v>
      </c>
    </row>
    <row r="1372" ht="16.5" spans="1:5">
      <c r="A1372" s="8">
        <v>3045731.833</v>
      </c>
      <c r="B1372" s="8">
        <v>35400157.971</v>
      </c>
      <c r="C1372" s="8">
        <v>891.566</v>
      </c>
      <c r="D1372" s="11">
        <v>45200</v>
      </c>
      <c r="E1372" s="75">
        <v>888.051</v>
      </c>
    </row>
    <row r="1373" ht="16.5" spans="1:5">
      <c r="A1373" s="8">
        <v>3045731.833</v>
      </c>
      <c r="B1373" s="8">
        <v>35400157.971</v>
      </c>
      <c r="C1373" s="8">
        <v>891.566</v>
      </c>
      <c r="D1373" s="11">
        <v>45201</v>
      </c>
      <c r="E1373" s="75">
        <v>888.03</v>
      </c>
    </row>
    <row r="1374" ht="16.5" spans="1:5">
      <c r="A1374" s="8">
        <v>3045731.833</v>
      </c>
      <c r="B1374" s="8">
        <v>35400157.971</v>
      </c>
      <c r="C1374" s="8">
        <v>891.566</v>
      </c>
      <c r="D1374" s="11">
        <v>45202</v>
      </c>
      <c r="E1374" s="75">
        <v>888.019</v>
      </c>
    </row>
    <row r="1375" ht="16.5" spans="1:5">
      <c r="A1375" s="8">
        <v>3045731.833</v>
      </c>
      <c r="B1375" s="8">
        <v>35400157.971</v>
      </c>
      <c r="C1375" s="8">
        <v>891.566</v>
      </c>
      <c r="D1375" s="11">
        <v>45203</v>
      </c>
      <c r="E1375" s="75">
        <v>877.312</v>
      </c>
    </row>
    <row r="1376" ht="16.5" spans="1:5">
      <c r="A1376" s="8">
        <v>3045731.833</v>
      </c>
      <c r="B1376" s="8">
        <v>35400157.971</v>
      </c>
      <c r="C1376" s="8">
        <v>891.566</v>
      </c>
      <c r="D1376" s="11">
        <v>45204</v>
      </c>
      <c r="E1376" s="75">
        <v>887.992</v>
      </c>
    </row>
    <row r="1377" ht="16.5" spans="1:5">
      <c r="A1377" s="8">
        <v>3045731.833</v>
      </c>
      <c r="B1377" s="8">
        <v>35400157.971</v>
      </c>
      <c r="C1377" s="8">
        <v>891.566</v>
      </c>
      <c r="D1377" s="11">
        <v>45205</v>
      </c>
      <c r="E1377" s="75">
        <v>887.992</v>
      </c>
    </row>
    <row r="1378" ht="16.5" spans="1:5">
      <c r="A1378" s="8">
        <v>3045731.833</v>
      </c>
      <c r="B1378" s="8">
        <v>35400157.971</v>
      </c>
      <c r="C1378" s="8">
        <v>891.566</v>
      </c>
      <c r="D1378" s="11">
        <v>45206</v>
      </c>
      <c r="E1378" s="75">
        <v>887.986</v>
      </c>
    </row>
    <row r="1379" ht="16.5" spans="1:5">
      <c r="A1379" s="8">
        <v>3045731.833</v>
      </c>
      <c r="B1379" s="8">
        <v>35400157.971</v>
      </c>
      <c r="C1379" s="8">
        <v>891.566</v>
      </c>
      <c r="D1379" s="11">
        <v>45207</v>
      </c>
      <c r="E1379" s="75">
        <v>888.009</v>
      </c>
    </row>
    <row r="1380" ht="16.5" spans="1:5">
      <c r="A1380" s="8">
        <v>3045731.833</v>
      </c>
      <c r="B1380" s="8">
        <v>35400157.971</v>
      </c>
      <c r="C1380" s="8">
        <v>891.566</v>
      </c>
      <c r="D1380" s="11">
        <v>45208</v>
      </c>
      <c r="E1380" s="75">
        <v>888.019</v>
      </c>
    </row>
    <row r="1381" ht="16.5" spans="1:5">
      <c r="A1381" s="8">
        <v>3045731.833</v>
      </c>
      <c r="B1381" s="8">
        <v>35400157.971</v>
      </c>
      <c r="C1381" s="8">
        <v>891.566</v>
      </c>
      <c r="D1381" s="11">
        <v>45209</v>
      </c>
      <c r="E1381" s="75">
        <v>888.057</v>
      </c>
    </row>
    <row r="1382" ht="16.5" spans="1:5">
      <c r="A1382" s="8">
        <v>3045731.833</v>
      </c>
      <c r="B1382" s="8">
        <v>35400157.971</v>
      </c>
      <c r="C1382" s="8">
        <v>891.566</v>
      </c>
      <c r="D1382" s="11">
        <v>45210</v>
      </c>
      <c r="E1382" s="75">
        <v>888.087</v>
      </c>
    </row>
    <row r="1383" ht="16.5" spans="1:5">
      <c r="A1383" s="8">
        <v>3045731.833</v>
      </c>
      <c r="B1383" s="8">
        <v>35400157.971</v>
      </c>
      <c r="C1383" s="8">
        <v>891.566</v>
      </c>
      <c r="D1383" s="11">
        <v>45211</v>
      </c>
      <c r="E1383" s="75">
        <v>888.147</v>
      </c>
    </row>
    <row r="1384" ht="16.5" spans="1:5">
      <c r="A1384" s="8">
        <v>3045731.833</v>
      </c>
      <c r="B1384" s="8">
        <v>35400157.971</v>
      </c>
      <c r="C1384" s="8">
        <v>891.566</v>
      </c>
      <c r="D1384" s="11">
        <v>45212</v>
      </c>
      <c r="E1384" s="75">
        <v>888.122</v>
      </c>
    </row>
    <row r="1385" ht="16.5" spans="1:5">
      <c r="A1385" s="8">
        <v>3045731.833</v>
      </c>
      <c r="B1385" s="8">
        <v>35400157.971</v>
      </c>
      <c r="C1385" s="8">
        <v>891.566</v>
      </c>
      <c r="D1385" s="11">
        <v>45213</v>
      </c>
      <c r="E1385" s="75">
        <v>888.126</v>
      </c>
    </row>
    <row r="1386" ht="16.5" spans="1:5">
      <c r="A1386" s="8">
        <v>3045731.833</v>
      </c>
      <c r="B1386" s="8">
        <v>35400157.971</v>
      </c>
      <c r="C1386" s="8">
        <v>891.566</v>
      </c>
      <c r="D1386" s="11">
        <v>45214</v>
      </c>
      <c r="E1386" s="75">
        <v>888.139</v>
      </c>
    </row>
    <row r="1387" ht="16.5" spans="1:5">
      <c r="A1387" s="8">
        <v>3045731.833</v>
      </c>
      <c r="B1387" s="8">
        <v>35400157.971</v>
      </c>
      <c r="C1387" s="8">
        <v>891.566</v>
      </c>
      <c r="D1387" s="11">
        <v>45215</v>
      </c>
      <c r="E1387" s="75">
        <v>888.13</v>
      </c>
    </row>
    <row r="1388" ht="16.5" spans="1:5">
      <c r="A1388" s="8">
        <v>3045731.833</v>
      </c>
      <c r="B1388" s="8">
        <v>35400157.971</v>
      </c>
      <c r="C1388" s="8">
        <v>891.566</v>
      </c>
      <c r="D1388" s="11">
        <v>45216</v>
      </c>
      <c r="E1388" s="75">
        <v>888.109</v>
      </c>
    </row>
    <row r="1389" ht="16.5" spans="1:5">
      <c r="A1389" s="8">
        <v>3045731.833</v>
      </c>
      <c r="B1389" s="8">
        <v>35400157.971</v>
      </c>
      <c r="C1389" s="8">
        <v>891.566</v>
      </c>
      <c r="D1389" s="11">
        <v>45217</v>
      </c>
      <c r="E1389" s="75">
        <v>888.079</v>
      </c>
    </row>
    <row r="1390" ht="16.5" spans="1:5">
      <c r="A1390" s="8">
        <v>3045731.833</v>
      </c>
      <c r="B1390" s="8">
        <v>35400157.971</v>
      </c>
      <c r="C1390" s="8">
        <v>891.566</v>
      </c>
      <c r="D1390" s="11">
        <v>45218</v>
      </c>
      <c r="E1390" s="75">
        <v>888.038</v>
      </c>
    </row>
    <row r="1391" ht="16.5" spans="1:5">
      <c r="A1391" s="8">
        <v>3045731.833</v>
      </c>
      <c r="B1391" s="8">
        <v>35400157.971</v>
      </c>
      <c r="C1391" s="8">
        <v>891.566</v>
      </c>
      <c r="D1391" s="11">
        <v>45219</v>
      </c>
      <c r="E1391" s="75">
        <v>888.038</v>
      </c>
    </row>
    <row r="1392" ht="16.5" spans="1:5">
      <c r="A1392" s="8">
        <v>3045731.833</v>
      </c>
      <c r="B1392" s="8">
        <v>35400157.971</v>
      </c>
      <c r="C1392" s="8">
        <v>891.566</v>
      </c>
      <c r="D1392" s="11">
        <v>45220</v>
      </c>
      <c r="E1392" s="75">
        <v>888.038</v>
      </c>
    </row>
    <row r="1393" ht="16.5" spans="1:5">
      <c r="A1393" s="8">
        <v>3045731.833</v>
      </c>
      <c r="B1393" s="8">
        <v>35400157.971</v>
      </c>
      <c r="C1393" s="8">
        <v>891.566</v>
      </c>
      <c r="D1393" s="11">
        <v>45221</v>
      </c>
      <c r="E1393" s="75">
        <v>888.038</v>
      </c>
    </row>
    <row r="1394" ht="16.5" spans="1:5">
      <c r="A1394" s="8">
        <v>3045731.833</v>
      </c>
      <c r="B1394" s="8">
        <v>35400157.971</v>
      </c>
      <c r="C1394" s="8">
        <v>891.566</v>
      </c>
      <c r="D1394" s="11">
        <v>45222</v>
      </c>
      <c r="E1394" s="75">
        <v>888.038</v>
      </c>
    </row>
    <row r="1395" ht="16.5" spans="1:5">
      <c r="A1395" s="8">
        <v>3045731.833</v>
      </c>
      <c r="B1395" s="8">
        <v>35400157.971</v>
      </c>
      <c r="C1395" s="8">
        <v>891.566</v>
      </c>
      <c r="D1395" s="11">
        <v>45223</v>
      </c>
      <c r="E1395" s="75">
        <v>888.038</v>
      </c>
    </row>
    <row r="1396" ht="16.5" spans="1:5">
      <c r="A1396" s="8">
        <v>3045731.833</v>
      </c>
      <c r="B1396" s="8">
        <v>35400157.971</v>
      </c>
      <c r="C1396" s="8">
        <v>891.566</v>
      </c>
      <c r="D1396" s="11">
        <v>45224</v>
      </c>
      <c r="E1396" s="75">
        <v>888.038</v>
      </c>
    </row>
    <row r="1397" ht="16.5" spans="1:5">
      <c r="A1397" s="8">
        <v>3045731.833</v>
      </c>
      <c r="B1397" s="8">
        <v>35400157.971</v>
      </c>
      <c r="C1397" s="8">
        <v>891.566</v>
      </c>
      <c r="D1397" s="11">
        <v>45225</v>
      </c>
      <c r="E1397" s="75">
        <v>888.038</v>
      </c>
    </row>
    <row r="1398" ht="16.5" spans="1:5">
      <c r="A1398" s="8">
        <v>3045731.833</v>
      </c>
      <c r="B1398" s="8">
        <v>35400157.971</v>
      </c>
      <c r="C1398" s="8">
        <v>891.566</v>
      </c>
      <c r="D1398" s="11">
        <v>45226</v>
      </c>
      <c r="E1398" s="75">
        <v>888.038</v>
      </c>
    </row>
    <row r="1399" ht="16.5" spans="1:5">
      <c r="A1399" s="8">
        <v>3045731.833</v>
      </c>
      <c r="B1399" s="8">
        <v>35400157.971</v>
      </c>
      <c r="C1399" s="8">
        <v>891.566</v>
      </c>
      <c r="D1399" s="11">
        <v>45227</v>
      </c>
      <c r="E1399" s="75">
        <v>888.038</v>
      </c>
    </row>
    <row r="1400" ht="16.5" spans="1:5">
      <c r="A1400" s="8">
        <v>3045731.833</v>
      </c>
      <c r="B1400" s="8">
        <v>35400157.971</v>
      </c>
      <c r="C1400" s="8">
        <v>891.566</v>
      </c>
      <c r="D1400" s="11">
        <v>45228</v>
      </c>
      <c r="E1400" s="75">
        <v>888.038</v>
      </c>
    </row>
    <row r="1401" ht="16.5" spans="1:5">
      <c r="A1401" s="8">
        <v>3045731.833</v>
      </c>
      <c r="B1401" s="8">
        <v>35400157.971</v>
      </c>
      <c r="C1401" s="8">
        <v>891.566</v>
      </c>
      <c r="D1401" s="11">
        <v>45229</v>
      </c>
      <c r="E1401" s="75">
        <v>888.038</v>
      </c>
    </row>
    <row r="1402" ht="16.5" spans="1:5">
      <c r="A1402" s="8">
        <v>3045731.833</v>
      </c>
      <c r="B1402" s="8">
        <v>35400157.971</v>
      </c>
      <c r="C1402" s="8">
        <v>891.566</v>
      </c>
      <c r="D1402" s="11">
        <v>45230</v>
      </c>
      <c r="E1402" s="75">
        <v>888.038</v>
      </c>
    </row>
    <row r="1403" ht="16.5" spans="1:5">
      <c r="A1403" s="8">
        <v>3045731.833</v>
      </c>
      <c r="B1403" s="8">
        <v>35400157.971</v>
      </c>
      <c r="C1403" s="8">
        <v>891.566</v>
      </c>
      <c r="D1403" s="11">
        <v>45231</v>
      </c>
      <c r="E1403" s="75">
        <v>888.038</v>
      </c>
    </row>
    <row r="1404" ht="16.5" spans="1:5">
      <c r="A1404" s="8">
        <v>3045731.833</v>
      </c>
      <c r="B1404" s="8">
        <v>35400157.971</v>
      </c>
      <c r="C1404" s="8">
        <v>891.566</v>
      </c>
      <c r="D1404" s="11">
        <v>45232</v>
      </c>
      <c r="E1404" s="75">
        <v>888</v>
      </c>
    </row>
    <row r="1405" ht="16.5" spans="1:5">
      <c r="A1405" s="8">
        <v>3045731.833</v>
      </c>
      <c r="B1405" s="8">
        <v>35400157.971</v>
      </c>
      <c r="C1405" s="8">
        <v>891.566</v>
      </c>
      <c r="D1405" s="11">
        <v>45233</v>
      </c>
      <c r="E1405" s="75">
        <v>888.038</v>
      </c>
    </row>
    <row r="1406" ht="16.5" spans="1:5">
      <c r="A1406" s="8">
        <v>3045731.833</v>
      </c>
      <c r="B1406" s="8">
        <v>35400157.971</v>
      </c>
      <c r="C1406" s="8">
        <v>891.566</v>
      </c>
      <c r="D1406" s="11">
        <v>45234</v>
      </c>
      <c r="E1406" s="75">
        <v>888.038</v>
      </c>
    </row>
    <row r="1407" ht="16.5" spans="1:5">
      <c r="A1407" s="8">
        <v>3045731.833</v>
      </c>
      <c r="B1407" s="8">
        <v>35400157.971</v>
      </c>
      <c r="C1407" s="8">
        <v>891.566</v>
      </c>
      <c r="D1407" s="11">
        <v>45235</v>
      </c>
      <c r="E1407" s="75">
        <v>888.038</v>
      </c>
    </row>
    <row r="1408" ht="16.5" spans="1:5">
      <c r="A1408" s="8">
        <v>3045731.833</v>
      </c>
      <c r="B1408" s="8">
        <v>35400157.971</v>
      </c>
      <c r="C1408" s="8">
        <v>891.566</v>
      </c>
      <c r="D1408" s="11">
        <v>45236</v>
      </c>
      <c r="E1408" s="75">
        <v>888.038</v>
      </c>
    </row>
    <row r="1409" ht="16.5" spans="1:5">
      <c r="A1409" s="8">
        <v>3045731.833</v>
      </c>
      <c r="B1409" s="8">
        <v>35400157.971</v>
      </c>
      <c r="C1409" s="8">
        <v>891.566</v>
      </c>
      <c r="D1409" s="11">
        <v>45237</v>
      </c>
      <c r="E1409" s="75">
        <v>888.038</v>
      </c>
    </row>
    <row r="1410" ht="16.5" spans="1:5">
      <c r="A1410" s="8">
        <v>3045731.833</v>
      </c>
      <c r="B1410" s="8">
        <v>35400157.971</v>
      </c>
      <c r="C1410" s="8">
        <v>891.566</v>
      </c>
      <c r="D1410" s="11">
        <v>45238</v>
      </c>
      <c r="E1410" s="75">
        <v>888.038</v>
      </c>
    </row>
    <row r="1411" ht="16.5" spans="1:5">
      <c r="A1411" s="8">
        <v>3045731.833</v>
      </c>
      <c r="B1411" s="8">
        <v>35400157.971</v>
      </c>
      <c r="C1411" s="8">
        <v>891.566</v>
      </c>
      <c r="D1411" s="11">
        <v>45239</v>
      </c>
      <c r="E1411" s="75">
        <v>888.038</v>
      </c>
    </row>
    <row r="1412" ht="16.5" spans="1:5">
      <c r="A1412" s="8">
        <v>3045731.833</v>
      </c>
      <c r="B1412" s="8">
        <v>35400157.971</v>
      </c>
      <c r="C1412" s="8">
        <v>891.566</v>
      </c>
      <c r="D1412" s="11">
        <v>45240</v>
      </c>
      <c r="E1412" s="75">
        <v>888.038</v>
      </c>
    </row>
    <row r="1413" ht="16.5" spans="1:5">
      <c r="A1413" s="8">
        <v>3045731.833</v>
      </c>
      <c r="B1413" s="8">
        <v>35400157.971</v>
      </c>
      <c r="C1413" s="8">
        <v>891.566</v>
      </c>
      <c r="D1413" s="11">
        <v>45241</v>
      </c>
      <c r="E1413" s="75">
        <v>888.038</v>
      </c>
    </row>
    <row r="1414" ht="16.5" spans="1:5">
      <c r="A1414" s="8">
        <v>3045731.833</v>
      </c>
      <c r="B1414" s="8">
        <v>35400157.971</v>
      </c>
      <c r="C1414" s="8">
        <v>891.566</v>
      </c>
      <c r="D1414" s="11">
        <v>45242</v>
      </c>
      <c r="E1414" s="75">
        <v>888.038</v>
      </c>
    </row>
    <row r="1415" ht="16.5" spans="1:5">
      <c r="A1415" s="8">
        <v>3045731.833</v>
      </c>
      <c r="B1415" s="8">
        <v>35400157.971</v>
      </c>
      <c r="C1415" s="8">
        <v>891.566</v>
      </c>
      <c r="D1415" s="11">
        <v>45243</v>
      </c>
      <c r="E1415" s="75">
        <v>888.038</v>
      </c>
    </row>
    <row r="1416" ht="16.5" spans="1:5">
      <c r="A1416" s="8">
        <v>3045731.833</v>
      </c>
      <c r="B1416" s="8">
        <v>35400157.971</v>
      </c>
      <c r="C1416" s="8">
        <v>891.566</v>
      </c>
      <c r="D1416" s="11">
        <v>45244</v>
      </c>
      <c r="E1416" s="75">
        <v>888.038</v>
      </c>
    </row>
    <row r="1417" ht="16.5" spans="1:5">
      <c r="A1417" s="8">
        <v>3045731.833</v>
      </c>
      <c r="B1417" s="8">
        <v>35400157.971</v>
      </c>
      <c r="C1417" s="8">
        <v>891.566</v>
      </c>
      <c r="D1417" s="11">
        <v>45245</v>
      </c>
      <c r="E1417" s="75">
        <v>888.038</v>
      </c>
    </row>
    <row r="1418" ht="16.5" spans="1:5">
      <c r="A1418" s="8">
        <v>3045731.833</v>
      </c>
      <c r="B1418" s="8">
        <v>35400157.971</v>
      </c>
      <c r="C1418" s="8">
        <v>891.566</v>
      </c>
      <c r="D1418" s="11">
        <v>45246</v>
      </c>
      <c r="E1418" s="75">
        <v>888.038</v>
      </c>
    </row>
    <row r="1419" ht="16.5" spans="1:5">
      <c r="A1419" s="8">
        <v>3045731.833</v>
      </c>
      <c r="B1419" s="8">
        <v>35400157.971</v>
      </c>
      <c r="C1419" s="8">
        <v>891.566</v>
      </c>
      <c r="D1419" s="11">
        <v>45247</v>
      </c>
      <c r="E1419" s="75">
        <v>888.038</v>
      </c>
    </row>
    <row r="1420" ht="16.5" spans="1:5">
      <c r="A1420" s="8">
        <v>3045731.833</v>
      </c>
      <c r="B1420" s="8">
        <v>35400157.971</v>
      </c>
      <c r="C1420" s="8">
        <v>891.566</v>
      </c>
      <c r="D1420" s="11">
        <v>45248</v>
      </c>
      <c r="E1420" s="75">
        <v>888.038</v>
      </c>
    </row>
    <row r="1421" ht="16.5" spans="1:5">
      <c r="A1421" s="8">
        <v>3045731.833</v>
      </c>
      <c r="B1421" s="8">
        <v>35400157.971</v>
      </c>
      <c r="C1421" s="8">
        <v>891.566</v>
      </c>
      <c r="D1421" s="11">
        <v>45249</v>
      </c>
      <c r="E1421" s="75">
        <v>888.038</v>
      </c>
    </row>
    <row r="1422" ht="16.5" spans="1:5">
      <c r="A1422" s="8">
        <v>3045731.833</v>
      </c>
      <c r="B1422" s="8">
        <v>35400157.971</v>
      </c>
      <c r="C1422" s="8">
        <v>891.566</v>
      </c>
      <c r="D1422" s="11">
        <v>45250</v>
      </c>
      <c r="E1422" s="75">
        <v>888.038</v>
      </c>
    </row>
    <row r="1423" ht="16.5" spans="1:5">
      <c r="A1423" s="8">
        <v>3045731.833</v>
      </c>
      <c r="B1423" s="8">
        <v>35400157.971</v>
      </c>
      <c r="C1423" s="8">
        <v>891.566</v>
      </c>
      <c r="D1423" s="11">
        <v>45251</v>
      </c>
      <c r="E1423" s="75">
        <v>888.038</v>
      </c>
    </row>
    <row r="1424" ht="16.5" spans="1:5">
      <c r="A1424" s="8">
        <v>3045731.833</v>
      </c>
      <c r="B1424" s="8">
        <v>35400157.971</v>
      </c>
      <c r="C1424" s="8">
        <v>891.566</v>
      </c>
      <c r="D1424" s="11">
        <v>45252</v>
      </c>
      <c r="E1424" s="75">
        <v>888.038</v>
      </c>
    </row>
    <row r="1425" ht="16.5" spans="1:5">
      <c r="A1425" s="8">
        <v>3045731.833</v>
      </c>
      <c r="B1425" s="8">
        <v>35400157.971</v>
      </c>
      <c r="C1425" s="8">
        <v>891.566</v>
      </c>
      <c r="D1425" s="11">
        <v>45253</v>
      </c>
      <c r="E1425" s="75">
        <v>888.038</v>
      </c>
    </row>
    <row r="1426" ht="16.5" spans="1:5">
      <c r="A1426" s="8">
        <v>3045731.833</v>
      </c>
      <c r="B1426" s="8">
        <v>35400157.971</v>
      </c>
      <c r="C1426" s="8">
        <v>891.566</v>
      </c>
      <c r="D1426" s="11">
        <v>45254</v>
      </c>
      <c r="E1426" s="75">
        <v>888.038</v>
      </c>
    </row>
    <row r="1427" ht="16.5" spans="1:5">
      <c r="A1427" s="8">
        <v>3045731.833</v>
      </c>
      <c r="B1427" s="8">
        <v>35400157.971</v>
      </c>
      <c r="C1427" s="8">
        <v>891.566</v>
      </c>
      <c r="D1427" s="11">
        <v>45255</v>
      </c>
      <c r="E1427" s="75">
        <v>888.038</v>
      </c>
    </row>
    <row r="1428" ht="16.5" spans="1:5">
      <c r="A1428" s="8">
        <v>3045731.833</v>
      </c>
      <c r="B1428" s="8">
        <v>35400157.971</v>
      </c>
      <c r="C1428" s="8">
        <v>891.566</v>
      </c>
      <c r="D1428" s="11">
        <v>45256</v>
      </c>
      <c r="E1428" s="75">
        <v>888.038</v>
      </c>
    </row>
    <row r="1429" ht="16.5" spans="1:5">
      <c r="A1429" s="8">
        <v>3045731.833</v>
      </c>
      <c r="B1429" s="8">
        <v>35400157.971</v>
      </c>
      <c r="C1429" s="8">
        <v>891.566</v>
      </c>
      <c r="D1429" s="11">
        <v>45257</v>
      </c>
      <c r="E1429" s="75">
        <v>888.038</v>
      </c>
    </row>
    <row r="1430" ht="16.5" spans="1:5">
      <c r="A1430" s="8">
        <v>3045731.833</v>
      </c>
      <c r="B1430" s="8">
        <v>35400157.971</v>
      </c>
      <c r="C1430" s="8">
        <v>891.566</v>
      </c>
      <c r="D1430" s="11">
        <v>45258</v>
      </c>
      <c r="E1430" s="75">
        <v>888.038</v>
      </c>
    </row>
    <row r="1431" ht="16.5" spans="1:5">
      <c r="A1431" s="8">
        <v>3045731.833</v>
      </c>
      <c r="B1431" s="8">
        <v>35400157.971</v>
      </c>
      <c r="C1431" s="8">
        <v>891.566</v>
      </c>
      <c r="D1431" s="11">
        <v>45259</v>
      </c>
      <c r="E1431" s="75">
        <v>888.038</v>
      </c>
    </row>
    <row r="1432" ht="16.5" spans="1:5">
      <c r="A1432" s="8">
        <v>3045731.833</v>
      </c>
      <c r="B1432" s="8">
        <v>35400157.971</v>
      </c>
      <c r="C1432" s="8">
        <v>891.566</v>
      </c>
      <c r="D1432" s="11">
        <v>45260</v>
      </c>
      <c r="E1432" s="75">
        <v>888.038</v>
      </c>
    </row>
    <row r="1433" ht="16.5" spans="1:5">
      <c r="A1433" s="8">
        <v>3045731.833</v>
      </c>
      <c r="B1433" s="8">
        <v>35400157.971</v>
      </c>
      <c r="C1433" s="8">
        <v>891.566</v>
      </c>
      <c r="D1433" s="11">
        <v>45261</v>
      </c>
      <c r="E1433" s="75">
        <v>888.038</v>
      </c>
    </row>
    <row r="1434" ht="16.5" spans="1:5">
      <c r="A1434" s="8">
        <v>3045731.833</v>
      </c>
      <c r="B1434" s="8">
        <v>35400157.971</v>
      </c>
      <c r="C1434" s="8">
        <v>891.566</v>
      </c>
      <c r="D1434" s="11">
        <v>45262</v>
      </c>
      <c r="E1434" s="75">
        <v>888.038</v>
      </c>
    </row>
    <row r="1435" ht="16.5" spans="1:5">
      <c r="A1435" s="8">
        <v>3045731.833</v>
      </c>
      <c r="B1435" s="8">
        <v>35400157.971</v>
      </c>
      <c r="C1435" s="8">
        <v>891.566</v>
      </c>
      <c r="D1435" s="11">
        <v>45263</v>
      </c>
      <c r="E1435" s="74"/>
    </row>
    <row r="1436" ht="16.5" spans="1:5">
      <c r="A1436" s="8">
        <v>3045731.833</v>
      </c>
      <c r="B1436" s="8">
        <v>35400157.971</v>
      </c>
      <c r="C1436" s="8">
        <v>891.566</v>
      </c>
      <c r="D1436" s="11">
        <v>45264</v>
      </c>
      <c r="E1436" s="74"/>
    </row>
    <row r="1437" ht="16.5" spans="1:5">
      <c r="A1437" s="8">
        <v>3045731.833</v>
      </c>
      <c r="B1437" s="8">
        <v>35400157.971</v>
      </c>
      <c r="C1437" s="8">
        <v>891.566</v>
      </c>
      <c r="D1437" s="11">
        <v>45265</v>
      </c>
      <c r="E1437" s="74"/>
    </row>
    <row r="1438" ht="16.5" spans="1:5">
      <c r="A1438" s="8">
        <v>3045731.833</v>
      </c>
      <c r="B1438" s="8">
        <v>35400157.971</v>
      </c>
      <c r="C1438" s="8">
        <v>891.566</v>
      </c>
      <c r="D1438" s="11">
        <v>45266</v>
      </c>
      <c r="E1438" s="74"/>
    </row>
    <row r="1439" ht="16.5" spans="1:5">
      <c r="A1439" s="8">
        <v>3045731.833</v>
      </c>
      <c r="B1439" s="8">
        <v>35400157.971</v>
      </c>
      <c r="C1439" s="8">
        <v>891.566</v>
      </c>
      <c r="D1439" s="11">
        <v>45267</v>
      </c>
      <c r="E1439" s="75">
        <v>888</v>
      </c>
    </row>
    <row r="1440" ht="16.5" spans="1:5">
      <c r="A1440" s="8">
        <v>3045731.833</v>
      </c>
      <c r="B1440" s="8">
        <v>35400157.971</v>
      </c>
      <c r="C1440" s="8">
        <v>891.566</v>
      </c>
      <c r="D1440" s="11">
        <v>45268</v>
      </c>
      <c r="E1440" s="74"/>
    </row>
    <row r="1441" ht="16.5" spans="1:5">
      <c r="A1441" s="8">
        <v>3045731.833</v>
      </c>
      <c r="B1441" s="8">
        <v>35400157.971</v>
      </c>
      <c r="C1441" s="8">
        <v>891.566</v>
      </c>
      <c r="D1441" s="11">
        <v>45269</v>
      </c>
      <c r="E1441" s="74"/>
    </row>
    <row r="1442" ht="16.5" spans="1:5">
      <c r="A1442" s="8">
        <v>3045731.833</v>
      </c>
      <c r="B1442" s="8">
        <v>35400157.971</v>
      </c>
      <c r="C1442" s="8">
        <v>891.566</v>
      </c>
      <c r="D1442" s="11">
        <v>45270</v>
      </c>
      <c r="E1442" s="75">
        <v>887.61</v>
      </c>
    </row>
    <row r="1443" ht="16.5" spans="1:5">
      <c r="A1443" s="8">
        <v>3045731.833</v>
      </c>
      <c r="B1443" s="8">
        <v>35400157.971</v>
      </c>
      <c r="C1443" s="8">
        <v>891.566</v>
      </c>
      <c r="D1443" s="11">
        <v>45271</v>
      </c>
      <c r="E1443" s="75">
        <v>887.601</v>
      </c>
    </row>
    <row r="1444" ht="16.5" spans="1:5">
      <c r="A1444" s="8">
        <v>3045731.833</v>
      </c>
      <c r="B1444" s="8">
        <v>35400157.971</v>
      </c>
      <c r="C1444" s="8">
        <v>891.566</v>
      </c>
      <c r="D1444" s="11">
        <v>45272</v>
      </c>
      <c r="E1444" s="75">
        <v>887.595</v>
      </c>
    </row>
    <row r="1445" ht="16.5" spans="1:5">
      <c r="A1445" s="8">
        <v>3045731.833</v>
      </c>
      <c r="B1445" s="8">
        <v>35400157.971</v>
      </c>
      <c r="C1445" s="8">
        <v>891.566</v>
      </c>
      <c r="D1445" s="11">
        <v>45273</v>
      </c>
      <c r="E1445" s="75">
        <v>887.593</v>
      </c>
    </row>
    <row r="1446" ht="16.5" spans="1:5">
      <c r="A1446" s="8">
        <v>3045731.833</v>
      </c>
      <c r="B1446" s="8">
        <v>35400157.971</v>
      </c>
      <c r="C1446" s="8">
        <v>891.566</v>
      </c>
      <c r="D1446" s="11">
        <v>45274</v>
      </c>
      <c r="E1446" s="75">
        <v>887.588</v>
      </c>
    </row>
    <row r="1447" ht="16.5" spans="1:5">
      <c r="A1447" s="8">
        <v>3045731.833</v>
      </c>
      <c r="B1447" s="8">
        <v>35400157.971</v>
      </c>
      <c r="C1447" s="8">
        <v>891.566</v>
      </c>
      <c r="D1447" s="11">
        <v>45275</v>
      </c>
      <c r="E1447" s="75">
        <v>887.591</v>
      </c>
    </row>
    <row r="1448" ht="16.5" spans="1:5">
      <c r="A1448" s="8">
        <v>3045731.833</v>
      </c>
      <c r="B1448" s="8">
        <v>35400157.971</v>
      </c>
      <c r="C1448" s="8">
        <v>891.566</v>
      </c>
      <c r="D1448" s="11">
        <v>45276</v>
      </c>
      <c r="E1448" s="75">
        <v>887.58</v>
      </c>
    </row>
    <row r="1449" ht="16.5" spans="1:5">
      <c r="A1449" s="8">
        <v>3045731.833</v>
      </c>
      <c r="B1449" s="8">
        <v>35400157.971</v>
      </c>
      <c r="C1449" s="8">
        <v>891.566</v>
      </c>
      <c r="D1449" s="11">
        <v>45277</v>
      </c>
      <c r="E1449" s="75">
        <v>887.588</v>
      </c>
    </row>
    <row r="1450" ht="16.5" spans="1:5">
      <c r="A1450" s="8">
        <v>3045731.833</v>
      </c>
      <c r="B1450" s="8">
        <v>35400157.971</v>
      </c>
      <c r="C1450" s="8">
        <v>891.566</v>
      </c>
      <c r="D1450" s="11">
        <v>45278</v>
      </c>
      <c r="E1450" s="75">
        <v>887.589</v>
      </c>
    </row>
    <row r="1451" ht="16.5" spans="1:5">
      <c r="A1451" s="8">
        <v>3045731.833</v>
      </c>
      <c r="B1451" s="8">
        <v>35400157.971</v>
      </c>
      <c r="C1451" s="8">
        <v>891.566</v>
      </c>
      <c r="D1451" s="11">
        <v>45279</v>
      </c>
      <c r="E1451" s="75">
        <v>887.59</v>
      </c>
    </row>
    <row r="1452" ht="16.5" spans="1:5">
      <c r="A1452" s="8">
        <v>3045731.833</v>
      </c>
      <c r="B1452" s="8">
        <v>35400157.971</v>
      </c>
      <c r="C1452" s="8">
        <v>891.566</v>
      </c>
      <c r="D1452" s="11">
        <v>45280</v>
      </c>
      <c r="E1452" s="75">
        <v>887.584</v>
      </c>
    </row>
    <row r="1453" ht="16.5" spans="1:5">
      <c r="A1453" s="8">
        <v>3045731.833</v>
      </c>
      <c r="B1453" s="8">
        <v>35400157.971</v>
      </c>
      <c r="C1453" s="8">
        <v>891.566</v>
      </c>
      <c r="D1453" s="11">
        <v>45281</v>
      </c>
      <c r="E1453" s="75">
        <v>887.587</v>
      </c>
    </row>
    <row r="1454" ht="16.5" spans="1:5">
      <c r="A1454" s="8">
        <v>3045731.833</v>
      </c>
      <c r="B1454" s="8">
        <v>35400157.971</v>
      </c>
      <c r="C1454" s="8">
        <v>891.566</v>
      </c>
      <c r="D1454" s="11">
        <v>45282</v>
      </c>
      <c r="E1454" s="75">
        <v>887.584</v>
      </c>
    </row>
    <row r="1455" ht="16.5" spans="1:5">
      <c r="A1455" s="8">
        <v>3045731.833</v>
      </c>
      <c r="B1455" s="8">
        <v>35400157.971</v>
      </c>
      <c r="C1455" s="8">
        <v>891.566</v>
      </c>
      <c r="D1455" s="11">
        <v>45283</v>
      </c>
      <c r="E1455" s="75">
        <v>887.577</v>
      </c>
    </row>
    <row r="1456" ht="16.5" spans="1:5">
      <c r="A1456" s="8">
        <v>3045731.833</v>
      </c>
      <c r="B1456" s="8">
        <v>35400157.971</v>
      </c>
      <c r="C1456" s="8">
        <v>891.566</v>
      </c>
      <c r="D1456" s="11">
        <v>45284</v>
      </c>
      <c r="E1456" s="75">
        <v>887.572</v>
      </c>
    </row>
    <row r="1457" ht="16.5" spans="1:5">
      <c r="A1457" s="8">
        <v>3045731.833</v>
      </c>
      <c r="B1457" s="8">
        <v>35400157.971</v>
      </c>
      <c r="C1457" s="8">
        <v>891.566</v>
      </c>
      <c r="D1457" s="11">
        <v>45285</v>
      </c>
      <c r="E1457" s="75">
        <v>887.565</v>
      </c>
    </row>
    <row r="1458" ht="16.5" spans="1:5">
      <c r="A1458" s="8">
        <v>3045731.833</v>
      </c>
      <c r="B1458" s="8">
        <v>35400157.971</v>
      </c>
      <c r="C1458" s="8">
        <v>891.566</v>
      </c>
      <c r="D1458" s="11">
        <v>45286</v>
      </c>
      <c r="E1458" s="75">
        <v>887.566</v>
      </c>
    </row>
    <row r="1459" ht="16.5" spans="1:5">
      <c r="A1459" s="8">
        <v>3045731.833</v>
      </c>
      <c r="B1459" s="8">
        <v>35400157.971</v>
      </c>
      <c r="C1459" s="8">
        <v>891.566</v>
      </c>
      <c r="D1459" s="11">
        <v>45287</v>
      </c>
      <c r="E1459" s="75">
        <v>887.557</v>
      </c>
    </row>
    <row r="1460" ht="16.5" spans="1:5">
      <c r="A1460" s="8">
        <v>3045731.833</v>
      </c>
      <c r="B1460" s="8">
        <v>35400157.971</v>
      </c>
      <c r="C1460" s="8">
        <v>891.566</v>
      </c>
      <c r="D1460" s="11">
        <v>45288</v>
      </c>
      <c r="E1460" s="75">
        <v>887.552</v>
      </c>
    </row>
    <row r="1461" ht="16.5" spans="1:5">
      <c r="A1461" s="8">
        <v>3045731.833</v>
      </c>
      <c r="B1461" s="8">
        <v>35400157.971</v>
      </c>
      <c r="C1461" s="8">
        <v>891.566</v>
      </c>
      <c r="D1461" s="11">
        <v>45289</v>
      </c>
      <c r="E1461" s="75">
        <v>887.562</v>
      </c>
    </row>
    <row r="1462" ht="16.5" spans="1:5">
      <c r="A1462" s="8">
        <v>3045731.833</v>
      </c>
      <c r="B1462" s="8">
        <v>35400157.971</v>
      </c>
      <c r="C1462" s="8">
        <v>891.566</v>
      </c>
      <c r="D1462" s="11">
        <v>45290</v>
      </c>
      <c r="E1462" s="75">
        <v>887.532</v>
      </c>
    </row>
    <row r="1463" ht="16.5" spans="1:5">
      <c r="A1463" s="8">
        <v>3045731.833</v>
      </c>
      <c r="B1463" s="8">
        <v>35400157.971</v>
      </c>
      <c r="C1463" s="8">
        <v>891.566</v>
      </c>
      <c r="D1463" s="11">
        <v>45291</v>
      </c>
      <c r="E1463" s="75">
        <v>887.537</v>
      </c>
    </row>
    <row r="1464" ht="16.5" spans="1:5">
      <c r="A1464" s="8">
        <v>3045731.833</v>
      </c>
      <c r="B1464" s="8">
        <v>35400157.971</v>
      </c>
      <c r="C1464" s="8">
        <v>891.566</v>
      </c>
      <c r="D1464" s="11">
        <v>45292</v>
      </c>
      <c r="E1464" s="75">
        <v>887.536</v>
      </c>
    </row>
    <row r="1465" ht="16.5" spans="1:5">
      <c r="A1465" s="8">
        <v>3045731.833</v>
      </c>
      <c r="B1465" s="8">
        <v>35400157.971</v>
      </c>
      <c r="C1465" s="8">
        <v>891.566</v>
      </c>
      <c r="D1465" s="11">
        <v>45293</v>
      </c>
      <c r="E1465" s="75">
        <v>887.53</v>
      </c>
    </row>
    <row r="1466" ht="16.5" spans="1:5">
      <c r="A1466" s="8">
        <v>3045731.833</v>
      </c>
      <c r="B1466" s="8">
        <v>35400157.971</v>
      </c>
      <c r="C1466" s="8">
        <v>891.566</v>
      </c>
      <c r="D1466" s="11">
        <v>45294</v>
      </c>
      <c r="E1466" s="75">
        <v>887.532</v>
      </c>
    </row>
    <row r="1467" ht="16.5" spans="1:5">
      <c r="A1467" s="8">
        <v>3045731.833</v>
      </c>
      <c r="B1467" s="8">
        <v>35400157.971</v>
      </c>
      <c r="C1467" s="8">
        <v>891.566</v>
      </c>
      <c r="D1467" s="11">
        <v>45295</v>
      </c>
      <c r="E1467" s="79">
        <v>887.526</v>
      </c>
    </row>
    <row r="1468" ht="16.5" spans="1:5">
      <c r="A1468" s="8">
        <v>3045731.833</v>
      </c>
      <c r="B1468" s="8">
        <v>35400157.971</v>
      </c>
      <c r="C1468" s="8">
        <v>891.566</v>
      </c>
      <c r="D1468" s="11">
        <v>45296</v>
      </c>
      <c r="E1468" s="79">
        <v>887.533</v>
      </c>
    </row>
    <row r="1469" ht="16.5" spans="1:5">
      <c r="A1469" s="8">
        <v>3045731.833</v>
      </c>
      <c r="B1469" s="8">
        <v>35400157.971</v>
      </c>
      <c r="C1469" s="8">
        <v>891.566</v>
      </c>
      <c r="D1469" s="11">
        <v>45297</v>
      </c>
      <c r="E1469" s="79">
        <v>887.538</v>
      </c>
    </row>
    <row r="1470" ht="16.5" spans="1:5">
      <c r="A1470" s="8">
        <v>3045731.833</v>
      </c>
      <c r="B1470" s="8">
        <v>35400157.971</v>
      </c>
      <c r="C1470" s="8">
        <v>891.566</v>
      </c>
      <c r="D1470" s="11">
        <v>45298</v>
      </c>
      <c r="E1470" s="79">
        <v>887.548</v>
      </c>
    </row>
    <row r="1471" ht="16.5" spans="1:5">
      <c r="A1471" s="8">
        <v>3045731.833</v>
      </c>
      <c r="B1471" s="8">
        <v>35400157.971</v>
      </c>
      <c r="C1471" s="8">
        <v>891.566</v>
      </c>
      <c r="D1471" s="11">
        <v>45299</v>
      </c>
      <c r="E1471" s="79">
        <v>887.55</v>
      </c>
    </row>
    <row r="1472" ht="16.5" spans="1:5">
      <c r="A1472" s="8">
        <v>3045731.833</v>
      </c>
      <c r="B1472" s="8">
        <v>35400157.971</v>
      </c>
      <c r="C1472" s="8">
        <v>891.566</v>
      </c>
      <c r="D1472" s="11">
        <v>45300</v>
      </c>
      <c r="E1472" s="79">
        <v>887.537</v>
      </c>
    </row>
    <row r="1473" ht="16.5" spans="1:5">
      <c r="A1473" s="8">
        <v>3045731.833</v>
      </c>
      <c r="B1473" s="8">
        <v>35400157.971</v>
      </c>
      <c r="C1473" s="8">
        <v>891.566</v>
      </c>
      <c r="D1473" s="11">
        <v>45301</v>
      </c>
      <c r="E1473" s="79">
        <v>887.535</v>
      </c>
    </row>
    <row r="1474" ht="16.5" spans="1:5">
      <c r="A1474" s="8">
        <v>3045731.833</v>
      </c>
      <c r="B1474" s="8">
        <v>35400157.971</v>
      </c>
      <c r="C1474" s="8">
        <v>891.566</v>
      </c>
      <c r="D1474" s="11">
        <v>45302</v>
      </c>
      <c r="E1474" s="79">
        <v>887.528</v>
      </c>
    </row>
    <row r="1475" ht="16.5" spans="1:5">
      <c r="A1475" s="8">
        <v>3045731.833</v>
      </c>
      <c r="B1475" s="8">
        <v>35400157.971</v>
      </c>
      <c r="C1475" s="8">
        <v>891.566</v>
      </c>
      <c r="D1475" s="11">
        <v>45303</v>
      </c>
      <c r="E1475" s="79">
        <v>887.532</v>
      </c>
    </row>
    <row r="1476" ht="16.5" spans="1:5">
      <c r="A1476" s="8">
        <v>3045731.833</v>
      </c>
      <c r="B1476" s="8">
        <v>35400157.971</v>
      </c>
      <c r="C1476" s="8">
        <v>891.566</v>
      </c>
      <c r="D1476" s="11">
        <v>45304</v>
      </c>
      <c r="E1476" s="79">
        <v>887.528</v>
      </c>
    </row>
    <row r="1477" ht="16.5" spans="1:5">
      <c r="A1477" s="8">
        <v>3045731.833</v>
      </c>
      <c r="B1477" s="8">
        <v>35400157.971</v>
      </c>
      <c r="C1477" s="8">
        <v>891.566</v>
      </c>
      <c r="D1477" s="11">
        <v>45305</v>
      </c>
      <c r="E1477" s="79">
        <v>887.534</v>
      </c>
    </row>
    <row r="1478" ht="16.5" spans="1:5">
      <c r="A1478" s="8">
        <v>3045731.833</v>
      </c>
      <c r="B1478" s="8">
        <v>35400157.971</v>
      </c>
      <c r="C1478" s="8">
        <v>891.566</v>
      </c>
      <c r="D1478" s="11">
        <v>45306</v>
      </c>
      <c r="E1478" s="79">
        <v>887.527</v>
      </c>
    </row>
    <row r="1479" ht="16.5" spans="1:5">
      <c r="A1479" s="8">
        <v>3045731.833</v>
      </c>
      <c r="B1479" s="8">
        <v>35400157.971</v>
      </c>
      <c r="C1479" s="8">
        <v>891.566</v>
      </c>
      <c r="D1479" s="11">
        <v>45307</v>
      </c>
      <c r="E1479" s="79">
        <v>887.513</v>
      </c>
    </row>
    <row r="1480" ht="16.5" spans="1:5">
      <c r="A1480" s="8">
        <v>3045731.833</v>
      </c>
      <c r="B1480" s="8">
        <v>35400157.971</v>
      </c>
      <c r="C1480" s="8">
        <v>891.566</v>
      </c>
      <c r="D1480" s="11">
        <v>45308</v>
      </c>
      <c r="E1480" s="79">
        <v>887.501</v>
      </c>
    </row>
    <row r="1481" ht="16.5" spans="1:5">
      <c r="A1481" s="8">
        <v>3045731.833</v>
      </c>
      <c r="B1481" s="8">
        <v>35400157.971</v>
      </c>
      <c r="C1481" s="8">
        <v>891.566</v>
      </c>
      <c r="D1481" s="11">
        <v>45309</v>
      </c>
      <c r="E1481" s="79">
        <v>887.486</v>
      </c>
    </row>
    <row r="1482" ht="16.5" spans="1:5">
      <c r="A1482" s="8">
        <v>3045731.833</v>
      </c>
      <c r="B1482" s="8">
        <v>35400157.971</v>
      </c>
      <c r="C1482" s="8">
        <v>891.566</v>
      </c>
      <c r="D1482" s="11">
        <v>45310</v>
      </c>
      <c r="E1482" s="79">
        <v>887.478</v>
      </c>
    </row>
    <row r="1483" ht="16.5" spans="1:5">
      <c r="A1483" s="8">
        <v>3045731.833</v>
      </c>
      <c r="B1483" s="8">
        <v>35400157.971</v>
      </c>
      <c r="C1483" s="8">
        <v>891.566</v>
      </c>
      <c r="D1483" s="11">
        <v>45311</v>
      </c>
      <c r="E1483" s="79">
        <v>887.463</v>
      </c>
    </row>
    <row r="1484" ht="16.5" spans="1:5">
      <c r="A1484" s="8">
        <v>3045731.833</v>
      </c>
      <c r="B1484" s="8">
        <v>35400157.971</v>
      </c>
      <c r="C1484" s="8">
        <v>891.566</v>
      </c>
      <c r="D1484" s="11">
        <v>45312</v>
      </c>
      <c r="E1484" s="79">
        <v>887.442</v>
      </c>
    </row>
    <row r="1485" ht="16.5" spans="1:5">
      <c r="A1485" s="8">
        <v>3045731.833</v>
      </c>
      <c r="B1485" s="8">
        <v>35400157.971</v>
      </c>
      <c r="C1485" s="8">
        <v>891.566</v>
      </c>
      <c r="D1485" s="11">
        <v>45313</v>
      </c>
      <c r="E1485" s="79">
        <v>887.433</v>
      </c>
    </row>
    <row r="1486" ht="16.5" spans="1:5">
      <c r="A1486" s="8">
        <v>3045731.833</v>
      </c>
      <c r="B1486" s="8">
        <v>35400157.971</v>
      </c>
      <c r="C1486" s="8">
        <v>891.566</v>
      </c>
      <c r="D1486" s="11">
        <v>45314</v>
      </c>
      <c r="E1486" s="79">
        <v>887.427</v>
      </c>
    </row>
    <row r="1487" ht="16.5" spans="1:5">
      <c r="A1487" s="8">
        <v>3045731.833</v>
      </c>
      <c r="B1487" s="8">
        <v>35400157.971</v>
      </c>
      <c r="C1487" s="8">
        <v>891.566</v>
      </c>
      <c r="D1487" s="11">
        <v>45315</v>
      </c>
      <c r="E1487" s="79">
        <v>887.418</v>
      </c>
    </row>
    <row r="1488" ht="16.5" spans="1:5">
      <c r="A1488" s="8">
        <v>3045731.833</v>
      </c>
      <c r="B1488" s="8">
        <v>35400157.971</v>
      </c>
      <c r="C1488" s="8">
        <v>891.566</v>
      </c>
      <c r="D1488" s="11">
        <v>45316</v>
      </c>
      <c r="E1488" s="79">
        <v>887.411</v>
      </c>
    </row>
    <row r="1489" ht="16.5" spans="1:5">
      <c r="A1489" s="8">
        <v>3045731.833</v>
      </c>
      <c r="B1489" s="8">
        <v>35400157.971</v>
      </c>
      <c r="C1489" s="8">
        <v>891.566</v>
      </c>
      <c r="D1489" s="11">
        <v>45317</v>
      </c>
      <c r="E1489" s="79">
        <v>887.395</v>
      </c>
    </row>
    <row r="1490" ht="16.5" spans="1:5">
      <c r="A1490" s="8">
        <v>3045731.833</v>
      </c>
      <c r="B1490" s="8">
        <v>35400157.971</v>
      </c>
      <c r="C1490" s="8">
        <v>891.566</v>
      </c>
      <c r="D1490" s="11">
        <v>45318</v>
      </c>
      <c r="E1490" s="79">
        <v>887.361</v>
      </c>
    </row>
    <row r="1491" ht="16.5" spans="1:5">
      <c r="A1491" s="8">
        <v>3045731.833</v>
      </c>
      <c r="B1491" s="8">
        <v>35400157.971</v>
      </c>
      <c r="C1491" s="8">
        <v>891.566</v>
      </c>
      <c r="D1491" s="11">
        <v>45319</v>
      </c>
      <c r="E1491" s="79">
        <v>886.864</v>
      </c>
    </row>
    <row r="1492" ht="16.5" spans="1:5">
      <c r="A1492" s="8">
        <v>3045731.833</v>
      </c>
      <c r="B1492" s="8">
        <v>35400157.971</v>
      </c>
      <c r="C1492" s="8">
        <v>891.566</v>
      </c>
      <c r="D1492" s="11">
        <v>45320</v>
      </c>
      <c r="E1492" s="79">
        <v>887.357</v>
      </c>
    </row>
    <row r="1493" ht="16.5" spans="1:5">
      <c r="A1493" s="8">
        <v>3045731.833</v>
      </c>
      <c r="B1493" s="8">
        <v>35400157.971</v>
      </c>
      <c r="C1493" s="8">
        <v>891.566</v>
      </c>
      <c r="D1493" s="11">
        <v>45321</v>
      </c>
      <c r="E1493" s="79">
        <v>887.371</v>
      </c>
    </row>
    <row r="1494" ht="16.5" spans="1:5">
      <c r="A1494" s="8">
        <v>3045731.833</v>
      </c>
      <c r="B1494" s="8">
        <v>35400157.971</v>
      </c>
      <c r="C1494" s="8">
        <v>891.566</v>
      </c>
      <c r="D1494" s="11">
        <v>45322</v>
      </c>
      <c r="E1494" s="79">
        <v>887.379</v>
      </c>
    </row>
    <row r="1495" ht="16.5" spans="1:5">
      <c r="A1495" s="8">
        <v>3045731.833</v>
      </c>
      <c r="B1495" s="8">
        <v>35400157.971</v>
      </c>
      <c r="C1495" s="8">
        <v>891.566</v>
      </c>
      <c r="D1495" s="11">
        <v>45323</v>
      </c>
      <c r="E1495" s="79">
        <v>887.379</v>
      </c>
    </row>
    <row r="1496" ht="16.5" spans="1:5">
      <c r="A1496" s="8">
        <v>3045731.833</v>
      </c>
      <c r="B1496" s="8">
        <v>35400157.971</v>
      </c>
      <c r="C1496" s="8">
        <v>891.566</v>
      </c>
      <c r="D1496" s="11">
        <v>45324</v>
      </c>
      <c r="E1496" s="79">
        <v>886.916</v>
      </c>
    </row>
    <row r="1497" ht="16.5" spans="1:5">
      <c r="A1497" s="8">
        <v>3045731.833</v>
      </c>
      <c r="B1497" s="8">
        <v>35400157.971</v>
      </c>
      <c r="C1497" s="8">
        <v>891.566</v>
      </c>
      <c r="D1497" s="11">
        <v>45325</v>
      </c>
      <c r="E1497" s="79">
        <v>887.408</v>
      </c>
    </row>
    <row r="1498" ht="16.5" spans="1:5">
      <c r="A1498" s="8">
        <v>3045731.833</v>
      </c>
      <c r="B1498" s="8">
        <v>35400157.971</v>
      </c>
      <c r="C1498" s="8">
        <v>891.566</v>
      </c>
      <c r="D1498" s="11">
        <v>45326</v>
      </c>
      <c r="E1498" s="79">
        <v>887.397</v>
      </c>
    </row>
    <row r="1499" ht="16.5" spans="1:5">
      <c r="A1499" s="8">
        <v>3045731.833</v>
      </c>
      <c r="B1499" s="8">
        <v>35400157.971</v>
      </c>
      <c r="C1499" s="8">
        <v>891.566</v>
      </c>
      <c r="D1499" s="11">
        <v>45327</v>
      </c>
      <c r="E1499" s="79">
        <v>887.39</v>
      </c>
    </row>
    <row r="1500" ht="16.5" spans="1:5">
      <c r="A1500" s="8">
        <v>3045731.833</v>
      </c>
      <c r="B1500" s="8">
        <v>35400157.971</v>
      </c>
      <c r="C1500" s="8">
        <v>891.566</v>
      </c>
      <c r="D1500" s="11">
        <v>45328</v>
      </c>
      <c r="E1500" s="79">
        <v>887.39</v>
      </c>
    </row>
    <row r="1501" ht="16.5" spans="1:5">
      <c r="A1501" s="8">
        <v>3045731.833</v>
      </c>
      <c r="B1501" s="8">
        <v>35400157.971</v>
      </c>
      <c r="C1501" s="8">
        <v>891.566</v>
      </c>
      <c r="D1501" s="11">
        <v>45329</v>
      </c>
      <c r="E1501" s="79">
        <v>887.383</v>
      </c>
    </row>
    <row r="1502" ht="16.5" spans="1:5">
      <c r="A1502" s="8">
        <v>3045731.833</v>
      </c>
      <c r="B1502" s="8">
        <v>35400157.971</v>
      </c>
      <c r="C1502" s="8">
        <v>891.566</v>
      </c>
      <c r="D1502" s="11">
        <v>45330</v>
      </c>
      <c r="E1502" s="79">
        <v>887.377</v>
      </c>
    </row>
    <row r="1503" ht="16.5" spans="1:5">
      <c r="A1503" s="8">
        <v>3045731.833</v>
      </c>
      <c r="B1503" s="8">
        <v>35400157.971</v>
      </c>
      <c r="C1503" s="8">
        <v>891.566</v>
      </c>
      <c r="D1503" s="11">
        <v>45331</v>
      </c>
      <c r="E1503" s="79">
        <v>887.365</v>
      </c>
    </row>
    <row r="1504" ht="16.5" spans="1:5">
      <c r="A1504" s="8">
        <v>3045731.833</v>
      </c>
      <c r="B1504" s="8">
        <v>35400157.971</v>
      </c>
      <c r="C1504" s="8">
        <v>891.566</v>
      </c>
      <c r="D1504" s="11">
        <v>45332</v>
      </c>
      <c r="E1504" s="79">
        <v>887.357</v>
      </c>
    </row>
    <row r="1505" ht="16.5" spans="1:5">
      <c r="A1505" s="8">
        <v>3045731.833</v>
      </c>
      <c r="B1505" s="8">
        <v>35400157.971</v>
      </c>
      <c r="C1505" s="8">
        <v>891.566</v>
      </c>
      <c r="D1505" s="11">
        <v>45333</v>
      </c>
      <c r="E1505" s="79">
        <v>887.368</v>
      </c>
    </row>
    <row r="1506" ht="16.5" spans="1:5">
      <c r="A1506" s="8">
        <v>3045731.833</v>
      </c>
      <c r="B1506" s="8">
        <v>35400157.971</v>
      </c>
      <c r="C1506" s="8">
        <v>891.566</v>
      </c>
      <c r="D1506" s="11">
        <v>45334</v>
      </c>
      <c r="E1506" s="79">
        <v>887.39</v>
      </c>
    </row>
    <row r="1507" ht="16.5" spans="1:5">
      <c r="A1507" s="8">
        <v>3045731.833</v>
      </c>
      <c r="B1507" s="8">
        <v>35400157.971</v>
      </c>
      <c r="C1507" s="8">
        <v>891.566</v>
      </c>
      <c r="D1507" s="11">
        <v>45335</v>
      </c>
      <c r="E1507" s="79">
        <v>887.398</v>
      </c>
    </row>
    <row r="1508" ht="16.5" spans="1:5">
      <c r="A1508" s="8">
        <v>3045731.833</v>
      </c>
      <c r="B1508" s="8">
        <v>35400157.971</v>
      </c>
      <c r="C1508" s="8">
        <v>891.566</v>
      </c>
      <c r="D1508" s="11">
        <v>45336</v>
      </c>
      <c r="E1508" s="80">
        <v>887.41</v>
      </c>
    </row>
    <row r="1509" ht="16.5" spans="1:5">
      <c r="A1509" s="8">
        <v>3045731.833</v>
      </c>
      <c r="B1509" s="8">
        <v>35400157.971</v>
      </c>
      <c r="C1509" s="8">
        <v>891.566</v>
      </c>
      <c r="D1509" s="11">
        <v>45337</v>
      </c>
      <c r="E1509" s="74"/>
    </row>
    <row r="1510" ht="16.5" spans="1:5">
      <c r="A1510" s="8">
        <v>3045731.833</v>
      </c>
      <c r="B1510" s="8">
        <v>35400157.971</v>
      </c>
      <c r="C1510" s="8">
        <v>891.566</v>
      </c>
      <c r="D1510" s="11">
        <v>45338</v>
      </c>
      <c r="E1510" s="74"/>
    </row>
    <row r="1511" ht="16.5" spans="1:5">
      <c r="A1511" s="8">
        <v>3045731.833</v>
      </c>
      <c r="B1511" s="8">
        <v>35400157.971</v>
      </c>
      <c r="C1511" s="8">
        <v>891.566</v>
      </c>
      <c r="D1511" s="11">
        <v>45339</v>
      </c>
      <c r="E1511" s="74"/>
    </row>
    <row r="1512" ht="16.5" spans="1:5">
      <c r="A1512" s="8">
        <v>3045731.833</v>
      </c>
      <c r="B1512" s="8">
        <v>35400157.971</v>
      </c>
      <c r="C1512" s="8">
        <v>891.566</v>
      </c>
      <c r="D1512" s="11">
        <v>45340</v>
      </c>
      <c r="E1512" s="74"/>
    </row>
    <row r="1513" ht="16.5" spans="1:5">
      <c r="A1513" s="8">
        <v>3045731.833</v>
      </c>
      <c r="B1513" s="8">
        <v>35400157.971</v>
      </c>
      <c r="C1513" s="8">
        <v>891.566</v>
      </c>
      <c r="D1513" s="11">
        <v>45341</v>
      </c>
      <c r="E1513" s="79">
        <v>887.366</v>
      </c>
    </row>
    <row r="1514" ht="16.5" spans="1:5">
      <c r="A1514" s="8">
        <v>3045731.833</v>
      </c>
      <c r="B1514" s="8">
        <v>35400157.971</v>
      </c>
      <c r="C1514" s="8">
        <v>891.566</v>
      </c>
      <c r="D1514" s="11">
        <v>45342</v>
      </c>
      <c r="E1514" s="79">
        <v>887.354</v>
      </c>
    </row>
    <row r="1515" ht="16.5" spans="1:5">
      <c r="A1515" s="8">
        <v>3045731.833</v>
      </c>
      <c r="B1515" s="8">
        <v>35400157.971</v>
      </c>
      <c r="C1515" s="8">
        <v>891.566</v>
      </c>
      <c r="D1515" s="11">
        <v>45343</v>
      </c>
      <c r="E1515" s="79">
        <v>887.337</v>
      </c>
    </row>
    <row r="1516" ht="16.5" spans="1:5">
      <c r="A1516" s="8">
        <v>3045731.833</v>
      </c>
      <c r="B1516" s="8">
        <v>35400157.971</v>
      </c>
      <c r="C1516" s="8">
        <v>891.566</v>
      </c>
      <c r="D1516" s="11">
        <v>45344</v>
      </c>
      <c r="E1516" s="79">
        <v>887.275</v>
      </c>
    </row>
    <row r="1517" ht="16.5" spans="1:5">
      <c r="A1517" s="8">
        <v>3045731.833</v>
      </c>
      <c r="B1517" s="8">
        <v>35400157.971</v>
      </c>
      <c r="C1517" s="8">
        <v>891.566</v>
      </c>
      <c r="D1517" s="11">
        <v>45345</v>
      </c>
      <c r="E1517" s="79">
        <v>887.139</v>
      </c>
    </row>
    <row r="1518" ht="16.5" spans="1:5">
      <c r="A1518" s="8">
        <v>3045731.833</v>
      </c>
      <c r="B1518" s="8">
        <v>35400157.971</v>
      </c>
      <c r="C1518" s="8">
        <v>891.566</v>
      </c>
      <c r="D1518" s="11">
        <v>45346</v>
      </c>
      <c r="E1518" s="79">
        <v>887.146</v>
      </c>
    </row>
    <row r="1519" ht="16.5" spans="1:5">
      <c r="A1519" s="8">
        <v>3045731.833</v>
      </c>
      <c r="B1519" s="8">
        <v>35400157.971</v>
      </c>
      <c r="C1519" s="8">
        <v>891.566</v>
      </c>
      <c r="D1519" s="11">
        <v>45347</v>
      </c>
      <c r="E1519" s="79">
        <v>887.143</v>
      </c>
    </row>
    <row r="1520" ht="16.5" spans="1:5">
      <c r="A1520" s="8">
        <v>3045731.833</v>
      </c>
      <c r="B1520" s="8">
        <v>35400157.971</v>
      </c>
      <c r="C1520" s="8">
        <v>891.566</v>
      </c>
      <c r="D1520" s="11">
        <v>45348</v>
      </c>
      <c r="E1520" s="79">
        <v>887.142</v>
      </c>
    </row>
    <row r="1521" ht="16.5" spans="1:5">
      <c r="A1521" s="8">
        <v>3045731.833</v>
      </c>
      <c r="B1521" s="8">
        <v>35400157.971</v>
      </c>
      <c r="C1521" s="8">
        <v>891.566</v>
      </c>
      <c r="D1521" s="11">
        <v>45349</v>
      </c>
      <c r="E1521" s="79">
        <v>887.168</v>
      </c>
    </row>
    <row r="1522" ht="16.5" spans="1:5">
      <c r="A1522" s="8">
        <v>3045731.833</v>
      </c>
      <c r="B1522" s="8">
        <v>35400157.971</v>
      </c>
      <c r="C1522" s="8">
        <v>891.566</v>
      </c>
      <c r="D1522" s="11">
        <v>45350</v>
      </c>
      <c r="E1522" s="79">
        <v>887.102</v>
      </c>
    </row>
    <row r="1523" ht="16.5" spans="1:5">
      <c r="A1523" s="8">
        <v>3045731.833</v>
      </c>
      <c r="B1523" s="8">
        <v>35400157.971</v>
      </c>
      <c r="C1523" s="8">
        <v>891.566</v>
      </c>
      <c r="D1523" s="11">
        <v>45351</v>
      </c>
      <c r="E1523" s="79">
        <v>887.185</v>
      </c>
    </row>
    <row r="1524" ht="16.5" spans="1:5">
      <c r="A1524" s="8">
        <v>3045731.833</v>
      </c>
      <c r="B1524" s="8">
        <v>35400157.971</v>
      </c>
      <c r="C1524" s="8">
        <v>891.566</v>
      </c>
      <c r="D1524" s="11">
        <v>45352</v>
      </c>
      <c r="E1524" s="79">
        <v>887.238</v>
      </c>
    </row>
    <row r="1525" ht="16.5" spans="1:5">
      <c r="A1525" s="8">
        <v>3045731.833</v>
      </c>
      <c r="B1525" s="8">
        <v>35400157.971</v>
      </c>
      <c r="C1525" s="8">
        <v>891.566</v>
      </c>
      <c r="D1525" s="11">
        <v>45353</v>
      </c>
      <c r="E1525" s="79">
        <v>887.267</v>
      </c>
    </row>
    <row r="1526" ht="16.5" spans="1:5">
      <c r="A1526" s="8">
        <v>3045731.833</v>
      </c>
      <c r="B1526" s="8">
        <v>35400157.971</v>
      </c>
      <c r="C1526" s="8">
        <v>891.566</v>
      </c>
      <c r="D1526" s="11">
        <v>45354</v>
      </c>
      <c r="E1526" s="79">
        <v>887.267</v>
      </c>
    </row>
    <row r="1527" ht="16.5" spans="1:5">
      <c r="A1527" s="8">
        <v>3045731.833</v>
      </c>
      <c r="B1527" s="8">
        <v>35400157.971</v>
      </c>
      <c r="C1527" s="8">
        <v>891.566</v>
      </c>
      <c r="D1527" s="11">
        <v>45355</v>
      </c>
      <c r="E1527" s="79">
        <v>887.288</v>
      </c>
    </row>
    <row r="1528" ht="16.5" spans="1:5">
      <c r="A1528" s="8">
        <v>3045731.833</v>
      </c>
      <c r="B1528" s="8">
        <v>35400157.971</v>
      </c>
      <c r="C1528" s="8">
        <v>891.566</v>
      </c>
      <c r="D1528" s="11">
        <v>45356</v>
      </c>
      <c r="E1528" s="79">
        <v>887.299</v>
      </c>
    </row>
    <row r="1529" ht="16.5" spans="1:5">
      <c r="A1529" s="8">
        <v>3045731.833</v>
      </c>
      <c r="B1529" s="8">
        <v>35400157.971</v>
      </c>
      <c r="C1529" s="8">
        <v>891.566</v>
      </c>
      <c r="D1529" s="11">
        <v>45357</v>
      </c>
      <c r="E1529" s="79">
        <v>887.298</v>
      </c>
    </row>
    <row r="1530" ht="16.5" spans="1:5">
      <c r="A1530" s="8">
        <v>3045731.833</v>
      </c>
      <c r="B1530" s="8">
        <v>35400157.971</v>
      </c>
      <c r="C1530" s="8">
        <v>891.566</v>
      </c>
      <c r="D1530" s="11">
        <v>45358</v>
      </c>
      <c r="E1530" s="79">
        <v>887.292</v>
      </c>
    </row>
    <row r="1531" ht="16.5" spans="1:5">
      <c r="A1531" s="8">
        <v>3045731.833</v>
      </c>
      <c r="B1531" s="8">
        <v>35400157.971</v>
      </c>
      <c r="C1531" s="8">
        <v>891.566</v>
      </c>
      <c r="D1531" s="11">
        <v>45359</v>
      </c>
      <c r="E1531" s="79">
        <v>887.295</v>
      </c>
    </row>
    <row r="1532" ht="16.5" spans="1:5">
      <c r="A1532" s="8">
        <v>3045731.833</v>
      </c>
      <c r="B1532" s="8">
        <v>35400157.971</v>
      </c>
      <c r="C1532" s="8">
        <v>891.566</v>
      </c>
      <c r="D1532" s="11">
        <v>45360</v>
      </c>
      <c r="E1532" s="79">
        <v>887.307</v>
      </c>
    </row>
    <row r="1533" ht="16.5" spans="1:5">
      <c r="A1533" s="8">
        <v>3045731.833</v>
      </c>
      <c r="B1533" s="8">
        <v>35400157.971</v>
      </c>
      <c r="C1533" s="8">
        <v>891.566</v>
      </c>
      <c r="D1533" s="11">
        <v>45361</v>
      </c>
      <c r="E1533" s="79">
        <v>887.319</v>
      </c>
    </row>
    <row r="1534" ht="16.5" spans="1:5">
      <c r="A1534" s="8">
        <v>3045731.833</v>
      </c>
      <c r="B1534" s="8">
        <v>35400157.971</v>
      </c>
      <c r="C1534" s="8">
        <v>891.566</v>
      </c>
      <c r="D1534" s="11">
        <v>45362</v>
      </c>
      <c r="E1534" s="79">
        <v>887.323</v>
      </c>
    </row>
    <row r="1535" ht="16.5" spans="1:5">
      <c r="A1535" s="8">
        <v>3045731.833</v>
      </c>
      <c r="B1535" s="8">
        <v>35400157.971</v>
      </c>
      <c r="C1535" s="8">
        <v>891.566</v>
      </c>
      <c r="D1535" s="11">
        <v>45363</v>
      </c>
      <c r="E1535" s="79">
        <v>887.338</v>
      </c>
    </row>
    <row r="1536" ht="16.5" spans="1:5">
      <c r="A1536" s="8">
        <v>3045731.833</v>
      </c>
      <c r="B1536" s="8">
        <v>35400157.971</v>
      </c>
      <c r="C1536" s="8">
        <v>891.566</v>
      </c>
      <c r="D1536" s="11">
        <v>45364</v>
      </c>
      <c r="E1536" s="79">
        <v>887.339</v>
      </c>
    </row>
    <row r="1537" ht="16.5" spans="1:5">
      <c r="A1537" s="8">
        <v>3045731.833</v>
      </c>
      <c r="B1537" s="8">
        <v>35400157.971</v>
      </c>
      <c r="C1537" s="8">
        <v>891.566</v>
      </c>
      <c r="D1537" s="11">
        <v>45365</v>
      </c>
      <c r="E1537" s="79">
        <v>887.332</v>
      </c>
    </row>
    <row r="1538" ht="16.5" spans="1:5">
      <c r="A1538" s="8">
        <v>3045731.833</v>
      </c>
      <c r="B1538" s="8">
        <v>35400157.971</v>
      </c>
      <c r="C1538" s="8">
        <v>891.566</v>
      </c>
      <c r="D1538" s="11">
        <v>45366</v>
      </c>
      <c r="E1538" s="79">
        <v>887.323</v>
      </c>
    </row>
    <row r="1539" ht="16.5" spans="1:5">
      <c r="A1539" s="8">
        <v>3045731.833</v>
      </c>
      <c r="B1539" s="8">
        <v>35400157.971</v>
      </c>
      <c r="C1539" s="8">
        <v>891.566</v>
      </c>
      <c r="D1539" s="11">
        <v>45367</v>
      </c>
      <c r="E1539" s="79">
        <v>887.309</v>
      </c>
    </row>
    <row r="1540" ht="16.5" spans="1:5">
      <c r="A1540" s="8">
        <v>3045731.833</v>
      </c>
      <c r="B1540" s="8">
        <v>35400157.971</v>
      </c>
      <c r="C1540" s="8">
        <v>891.566</v>
      </c>
      <c r="D1540" s="11">
        <v>45368</v>
      </c>
      <c r="E1540" s="79">
        <v>887.292</v>
      </c>
    </row>
    <row r="1541" ht="16.5" spans="1:5">
      <c r="A1541" s="8">
        <v>3045731.833</v>
      </c>
      <c r="B1541" s="8">
        <v>35400157.971</v>
      </c>
      <c r="C1541" s="8">
        <v>891.566</v>
      </c>
      <c r="D1541" s="11">
        <v>45369</v>
      </c>
      <c r="E1541" s="79">
        <v>887.28</v>
      </c>
    </row>
    <row r="1542" ht="16.5" spans="1:5">
      <c r="A1542" s="8">
        <v>3045731.833</v>
      </c>
      <c r="B1542" s="8">
        <v>35400157.971</v>
      </c>
      <c r="C1542" s="8">
        <v>891.566</v>
      </c>
      <c r="D1542" s="11">
        <v>45370</v>
      </c>
      <c r="E1542" s="79">
        <v>887.285</v>
      </c>
    </row>
    <row r="1543" ht="16.5" spans="1:5">
      <c r="A1543" s="8">
        <v>3045731.833</v>
      </c>
      <c r="B1543" s="8">
        <v>35400157.971</v>
      </c>
      <c r="C1543" s="8">
        <v>891.566</v>
      </c>
      <c r="D1543" s="11">
        <v>45371</v>
      </c>
      <c r="E1543" s="79">
        <v>887.291</v>
      </c>
    </row>
    <row r="1544" ht="16.5" spans="1:5">
      <c r="A1544" s="8">
        <v>3045731.833</v>
      </c>
      <c r="B1544" s="8">
        <v>35400157.971</v>
      </c>
      <c r="C1544" s="8">
        <v>891.566</v>
      </c>
      <c r="D1544" s="11">
        <v>45372</v>
      </c>
      <c r="E1544" s="79">
        <v>887.297</v>
      </c>
    </row>
    <row r="1545" ht="16.5" spans="1:5">
      <c r="A1545" s="8">
        <v>3045731.833</v>
      </c>
      <c r="B1545" s="8">
        <v>35400157.971</v>
      </c>
      <c r="C1545" s="8">
        <v>891.566</v>
      </c>
      <c r="D1545" s="11">
        <v>45373</v>
      </c>
      <c r="E1545" s="79">
        <v>887.295</v>
      </c>
    </row>
    <row r="1546" ht="16.5" spans="1:5">
      <c r="A1546" s="8">
        <v>3045731.833</v>
      </c>
      <c r="B1546" s="8">
        <v>35400157.971</v>
      </c>
      <c r="C1546" s="8">
        <v>891.566</v>
      </c>
      <c r="D1546" s="11">
        <v>45374</v>
      </c>
      <c r="E1546" s="79">
        <v>887.294</v>
      </c>
    </row>
    <row r="1547" ht="16.5" spans="1:5">
      <c r="A1547" s="8">
        <v>3045731.833</v>
      </c>
      <c r="B1547" s="8">
        <v>35400157.971</v>
      </c>
      <c r="C1547" s="8">
        <v>891.566</v>
      </c>
      <c r="D1547" s="11">
        <v>45375</v>
      </c>
      <c r="E1547" s="79">
        <v>887.273</v>
      </c>
    </row>
    <row r="1548" ht="16.5" spans="1:5">
      <c r="A1548" s="8">
        <v>3045731.833</v>
      </c>
      <c r="B1548" s="8">
        <v>35400157.971</v>
      </c>
      <c r="C1548" s="8">
        <v>891.566</v>
      </c>
      <c r="D1548" s="11">
        <v>45376</v>
      </c>
      <c r="E1548" s="79">
        <v>887.248</v>
      </c>
    </row>
    <row r="1549" ht="16.5" spans="1:5">
      <c r="A1549" s="8">
        <v>3045731.833</v>
      </c>
      <c r="B1549" s="8">
        <v>35400157.971</v>
      </c>
      <c r="C1549" s="8">
        <v>891.566</v>
      </c>
      <c r="D1549" s="11">
        <v>45377</v>
      </c>
      <c r="E1549" s="79">
        <v>887.229</v>
      </c>
    </row>
    <row r="1550" ht="16.5" spans="1:5">
      <c r="A1550" s="8">
        <v>3045731.833</v>
      </c>
      <c r="B1550" s="8">
        <v>35400157.971</v>
      </c>
      <c r="C1550" s="8">
        <v>891.566</v>
      </c>
      <c r="D1550" s="11">
        <v>45378</v>
      </c>
      <c r="E1550" s="79">
        <v>887.221</v>
      </c>
    </row>
    <row r="1551" ht="16.5" spans="1:5">
      <c r="A1551" s="8">
        <v>3045731.833</v>
      </c>
      <c r="B1551" s="8">
        <v>35400157.971</v>
      </c>
      <c r="C1551" s="8">
        <v>891.566</v>
      </c>
      <c r="D1551" s="11">
        <v>45379</v>
      </c>
      <c r="E1551" s="79">
        <v>887.21</v>
      </c>
    </row>
    <row r="1552" ht="16.5" spans="1:5">
      <c r="A1552" s="8">
        <v>3045731.833</v>
      </c>
      <c r="B1552" s="8">
        <v>35400157.971</v>
      </c>
      <c r="C1552" s="8">
        <v>891.566</v>
      </c>
      <c r="D1552" s="11">
        <v>45380</v>
      </c>
      <c r="E1552" s="79">
        <v>887.207</v>
      </c>
    </row>
    <row r="1553" ht="16.5" spans="1:5">
      <c r="A1553" s="8">
        <v>3045731.833</v>
      </c>
      <c r="B1553" s="8">
        <v>35400157.971</v>
      </c>
      <c r="C1553" s="8">
        <v>891.566</v>
      </c>
      <c r="D1553" s="11">
        <v>45381</v>
      </c>
      <c r="E1553" s="79">
        <v>887.203</v>
      </c>
    </row>
    <row r="1554" ht="16.5" spans="1:5">
      <c r="A1554" s="8">
        <v>3045731.833</v>
      </c>
      <c r="B1554" s="8">
        <v>35400157.971</v>
      </c>
      <c r="C1554" s="8">
        <v>891.566</v>
      </c>
      <c r="D1554" s="11">
        <v>45382</v>
      </c>
      <c r="E1554" s="79">
        <v>887.199</v>
      </c>
    </row>
    <row r="1555" ht="16.5" spans="1:5">
      <c r="A1555" s="8">
        <v>3045731.833</v>
      </c>
      <c r="B1555" s="8">
        <v>35400157.971</v>
      </c>
      <c r="C1555" s="8">
        <v>891.566</v>
      </c>
      <c r="D1555" s="11">
        <v>45383</v>
      </c>
      <c r="E1555" s="79">
        <v>887.208</v>
      </c>
    </row>
    <row r="1556" ht="16.5" spans="1:5">
      <c r="A1556" s="8">
        <v>3045731.833</v>
      </c>
      <c r="B1556" s="8">
        <v>35400157.971</v>
      </c>
      <c r="C1556" s="8">
        <v>891.566</v>
      </c>
      <c r="D1556" s="11">
        <v>45384</v>
      </c>
      <c r="E1556" s="79">
        <v>887.22</v>
      </c>
    </row>
    <row r="1557" ht="16.5" spans="1:5">
      <c r="A1557" s="8">
        <v>3045731.833</v>
      </c>
      <c r="B1557" s="8">
        <v>35400157.971</v>
      </c>
      <c r="C1557" s="8">
        <v>891.566</v>
      </c>
      <c r="D1557" s="11">
        <v>45385</v>
      </c>
      <c r="E1557" s="79">
        <v>887.189</v>
      </c>
    </row>
    <row r="1558" ht="16.5" spans="1:5">
      <c r="A1558" s="8">
        <v>3045731.833</v>
      </c>
      <c r="B1558" s="8">
        <v>35400157.971</v>
      </c>
      <c r="C1558" s="8">
        <v>891.566</v>
      </c>
      <c r="D1558" s="11">
        <v>45386</v>
      </c>
      <c r="E1558" s="79">
        <v>887.16</v>
      </c>
    </row>
    <row r="1559" ht="16.5" spans="1:5">
      <c r="A1559" s="8">
        <v>3045731.833</v>
      </c>
      <c r="B1559" s="8">
        <v>35400157.971</v>
      </c>
      <c r="C1559" s="8">
        <v>891.566</v>
      </c>
      <c r="D1559" s="11">
        <v>45387</v>
      </c>
      <c r="E1559" s="79">
        <v>887.147</v>
      </c>
    </row>
    <row r="1560" ht="16.5" spans="1:5">
      <c r="A1560" s="8">
        <v>3045731.833</v>
      </c>
      <c r="B1560" s="8">
        <v>35400157.971</v>
      </c>
      <c r="C1560" s="8">
        <v>891.566</v>
      </c>
      <c r="D1560" s="11">
        <v>45388</v>
      </c>
      <c r="E1560" s="79">
        <v>887.136</v>
      </c>
    </row>
    <row r="1561" ht="16.5" spans="1:5">
      <c r="A1561" s="8">
        <v>3045731.833</v>
      </c>
      <c r="B1561" s="8">
        <v>35400157.971</v>
      </c>
      <c r="C1561" s="8">
        <v>891.566</v>
      </c>
      <c r="D1561" s="11">
        <v>45389</v>
      </c>
      <c r="E1561" s="79">
        <v>887.132</v>
      </c>
    </row>
    <row r="1562" ht="16.5" spans="1:5">
      <c r="A1562" s="8">
        <v>3045731.833</v>
      </c>
      <c r="B1562" s="8">
        <v>35400157.971</v>
      </c>
      <c r="C1562" s="8">
        <v>891.566</v>
      </c>
      <c r="D1562" s="11">
        <v>45390</v>
      </c>
      <c r="E1562" s="79">
        <v>887.169</v>
      </c>
    </row>
    <row r="1563" ht="16.5" spans="1:5">
      <c r="A1563" s="8">
        <v>3045731.833</v>
      </c>
      <c r="B1563" s="8">
        <v>35400157.971</v>
      </c>
      <c r="C1563" s="8">
        <v>891.566</v>
      </c>
      <c r="D1563" s="11">
        <v>45391</v>
      </c>
      <c r="E1563" s="79">
        <v>887.174</v>
      </c>
    </row>
    <row r="1564" ht="16.5" spans="1:5">
      <c r="A1564" s="8">
        <v>3045731.833</v>
      </c>
      <c r="B1564" s="8">
        <v>35400157.971</v>
      </c>
      <c r="C1564" s="8">
        <v>891.566</v>
      </c>
      <c r="D1564" s="11">
        <v>45392</v>
      </c>
      <c r="E1564" s="79">
        <v>887.188</v>
      </c>
    </row>
    <row r="1565" ht="16.5" spans="1:5">
      <c r="A1565" s="8">
        <v>3045731.833</v>
      </c>
      <c r="B1565" s="8">
        <v>35400157.971</v>
      </c>
      <c r="C1565" s="8">
        <v>891.566</v>
      </c>
      <c r="D1565" s="11">
        <v>45393</v>
      </c>
      <c r="E1565" s="79">
        <v>887.185</v>
      </c>
    </row>
    <row r="1566" ht="16.5" spans="1:5">
      <c r="A1566" s="8">
        <v>3045731.833</v>
      </c>
      <c r="B1566" s="8">
        <v>35400157.971</v>
      </c>
      <c r="C1566" s="8">
        <v>891.566</v>
      </c>
      <c r="D1566" s="11">
        <v>45394</v>
      </c>
      <c r="E1566" s="79">
        <v>887.174</v>
      </c>
    </row>
    <row r="1567" ht="16.5" spans="1:5">
      <c r="A1567" s="8">
        <v>3045731.833</v>
      </c>
      <c r="B1567" s="8">
        <v>35400157.971</v>
      </c>
      <c r="C1567" s="8">
        <v>891.566</v>
      </c>
      <c r="D1567" s="11">
        <v>45395</v>
      </c>
      <c r="E1567" s="79">
        <v>887.166</v>
      </c>
    </row>
    <row r="1568" ht="16.5" spans="1:5">
      <c r="A1568" s="8">
        <v>3045731.833</v>
      </c>
      <c r="B1568" s="8">
        <v>35400157.971</v>
      </c>
      <c r="C1568" s="8">
        <v>891.566</v>
      </c>
      <c r="D1568" s="11">
        <v>45396</v>
      </c>
      <c r="E1568" s="79">
        <v>887.149</v>
      </c>
    </row>
    <row r="1569" ht="16.5" spans="1:5">
      <c r="A1569" s="8">
        <v>3045731.833</v>
      </c>
      <c r="B1569" s="8">
        <v>35400157.971</v>
      </c>
      <c r="C1569" s="8">
        <v>891.566</v>
      </c>
      <c r="D1569" s="11">
        <v>45397</v>
      </c>
      <c r="E1569" s="79">
        <v>887.138</v>
      </c>
    </row>
    <row r="1570" ht="16.5" spans="1:5">
      <c r="A1570" s="8">
        <v>3045731.833</v>
      </c>
      <c r="B1570" s="8">
        <v>35400157.971</v>
      </c>
      <c r="C1570" s="8">
        <v>891.566</v>
      </c>
      <c r="D1570" s="11">
        <v>45398</v>
      </c>
      <c r="E1570" s="79">
        <v>887.132</v>
      </c>
    </row>
    <row r="1571" ht="16.5" spans="1:5">
      <c r="A1571" s="8">
        <v>3045731.833</v>
      </c>
      <c r="B1571" s="8">
        <v>35400157.971</v>
      </c>
      <c r="C1571" s="8">
        <v>891.566</v>
      </c>
      <c r="D1571" s="11">
        <v>45399</v>
      </c>
      <c r="E1571" s="79">
        <v>887.115</v>
      </c>
    </row>
    <row r="1572" ht="16.5" spans="1:5">
      <c r="A1572" s="8">
        <v>3045731.833</v>
      </c>
      <c r="B1572" s="8">
        <v>35400157.971</v>
      </c>
      <c r="C1572" s="8">
        <v>891.566</v>
      </c>
      <c r="D1572" s="11">
        <v>45400</v>
      </c>
      <c r="E1572" s="79">
        <v>887.108</v>
      </c>
    </row>
    <row r="1573" ht="16.5" spans="1:5">
      <c r="A1573" s="8">
        <v>3045731.833</v>
      </c>
      <c r="B1573" s="8">
        <v>35400157.971</v>
      </c>
      <c r="C1573" s="8">
        <v>891.566</v>
      </c>
      <c r="D1573" s="11">
        <v>45401</v>
      </c>
      <c r="E1573" s="79">
        <v>887.101</v>
      </c>
    </row>
    <row r="1574" ht="16.5" spans="1:5">
      <c r="A1574" s="8">
        <v>3045731.833</v>
      </c>
      <c r="B1574" s="8">
        <v>35400157.971</v>
      </c>
      <c r="C1574" s="8">
        <v>891.566</v>
      </c>
      <c r="D1574" s="11">
        <v>45402</v>
      </c>
      <c r="E1574" s="79">
        <v>887.1</v>
      </c>
    </row>
    <row r="1575" ht="16.5" spans="1:5">
      <c r="A1575" s="8">
        <v>3045731.833</v>
      </c>
      <c r="B1575" s="8">
        <v>35400157.971</v>
      </c>
      <c r="C1575" s="8">
        <v>891.566</v>
      </c>
      <c r="D1575" s="11">
        <v>45403</v>
      </c>
      <c r="E1575" s="79">
        <v>887.111</v>
      </c>
    </row>
    <row r="1576" ht="16.5" spans="1:5">
      <c r="A1576" s="8">
        <v>3045731.833</v>
      </c>
      <c r="B1576" s="8">
        <v>35400157.971</v>
      </c>
      <c r="C1576" s="8">
        <v>891.566</v>
      </c>
      <c r="D1576" s="11">
        <v>45404</v>
      </c>
      <c r="E1576" s="79">
        <v>887.121</v>
      </c>
    </row>
    <row r="1577" ht="16.5" spans="1:5">
      <c r="A1577" s="8">
        <v>3045731.833</v>
      </c>
      <c r="B1577" s="8">
        <v>35400157.971</v>
      </c>
      <c r="C1577" s="8">
        <v>891.566</v>
      </c>
      <c r="D1577" s="11">
        <v>45405</v>
      </c>
      <c r="E1577" s="79">
        <v>887.11</v>
      </c>
    </row>
    <row r="1578" ht="16.5" spans="1:5">
      <c r="A1578" s="8">
        <v>3045731.833</v>
      </c>
      <c r="B1578" s="8">
        <v>35400157.971</v>
      </c>
      <c r="C1578" s="8">
        <v>891.566</v>
      </c>
      <c r="D1578" s="11">
        <v>45406</v>
      </c>
      <c r="E1578" s="79">
        <v>887.112</v>
      </c>
    </row>
    <row r="1579" ht="16.5" spans="1:5">
      <c r="A1579" s="8">
        <v>3045731.833</v>
      </c>
      <c r="B1579" s="8">
        <v>35400157.971</v>
      </c>
      <c r="C1579" s="8">
        <v>891.566</v>
      </c>
      <c r="D1579" s="11">
        <v>45407</v>
      </c>
      <c r="E1579" s="79">
        <v>887.114</v>
      </c>
    </row>
    <row r="1580" ht="16.5" spans="1:5">
      <c r="A1580" s="8">
        <v>3045731.833</v>
      </c>
      <c r="B1580" s="8">
        <v>35400157.971</v>
      </c>
      <c r="C1580" s="8">
        <v>891.566</v>
      </c>
      <c r="D1580" s="11">
        <v>45408</v>
      </c>
      <c r="E1580" s="79">
        <v>887.12</v>
      </c>
    </row>
    <row r="1581" ht="16.5" spans="1:5">
      <c r="A1581" s="8">
        <v>3045731.833</v>
      </c>
      <c r="B1581" s="8">
        <v>35400157.971</v>
      </c>
      <c r="C1581" s="8">
        <v>891.566</v>
      </c>
      <c r="D1581" s="11">
        <v>45409</v>
      </c>
      <c r="E1581" s="79">
        <v>887.108</v>
      </c>
    </row>
    <row r="1582" ht="16.5" spans="1:5">
      <c r="A1582" s="8">
        <v>3045731.833</v>
      </c>
      <c r="B1582" s="8">
        <v>35400157.971</v>
      </c>
      <c r="C1582" s="8">
        <v>891.566</v>
      </c>
      <c r="D1582" s="11">
        <v>45410</v>
      </c>
      <c r="E1582" s="79">
        <v>887.083</v>
      </c>
    </row>
    <row r="1583" ht="16.5" spans="1:5">
      <c r="A1583" s="8">
        <v>3045731.833</v>
      </c>
      <c r="B1583" s="8">
        <v>35400157.971</v>
      </c>
      <c r="C1583" s="8">
        <v>891.566</v>
      </c>
      <c r="D1583" s="11">
        <v>45411</v>
      </c>
      <c r="E1583" s="79">
        <v>887.064</v>
      </c>
    </row>
    <row r="1584" ht="16.5" spans="1:5">
      <c r="A1584" s="8">
        <v>3045731.833</v>
      </c>
      <c r="B1584" s="8">
        <v>35400157.971</v>
      </c>
      <c r="C1584" s="8">
        <v>891.566</v>
      </c>
      <c r="D1584" s="11">
        <v>45412</v>
      </c>
      <c r="E1584" s="79">
        <v>887.031</v>
      </c>
    </row>
    <row r="1585" ht="16.5" spans="1:5">
      <c r="A1585" s="8">
        <v>3045731.833</v>
      </c>
      <c r="B1585" s="8">
        <v>35400157.971</v>
      </c>
      <c r="C1585" s="8">
        <v>891.566</v>
      </c>
      <c r="D1585" s="11">
        <v>45413</v>
      </c>
      <c r="E1585" s="79">
        <v>887.017</v>
      </c>
    </row>
    <row r="1586" ht="16.5" spans="1:5">
      <c r="A1586" s="8">
        <v>3045731.833</v>
      </c>
      <c r="B1586" s="8">
        <v>35400157.971</v>
      </c>
      <c r="C1586" s="8">
        <v>891.566</v>
      </c>
      <c r="D1586" s="11">
        <v>45414</v>
      </c>
      <c r="E1586" s="79">
        <v>887.026</v>
      </c>
    </row>
    <row r="1587" ht="16.5" spans="1:5">
      <c r="A1587" s="8">
        <v>3045731.833</v>
      </c>
      <c r="B1587" s="8">
        <v>35400157.971</v>
      </c>
      <c r="C1587" s="8">
        <v>891.566</v>
      </c>
      <c r="D1587" s="11">
        <v>45415</v>
      </c>
      <c r="E1587" s="79">
        <v>887.027</v>
      </c>
    </row>
    <row r="1588" ht="16.5" spans="1:5">
      <c r="A1588" s="8">
        <v>3045731.833</v>
      </c>
      <c r="B1588" s="8">
        <v>35400157.971</v>
      </c>
      <c r="C1588" s="8">
        <v>891.566</v>
      </c>
      <c r="D1588" s="11">
        <v>45416</v>
      </c>
      <c r="E1588" s="79">
        <v>887.017</v>
      </c>
    </row>
    <row r="1589" ht="16.5" spans="1:5">
      <c r="A1589" s="8">
        <v>3045731.833</v>
      </c>
      <c r="B1589" s="8">
        <v>35400157.971</v>
      </c>
      <c r="C1589" s="8">
        <v>891.566</v>
      </c>
      <c r="D1589" s="11">
        <v>45417</v>
      </c>
      <c r="E1589" s="79">
        <v>887.043</v>
      </c>
    </row>
    <row r="1590" ht="16.5" spans="1:5">
      <c r="A1590" s="8">
        <v>3045731.833</v>
      </c>
      <c r="B1590" s="8">
        <v>35400157.971</v>
      </c>
      <c r="C1590" s="8">
        <v>891.566</v>
      </c>
      <c r="D1590" s="11">
        <v>45418</v>
      </c>
      <c r="E1590" s="79">
        <v>887.056</v>
      </c>
    </row>
    <row r="1591" ht="16.5" spans="1:5">
      <c r="A1591" s="8">
        <v>3045731.833</v>
      </c>
      <c r="B1591" s="8">
        <v>35400157.971</v>
      </c>
      <c r="C1591" s="8">
        <v>891.566</v>
      </c>
      <c r="D1591" s="11">
        <v>45419</v>
      </c>
      <c r="E1591" s="79">
        <v>887.075</v>
      </c>
    </row>
    <row r="1592" ht="16.5" spans="1:5">
      <c r="A1592" s="8">
        <v>3045731.833</v>
      </c>
      <c r="B1592" s="8">
        <v>35400157.971</v>
      </c>
      <c r="C1592" s="8">
        <v>891.566</v>
      </c>
      <c r="D1592" s="11">
        <v>45420</v>
      </c>
      <c r="E1592" s="79">
        <v>887.141</v>
      </c>
    </row>
    <row r="1593" ht="16.5" spans="1:5">
      <c r="A1593" s="8">
        <v>3045731.833</v>
      </c>
      <c r="B1593" s="8">
        <v>35400157.971</v>
      </c>
      <c r="C1593" s="8">
        <v>891.566</v>
      </c>
      <c r="D1593" s="11">
        <v>45421</v>
      </c>
      <c r="E1593" s="79">
        <v>887.172</v>
      </c>
    </row>
    <row r="1594" ht="16.5" spans="1:5">
      <c r="A1594" s="8">
        <v>3045731.833</v>
      </c>
      <c r="B1594" s="8">
        <v>35400157.971</v>
      </c>
      <c r="C1594" s="8">
        <v>891.566</v>
      </c>
      <c r="D1594" s="11">
        <v>45422</v>
      </c>
      <c r="E1594" s="79">
        <v>887.251</v>
      </c>
    </row>
    <row r="1595" ht="16.5" spans="1:5">
      <c r="A1595" s="8">
        <v>3045731.833</v>
      </c>
      <c r="B1595" s="8">
        <v>35400157.971</v>
      </c>
      <c r="C1595" s="8">
        <v>891.566</v>
      </c>
      <c r="D1595" s="11">
        <v>45423</v>
      </c>
      <c r="E1595" s="79">
        <v>887.247</v>
      </c>
    </row>
  </sheetData>
  <mergeCells count="1">
    <mergeCell ref="A1:C1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95"/>
  <sheetViews>
    <sheetView workbookViewId="0">
      <selection activeCell="A2" sqref="A2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15.37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6.5" spans="1:5">
      <c r="A3" s="8">
        <v>3045103.988</v>
      </c>
      <c r="B3" s="8">
        <v>35401268.816</v>
      </c>
      <c r="C3" s="8">
        <v>907.163</v>
      </c>
      <c r="D3" s="34">
        <v>43831</v>
      </c>
      <c r="E3" s="95"/>
    </row>
    <row r="4" ht="16.5" spans="1:5">
      <c r="A4" s="8">
        <v>3045103.988</v>
      </c>
      <c r="B4" s="8">
        <v>35401268.816</v>
      </c>
      <c r="C4" s="8">
        <v>907.163</v>
      </c>
      <c r="D4" s="34">
        <v>43832</v>
      </c>
      <c r="E4" s="95"/>
    </row>
    <row r="5" ht="16.5" spans="1:5">
      <c r="A5" s="8">
        <v>3045103.988</v>
      </c>
      <c r="B5" s="8">
        <v>35401268.816</v>
      </c>
      <c r="C5" s="8">
        <v>907.163</v>
      </c>
      <c r="D5" s="34">
        <v>43833</v>
      </c>
      <c r="E5" s="95"/>
    </row>
    <row r="6" ht="16.5" spans="1:5">
      <c r="A6" s="8">
        <v>3045103.988</v>
      </c>
      <c r="B6" s="8">
        <v>35401268.816</v>
      </c>
      <c r="C6" s="8">
        <v>907.163</v>
      </c>
      <c r="D6" s="34">
        <v>43834</v>
      </c>
      <c r="E6" s="95"/>
    </row>
    <row r="7" ht="16.5" spans="1:5">
      <c r="A7" s="8">
        <v>3045103.988</v>
      </c>
      <c r="B7" s="8">
        <v>35401268.816</v>
      </c>
      <c r="C7" s="8">
        <v>907.163</v>
      </c>
      <c r="D7" s="34">
        <v>43835</v>
      </c>
      <c r="E7" s="95"/>
    </row>
    <row r="8" ht="16.5" spans="1:5">
      <c r="A8" s="8">
        <v>3045103.988</v>
      </c>
      <c r="B8" s="8">
        <v>35401268.816</v>
      </c>
      <c r="C8" s="8">
        <v>907.163</v>
      </c>
      <c r="D8" s="34">
        <v>43836</v>
      </c>
      <c r="E8" s="95"/>
    </row>
    <row r="9" ht="16.5" spans="1:5">
      <c r="A9" s="8">
        <v>3045103.988</v>
      </c>
      <c r="B9" s="8">
        <v>35401268.816</v>
      </c>
      <c r="C9" s="8">
        <v>907.163</v>
      </c>
      <c r="D9" s="34">
        <v>43837</v>
      </c>
      <c r="E9" s="95"/>
    </row>
    <row r="10" ht="16.5" spans="1:5">
      <c r="A10" s="8">
        <v>3045103.988</v>
      </c>
      <c r="B10" s="8">
        <v>35401268.816</v>
      </c>
      <c r="C10" s="8">
        <v>907.163</v>
      </c>
      <c r="D10" s="34">
        <v>43838</v>
      </c>
      <c r="E10" s="95"/>
    </row>
    <row r="11" ht="16.5" spans="1:5">
      <c r="A11" s="8">
        <v>3045103.988</v>
      </c>
      <c r="B11" s="8">
        <v>35401268.816</v>
      </c>
      <c r="C11" s="8">
        <v>907.163</v>
      </c>
      <c r="D11" s="34">
        <v>43839</v>
      </c>
      <c r="E11" s="95"/>
    </row>
    <row r="12" ht="16.5" spans="1:5">
      <c r="A12" s="8">
        <v>3045103.988</v>
      </c>
      <c r="B12" s="8">
        <v>35401268.816</v>
      </c>
      <c r="C12" s="8">
        <v>907.163</v>
      </c>
      <c r="D12" s="34">
        <v>43840</v>
      </c>
      <c r="E12" s="95"/>
    </row>
    <row r="13" ht="16.5" spans="1:5">
      <c r="A13" s="8">
        <v>3045103.988</v>
      </c>
      <c r="B13" s="8">
        <v>35401268.816</v>
      </c>
      <c r="C13" s="8">
        <v>907.163</v>
      </c>
      <c r="D13" s="34">
        <v>43841</v>
      </c>
      <c r="E13" s="95"/>
    </row>
    <row r="14" ht="16.5" spans="1:5">
      <c r="A14" s="8">
        <v>3045103.988</v>
      </c>
      <c r="B14" s="8">
        <v>35401268.816</v>
      </c>
      <c r="C14" s="8">
        <v>907.163</v>
      </c>
      <c r="D14" s="34">
        <v>43842</v>
      </c>
      <c r="E14" s="95"/>
    </row>
    <row r="15" ht="16.5" spans="1:5">
      <c r="A15" s="8">
        <v>3045103.988</v>
      </c>
      <c r="B15" s="8">
        <v>35401268.816</v>
      </c>
      <c r="C15" s="8">
        <v>907.163</v>
      </c>
      <c r="D15" s="34">
        <v>43843</v>
      </c>
      <c r="E15" s="95"/>
    </row>
    <row r="16" ht="16.5" spans="1:5">
      <c r="A16" s="8">
        <v>3045103.988</v>
      </c>
      <c r="B16" s="8">
        <v>35401268.816</v>
      </c>
      <c r="C16" s="8">
        <v>907.163</v>
      </c>
      <c r="D16" s="34">
        <v>43844</v>
      </c>
      <c r="E16" s="95"/>
    </row>
    <row r="17" ht="16.5" spans="1:5">
      <c r="A17" s="8">
        <v>3045103.988</v>
      </c>
      <c r="B17" s="8">
        <v>35401268.816</v>
      </c>
      <c r="C17" s="8">
        <v>907.163</v>
      </c>
      <c r="D17" s="34">
        <v>43845</v>
      </c>
      <c r="E17" s="95"/>
    </row>
    <row r="18" ht="16.5" spans="1:5">
      <c r="A18" s="8">
        <v>3045103.988</v>
      </c>
      <c r="B18" s="8">
        <v>35401268.816</v>
      </c>
      <c r="C18" s="8">
        <v>907.163</v>
      </c>
      <c r="D18" s="34">
        <v>43846</v>
      </c>
      <c r="E18" s="95"/>
    </row>
    <row r="19" ht="16.5" spans="1:5">
      <c r="A19" s="8">
        <v>3045103.988</v>
      </c>
      <c r="B19" s="8">
        <v>35401268.816</v>
      </c>
      <c r="C19" s="8">
        <v>907.163</v>
      </c>
      <c r="D19" s="34">
        <v>43847</v>
      </c>
      <c r="E19" s="95"/>
    </row>
    <row r="20" ht="16.5" spans="1:5">
      <c r="A20" s="8">
        <v>3045103.988</v>
      </c>
      <c r="B20" s="8">
        <v>35401268.816</v>
      </c>
      <c r="C20" s="8">
        <v>907.163</v>
      </c>
      <c r="D20" s="34">
        <v>43848</v>
      </c>
      <c r="E20" s="95"/>
    </row>
    <row r="21" ht="16.5" spans="1:5">
      <c r="A21" s="8">
        <v>3045103.988</v>
      </c>
      <c r="B21" s="8">
        <v>35401268.816</v>
      </c>
      <c r="C21" s="8">
        <v>907.163</v>
      </c>
      <c r="D21" s="34">
        <v>43849</v>
      </c>
      <c r="E21" s="95"/>
    </row>
    <row r="22" ht="16.5" spans="1:5">
      <c r="A22" s="8">
        <v>3045103.988</v>
      </c>
      <c r="B22" s="8">
        <v>35401268.816</v>
      </c>
      <c r="C22" s="8">
        <v>907.163</v>
      </c>
      <c r="D22" s="34">
        <v>43850</v>
      </c>
      <c r="E22" s="95"/>
    </row>
    <row r="23" ht="16.5" spans="1:5">
      <c r="A23" s="8">
        <v>3045103.988</v>
      </c>
      <c r="B23" s="8">
        <v>35401268.816</v>
      </c>
      <c r="C23" s="8">
        <v>907.163</v>
      </c>
      <c r="D23" s="34">
        <v>43851</v>
      </c>
      <c r="E23" s="95"/>
    </row>
    <row r="24" ht="16.5" spans="1:5">
      <c r="A24" s="8">
        <v>3045103.988</v>
      </c>
      <c r="B24" s="8">
        <v>35401268.816</v>
      </c>
      <c r="C24" s="8">
        <v>907.163</v>
      </c>
      <c r="D24" s="34">
        <v>43852</v>
      </c>
      <c r="E24" s="95"/>
    </row>
    <row r="25" ht="16.5" spans="1:5">
      <c r="A25" s="8">
        <v>3045103.988</v>
      </c>
      <c r="B25" s="8">
        <v>35401268.816</v>
      </c>
      <c r="C25" s="8">
        <v>907.163</v>
      </c>
      <c r="D25" s="34">
        <v>43853</v>
      </c>
      <c r="E25" s="95">
        <v>777.66</v>
      </c>
    </row>
    <row r="26" ht="16.5" spans="1:5">
      <c r="A26" s="8">
        <v>3045103.988</v>
      </c>
      <c r="B26" s="8">
        <v>35401268.816</v>
      </c>
      <c r="C26" s="8">
        <v>907.163</v>
      </c>
      <c r="D26" s="34">
        <v>43854</v>
      </c>
      <c r="E26" s="95"/>
    </row>
    <row r="27" ht="16.5" spans="1:5">
      <c r="A27" s="8">
        <v>3045103.988</v>
      </c>
      <c r="B27" s="8">
        <v>35401268.816</v>
      </c>
      <c r="C27" s="8">
        <v>907.163</v>
      </c>
      <c r="D27" s="34">
        <v>43855</v>
      </c>
      <c r="E27" s="95"/>
    </row>
    <row r="28" ht="16.5" spans="1:5">
      <c r="A28" s="8">
        <v>3045103.988</v>
      </c>
      <c r="B28" s="8">
        <v>35401268.816</v>
      </c>
      <c r="C28" s="8">
        <v>907.163</v>
      </c>
      <c r="D28" s="34">
        <v>43856</v>
      </c>
      <c r="E28" s="95">
        <v>777.61</v>
      </c>
    </row>
    <row r="29" ht="16.5" spans="1:5">
      <c r="A29" s="8">
        <v>3045103.988</v>
      </c>
      <c r="B29" s="8">
        <v>35401268.816</v>
      </c>
      <c r="C29" s="8">
        <v>907.163</v>
      </c>
      <c r="D29" s="34">
        <v>43857</v>
      </c>
      <c r="E29" s="95"/>
    </row>
    <row r="30" ht="16.5" spans="1:5">
      <c r="A30" s="8">
        <v>3045103.988</v>
      </c>
      <c r="B30" s="8">
        <v>35401268.816</v>
      </c>
      <c r="C30" s="8">
        <v>907.163</v>
      </c>
      <c r="D30" s="34">
        <v>43858</v>
      </c>
      <c r="E30" s="95"/>
    </row>
    <row r="31" ht="16.5" spans="1:5">
      <c r="A31" s="8">
        <v>3045103.988</v>
      </c>
      <c r="B31" s="8">
        <v>35401268.816</v>
      </c>
      <c r="C31" s="8">
        <v>907.163</v>
      </c>
      <c r="D31" s="34">
        <v>43859</v>
      </c>
      <c r="E31" s="95">
        <v>776.66</v>
      </c>
    </row>
    <row r="32" ht="16.5" spans="1:5">
      <c r="A32" s="8">
        <v>3045103.988</v>
      </c>
      <c r="B32" s="8">
        <v>35401268.816</v>
      </c>
      <c r="C32" s="8">
        <v>907.163</v>
      </c>
      <c r="D32" s="34">
        <v>43860</v>
      </c>
      <c r="E32" s="95"/>
    </row>
    <row r="33" ht="16.5" spans="1:5">
      <c r="A33" s="8">
        <v>3045103.988</v>
      </c>
      <c r="B33" s="8">
        <v>35401268.816</v>
      </c>
      <c r="C33" s="8">
        <v>907.163</v>
      </c>
      <c r="D33" s="34">
        <v>43861</v>
      </c>
      <c r="E33" s="95"/>
    </row>
    <row r="34" ht="16.5" spans="1:5">
      <c r="A34" s="8">
        <v>3045103.988</v>
      </c>
      <c r="B34" s="8">
        <v>35401268.816</v>
      </c>
      <c r="C34" s="8">
        <v>907.163</v>
      </c>
      <c r="D34" s="34">
        <v>43862</v>
      </c>
      <c r="E34" s="95"/>
    </row>
    <row r="35" ht="16.5" spans="1:5">
      <c r="A35" s="8">
        <v>3045103.988</v>
      </c>
      <c r="B35" s="8">
        <v>35401268.816</v>
      </c>
      <c r="C35" s="8">
        <v>907.163</v>
      </c>
      <c r="D35" s="34">
        <v>43863</v>
      </c>
      <c r="E35" s="95"/>
    </row>
    <row r="36" ht="16.5" spans="1:5">
      <c r="A36" s="8">
        <v>3045103.988</v>
      </c>
      <c r="B36" s="8">
        <v>35401268.816</v>
      </c>
      <c r="C36" s="8">
        <v>907.163</v>
      </c>
      <c r="D36" s="34">
        <v>43864</v>
      </c>
      <c r="E36" s="95"/>
    </row>
    <row r="37" ht="16.5" spans="1:5">
      <c r="A37" s="8">
        <v>3045103.988</v>
      </c>
      <c r="B37" s="8">
        <v>35401268.816</v>
      </c>
      <c r="C37" s="8">
        <v>907.163</v>
      </c>
      <c r="D37" s="34">
        <v>43865</v>
      </c>
      <c r="E37" s="95"/>
    </row>
    <row r="38" ht="16.5" spans="1:5">
      <c r="A38" s="8">
        <v>3045103.988</v>
      </c>
      <c r="B38" s="8">
        <v>35401268.816</v>
      </c>
      <c r="C38" s="8">
        <v>907.163</v>
      </c>
      <c r="D38" s="34">
        <v>43866</v>
      </c>
      <c r="E38" s="95"/>
    </row>
    <row r="39" ht="16.5" spans="1:5">
      <c r="A39" s="8">
        <v>3045103.988</v>
      </c>
      <c r="B39" s="8">
        <v>35401268.816</v>
      </c>
      <c r="C39" s="8">
        <v>907.163</v>
      </c>
      <c r="D39" s="34">
        <v>43867</v>
      </c>
      <c r="E39" s="95">
        <v>775.75</v>
      </c>
    </row>
    <row r="40" ht="16.5" spans="1:5">
      <c r="A40" s="8">
        <v>3045103.988</v>
      </c>
      <c r="B40" s="8">
        <v>35401268.816</v>
      </c>
      <c r="C40" s="8">
        <v>907.163</v>
      </c>
      <c r="D40" s="34">
        <v>43868</v>
      </c>
      <c r="E40" s="95"/>
    </row>
    <row r="41" ht="16.5" spans="1:5">
      <c r="A41" s="8">
        <v>3045103.988</v>
      </c>
      <c r="B41" s="8">
        <v>35401268.816</v>
      </c>
      <c r="C41" s="8">
        <v>907.163</v>
      </c>
      <c r="D41" s="34">
        <v>43869</v>
      </c>
      <c r="E41" s="95"/>
    </row>
    <row r="42" ht="16.5" spans="1:5">
      <c r="A42" s="8">
        <v>3045103.988</v>
      </c>
      <c r="B42" s="8">
        <v>35401268.816</v>
      </c>
      <c r="C42" s="8">
        <v>907.163</v>
      </c>
      <c r="D42" s="34">
        <v>43870</v>
      </c>
      <c r="E42" s="95"/>
    </row>
    <row r="43" ht="16.5" spans="1:5">
      <c r="A43" s="8">
        <v>3045103.988</v>
      </c>
      <c r="B43" s="8">
        <v>35401268.816</v>
      </c>
      <c r="C43" s="8">
        <v>907.163</v>
      </c>
      <c r="D43" s="34">
        <v>43871</v>
      </c>
      <c r="E43" s="95"/>
    </row>
    <row r="44" ht="16.5" spans="1:5">
      <c r="A44" s="8">
        <v>3045103.988</v>
      </c>
      <c r="B44" s="8">
        <v>35401268.816</v>
      </c>
      <c r="C44" s="8">
        <v>907.163</v>
      </c>
      <c r="D44" s="34">
        <v>43872</v>
      </c>
      <c r="E44" s="95">
        <v>775.06</v>
      </c>
    </row>
    <row r="45" ht="16.5" spans="1:5">
      <c r="A45" s="8">
        <v>3045103.988</v>
      </c>
      <c r="B45" s="8">
        <v>35401268.816</v>
      </c>
      <c r="C45" s="8">
        <v>907.163</v>
      </c>
      <c r="D45" s="34">
        <v>43873</v>
      </c>
      <c r="E45" s="95"/>
    </row>
    <row r="46" ht="16.5" spans="1:5">
      <c r="A46" s="8">
        <v>3045103.988</v>
      </c>
      <c r="B46" s="8">
        <v>35401268.816</v>
      </c>
      <c r="C46" s="8">
        <v>907.163</v>
      </c>
      <c r="D46" s="34">
        <v>43874</v>
      </c>
      <c r="E46" s="95"/>
    </row>
    <row r="47" ht="16.5" spans="1:5">
      <c r="A47" s="8">
        <v>3045103.988</v>
      </c>
      <c r="B47" s="8">
        <v>35401268.816</v>
      </c>
      <c r="C47" s="8">
        <v>907.163</v>
      </c>
      <c r="D47" s="34">
        <v>43875</v>
      </c>
      <c r="E47" s="95"/>
    </row>
    <row r="48" ht="16.5" spans="1:5">
      <c r="A48" s="8">
        <v>3045103.988</v>
      </c>
      <c r="B48" s="8">
        <v>35401268.816</v>
      </c>
      <c r="C48" s="8">
        <v>907.163</v>
      </c>
      <c r="D48" s="34">
        <v>43876</v>
      </c>
      <c r="E48" s="95"/>
    </row>
    <row r="49" ht="16.5" spans="1:5">
      <c r="A49" s="8">
        <v>3045103.988</v>
      </c>
      <c r="B49" s="8">
        <v>35401268.816</v>
      </c>
      <c r="C49" s="8">
        <v>907.163</v>
      </c>
      <c r="D49" s="34">
        <v>43877</v>
      </c>
      <c r="E49" s="95"/>
    </row>
    <row r="50" ht="16.5" spans="1:5">
      <c r="A50" s="8">
        <v>3045103.988</v>
      </c>
      <c r="B50" s="8">
        <v>35401268.816</v>
      </c>
      <c r="C50" s="8">
        <v>907.163</v>
      </c>
      <c r="D50" s="34">
        <v>43878</v>
      </c>
      <c r="E50" s="95"/>
    </row>
    <row r="51" ht="16.5" spans="1:5">
      <c r="A51" s="8">
        <v>3045103.988</v>
      </c>
      <c r="B51" s="8">
        <v>35401268.816</v>
      </c>
      <c r="C51" s="8">
        <v>907.163</v>
      </c>
      <c r="D51" s="34">
        <v>43879</v>
      </c>
      <c r="E51" s="95"/>
    </row>
    <row r="52" ht="16.5" spans="1:5">
      <c r="A52" s="8">
        <v>3045103.988</v>
      </c>
      <c r="B52" s="8">
        <v>35401268.816</v>
      </c>
      <c r="C52" s="8">
        <v>907.163</v>
      </c>
      <c r="D52" s="34">
        <v>43880</v>
      </c>
      <c r="E52" s="95"/>
    </row>
    <row r="53" ht="16.5" spans="1:5">
      <c r="A53" s="8">
        <v>3045103.988</v>
      </c>
      <c r="B53" s="8">
        <v>35401268.816</v>
      </c>
      <c r="C53" s="8">
        <v>907.163</v>
      </c>
      <c r="D53" s="34">
        <v>43881</v>
      </c>
      <c r="E53" s="95"/>
    </row>
    <row r="54" ht="16.5" spans="1:5">
      <c r="A54" s="8">
        <v>3045103.988</v>
      </c>
      <c r="B54" s="8">
        <v>35401268.816</v>
      </c>
      <c r="C54" s="8">
        <v>907.163</v>
      </c>
      <c r="D54" s="34">
        <v>43882</v>
      </c>
      <c r="E54" s="95"/>
    </row>
    <row r="55" ht="16.5" spans="1:5">
      <c r="A55" s="8">
        <v>3045103.988</v>
      </c>
      <c r="B55" s="8">
        <v>35401268.816</v>
      </c>
      <c r="C55" s="8">
        <v>907.163</v>
      </c>
      <c r="D55" s="34">
        <v>43883</v>
      </c>
      <c r="E55" s="95"/>
    </row>
    <row r="56" ht="16.5" spans="1:5">
      <c r="A56" s="8">
        <v>3045103.988</v>
      </c>
      <c r="B56" s="8">
        <v>35401268.816</v>
      </c>
      <c r="C56" s="8">
        <v>907.163</v>
      </c>
      <c r="D56" s="34">
        <v>43884</v>
      </c>
      <c r="E56" s="95">
        <v>775.4</v>
      </c>
    </row>
    <row r="57" ht="16.5" spans="1:5">
      <c r="A57" s="8">
        <v>3045103.988</v>
      </c>
      <c r="B57" s="8">
        <v>35401268.816</v>
      </c>
      <c r="C57" s="8">
        <v>907.163</v>
      </c>
      <c r="D57" s="34">
        <v>43885</v>
      </c>
      <c r="E57" s="95">
        <v>775.21</v>
      </c>
    </row>
    <row r="58" ht="16.5" spans="1:5">
      <c r="A58" s="8">
        <v>3045103.988</v>
      </c>
      <c r="B58" s="8">
        <v>35401268.816</v>
      </c>
      <c r="C58" s="8">
        <v>907.163</v>
      </c>
      <c r="D58" s="34">
        <v>43886</v>
      </c>
      <c r="E58" s="95">
        <v>775.31</v>
      </c>
    </row>
    <row r="59" ht="16.5" spans="1:5">
      <c r="A59" s="8">
        <v>3045103.988</v>
      </c>
      <c r="B59" s="8">
        <v>35401268.816</v>
      </c>
      <c r="C59" s="8">
        <v>907.163</v>
      </c>
      <c r="D59" s="34">
        <v>43887</v>
      </c>
      <c r="E59" s="95">
        <v>775.27</v>
      </c>
    </row>
    <row r="60" ht="16.5" spans="1:5">
      <c r="A60" s="8">
        <v>3045103.988</v>
      </c>
      <c r="B60" s="8">
        <v>35401268.816</v>
      </c>
      <c r="C60" s="8">
        <v>907.163</v>
      </c>
      <c r="D60" s="34">
        <v>43888</v>
      </c>
      <c r="E60" s="95">
        <v>775.29</v>
      </c>
    </row>
    <row r="61" ht="16.5" spans="1:5">
      <c r="A61" s="8">
        <v>3045103.988</v>
      </c>
      <c r="B61" s="8">
        <v>35401268.816</v>
      </c>
      <c r="C61" s="8">
        <v>907.163</v>
      </c>
      <c r="D61" s="34">
        <v>43889</v>
      </c>
      <c r="E61" s="95">
        <v>775.25</v>
      </c>
    </row>
    <row r="62" ht="16.5" spans="1:5">
      <c r="A62" s="8">
        <v>3045103.988</v>
      </c>
      <c r="B62" s="8">
        <v>35401268.816</v>
      </c>
      <c r="C62" s="8">
        <v>907.163</v>
      </c>
      <c r="D62" s="34">
        <v>43890</v>
      </c>
      <c r="E62" s="95">
        <v>775.51</v>
      </c>
    </row>
    <row r="63" ht="16.5" spans="1:5">
      <c r="A63" s="8">
        <v>3045103.988</v>
      </c>
      <c r="B63" s="8">
        <v>35401268.816</v>
      </c>
      <c r="C63" s="8">
        <v>907.163</v>
      </c>
      <c r="D63" s="34">
        <v>43891</v>
      </c>
      <c r="E63" s="95">
        <v>775.51</v>
      </c>
    </row>
    <row r="64" ht="16.5" spans="1:5">
      <c r="A64" s="8">
        <v>3045103.988</v>
      </c>
      <c r="B64" s="8">
        <v>35401268.816</v>
      </c>
      <c r="C64" s="8">
        <v>907.163</v>
      </c>
      <c r="D64" s="34">
        <v>43892</v>
      </c>
      <c r="E64" s="95">
        <v>775.51</v>
      </c>
    </row>
    <row r="65" ht="16.5" spans="1:5">
      <c r="A65" s="8">
        <v>3045103.988</v>
      </c>
      <c r="B65" s="8">
        <v>35401268.816</v>
      </c>
      <c r="C65" s="8">
        <v>907.163</v>
      </c>
      <c r="D65" s="34">
        <v>43893</v>
      </c>
      <c r="E65" s="95">
        <v>775.28</v>
      </c>
    </row>
    <row r="66" ht="16.5" spans="1:5">
      <c r="A66" s="8">
        <v>3045103.988</v>
      </c>
      <c r="B66" s="8">
        <v>35401268.816</v>
      </c>
      <c r="C66" s="8">
        <v>907.163</v>
      </c>
      <c r="D66" s="34">
        <v>43894</v>
      </c>
      <c r="E66" s="95">
        <v>775.28</v>
      </c>
    </row>
    <row r="67" ht="16.5" spans="1:5">
      <c r="A67" s="8">
        <v>3045103.988</v>
      </c>
      <c r="B67" s="8">
        <v>35401268.816</v>
      </c>
      <c r="C67" s="8">
        <v>907.163</v>
      </c>
      <c r="D67" s="34">
        <v>43895</v>
      </c>
      <c r="E67" s="95">
        <v>775.28</v>
      </c>
    </row>
    <row r="68" ht="16.5" spans="1:5">
      <c r="A68" s="8">
        <v>3045103.988</v>
      </c>
      <c r="B68" s="8">
        <v>35401268.816</v>
      </c>
      <c r="C68" s="8">
        <v>907.163</v>
      </c>
      <c r="D68" s="34">
        <v>43896</v>
      </c>
      <c r="E68" s="95">
        <v>775.41</v>
      </c>
    </row>
    <row r="69" ht="16.5" spans="1:5">
      <c r="A69" s="8">
        <v>3045103.988</v>
      </c>
      <c r="B69" s="8">
        <v>35401268.816</v>
      </c>
      <c r="C69" s="8">
        <v>907.163</v>
      </c>
      <c r="D69" s="34">
        <v>43897</v>
      </c>
      <c r="E69" s="95">
        <v>775.34</v>
      </c>
    </row>
    <row r="70" ht="16.5" spans="1:5">
      <c r="A70" s="8">
        <v>3045103.988</v>
      </c>
      <c r="B70" s="8">
        <v>35401268.816</v>
      </c>
      <c r="C70" s="8">
        <v>907.163</v>
      </c>
      <c r="D70" s="34">
        <v>43898</v>
      </c>
      <c r="E70" s="95">
        <v>775.34</v>
      </c>
    </row>
    <row r="71" ht="16.5" spans="1:5">
      <c r="A71" s="8">
        <v>3045103.988</v>
      </c>
      <c r="B71" s="8">
        <v>35401268.816</v>
      </c>
      <c r="C71" s="8">
        <v>907.163</v>
      </c>
      <c r="D71" s="34">
        <v>43899</v>
      </c>
      <c r="E71" s="95">
        <v>775.34</v>
      </c>
    </row>
    <row r="72" ht="16.5" spans="1:5">
      <c r="A72" s="8">
        <v>3045103.988</v>
      </c>
      <c r="B72" s="8">
        <v>35401268.816</v>
      </c>
      <c r="C72" s="8">
        <v>907.163</v>
      </c>
      <c r="D72" s="34">
        <v>43900</v>
      </c>
      <c r="E72" s="95">
        <v>775.32</v>
      </c>
    </row>
    <row r="73" ht="16.5" spans="1:5">
      <c r="A73" s="8">
        <v>3045103.988</v>
      </c>
      <c r="B73" s="8">
        <v>35401268.816</v>
      </c>
      <c r="C73" s="8">
        <v>907.163</v>
      </c>
      <c r="D73" s="34">
        <v>43901</v>
      </c>
      <c r="E73" s="95">
        <v>775.32</v>
      </c>
    </row>
    <row r="74" ht="16.5" spans="1:5">
      <c r="A74" s="8">
        <v>3045103.988</v>
      </c>
      <c r="B74" s="8">
        <v>35401268.816</v>
      </c>
      <c r="C74" s="8">
        <v>907.163</v>
      </c>
      <c r="D74" s="34">
        <v>43902</v>
      </c>
      <c r="E74" s="95">
        <v>775.34</v>
      </c>
    </row>
    <row r="75" ht="16.5" spans="1:5">
      <c r="A75" s="8">
        <v>3045103.988</v>
      </c>
      <c r="B75" s="8">
        <v>35401268.816</v>
      </c>
      <c r="C75" s="8">
        <v>907.163</v>
      </c>
      <c r="D75" s="34">
        <v>43903</v>
      </c>
      <c r="E75" s="95">
        <v>775.63</v>
      </c>
    </row>
    <row r="76" ht="16.5" spans="1:5">
      <c r="A76" s="8">
        <v>3045103.988</v>
      </c>
      <c r="B76" s="8">
        <v>35401268.816</v>
      </c>
      <c r="C76" s="8">
        <v>907.163</v>
      </c>
      <c r="D76" s="34">
        <v>43904</v>
      </c>
      <c r="E76" s="95">
        <v>775.58</v>
      </c>
    </row>
    <row r="77" ht="16.5" spans="1:5">
      <c r="A77" s="8">
        <v>3045103.988</v>
      </c>
      <c r="B77" s="8">
        <v>35401268.816</v>
      </c>
      <c r="C77" s="8">
        <v>907.163</v>
      </c>
      <c r="D77" s="34">
        <v>43905</v>
      </c>
      <c r="E77" s="95">
        <v>775.64</v>
      </c>
    </row>
    <row r="78" ht="16.5" spans="1:5">
      <c r="A78" s="8">
        <v>3045103.988</v>
      </c>
      <c r="B78" s="8">
        <v>35401268.816</v>
      </c>
      <c r="C78" s="8">
        <v>907.163</v>
      </c>
      <c r="D78" s="34">
        <v>43906</v>
      </c>
      <c r="E78" s="95">
        <v>775.64</v>
      </c>
    </row>
    <row r="79" ht="16.5" spans="1:5">
      <c r="A79" s="8">
        <v>3045103.988</v>
      </c>
      <c r="B79" s="8">
        <v>35401268.816</v>
      </c>
      <c r="C79" s="8">
        <v>907.163</v>
      </c>
      <c r="D79" s="34">
        <v>43907</v>
      </c>
      <c r="E79" s="95">
        <v>775.64</v>
      </c>
    </row>
    <row r="80" ht="16.5" spans="1:5">
      <c r="A80" s="8">
        <v>3045103.988</v>
      </c>
      <c r="B80" s="8">
        <v>35401268.816</v>
      </c>
      <c r="C80" s="8">
        <v>907.163</v>
      </c>
      <c r="D80" s="34">
        <v>43908</v>
      </c>
      <c r="E80" s="95">
        <v>775.65</v>
      </c>
    </row>
    <row r="81" ht="16.5" spans="1:5">
      <c r="A81" s="8">
        <v>3045103.988</v>
      </c>
      <c r="B81" s="8">
        <v>35401268.816</v>
      </c>
      <c r="C81" s="8">
        <v>907.163</v>
      </c>
      <c r="D81" s="34">
        <v>43909</v>
      </c>
      <c r="E81" s="95">
        <v>775.65</v>
      </c>
    </row>
    <row r="82" ht="16.5" spans="1:5">
      <c r="A82" s="8">
        <v>3045103.988</v>
      </c>
      <c r="B82" s="8">
        <v>35401268.816</v>
      </c>
      <c r="C82" s="8">
        <v>907.163</v>
      </c>
      <c r="D82" s="34">
        <v>43910</v>
      </c>
      <c r="E82" s="95">
        <v>775.63</v>
      </c>
    </row>
    <row r="83" ht="16.5" spans="1:5">
      <c r="A83" s="8">
        <v>3045103.988</v>
      </c>
      <c r="B83" s="8">
        <v>35401268.816</v>
      </c>
      <c r="C83" s="8">
        <v>907.163</v>
      </c>
      <c r="D83" s="34">
        <v>43911</v>
      </c>
      <c r="E83" s="95">
        <v>775.61</v>
      </c>
    </row>
    <row r="84" ht="16.5" spans="1:5">
      <c r="A84" s="8">
        <v>3045103.988</v>
      </c>
      <c r="B84" s="8">
        <v>35401268.816</v>
      </c>
      <c r="C84" s="8">
        <v>907.163</v>
      </c>
      <c r="D84" s="34">
        <v>43912</v>
      </c>
      <c r="E84" s="95">
        <v>775.62</v>
      </c>
    </row>
    <row r="85" ht="16.5" spans="1:5">
      <c r="A85" s="8">
        <v>3045103.988</v>
      </c>
      <c r="B85" s="8">
        <v>35401268.816</v>
      </c>
      <c r="C85" s="8">
        <v>907.163</v>
      </c>
      <c r="D85" s="34">
        <v>43913</v>
      </c>
      <c r="E85" s="95">
        <v>775.6</v>
      </c>
    </row>
    <row r="86" ht="16.5" spans="1:5">
      <c r="A86" s="8">
        <v>3045103.988</v>
      </c>
      <c r="B86" s="8">
        <v>35401268.816</v>
      </c>
      <c r="C86" s="8">
        <v>907.163</v>
      </c>
      <c r="D86" s="34">
        <v>43914</v>
      </c>
      <c r="E86" s="95">
        <v>775.63</v>
      </c>
    </row>
    <row r="87" ht="16.5" spans="1:5">
      <c r="A87" s="8">
        <v>3045103.988</v>
      </c>
      <c r="B87" s="8">
        <v>35401268.816</v>
      </c>
      <c r="C87" s="8">
        <v>907.163</v>
      </c>
      <c r="D87" s="34">
        <v>43915</v>
      </c>
      <c r="E87" s="95">
        <v>775.61</v>
      </c>
    </row>
    <row r="88" ht="16.5" spans="1:5">
      <c r="A88" s="8">
        <v>3045103.988</v>
      </c>
      <c r="B88" s="8">
        <v>35401268.816</v>
      </c>
      <c r="C88" s="8">
        <v>907.163</v>
      </c>
      <c r="D88" s="34">
        <v>43916</v>
      </c>
      <c r="E88" s="95">
        <v>775.63</v>
      </c>
    </row>
    <row r="89" ht="16.5" spans="1:5">
      <c r="A89" s="8">
        <v>3045103.988</v>
      </c>
      <c r="B89" s="8">
        <v>35401268.816</v>
      </c>
      <c r="C89" s="8">
        <v>907.163</v>
      </c>
      <c r="D89" s="34">
        <v>43917</v>
      </c>
      <c r="E89" s="95">
        <v>775.61</v>
      </c>
    </row>
    <row r="90" ht="16.5" spans="1:5">
      <c r="A90" s="8">
        <v>3045103.988</v>
      </c>
      <c r="B90" s="8">
        <v>35401268.816</v>
      </c>
      <c r="C90" s="8">
        <v>907.163</v>
      </c>
      <c r="D90" s="34">
        <v>43918</v>
      </c>
      <c r="E90" s="95">
        <v>775.61</v>
      </c>
    </row>
    <row r="91" ht="16.5" spans="1:5">
      <c r="A91" s="8">
        <v>3045103.988</v>
      </c>
      <c r="B91" s="8">
        <v>35401268.816</v>
      </c>
      <c r="C91" s="8">
        <v>907.163</v>
      </c>
      <c r="D91" s="34">
        <v>43919</v>
      </c>
      <c r="E91" s="95">
        <v>775.58</v>
      </c>
    </row>
    <row r="92" ht="16.5" spans="1:5">
      <c r="A92" s="8">
        <v>3045103.988</v>
      </c>
      <c r="B92" s="8">
        <v>35401268.816</v>
      </c>
      <c r="C92" s="8">
        <v>907.163</v>
      </c>
      <c r="D92" s="34">
        <v>43920</v>
      </c>
      <c r="E92" s="95">
        <v>775.58</v>
      </c>
    </row>
    <row r="93" ht="16.5" spans="1:5">
      <c r="A93" s="8">
        <v>3045103.988</v>
      </c>
      <c r="B93" s="8">
        <v>35401268.816</v>
      </c>
      <c r="C93" s="8">
        <v>907.163</v>
      </c>
      <c r="D93" s="34">
        <v>43921</v>
      </c>
      <c r="E93" s="95">
        <v>775.58</v>
      </c>
    </row>
    <row r="94" ht="16.5" spans="1:5">
      <c r="A94" s="8">
        <v>3045103.988</v>
      </c>
      <c r="B94" s="8">
        <v>35401268.816</v>
      </c>
      <c r="C94" s="8">
        <v>907.163</v>
      </c>
      <c r="D94" s="34">
        <v>43922</v>
      </c>
      <c r="E94" s="95">
        <v>775.58</v>
      </c>
    </row>
    <row r="95" ht="16.5" spans="1:5">
      <c r="A95" s="8">
        <v>3045103.988</v>
      </c>
      <c r="B95" s="8">
        <v>35401268.816</v>
      </c>
      <c r="C95" s="8">
        <v>907.163</v>
      </c>
      <c r="D95" s="34">
        <v>43923</v>
      </c>
      <c r="E95" s="95">
        <v>775.58</v>
      </c>
    </row>
    <row r="96" ht="16.5" spans="1:5">
      <c r="A96" s="8">
        <v>3045103.988</v>
      </c>
      <c r="B96" s="8">
        <v>35401268.816</v>
      </c>
      <c r="C96" s="8">
        <v>907.163</v>
      </c>
      <c r="D96" s="34">
        <v>43924</v>
      </c>
      <c r="E96" s="95">
        <v>775.54</v>
      </c>
    </row>
    <row r="97" ht="16.5" spans="1:5">
      <c r="A97" s="8">
        <v>3045103.988</v>
      </c>
      <c r="B97" s="8">
        <v>35401268.816</v>
      </c>
      <c r="C97" s="8">
        <v>907.163</v>
      </c>
      <c r="D97" s="34">
        <v>43925</v>
      </c>
      <c r="E97" s="95">
        <v>775.54</v>
      </c>
    </row>
    <row r="98" ht="16.5" spans="1:5">
      <c r="A98" s="8">
        <v>3045103.988</v>
      </c>
      <c r="B98" s="8">
        <v>35401268.816</v>
      </c>
      <c r="C98" s="8">
        <v>907.163</v>
      </c>
      <c r="D98" s="34">
        <v>43926</v>
      </c>
      <c r="E98" s="95">
        <v>775.54</v>
      </c>
    </row>
    <row r="99" ht="16.5" spans="1:5">
      <c r="A99" s="8">
        <v>3045103.988</v>
      </c>
      <c r="B99" s="8">
        <v>35401268.816</v>
      </c>
      <c r="C99" s="8">
        <v>907.163</v>
      </c>
      <c r="D99" s="34">
        <v>43927</v>
      </c>
      <c r="E99" s="95">
        <v>775.6</v>
      </c>
    </row>
    <row r="100" ht="16.5" spans="1:5">
      <c r="A100" s="8">
        <v>3045103.988</v>
      </c>
      <c r="B100" s="8">
        <v>35401268.816</v>
      </c>
      <c r="C100" s="8">
        <v>907.163</v>
      </c>
      <c r="D100" s="34">
        <v>43928</v>
      </c>
      <c r="E100" s="95">
        <v>775.64</v>
      </c>
    </row>
    <row r="101" ht="16.5" spans="1:5">
      <c r="A101" s="8">
        <v>3045103.988</v>
      </c>
      <c r="B101" s="8">
        <v>35401268.816</v>
      </c>
      <c r="C101" s="8">
        <v>907.163</v>
      </c>
      <c r="D101" s="34">
        <v>43929</v>
      </c>
      <c r="E101" s="95">
        <v>775.54</v>
      </c>
    </row>
    <row r="102" ht="16.5" spans="1:5">
      <c r="A102" s="8">
        <v>3045103.988</v>
      </c>
      <c r="B102" s="8">
        <v>35401268.816</v>
      </c>
      <c r="C102" s="8">
        <v>907.163</v>
      </c>
      <c r="D102" s="34">
        <v>43930</v>
      </c>
      <c r="E102" s="95">
        <v>775.54</v>
      </c>
    </row>
    <row r="103" ht="16.5" spans="1:5">
      <c r="A103" s="8">
        <v>3045103.988</v>
      </c>
      <c r="B103" s="8">
        <v>35401268.816</v>
      </c>
      <c r="C103" s="8">
        <v>907.163</v>
      </c>
      <c r="D103" s="34">
        <v>43931</v>
      </c>
      <c r="E103" s="95">
        <v>775.56</v>
      </c>
    </row>
    <row r="104" ht="16.5" spans="1:5">
      <c r="A104" s="8">
        <v>3045103.988</v>
      </c>
      <c r="B104" s="8">
        <v>35401268.816</v>
      </c>
      <c r="C104" s="8">
        <v>907.163</v>
      </c>
      <c r="D104" s="34">
        <v>43932</v>
      </c>
      <c r="E104" s="95">
        <v>775.58</v>
      </c>
    </row>
    <row r="105" ht="16.5" spans="1:5">
      <c r="A105" s="8">
        <v>3045103.988</v>
      </c>
      <c r="B105" s="8">
        <v>35401268.816</v>
      </c>
      <c r="C105" s="8">
        <v>907.163</v>
      </c>
      <c r="D105" s="34">
        <v>43933</v>
      </c>
      <c r="E105" s="95">
        <v>775.55</v>
      </c>
    </row>
    <row r="106" ht="16.5" spans="1:5">
      <c r="A106" s="8">
        <v>3045103.988</v>
      </c>
      <c r="B106" s="8">
        <v>35401268.816</v>
      </c>
      <c r="C106" s="8">
        <v>907.163</v>
      </c>
      <c r="D106" s="34">
        <v>43934</v>
      </c>
      <c r="E106" s="95">
        <v>775.56</v>
      </c>
    </row>
    <row r="107" ht="16.5" spans="1:5">
      <c r="A107" s="8">
        <v>3045103.988</v>
      </c>
      <c r="B107" s="8">
        <v>35401268.816</v>
      </c>
      <c r="C107" s="8">
        <v>907.163</v>
      </c>
      <c r="D107" s="34">
        <v>43935</v>
      </c>
      <c r="E107" s="95">
        <v>775.56</v>
      </c>
    </row>
    <row r="108" ht="16.5" spans="1:5">
      <c r="A108" s="8">
        <v>3045103.988</v>
      </c>
      <c r="B108" s="8">
        <v>35401268.816</v>
      </c>
      <c r="C108" s="8">
        <v>907.163</v>
      </c>
      <c r="D108" s="34">
        <v>43936</v>
      </c>
      <c r="E108" s="95">
        <v>775.55</v>
      </c>
    </row>
    <row r="109" ht="16.5" spans="1:5">
      <c r="A109" s="8">
        <v>3045103.988</v>
      </c>
      <c r="B109" s="8">
        <v>35401268.816</v>
      </c>
      <c r="C109" s="8">
        <v>907.163</v>
      </c>
      <c r="D109" s="34">
        <v>43937</v>
      </c>
      <c r="E109" s="95">
        <v>776.06</v>
      </c>
    </row>
    <row r="110" ht="16.5" spans="1:5">
      <c r="A110" s="8">
        <v>3045103.988</v>
      </c>
      <c r="B110" s="8">
        <v>35401268.816</v>
      </c>
      <c r="C110" s="8">
        <v>907.163</v>
      </c>
      <c r="D110" s="34">
        <v>43938</v>
      </c>
      <c r="E110" s="95">
        <v>776.06</v>
      </c>
    </row>
    <row r="111" ht="16.5" spans="1:5">
      <c r="A111" s="8">
        <v>3045103.988</v>
      </c>
      <c r="B111" s="8">
        <v>35401268.816</v>
      </c>
      <c r="C111" s="8">
        <v>907.163</v>
      </c>
      <c r="D111" s="34">
        <v>43939</v>
      </c>
      <c r="E111" s="95">
        <v>776.06</v>
      </c>
    </row>
    <row r="112" ht="16.5" spans="1:5">
      <c r="A112" s="8">
        <v>3045103.988</v>
      </c>
      <c r="B112" s="8">
        <v>35401268.816</v>
      </c>
      <c r="C112" s="8">
        <v>907.163</v>
      </c>
      <c r="D112" s="34">
        <v>43940</v>
      </c>
      <c r="E112" s="95">
        <v>776.01</v>
      </c>
    </row>
    <row r="113" ht="16.5" spans="1:5">
      <c r="A113" s="8">
        <v>3045103.988</v>
      </c>
      <c r="B113" s="8">
        <v>35401268.816</v>
      </c>
      <c r="C113" s="8">
        <v>907.163</v>
      </c>
      <c r="D113" s="34">
        <v>43941</v>
      </c>
      <c r="E113" s="95">
        <v>776.01</v>
      </c>
    </row>
    <row r="114" ht="16.5" spans="1:5">
      <c r="A114" s="8">
        <v>3045103.988</v>
      </c>
      <c r="B114" s="8">
        <v>35401268.816</v>
      </c>
      <c r="C114" s="8">
        <v>907.163</v>
      </c>
      <c r="D114" s="34">
        <v>43942</v>
      </c>
      <c r="E114" s="95">
        <v>776.01</v>
      </c>
    </row>
    <row r="115" ht="16.5" spans="1:5">
      <c r="A115" s="8">
        <v>3045103.988</v>
      </c>
      <c r="B115" s="8">
        <v>35401268.816</v>
      </c>
      <c r="C115" s="8">
        <v>907.163</v>
      </c>
      <c r="D115" s="34">
        <v>43943</v>
      </c>
      <c r="E115" s="95">
        <v>776.01</v>
      </c>
    </row>
    <row r="116" ht="16.5" spans="1:5">
      <c r="A116" s="8">
        <v>3045103.988</v>
      </c>
      <c r="B116" s="8">
        <v>35401268.816</v>
      </c>
      <c r="C116" s="8">
        <v>907.163</v>
      </c>
      <c r="D116" s="34">
        <v>43944</v>
      </c>
      <c r="E116" s="95">
        <v>776.01</v>
      </c>
    </row>
    <row r="117" ht="16.5" spans="1:5">
      <c r="A117" s="8">
        <v>3045103.988</v>
      </c>
      <c r="B117" s="8">
        <v>35401268.816</v>
      </c>
      <c r="C117" s="8">
        <v>907.163</v>
      </c>
      <c r="D117" s="34">
        <v>43945</v>
      </c>
      <c r="E117" s="95">
        <v>776.01</v>
      </c>
    </row>
    <row r="118" ht="16.5" spans="1:5">
      <c r="A118" s="8">
        <v>3045103.988</v>
      </c>
      <c r="B118" s="8">
        <v>35401268.816</v>
      </c>
      <c r="C118" s="8">
        <v>907.163</v>
      </c>
      <c r="D118" s="34">
        <v>43946</v>
      </c>
      <c r="E118" s="95">
        <v>776.01</v>
      </c>
    </row>
    <row r="119" ht="16.5" spans="1:5">
      <c r="A119" s="8">
        <v>3045103.988</v>
      </c>
      <c r="B119" s="8">
        <v>35401268.816</v>
      </c>
      <c r="C119" s="8">
        <v>907.163</v>
      </c>
      <c r="D119" s="34">
        <v>43947</v>
      </c>
      <c r="E119" s="95">
        <v>776.01</v>
      </c>
    </row>
    <row r="120" ht="16.5" spans="1:5">
      <c r="A120" s="8">
        <v>3045103.988</v>
      </c>
      <c r="B120" s="8">
        <v>35401268.816</v>
      </c>
      <c r="C120" s="8">
        <v>907.163</v>
      </c>
      <c r="D120" s="34">
        <v>43948</v>
      </c>
      <c r="E120" s="95">
        <v>775.94</v>
      </c>
    </row>
    <row r="121" ht="16.5" spans="1:5">
      <c r="A121" s="8">
        <v>3045103.988</v>
      </c>
      <c r="B121" s="8">
        <v>35401268.816</v>
      </c>
      <c r="C121" s="8">
        <v>907.163</v>
      </c>
      <c r="D121" s="34">
        <v>43949</v>
      </c>
      <c r="E121" s="95">
        <v>775.49</v>
      </c>
    </row>
    <row r="122" ht="16.5" spans="1:5">
      <c r="A122" s="8">
        <v>3045103.988</v>
      </c>
      <c r="B122" s="8">
        <v>35401268.816</v>
      </c>
      <c r="C122" s="8">
        <v>907.163</v>
      </c>
      <c r="D122" s="34">
        <v>43950</v>
      </c>
      <c r="E122" s="95">
        <v>776.01</v>
      </c>
    </row>
    <row r="123" ht="16.5" spans="1:5">
      <c r="A123" s="8">
        <v>3045103.988</v>
      </c>
      <c r="B123" s="8">
        <v>35401268.816</v>
      </c>
      <c r="C123" s="8">
        <v>907.163</v>
      </c>
      <c r="D123" s="34">
        <v>43951</v>
      </c>
      <c r="E123" s="95">
        <v>775.98</v>
      </c>
    </row>
    <row r="124" ht="16.5" spans="1:5">
      <c r="A124" s="8">
        <v>3045103.988</v>
      </c>
      <c r="B124" s="8">
        <v>35401268.816</v>
      </c>
      <c r="C124" s="8">
        <v>907.163</v>
      </c>
      <c r="D124" s="34">
        <v>43952</v>
      </c>
      <c r="E124" s="95">
        <v>776.01</v>
      </c>
    </row>
    <row r="125" ht="16.5" spans="1:5">
      <c r="A125" s="8">
        <v>3045103.988</v>
      </c>
      <c r="B125" s="8">
        <v>35401268.816</v>
      </c>
      <c r="C125" s="8">
        <v>907.163</v>
      </c>
      <c r="D125" s="34">
        <v>43953</v>
      </c>
      <c r="E125" s="95">
        <v>776.01</v>
      </c>
    </row>
    <row r="126" ht="16.5" spans="1:5">
      <c r="A126" s="8">
        <v>3045103.988</v>
      </c>
      <c r="B126" s="8">
        <v>35401268.816</v>
      </c>
      <c r="C126" s="8">
        <v>907.163</v>
      </c>
      <c r="D126" s="34">
        <v>43954</v>
      </c>
      <c r="E126" s="95">
        <v>776.03</v>
      </c>
    </row>
    <row r="127" ht="16.5" spans="1:5">
      <c r="A127" s="8">
        <v>3045103.988</v>
      </c>
      <c r="B127" s="8">
        <v>35401268.816</v>
      </c>
      <c r="C127" s="8">
        <v>907.163</v>
      </c>
      <c r="D127" s="34">
        <v>43955</v>
      </c>
      <c r="E127" s="95">
        <v>776.03</v>
      </c>
    </row>
    <row r="128" ht="16.5" spans="1:5">
      <c r="A128" s="8">
        <v>3045103.988</v>
      </c>
      <c r="B128" s="8">
        <v>35401268.816</v>
      </c>
      <c r="C128" s="8">
        <v>907.163</v>
      </c>
      <c r="D128" s="34">
        <v>43956</v>
      </c>
      <c r="E128" s="95">
        <v>776.03</v>
      </c>
    </row>
    <row r="129" ht="16.5" spans="1:5">
      <c r="A129" s="8">
        <v>3045103.988</v>
      </c>
      <c r="B129" s="8">
        <v>35401268.816</v>
      </c>
      <c r="C129" s="8">
        <v>907.163</v>
      </c>
      <c r="D129" s="34">
        <v>43957</v>
      </c>
      <c r="E129" s="95">
        <v>776.04</v>
      </c>
    </row>
    <row r="130" ht="16.5" spans="1:5">
      <c r="A130" s="8">
        <v>3045103.988</v>
      </c>
      <c r="B130" s="8">
        <v>35401268.816</v>
      </c>
      <c r="C130" s="8">
        <v>907.163</v>
      </c>
      <c r="D130" s="34">
        <v>43958</v>
      </c>
      <c r="E130" s="95">
        <v>776.06</v>
      </c>
    </row>
    <row r="131" ht="16.5" spans="1:5">
      <c r="A131" s="8">
        <v>3045103.988</v>
      </c>
      <c r="B131" s="8">
        <v>35401268.816</v>
      </c>
      <c r="C131" s="8">
        <v>907.163</v>
      </c>
      <c r="D131" s="34">
        <v>43959</v>
      </c>
      <c r="E131" s="95">
        <v>776.06</v>
      </c>
    </row>
    <row r="132" ht="16.5" spans="1:5">
      <c r="A132" s="8">
        <v>3045103.988</v>
      </c>
      <c r="B132" s="8">
        <v>35401268.816</v>
      </c>
      <c r="C132" s="8">
        <v>907.163</v>
      </c>
      <c r="D132" s="34">
        <v>43960</v>
      </c>
      <c r="E132" s="95">
        <v>776.05</v>
      </c>
    </row>
    <row r="133" ht="16.5" spans="1:5">
      <c r="A133" s="8">
        <v>3045103.988</v>
      </c>
      <c r="B133" s="8">
        <v>35401268.816</v>
      </c>
      <c r="C133" s="8">
        <v>907.163</v>
      </c>
      <c r="D133" s="34">
        <v>43961</v>
      </c>
      <c r="E133" s="95">
        <v>776.06</v>
      </c>
    </row>
    <row r="134" ht="16.5" spans="1:5">
      <c r="A134" s="8">
        <v>3045103.988</v>
      </c>
      <c r="B134" s="8">
        <v>35401268.816</v>
      </c>
      <c r="C134" s="8">
        <v>907.163</v>
      </c>
      <c r="D134" s="34">
        <v>43962</v>
      </c>
      <c r="E134" s="95">
        <v>776.04</v>
      </c>
    </row>
    <row r="135" ht="16.5" spans="1:5">
      <c r="A135" s="8">
        <v>3045103.988</v>
      </c>
      <c r="B135" s="8">
        <v>35401268.816</v>
      </c>
      <c r="C135" s="8">
        <v>907.163</v>
      </c>
      <c r="D135" s="34">
        <v>43963</v>
      </c>
      <c r="E135" s="95">
        <v>776.06</v>
      </c>
    </row>
    <row r="136" ht="16.5" spans="1:5">
      <c r="A136" s="8">
        <v>3045103.988</v>
      </c>
      <c r="B136" s="8">
        <v>35401268.816</v>
      </c>
      <c r="C136" s="8">
        <v>907.163</v>
      </c>
      <c r="D136" s="34">
        <v>43964</v>
      </c>
      <c r="E136" s="95">
        <v>776.06</v>
      </c>
    </row>
    <row r="137" ht="16.5" spans="1:5">
      <c r="A137" s="8">
        <v>3045103.988</v>
      </c>
      <c r="B137" s="8">
        <v>35401268.816</v>
      </c>
      <c r="C137" s="8">
        <v>907.163</v>
      </c>
      <c r="D137" s="34">
        <v>43965</v>
      </c>
      <c r="E137" s="95">
        <v>776.02</v>
      </c>
    </row>
    <row r="138" ht="16.5" spans="1:5">
      <c r="A138" s="8">
        <v>3045103.988</v>
      </c>
      <c r="B138" s="8">
        <v>35401268.816</v>
      </c>
      <c r="C138" s="8">
        <v>907.163</v>
      </c>
      <c r="D138" s="34">
        <v>43966</v>
      </c>
      <c r="E138" s="95">
        <v>776.02</v>
      </c>
    </row>
    <row r="139" ht="16.5" spans="1:5">
      <c r="A139" s="8">
        <v>3045103.988</v>
      </c>
      <c r="B139" s="8">
        <v>35401268.816</v>
      </c>
      <c r="C139" s="8">
        <v>907.163</v>
      </c>
      <c r="D139" s="34">
        <v>43967</v>
      </c>
      <c r="E139" s="95">
        <v>776.06</v>
      </c>
    </row>
    <row r="140" ht="16.5" spans="1:5">
      <c r="A140" s="8">
        <v>3045103.988</v>
      </c>
      <c r="B140" s="8">
        <v>35401268.816</v>
      </c>
      <c r="C140" s="8">
        <v>907.163</v>
      </c>
      <c r="D140" s="34">
        <v>43968</v>
      </c>
      <c r="E140" s="95">
        <v>776.06</v>
      </c>
    </row>
    <row r="141" ht="16.5" spans="1:5">
      <c r="A141" s="8">
        <v>3045103.988</v>
      </c>
      <c r="B141" s="8">
        <v>35401268.816</v>
      </c>
      <c r="C141" s="8">
        <v>907.163</v>
      </c>
      <c r="D141" s="34">
        <v>43969</v>
      </c>
      <c r="E141" s="95">
        <v>776.06</v>
      </c>
    </row>
    <row r="142" ht="16.5" spans="1:5">
      <c r="A142" s="8">
        <v>3045103.988</v>
      </c>
      <c r="B142" s="8">
        <v>35401268.816</v>
      </c>
      <c r="C142" s="8">
        <v>907.163</v>
      </c>
      <c r="D142" s="34">
        <v>43970</v>
      </c>
      <c r="E142" s="95">
        <v>776.06</v>
      </c>
    </row>
    <row r="143" ht="16.5" spans="1:5">
      <c r="A143" s="8">
        <v>3045103.988</v>
      </c>
      <c r="B143" s="8">
        <v>35401268.816</v>
      </c>
      <c r="C143" s="8">
        <v>907.163</v>
      </c>
      <c r="D143" s="34">
        <v>43971</v>
      </c>
      <c r="E143" s="95">
        <v>776.06</v>
      </c>
    </row>
    <row r="144" ht="16.5" spans="1:5">
      <c r="A144" s="8">
        <v>3045103.988</v>
      </c>
      <c r="B144" s="8">
        <v>35401268.816</v>
      </c>
      <c r="C144" s="8">
        <v>907.163</v>
      </c>
      <c r="D144" s="34">
        <v>43972</v>
      </c>
      <c r="E144" s="95">
        <v>776.06</v>
      </c>
    </row>
    <row r="145" ht="16.5" spans="1:5">
      <c r="A145" s="8">
        <v>3045103.988</v>
      </c>
      <c r="B145" s="8">
        <v>35401268.816</v>
      </c>
      <c r="C145" s="8">
        <v>907.163</v>
      </c>
      <c r="D145" s="34">
        <v>43973</v>
      </c>
      <c r="E145" s="95">
        <v>776.1</v>
      </c>
    </row>
    <row r="146" ht="16.5" spans="1:5">
      <c r="A146" s="8">
        <v>3045103.988</v>
      </c>
      <c r="B146" s="8">
        <v>35401268.816</v>
      </c>
      <c r="C146" s="8">
        <v>907.163</v>
      </c>
      <c r="D146" s="34">
        <v>43974</v>
      </c>
      <c r="E146" s="95">
        <v>776.08</v>
      </c>
    </row>
    <row r="147" ht="16.5" spans="1:5">
      <c r="A147" s="8">
        <v>3045103.988</v>
      </c>
      <c r="B147" s="8">
        <v>35401268.816</v>
      </c>
      <c r="C147" s="8">
        <v>907.163</v>
      </c>
      <c r="D147" s="34">
        <v>43975</v>
      </c>
      <c r="E147" s="95">
        <v>776.08</v>
      </c>
    </row>
    <row r="148" ht="16.5" spans="1:5">
      <c r="A148" s="8">
        <v>3045103.988</v>
      </c>
      <c r="B148" s="8">
        <v>35401268.816</v>
      </c>
      <c r="C148" s="8">
        <v>907.163</v>
      </c>
      <c r="D148" s="34">
        <v>43976</v>
      </c>
      <c r="E148" s="95">
        <v>776.04</v>
      </c>
    </row>
    <row r="149" ht="16.5" spans="1:5">
      <c r="A149" s="8">
        <v>3045103.988</v>
      </c>
      <c r="B149" s="8">
        <v>35401268.816</v>
      </c>
      <c r="C149" s="8">
        <v>907.163</v>
      </c>
      <c r="D149" s="34">
        <v>43977</v>
      </c>
      <c r="E149" s="95">
        <v>776.04</v>
      </c>
    </row>
    <row r="150" ht="16.5" spans="1:5">
      <c r="A150" s="8">
        <v>3045103.988</v>
      </c>
      <c r="B150" s="8">
        <v>35401268.816</v>
      </c>
      <c r="C150" s="8">
        <v>907.163</v>
      </c>
      <c r="D150" s="34">
        <v>43978</v>
      </c>
      <c r="E150" s="95"/>
    </row>
    <row r="151" ht="16.5" spans="1:5">
      <c r="A151" s="8">
        <v>3045103.988</v>
      </c>
      <c r="B151" s="8">
        <v>35401268.816</v>
      </c>
      <c r="C151" s="8">
        <v>907.163</v>
      </c>
      <c r="D151" s="34">
        <v>43979</v>
      </c>
      <c r="E151" s="95"/>
    </row>
    <row r="152" ht="16.5" spans="1:5">
      <c r="A152" s="8">
        <v>3045103.988</v>
      </c>
      <c r="B152" s="8">
        <v>35401268.816</v>
      </c>
      <c r="C152" s="8">
        <v>907.163</v>
      </c>
      <c r="D152" s="34">
        <v>43980</v>
      </c>
      <c r="E152" s="95"/>
    </row>
    <row r="153" ht="16.5" spans="1:5">
      <c r="A153" s="8">
        <v>3045103.988</v>
      </c>
      <c r="B153" s="8">
        <v>35401268.816</v>
      </c>
      <c r="C153" s="8">
        <v>907.163</v>
      </c>
      <c r="D153" s="34">
        <v>43981</v>
      </c>
      <c r="E153" s="95"/>
    </row>
    <row r="154" ht="16.5" spans="1:5">
      <c r="A154" s="8">
        <v>3045103.988</v>
      </c>
      <c r="B154" s="8">
        <v>35401268.816</v>
      </c>
      <c r="C154" s="8">
        <v>907.163</v>
      </c>
      <c r="D154" s="34">
        <v>43982</v>
      </c>
      <c r="E154" s="95">
        <v>778.3</v>
      </c>
    </row>
    <row r="155" ht="16.5" spans="1:5">
      <c r="A155" s="8">
        <v>3045103.988</v>
      </c>
      <c r="B155" s="8">
        <v>35401268.816</v>
      </c>
      <c r="C155" s="8">
        <v>907.163</v>
      </c>
      <c r="D155" s="34">
        <v>43983</v>
      </c>
      <c r="E155" s="95">
        <v>778.31</v>
      </c>
    </row>
    <row r="156" ht="16.5" spans="1:5">
      <c r="A156" s="8">
        <v>3045103.988</v>
      </c>
      <c r="B156" s="8">
        <v>35401268.816</v>
      </c>
      <c r="C156" s="8">
        <v>907.163</v>
      </c>
      <c r="D156" s="34">
        <v>43984</v>
      </c>
      <c r="E156" s="95">
        <v>778.34</v>
      </c>
    </row>
    <row r="157" ht="16.5" spans="1:5">
      <c r="A157" s="8">
        <v>3045103.988</v>
      </c>
      <c r="B157" s="8">
        <v>35401268.816</v>
      </c>
      <c r="C157" s="8">
        <v>907.163</v>
      </c>
      <c r="D157" s="34">
        <v>43985</v>
      </c>
      <c r="E157" s="95">
        <v>777.34</v>
      </c>
    </row>
    <row r="158" ht="16.5" spans="1:5">
      <c r="A158" s="8">
        <v>3045103.988</v>
      </c>
      <c r="B158" s="8">
        <v>35401268.816</v>
      </c>
      <c r="C158" s="8">
        <v>907.163</v>
      </c>
      <c r="D158" s="34">
        <v>43986</v>
      </c>
      <c r="E158" s="95"/>
    </row>
    <row r="159" ht="16.5" spans="1:5">
      <c r="A159" s="8">
        <v>3045103.988</v>
      </c>
      <c r="B159" s="8">
        <v>35401268.816</v>
      </c>
      <c r="C159" s="8">
        <v>907.163</v>
      </c>
      <c r="D159" s="34">
        <v>43987</v>
      </c>
      <c r="E159" s="95"/>
    </row>
    <row r="160" ht="16.5" spans="1:5">
      <c r="A160" s="8">
        <v>3045103.988</v>
      </c>
      <c r="B160" s="8">
        <v>35401268.816</v>
      </c>
      <c r="C160" s="8">
        <v>907.163</v>
      </c>
      <c r="D160" s="34">
        <v>43988</v>
      </c>
      <c r="E160" s="95"/>
    </row>
    <row r="161" ht="16.5" spans="1:5">
      <c r="A161" s="8">
        <v>3045103.988</v>
      </c>
      <c r="B161" s="8">
        <v>35401268.816</v>
      </c>
      <c r="C161" s="8">
        <v>907.163</v>
      </c>
      <c r="D161" s="34">
        <v>43989</v>
      </c>
      <c r="E161" s="95"/>
    </row>
    <row r="162" ht="16.5" spans="1:5">
      <c r="A162" s="8">
        <v>3045103.988</v>
      </c>
      <c r="B162" s="8">
        <v>35401268.816</v>
      </c>
      <c r="C162" s="8">
        <v>907.163</v>
      </c>
      <c r="D162" s="34">
        <v>43990</v>
      </c>
      <c r="E162" s="95"/>
    </row>
    <row r="163" ht="16.5" spans="1:5">
      <c r="A163" s="8">
        <v>3045103.988</v>
      </c>
      <c r="B163" s="8">
        <v>35401268.816</v>
      </c>
      <c r="C163" s="8">
        <v>907.163</v>
      </c>
      <c r="D163" s="34">
        <v>43991</v>
      </c>
      <c r="E163" s="95"/>
    </row>
    <row r="164" ht="16.5" spans="1:5">
      <c r="A164" s="8">
        <v>3045103.988</v>
      </c>
      <c r="B164" s="8">
        <v>35401268.816</v>
      </c>
      <c r="C164" s="8">
        <v>907.163</v>
      </c>
      <c r="D164" s="34">
        <v>43992</v>
      </c>
      <c r="E164" s="95"/>
    </row>
    <row r="165" ht="16.5" spans="1:5">
      <c r="A165" s="8">
        <v>3045103.988</v>
      </c>
      <c r="B165" s="8">
        <v>35401268.816</v>
      </c>
      <c r="C165" s="8">
        <v>907.163</v>
      </c>
      <c r="D165" s="34">
        <v>43993</v>
      </c>
      <c r="E165" s="95"/>
    </row>
    <row r="166" ht="16.5" spans="1:5">
      <c r="A166" s="8">
        <v>3045103.988</v>
      </c>
      <c r="B166" s="8">
        <v>35401268.816</v>
      </c>
      <c r="C166" s="8">
        <v>907.163</v>
      </c>
      <c r="D166" s="34">
        <v>43994</v>
      </c>
      <c r="E166" s="95"/>
    </row>
    <row r="167" ht="16.5" spans="1:5">
      <c r="A167" s="8">
        <v>3045103.988</v>
      </c>
      <c r="B167" s="8">
        <v>35401268.816</v>
      </c>
      <c r="C167" s="8">
        <v>907.163</v>
      </c>
      <c r="D167" s="34">
        <v>43995</v>
      </c>
      <c r="E167" s="95"/>
    </row>
    <row r="168" ht="16.5" spans="1:5">
      <c r="A168" s="8">
        <v>3045103.988</v>
      </c>
      <c r="B168" s="8">
        <v>35401268.816</v>
      </c>
      <c r="C168" s="8">
        <v>907.163</v>
      </c>
      <c r="D168" s="34">
        <v>43996</v>
      </c>
      <c r="E168" s="95"/>
    </row>
    <row r="169" ht="16.5" spans="1:5">
      <c r="A169" s="8">
        <v>3045103.988</v>
      </c>
      <c r="B169" s="8">
        <v>35401268.816</v>
      </c>
      <c r="C169" s="8">
        <v>907.163</v>
      </c>
      <c r="D169" s="34">
        <v>43997</v>
      </c>
      <c r="E169" s="95"/>
    </row>
    <row r="170" ht="16.5" spans="1:5">
      <c r="A170" s="8">
        <v>3045103.988</v>
      </c>
      <c r="B170" s="8">
        <v>35401268.816</v>
      </c>
      <c r="C170" s="8">
        <v>907.163</v>
      </c>
      <c r="D170" s="34">
        <v>43998</v>
      </c>
      <c r="E170" s="95"/>
    </row>
    <row r="171" ht="16.5" spans="1:5">
      <c r="A171" s="8">
        <v>3045103.988</v>
      </c>
      <c r="B171" s="8">
        <v>35401268.816</v>
      </c>
      <c r="C171" s="8">
        <v>907.163</v>
      </c>
      <c r="D171" s="34">
        <v>43999</v>
      </c>
      <c r="E171" s="95">
        <v>779.1</v>
      </c>
    </row>
    <row r="172" ht="16.5" spans="1:5">
      <c r="A172" s="8">
        <v>3045103.988</v>
      </c>
      <c r="B172" s="8">
        <v>35401268.816</v>
      </c>
      <c r="C172" s="8">
        <v>907.163</v>
      </c>
      <c r="D172" s="34">
        <v>44000</v>
      </c>
      <c r="E172" s="95">
        <v>779.05</v>
      </c>
    </row>
    <row r="173" ht="16.5" spans="1:5">
      <c r="A173" s="8">
        <v>3045103.988</v>
      </c>
      <c r="B173" s="8">
        <v>35401268.816</v>
      </c>
      <c r="C173" s="8">
        <v>907.163</v>
      </c>
      <c r="D173" s="34">
        <v>44001</v>
      </c>
      <c r="E173" s="95">
        <v>779.08</v>
      </c>
    </row>
    <row r="174" ht="16.5" spans="1:5">
      <c r="A174" s="8">
        <v>3045103.988</v>
      </c>
      <c r="B174" s="8">
        <v>35401268.816</v>
      </c>
      <c r="C174" s="8">
        <v>907.163</v>
      </c>
      <c r="D174" s="34">
        <v>44002</v>
      </c>
      <c r="E174" s="95">
        <v>779.11</v>
      </c>
    </row>
    <row r="175" ht="16.5" spans="1:5">
      <c r="A175" s="8">
        <v>3045103.988</v>
      </c>
      <c r="B175" s="8">
        <v>35401268.816</v>
      </c>
      <c r="C175" s="8">
        <v>907.163</v>
      </c>
      <c r="D175" s="34">
        <v>44003</v>
      </c>
      <c r="E175" s="95">
        <v>779.1</v>
      </c>
    </row>
    <row r="176" ht="16.5" spans="1:5">
      <c r="A176" s="8">
        <v>3045103.988</v>
      </c>
      <c r="B176" s="8">
        <v>35401268.816</v>
      </c>
      <c r="C176" s="8">
        <v>907.163</v>
      </c>
      <c r="D176" s="34">
        <v>44004</v>
      </c>
      <c r="E176" s="95">
        <v>779.08</v>
      </c>
    </row>
    <row r="177" ht="16.5" spans="1:5">
      <c r="A177" s="8">
        <v>3045103.988</v>
      </c>
      <c r="B177" s="8">
        <v>35401268.816</v>
      </c>
      <c r="C177" s="8">
        <v>907.163</v>
      </c>
      <c r="D177" s="34">
        <v>44005</v>
      </c>
      <c r="E177" s="95">
        <v>779.09</v>
      </c>
    </row>
    <row r="178" ht="16.5" spans="1:5">
      <c r="A178" s="8">
        <v>3045103.988</v>
      </c>
      <c r="B178" s="8">
        <v>35401268.816</v>
      </c>
      <c r="C178" s="8">
        <v>907.163</v>
      </c>
      <c r="D178" s="34">
        <v>44006</v>
      </c>
      <c r="E178" s="95">
        <v>779.14</v>
      </c>
    </row>
    <row r="179" ht="16.5" spans="1:5">
      <c r="A179" s="8">
        <v>3045103.988</v>
      </c>
      <c r="B179" s="8">
        <v>35401268.816</v>
      </c>
      <c r="C179" s="8">
        <v>907.163</v>
      </c>
      <c r="D179" s="34">
        <v>44007</v>
      </c>
      <c r="E179" s="95"/>
    </row>
    <row r="180" ht="16.5" spans="1:5">
      <c r="A180" s="8">
        <v>3045103.988</v>
      </c>
      <c r="B180" s="8">
        <v>35401268.816</v>
      </c>
      <c r="C180" s="8">
        <v>907.163</v>
      </c>
      <c r="D180" s="34">
        <v>44008</v>
      </c>
      <c r="E180" s="95"/>
    </row>
    <row r="181" ht="16.5" spans="1:5">
      <c r="A181" s="8">
        <v>3045103.988</v>
      </c>
      <c r="B181" s="8">
        <v>35401268.816</v>
      </c>
      <c r="C181" s="8">
        <v>907.163</v>
      </c>
      <c r="D181" s="34">
        <v>44009</v>
      </c>
      <c r="E181" s="95">
        <v>779.12</v>
      </c>
    </row>
    <row r="182" ht="16.5" spans="1:5">
      <c r="A182" s="8">
        <v>3045103.988</v>
      </c>
      <c r="B182" s="8">
        <v>35401268.816</v>
      </c>
      <c r="C182" s="8">
        <v>907.163</v>
      </c>
      <c r="D182" s="34">
        <v>44010</v>
      </c>
      <c r="E182" s="95">
        <v>779.08</v>
      </c>
    </row>
    <row r="183" ht="16.5" spans="1:5">
      <c r="A183" s="8">
        <v>3045103.988</v>
      </c>
      <c r="B183" s="8">
        <v>35401268.816</v>
      </c>
      <c r="C183" s="8">
        <v>907.163</v>
      </c>
      <c r="D183" s="34">
        <v>44011</v>
      </c>
      <c r="E183" s="95">
        <v>779.053</v>
      </c>
    </row>
    <row r="184" ht="16.5" spans="1:5">
      <c r="A184" s="8">
        <v>3045103.988</v>
      </c>
      <c r="B184" s="8">
        <v>35401268.816</v>
      </c>
      <c r="C184" s="8">
        <v>907.163</v>
      </c>
      <c r="D184" s="34">
        <v>44012</v>
      </c>
      <c r="E184" s="95">
        <v>779.053</v>
      </c>
    </row>
    <row r="185" ht="16.5" spans="1:5">
      <c r="A185" s="8">
        <v>3045103.988</v>
      </c>
      <c r="B185" s="8">
        <v>35401268.816</v>
      </c>
      <c r="C185" s="8">
        <v>907.163</v>
      </c>
      <c r="D185" s="34">
        <v>44013</v>
      </c>
      <c r="E185" s="95">
        <v>779.123</v>
      </c>
    </row>
    <row r="186" ht="16.5" spans="1:5">
      <c r="A186" s="8">
        <v>3045103.988</v>
      </c>
      <c r="B186" s="8">
        <v>35401268.816</v>
      </c>
      <c r="C186" s="8">
        <v>907.163</v>
      </c>
      <c r="D186" s="34">
        <v>44014</v>
      </c>
      <c r="E186" s="95">
        <v>779.143</v>
      </c>
    </row>
    <row r="187" ht="16.5" spans="1:5">
      <c r="A187" s="8">
        <v>3045103.988</v>
      </c>
      <c r="B187" s="8">
        <v>35401268.816</v>
      </c>
      <c r="C187" s="8">
        <v>907.163</v>
      </c>
      <c r="D187" s="34">
        <v>44015</v>
      </c>
      <c r="E187" s="95">
        <v>779.113</v>
      </c>
    </row>
    <row r="188" ht="16.5" spans="1:5">
      <c r="A188" s="8">
        <v>3045103.988</v>
      </c>
      <c r="B188" s="8">
        <v>35401268.816</v>
      </c>
      <c r="C188" s="8">
        <v>907.163</v>
      </c>
      <c r="D188" s="34">
        <v>44016</v>
      </c>
      <c r="E188" s="95">
        <v>779.083</v>
      </c>
    </row>
    <row r="189" ht="16.5" spans="1:5">
      <c r="A189" s="8">
        <v>3045103.988</v>
      </c>
      <c r="B189" s="8">
        <v>35401268.816</v>
      </c>
      <c r="C189" s="8">
        <v>907.163</v>
      </c>
      <c r="D189" s="34">
        <v>44017</v>
      </c>
      <c r="E189" s="95">
        <v>779.073</v>
      </c>
    </row>
    <row r="190" ht="16.5" spans="1:5">
      <c r="A190" s="8">
        <v>3045103.988</v>
      </c>
      <c r="B190" s="8">
        <v>35401268.816</v>
      </c>
      <c r="C190" s="8">
        <v>907.163</v>
      </c>
      <c r="D190" s="34">
        <v>44018</v>
      </c>
      <c r="E190" s="95">
        <v>779.163</v>
      </c>
    </row>
    <row r="191" ht="16.5" spans="1:5">
      <c r="A191" s="8">
        <v>3045103.988</v>
      </c>
      <c r="B191" s="8">
        <v>35401268.816</v>
      </c>
      <c r="C191" s="8">
        <v>907.163</v>
      </c>
      <c r="D191" s="34">
        <v>44019</v>
      </c>
      <c r="E191" s="95">
        <v>779.113</v>
      </c>
    </row>
    <row r="192" ht="16.5" spans="1:5">
      <c r="A192" s="8">
        <v>3045103.988</v>
      </c>
      <c r="B192" s="8">
        <v>35401268.816</v>
      </c>
      <c r="C192" s="8">
        <v>907.163</v>
      </c>
      <c r="D192" s="34">
        <v>44020</v>
      </c>
      <c r="E192" s="95">
        <v>779.133</v>
      </c>
    </row>
    <row r="193" ht="16.5" spans="1:5">
      <c r="A193" s="8">
        <v>3045103.988</v>
      </c>
      <c r="B193" s="8">
        <v>35401268.816</v>
      </c>
      <c r="C193" s="8">
        <v>907.163</v>
      </c>
      <c r="D193" s="34">
        <v>44021</v>
      </c>
      <c r="E193" s="95"/>
    </row>
    <row r="194" ht="16.5" spans="1:5">
      <c r="A194" s="8">
        <v>3045103.988</v>
      </c>
      <c r="B194" s="8">
        <v>35401268.816</v>
      </c>
      <c r="C194" s="8">
        <v>907.163</v>
      </c>
      <c r="D194" s="34">
        <v>44022</v>
      </c>
      <c r="E194" s="95"/>
    </row>
    <row r="195" ht="16.5" spans="1:5">
      <c r="A195" s="8">
        <v>3045103.988</v>
      </c>
      <c r="B195" s="8">
        <v>35401268.816</v>
      </c>
      <c r="C195" s="8">
        <v>907.163</v>
      </c>
      <c r="D195" s="34">
        <v>44023</v>
      </c>
      <c r="E195" s="95">
        <v>779.103</v>
      </c>
    </row>
    <row r="196" ht="16.5" spans="1:5">
      <c r="A196" s="8">
        <v>3045103.988</v>
      </c>
      <c r="B196" s="8">
        <v>35401268.816</v>
      </c>
      <c r="C196" s="8">
        <v>907.163</v>
      </c>
      <c r="D196" s="34">
        <v>44024</v>
      </c>
      <c r="E196" s="95">
        <v>779.113</v>
      </c>
    </row>
    <row r="197" ht="16.5" spans="1:5">
      <c r="A197" s="8">
        <v>3045103.988</v>
      </c>
      <c r="B197" s="8">
        <v>35401268.816</v>
      </c>
      <c r="C197" s="8">
        <v>907.163</v>
      </c>
      <c r="D197" s="34">
        <v>44025</v>
      </c>
      <c r="E197" s="95">
        <v>779.123</v>
      </c>
    </row>
    <row r="198" ht="16.5" spans="1:5">
      <c r="A198" s="8">
        <v>3045103.988</v>
      </c>
      <c r="B198" s="8">
        <v>35401268.816</v>
      </c>
      <c r="C198" s="8">
        <v>907.163</v>
      </c>
      <c r="D198" s="34">
        <v>44026</v>
      </c>
      <c r="E198" s="95">
        <v>779.113</v>
      </c>
    </row>
    <row r="199" ht="16.5" spans="1:5">
      <c r="A199" s="8">
        <v>3045103.988</v>
      </c>
      <c r="B199" s="8">
        <v>35401268.816</v>
      </c>
      <c r="C199" s="8">
        <v>907.163</v>
      </c>
      <c r="D199" s="34">
        <v>44027</v>
      </c>
      <c r="E199" s="95">
        <v>779.083</v>
      </c>
    </row>
    <row r="200" ht="16.5" spans="1:5">
      <c r="A200" s="8">
        <v>3045103.988</v>
      </c>
      <c r="B200" s="8">
        <v>35401268.816</v>
      </c>
      <c r="C200" s="8">
        <v>907.163</v>
      </c>
      <c r="D200" s="34">
        <v>44028</v>
      </c>
      <c r="E200" s="95">
        <v>779.083</v>
      </c>
    </row>
    <row r="201" ht="16.5" spans="1:5">
      <c r="A201" s="8">
        <v>3045103.988</v>
      </c>
      <c r="B201" s="8">
        <v>35401268.816</v>
      </c>
      <c r="C201" s="8">
        <v>907.163</v>
      </c>
      <c r="D201" s="34">
        <v>44029</v>
      </c>
      <c r="E201" s="95">
        <v>779.113</v>
      </c>
    </row>
    <row r="202" ht="16.5" spans="1:5">
      <c r="A202" s="8">
        <v>3045103.988</v>
      </c>
      <c r="B202" s="8">
        <v>35401268.816</v>
      </c>
      <c r="C202" s="8">
        <v>907.163</v>
      </c>
      <c r="D202" s="34">
        <v>44030</v>
      </c>
      <c r="E202" s="95">
        <v>779.103</v>
      </c>
    </row>
    <row r="203" ht="16.5" spans="1:5">
      <c r="A203" s="8">
        <v>3045103.988</v>
      </c>
      <c r="B203" s="8">
        <v>35401268.816</v>
      </c>
      <c r="C203" s="8">
        <v>907.163</v>
      </c>
      <c r="D203" s="34">
        <v>44031</v>
      </c>
      <c r="E203" s="95">
        <v>779.113</v>
      </c>
    </row>
    <row r="204" ht="16.5" spans="1:5">
      <c r="A204" s="8">
        <v>3045103.988</v>
      </c>
      <c r="B204" s="8">
        <v>35401268.816</v>
      </c>
      <c r="C204" s="8">
        <v>907.163</v>
      </c>
      <c r="D204" s="34">
        <v>44032</v>
      </c>
      <c r="E204" s="95">
        <v>779.113</v>
      </c>
    </row>
    <row r="205" ht="16.5" spans="1:5">
      <c r="A205" s="8">
        <v>3045103.988</v>
      </c>
      <c r="B205" s="8">
        <v>35401268.816</v>
      </c>
      <c r="C205" s="8">
        <v>907.163</v>
      </c>
      <c r="D205" s="34">
        <v>44033</v>
      </c>
      <c r="E205" s="95">
        <v>779.113</v>
      </c>
    </row>
    <row r="206" ht="16.5" spans="1:5">
      <c r="A206" s="8">
        <v>3045103.988</v>
      </c>
      <c r="B206" s="8">
        <v>35401268.816</v>
      </c>
      <c r="C206" s="8">
        <v>907.163</v>
      </c>
      <c r="D206" s="34">
        <v>44034</v>
      </c>
      <c r="E206" s="95">
        <v>779.093</v>
      </c>
    </row>
    <row r="207" ht="16.5" spans="1:5">
      <c r="A207" s="8">
        <v>3045103.988</v>
      </c>
      <c r="B207" s="8">
        <v>35401268.816</v>
      </c>
      <c r="C207" s="8">
        <v>907.163</v>
      </c>
      <c r="D207" s="34">
        <v>44035</v>
      </c>
      <c r="E207" s="95">
        <v>779.123</v>
      </c>
    </row>
    <row r="208" ht="16.5" spans="1:5">
      <c r="A208" s="8">
        <v>3045103.988</v>
      </c>
      <c r="B208" s="8">
        <v>35401268.816</v>
      </c>
      <c r="C208" s="8">
        <v>907.163</v>
      </c>
      <c r="D208" s="34">
        <v>44036</v>
      </c>
      <c r="E208" s="95">
        <v>779.113</v>
      </c>
    </row>
    <row r="209" ht="16.5" spans="1:5">
      <c r="A209" s="8">
        <v>3045103.988</v>
      </c>
      <c r="B209" s="8">
        <v>35401268.816</v>
      </c>
      <c r="C209" s="8">
        <v>907.163</v>
      </c>
      <c r="D209" s="34">
        <v>44037</v>
      </c>
      <c r="E209" s="95">
        <v>779.133</v>
      </c>
    </row>
    <row r="210" ht="16.5" spans="1:5">
      <c r="A210" s="8">
        <v>3045103.988</v>
      </c>
      <c r="B210" s="8">
        <v>35401268.816</v>
      </c>
      <c r="C210" s="8">
        <v>907.163</v>
      </c>
      <c r="D210" s="34">
        <v>44038</v>
      </c>
      <c r="E210" s="95">
        <v>779.093</v>
      </c>
    </row>
    <row r="211" ht="16.5" spans="1:5">
      <c r="A211" s="8">
        <v>3045103.988</v>
      </c>
      <c r="B211" s="8">
        <v>35401268.816</v>
      </c>
      <c r="C211" s="8">
        <v>907.163</v>
      </c>
      <c r="D211" s="34">
        <v>44039</v>
      </c>
      <c r="E211" s="95">
        <v>779.123</v>
      </c>
    </row>
    <row r="212" ht="16.5" spans="1:5">
      <c r="A212" s="8">
        <v>3045103.988</v>
      </c>
      <c r="B212" s="8">
        <v>35401268.816</v>
      </c>
      <c r="C212" s="8">
        <v>907.163</v>
      </c>
      <c r="D212" s="34">
        <v>44040</v>
      </c>
      <c r="E212" s="95">
        <v>779.103</v>
      </c>
    </row>
    <row r="213" ht="16.5" spans="1:5">
      <c r="A213" s="8">
        <v>3045103.988</v>
      </c>
      <c r="B213" s="8">
        <v>35401268.816</v>
      </c>
      <c r="C213" s="8">
        <v>907.163</v>
      </c>
      <c r="D213" s="34">
        <v>44041</v>
      </c>
      <c r="E213" s="95">
        <v>779.083</v>
      </c>
    </row>
    <row r="214" ht="16.5" spans="1:5">
      <c r="A214" s="8">
        <v>3045103.988</v>
      </c>
      <c r="B214" s="8">
        <v>35401268.816</v>
      </c>
      <c r="C214" s="8">
        <v>907.163</v>
      </c>
      <c r="D214" s="34">
        <v>44042</v>
      </c>
      <c r="E214" s="95">
        <v>779.073</v>
      </c>
    </row>
    <row r="215" ht="16.5" spans="1:5">
      <c r="A215" s="8">
        <v>3045103.988</v>
      </c>
      <c r="B215" s="8">
        <v>35401268.816</v>
      </c>
      <c r="C215" s="8">
        <v>907.163</v>
      </c>
      <c r="D215" s="34">
        <v>44043</v>
      </c>
      <c r="E215" s="95">
        <v>779.153</v>
      </c>
    </row>
    <row r="216" ht="16.5" spans="1:5">
      <c r="A216" s="8">
        <v>3045103.988</v>
      </c>
      <c r="B216" s="8">
        <v>35401268.816</v>
      </c>
      <c r="C216" s="8">
        <v>907.163</v>
      </c>
      <c r="D216" s="34">
        <v>44044</v>
      </c>
      <c r="E216" s="95">
        <v>779.203</v>
      </c>
    </row>
    <row r="217" ht="16.5" spans="1:5">
      <c r="A217" s="8">
        <v>3045103.988</v>
      </c>
      <c r="B217" s="8">
        <v>35401268.816</v>
      </c>
      <c r="C217" s="8">
        <v>907.163</v>
      </c>
      <c r="D217" s="34">
        <v>44045</v>
      </c>
      <c r="E217" s="95">
        <v>779.163</v>
      </c>
    </row>
    <row r="218" ht="16.5" spans="1:5">
      <c r="A218" s="8">
        <v>3045103.988</v>
      </c>
      <c r="B218" s="8">
        <v>35401268.816</v>
      </c>
      <c r="C218" s="8">
        <v>907.163</v>
      </c>
      <c r="D218" s="34">
        <v>44046</v>
      </c>
      <c r="E218" s="95">
        <v>779.243</v>
      </c>
    </row>
    <row r="219" ht="16.5" spans="1:5">
      <c r="A219" s="8">
        <v>3045103.988</v>
      </c>
      <c r="B219" s="8">
        <v>35401268.816</v>
      </c>
      <c r="C219" s="8">
        <v>907.163</v>
      </c>
      <c r="D219" s="34">
        <v>44047</v>
      </c>
      <c r="E219" s="95">
        <v>779.203</v>
      </c>
    </row>
    <row r="220" ht="16.5" spans="1:5">
      <c r="A220" s="8">
        <v>3045103.988</v>
      </c>
      <c r="B220" s="8">
        <v>35401268.816</v>
      </c>
      <c r="C220" s="8">
        <v>907.163</v>
      </c>
      <c r="D220" s="34">
        <v>44048</v>
      </c>
      <c r="E220" s="95">
        <v>779.273</v>
      </c>
    </row>
    <row r="221" ht="16.5" spans="1:5">
      <c r="A221" s="8">
        <v>3045103.988</v>
      </c>
      <c r="B221" s="8">
        <v>35401268.816</v>
      </c>
      <c r="C221" s="8">
        <v>907.163</v>
      </c>
      <c r="D221" s="34">
        <v>44049</v>
      </c>
      <c r="E221" s="95">
        <v>779.333</v>
      </c>
    </row>
    <row r="222" ht="16.5" spans="1:5">
      <c r="A222" s="8">
        <v>3045103.988</v>
      </c>
      <c r="B222" s="8">
        <v>35401268.816</v>
      </c>
      <c r="C222" s="8">
        <v>907.163</v>
      </c>
      <c r="D222" s="34">
        <v>44050</v>
      </c>
      <c r="E222" s="95">
        <v>779.303</v>
      </c>
    </row>
    <row r="223" ht="16.5" spans="1:5">
      <c r="A223" s="8">
        <v>3045103.988</v>
      </c>
      <c r="B223" s="8">
        <v>35401268.816</v>
      </c>
      <c r="C223" s="8">
        <v>907.163</v>
      </c>
      <c r="D223" s="34">
        <v>44051</v>
      </c>
      <c r="E223" s="95">
        <v>779.283</v>
      </c>
    </row>
    <row r="224" ht="16.5" spans="1:5">
      <c r="A224" s="8">
        <v>3045103.988</v>
      </c>
      <c r="B224" s="8">
        <v>35401268.816</v>
      </c>
      <c r="C224" s="8">
        <v>907.163</v>
      </c>
      <c r="D224" s="34">
        <v>44052</v>
      </c>
      <c r="E224" s="95">
        <v>779.263</v>
      </c>
    </row>
    <row r="225" ht="16.5" spans="1:5">
      <c r="A225" s="8">
        <v>3045103.988</v>
      </c>
      <c r="B225" s="8">
        <v>35401268.816</v>
      </c>
      <c r="C225" s="8">
        <v>907.163</v>
      </c>
      <c r="D225" s="34">
        <v>44053</v>
      </c>
      <c r="E225" s="95">
        <v>779.343</v>
      </c>
    </row>
    <row r="226" ht="16.5" spans="1:5">
      <c r="A226" s="8">
        <v>3045103.988</v>
      </c>
      <c r="B226" s="8">
        <v>35401268.816</v>
      </c>
      <c r="C226" s="8">
        <v>907.163</v>
      </c>
      <c r="D226" s="34">
        <v>44054</v>
      </c>
      <c r="E226" s="95">
        <v>779.083</v>
      </c>
    </row>
    <row r="227" ht="16.5" spans="1:5">
      <c r="A227" s="8">
        <v>3045103.988</v>
      </c>
      <c r="B227" s="8">
        <v>35401268.816</v>
      </c>
      <c r="C227" s="8">
        <v>907.163</v>
      </c>
      <c r="D227" s="34">
        <v>44055</v>
      </c>
      <c r="E227" s="95">
        <v>779.143</v>
      </c>
    </row>
    <row r="228" ht="16.5" spans="1:5">
      <c r="A228" s="8">
        <v>3045103.988</v>
      </c>
      <c r="B228" s="8">
        <v>35401268.816</v>
      </c>
      <c r="C228" s="8">
        <v>907.163</v>
      </c>
      <c r="D228" s="34">
        <v>44056</v>
      </c>
      <c r="E228" s="95">
        <v>779.173</v>
      </c>
    </row>
    <row r="229" ht="16.5" spans="1:5">
      <c r="A229" s="8">
        <v>3045103.988</v>
      </c>
      <c r="B229" s="8">
        <v>35401268.816</v>
      </c>
      <c r="C229" s="8">
        <v>907.163</v>
      </c>
      <c r="D229" s="34">
        <v>44057</v>
      </c>
      <c r="E229" s="95">
        <v>779.183</v>
      </c>
    </row>
    <row r="230" ht="16.5" spans="1:5">
      <c r="A230" s="8">
        <v>3045103.988</v>
      </c>
      <c r="B230" s="8">
        <v>35401268.816</v>
      </c>
      <c r="C230" s="8">
        <v>907.163</v>
      </c>
      <c r="D230" s="34">
        <v>44058</v>
      </c>
      <c r="E230" s="95">
        <v>779.163</v>
      </c>
    </row>
    <row r="231" ht="16.5" spans="1:5">
      <c r="A231" s="8">
        <v>3045103.988</v>
      </c>
      <c r="B231" s="8">
        <v>35401268.816</v>
      </c>
      <c r="C231" s="8">
        <v>907.163</v>
      </c>
      <c r="D231" s="34">
        <v>44059</v>
      </c>
      <c r="E231" s="95">
        <v>779.153</v>
      </c>
    </row>
    <row r="232" ht="16.5" spans="1:5">
      <c r="A232" s="8">
        <v>3045103.988</v>
      </c>
      <c r="B232" s="8">
        <v>35401268.816</v>
      </c>
      <c r="C232" s="8">
        <v>907.163</v>
      </c>
      <c r="D232" s="34">
        <v>44060</v>
      </c>
      <c r="E232" s="95">
        <v>779.163</v>
      </c>
    </row>
    <row r="233" ht="16.5" spans="1:5">
      <c r="A233" s="8">
        <v>3045103.988</v>
      </c>
      <c r="B233" s="8">
        <v>35401268.816</v>
      </c>
      <c r="C233" s="8">
        <v>907.163</v>
      </c>
      <c r="D233" s="34">
        <v>44061</v>
      </c>
      <c r="E233" s="95">
        <v>779.183</v>
      </c>
    </row>
    <row r="234" ht="16.5" spans="1:5">
      <c r="A234" s="8">
        <v>3045103.988</v>
      </c>
      <c r="B234" s="8">
        <v>35401268.816</v>
      </c>
      <c r="C234" s="8">
        <v>907.163</v>
      </c>
      <c r="D234" s="34">
        <v>44062</v>
      </c>
      <c r="E234" s="95">
        <v>779.223</v>
      </c>
    </row>
    <row r="235" ht="16.5" spans="1:5">
      <c r="A235" s="8">
        <v>3045103.988</v>
      </c>
      <c r="B235" s="8">
        <v>35401268.816</v>
      </c>
      <c r="C235" s="8">
        <v>907.163</v>
      </c>
      <c r="D235" s="34">
        <v>44063</v>
      </c>
      <c r="E235" s="95">
        <v>779.273</v>
      </c>
    </row>
    <row r="236" ht="16.5" spans="1:5">
      <c r="A236" s="8">
        <v>3045103.988</v>
      </c>
      <c r="B236" s="8">
        <v>35401268.816</v>
      </c>
      <c r="C236" s="8">
        <v>907.163</v>
      </c>
      <c r="D236" s="34">
        <v>44064</v>
      </c>
      <c r="E236" s="95">
        <v>779.243</v>
      </c>
    </row>
    <row r="237" ht="16.5" spans="1:5">
      <c r="A237" s="8">
        <v>3045103.988</v>
      </c>
      <c r="B237" s="8">
        <v>35401268.816</v>
      </c>
      <c r="C237" s="8">
        <v>907.163</v>
      </c>
      <c r="D237" s="34">
        <v>44065</v>
      </c>
      <c r="E237" s="95">
        <v>779.233</v>
      </c>
    </row>
    <row r="238" ht="16.5" spans="1:5">
      <c r="A238" s="8">
        <v>3045103.988</v>
      </c>
      <c r="B238" s="8">
        <v>35401268.816</v>
      </c>
      <c r="C238" s="8">
        <v>907.163</v>
      </c>
      <c r="D238" s="34">
        <v>44066</v>
      </c>
      <c r="E238" s="95">
        <v>779.213</v>
      </c>
    </row>
    <row r="239" ht="16.5" spans="1:5">
      <c r="A239" s="8">
        <v>3045103.988</v>
      </c>
      <c r="B239" s="8">
        <v>35401268.816</v>
      </c>
      <c r="C239" s="8">
        <v>907.163</v>
      </c>
      <c r="D239" s="34">
        <v>44067</v>
      </c>
      <c r="E239" s="95">
        <v>779.253</v>
      </c>
    </row>
    <row r="240" ht="16.5" spans="1:5">
      <c r="A240" s="8">
        <v>3045103.988</v>
      </c>
      <c r="B240" s="8">
        <v>35401268.816</v>
      </c>
      <c r="C240" s="8">
        <v>907.163</v>
      </c>
      <c r="D240" s="34">
        <v>44068</v>
      </c>
      <c r="E240" s="95">
        <v>779.233</v>
      </c>
    </row>
    <row r="241" ht="16.5" spans="1:5">
      <c r="A241" s="8">
        <v>3045103.988</v>
      </c>
      <c r="B241" s="8">
        <v>35401268.816</v>
      </c>
      <c r="C241" s="8">
        <v>907.163</v>
      </c>
      <c r="D241" s="34">
        <v>44069</v>
      </c>
      <c r="E241" s="95">
        <v>779.243</v>
      </c>
    </row>
    <row r="242" ht="16.5" spans="1:5">
      <c r="A242" s="8">
        <v>3045103.988</v>
      </c>
      <c r="B242" s="8">
        <v>35401268.816</v>
      </c>
      <c r="C242" s="8">
        <v>907.163</v>
      </c>
      <c r="D242" s="34">
        <v>44070</v>
      </c>
      <c r="E242" s="95">
        <v>779.223</v>
      </c>
    </row>
    <row r="243" ht="16.5" spans="1:5">
      <c r="A243" s="8">
        <v>3045103.988</v>
      </c>
      <c r="B243" s="8">
        <v>35401268.816</v>
      </c>
      <c r="C243" s="8">
        <v>907.163</v>
      </c>
      <c r="D243" s="34">
        <v>44071</v>
      </c>
      <c r="E243" s="95">
        <v>779.233</v>
      </c>
    </row>
    <row r="244" ht="16.5" spans="1:5">
      <c r="A244" s="8">
        <v>3045103.988</v>
      </c>
      <c r="B244" s="8">
        <v>35401268.816</v>
      </c>
      <c r="C244" s="8">
        <v>907.163</v>
      </c>
      <c r="D244" s="34">
        <v>44072</v>
      </c>
      <c r="E244" s="95">
        <v>779.243</v>
      </c>
    </row>
    <row r="245" ht="16.5" spans="1:5">
      <c r="A245" s="8">
        <v>3045103.988</v>
      </c>
      <c r="B245" s="8">
        <v>35401268.816</v>
      </c>
      <c r="C245" s="8">
        <v>907.163</v>
      </c>
      <c r="D245" s="34">
        <v>44073</v>
      </c>
      <c r="E245" s="95">
        <v>779.213</v>
      </c>
    </row>
    <row r="246" ht="16.5" spans="1:5">
      <c r="A246" s="8">
        <v>3045103.988</v>
      </c>
      <c r="B246" s="8">
        <v>35401268.816</v>
      </c>
      <c r="C246" s="8">
        <v>907.163</v>
      </c>
      <c r="D246" s="34">
        <v>44074</v>
      </c>
      <c r="E246" s="95">
        <v>779.203</v>
      </c>
    </row>
    <row r="247" ht="16.5" spans="1:5">
      <c r="A247" s="8">
        <v>3045103.988</v>
      </c>
      <c r="B247" s="8">
        <v>35401268.816</v>
      </c>
      <c r="C247" s="8">
        <v>907.163</v>
      </c>
      <c r="D247" s="34">
        <v>44075</v>
      </c>
      <c r="E247" s="95">
        <v>779.183</v>
      </c>
    </row>
    <row r="248" ht="16.5" spans="1:5">
      <c r="A248" s="8">
        <v>3045103.988</v>
      </c>
      <c r="B248" s="8">
        <v>35401268.816</v>
      </c>
      <c r="C248" s="8">
        <v>907.163</v>
      </c>
      <c r="D248" s="34">
        <v>44076</v>
      </c>
      <c r="E248" s="95">
        <v>779.173</v>
      </c>
    </row>
    <row r="249" ht="16.5" spans="1:5">
      <c r="A249" s="8">
        <v>3045103.988</v>
      </c>
      <c r="B249" s="8">
        <v>35401268.816</v>
      </c>
      <c r="C249" s="8">
        <v>907.163</v>
      </c>
      <c r="D249" s="34">
        <v>44077</v>
      </c>
      <c r="E249" s="95">
        <v>779.183</v>
      </c>
    </row>
    <row r="250" ht="16.5" spans="1:5">
      <c r="A250" s="8">
        <v>3045103.988</v>
      </c>
      <c r="B250" s="8">
        <v>35401268.816</v>
      </c>
      <c r="C250" s="8">
        <v>907.163</v>
      </c>
      <c r="D250" s="34">
        <v>44078</v>
      </c>
      <c r="E250" s="95">
        <v>779.213</v>
      </c>
    </row>
    <row r="251" ht="16.5" spans="1:5">
      <c r="A251" s="8">
        <v>3045103.988</v>
      </c>
      <c r="B251" s="8">
        <v>35401268.816</v>
      </c>
      <c r="C251" s="8">
        <v>907.163</v>
      </c>
      <c r="D251" s="34">
        <v>44079</v>
      </c>
      <c r="E251" s="95">
        <v>779.203</v>
      </c>
    </row>
    <row r="252" ht="16.5" spans="1:5">
      <c r="A252" s="8">
        <v>3045103.988</v>
      </c>
      <c r="B252" s="8">
        <v>35401268.816</v>
      </c>
      <c r="C252" s="8">
        <v>907.163</v>
      </c>
      <c r="D252" s="34">
        <v>44080</v>
      </c>
      <c r="E252" s="95">
        <v>779.213</v>
      </c>
    </row>
    <row r="253" ht="16.5" spans="1:5">
      <c r="A253" s="8">
        <v>3045103.988</v>
      </c>
      <c r="B253" s="8">
        <v>35401268.816</v>
      </c>
      <c r="C253" s="8">
        <v>907.163</v>
      </c>
      <c r="D253" s="34">
        <v>44081</v>
      </c>
      <c r="E253" s="95">
        <v>779.233</v>
      </c>
    </row>
    <row r="254" ht="16.5" spans="1:5">
      <c r="A254" s="8">
        <v>3045103.988</v>
      </c>
      <c r="B254" s="8">
        <v>35401268.816</v>
      </c>
      <c r="C254" s="8">
        <v>907.163</v>
      </c>
      <c r="D254" s="34">
        <v>44082</v>
      </c>
      <c r="E254" s="95">
        <v>779.233</v>
      </c>
    </row>
    <row r="255" ht="16.5" spans="1:5">
      <c r="A255" s="8">
        <v>3045103.988</v>
      </c>
      <c r="B255" s="8">
        <v>35401268.816</v>
      </c>
      <c r="C255" s="8">
        <v>907.163</v>
      </c>
      <c r="D255" s="34">
        <v>44083</v>
      </c>
      <c r="E255" s="95">
        <v>779.233</v>
      </c>
    </row>
    <row r="256" ht="16.5" spans="1:5">
      <c r="A256" s="8">
        <v>3045103.988</v>
      </c>
      <c r="B256" s="8">
        <v>35401268.816</v>
      </c>
      <c r="C256" s="8">
        <v>907.163</v>
      </c>
      <c r="D256" s="34">
        <v>44084</v>
      </c>
      <c r="E256" s="95">
        <v>779.213</v>
      </c>
    </row>
    <row r="257" ht="16.5" spans="1:5">
      <c r="A257" s="8">
        <v>3045103.988</v>
      </c>
      <c r="B257" s="8">
        <v>35401268.816</v>
      </c>
      <c r="C257" s="8">
        <v>907.163</v>
      </c>
      <c r="D257" s="34">
        <v>44085</v>
      </c>
      <c r="E257" s="95">
        <v>779.203</v>
      </c>
    </row>
    <row r="258" ht="16.5" spans="1:5">
      <c r="A258" s="8">
        <v>3045103.988</v>
      </c>
      <c r="B258" s="8">
        <v>35401268.816</v>
      </c>
      <c r="C258" s="8">
        <v>907.163</v>
      </c>
      <c r="D258" s="34">
        <v>44086</v>
      </c>
      <c r="E258" s="95">
        <v>779.223</v>
      </c>
    </row>
    <row r="259" ht="16.5" spans="1:5">
      <c r="A259" s="8">
        <v>3045103.988</v>
      </c>
      <c r="B259" s="8">
        <v>35401268.816</v>
      </c>
      <c r="C259" s="8">
        <v>907.163</v>
      </c>
      <c r="D259" s="34">
        <v>44087</v>
      </c>
      <c r="E259" s="95">
        <v>779.243</v>
      </c>
    </row>
    <row r="260" ht="16.5" spans="1:5">
      <c r="A260" s="8">
        <v>3045103.988</v>
      </c>
      <c r="B260" s="8">
        <v>35401268.816</v>
      </c>
      <c r="C260" s="8">
        <v>907.163</v>
      </c>
      <c r="D260" s="34">
        <v>44088</v>
      </c>
      <c r="E260" s="95">
        <v>779.243</v>
      </c>
    </row>
    <row r="261" ht="16.5" spans="1:5">
      <c r="A261" s="8">
        <v>3045103.988</v>
      </c>
      <c r="B261" s="8">
        <v>35401268.816</v>
      </c>
      <c r="C261" s="8">
        <v>907.163</v>
      </c>
      <c r="D261" s="34">
        <v>44089</v>
      </c>
      <c r="E261" s="95">
        <v>779.243</v>
      </c>
    </row>
    <row r="262" ht="16.5" spans="1:5">
      <c r="A262" s="8">
        <v>3045103.988</v>
      </c>
      <c r="B262" s="8">
        <v>35401268.816</v>
      </c>
      <c r="C262" s="8">
        <v>907.163</v>
      </c>
      <c r="D262" s="34">
        <v>44090</v>
      </c>
      <c r="E262" s="95">
        <v>779.223</v>
      </c>
    </row>
    <row r="263" ht="16.5" spans="1:5">
      <c r="A263" s="8">
        <v>3045103.988</v>
      </c>
      <c r="B263" s="8">
        <v>35401268.816</v>
      </c>
      <c r="C263" s="8">
        <v>907.163</v>
      </c>
      <c r="D263" s="34">
        <v>44091</v>
      </c>
      <c r="E263" s="95">
        <v>779.213</v>
      </c>
    </row>
    <row r="264" ht="16.5" spans="1:5">
      <c r="A264" s="8">
        <v>3045103.988</v>
      </c>
      <c r="B264" s="8">
        <v>35401268.816</v>
      </c>
      <c r="C264" s="8">
        <v>907.163</v>
      </c>
      <c r="D264" s="34">
        <v>44092</v>
      </c>
      <c r="E264" s="95">
        <v>779.213</v>
      </c>
    </row>
    <row r="265" ht="16.5" spans="1:5">
      <c r="A265" s="8">
        <v>3045103.988</v>
      </c>
      <c r="B265" s="8">
        <v>35401268.816</v>
      </c>
      <c r="C265" s="8">
        <v>907.163</v>
      </c>
      <c r="D265" s="34">
        <v>44093</v>
      </c>
      <c r="E265" s="95">
        <v>779.203</v>
      </c>
    </row>
    <row r="266" ht="16.5" spans="1:5">
      <c r="A266" s="8">
        <v>3045103.988</v>
      </c>
      <c r="B266" s="8">
        <v>35401268.816</v>
      </c>
      <c r="C266" s="8">
        <v>907.163</v>
      </c>
      <c r="D266" s="34">
        <v>44094</v>
      </c>
      <c r="E266" s="95">
        <v>779.203</v>
      </c>
    </row>
    <row r="267" ht="16.5" spans="1:5">
      <c r="A267" s="8">
        <v>3045103.988</v>
      </c>
      <c r="B267" s="8">
        <v>35401268.816</v>
      </c>
      <c r="C267" s="8">
        <v>907.163</v>
      </c>
      <c r="D267" s="34">
        <v>44095</v>
      </c>
      <c r="E267" s="95">
        <v>779.223</v>
      </c>
    </row>
    <row r="268" ht="16.5" spans="1:5">
      <c r="A268" s="8">
        <v>3045103.988</v>
      </c>
      <c r="B268" s="8">
        <v>35401268.816</v>
      </c>
      <c r="C268" s="8">
        <v>907.163</v>
      </c>
      <c r="D268" s="34">
        <v>44096</v>
      </c>
      <c r="E268" s="95">
        <v>779.223</v>
      </c>
    </row>
    <row r="269" ht="16.5" spans="1:5">
      <c r="A269" s="8">
        <v>3045103.988</v>
      </c>
      <c r="B269" s="8">
        <v>35401268.816</v>
      </c>
      <c r="C269" s="8">
        <v>907.163</v>
      </c>
      <c r="D269" s="34">
        <v>44097</v>
      </c>
      <c r="E269" s="95">
        <v>779.233</v>
      </c>
    </row>
    <row r="270" ht="16.5" spans="1:5">
      <c r="A270" s="8">
        <v>3045103.988</v>
      </c>
      <c r="B270" s="8">
        <v>35401268.816</v>
      </c>
      <c r="C270" s="8">
        <v>907.163</v>
      </c>
      <c r="D270" s="34">
        <v>44098</v>
      </c>
      <c r="E270" s="95">
        <v>779.223</v>
      </c>
    </row>
    <row r="271" ht="16.5" spans="1:5">
      <c r="A271" s="8">
        <v>3045103.988</v>
      </c>
      <c r="B271" s="8">
        <v>35401268.816</v>
      </c>
      <c r="C271" s="8">
        <v>907.163</v>
      </c>
      <c r="D271" s="34">
        <v>44099</v>
      </c>
      <c r="E271" s="95">
        <v>779.203</v>
      </c>
    </row>
    <row r="272" ht="16.5" spans="1:5">
      <c r="A272" s="8">
        <v>3045103.988</v>
      </c>
      <c r="B272" s="8">
        <v>35401268.816</v>
      </c>
      <c r="C272" s="8">
        <v>907.163</v>
      </c>
      <c r="D272" s="34">
        <v>44100</v>
      </c>
      <c r="E272" s="95">
        <v>779.233</v>
      </c>
    </row>
    <row r="273" ht="16.5" spans="1:5">
      <c r="A273" s="8">
        <v>3045103.988</v>
      </c>
      <c r="B273" s="8">
        <v>35401268.816</v>
      </c>
      <c r="C273" s="8">
        <v>907.163</v>
      </c>
      <c r="D273" s="34">
        <v>44101</v>
      </c>
      <c r="E273" s="95"/>
    </row>
    <row r="274" ht="16.5" spans="1:5">
      <c r="A274" s="8">
        <v>3045103.988</v>
      </c>
      <c r="B274" s="8">
        <v>35401268.816</v>
      </c>
      <c r="C274" s="8">
        <v>907.163</v>
      </c>
      <c r="D274" s="34">
        <v>44102</v>
      </c>
      <c r="E274" s="95">
        <v>779.223</v>
      </c>
    </row>
    <row r="275" ht="16.5" spans="1:5">
      <c r="A275" s="8">
        <v>3045103.988</v>
      </c>
      <c r="B275" s="8">
        <v>35401268.816</v>
      </c>
      <c r="C275" s="8">
        <v>907.163</v>
      </c>
      <c r="D275" s="34">
        <v>44103</v>
      </c>
      <c r="E275" s="95">
        <v>779.273</v>
      </c>
    </row>
    <row r="276" ht="16.5" spans="1:5">
      <c r="A276" s="8">
        <v>3045103.988</v>
      </c>
      <c r="B276" s="8">
        <v>35401268.816</v>
      </c>
      <c r="C276" s="8">
        <v>907.163</v>
      </c>
      <c r="D276" s="34">
        <v>44104</v>
      </c>
      <c r="E276" s="95">
        <v>779.263</v>
      </c>
    </row>
    <row r="277" ht="16.5" spans="1:5">
      <c r="A277" s="8">
        <v>3045103.988</v>
      </c>
      <c r="B277" s="8">
        <v>35401268.816</v>
      </c>
      <c r="C277" s="8">
        <v>907.163</v>
      </c>
      <c r="D277" s="34">
        <v>44105</v>
      </c>
      <c r="E277" s="95">
        <v>779.253</v>
      </c>
    </row>
    <row r="278" ht="16.5" spans="1:5">
      <c r="A278" s="8">
        <v>3045103.988</v>
      </c>
      <c r="B278" s="8">
        <v>35401268.816</v>
      </c>
      <c r="C278" s="8">
        <v>907.163</v>
      </c>
      <c r="D278" s="34">
        <v>44106</v>
      </c>
      <c r="E278" s="95">
        <v>779.233</v>
      </c>
    </row>
    <row r="279" ht="16.5" spans="1:5">
      <c r="A279" s="8">
        <v>3045103.988</v>
      </c>
      <c r="B279" s="8">
        <v>35401268.816</v>
      </c>
      <c r="C279" s="8">
        <v>907.163</v>
      </c>
      <c r="D279" s="34">
        <v>44107</v>
      </c>
      <c r="E279" s="95">
        <v>779.243</v>
      </c>
    </row>
    <row r="280" ht="16.5" spans="1:5">
      <c r="A280" s="8">
        <v>3045103.988</v>
      </c>
      <c r="B280" s="8">
        <v>35401268.816</v>
      </c>
      <c r="C280" s="8">
        <v>907.163</v>
      </c>
      <c r="D280" s="34">
        <v>44108</v>
      </c>
      <c r="E280" s="95">
        <v>779.253</v>
      </c>
    </row>
    <row r="281" ht="16.5" spans="1:5">
      <c r="A281" s="8">
        <v>3045103.988</v>
      </c>
      <c r="B281" s="8">
        <v>35401268.816</v>
      </c>
      <c r="C281" s="8">
        <v>907.163</v>
      </c>
      <c r="D281" s="34">
        <v>44109</v>
      </c>
      <c r="E281" s="95">
        <v>779.243</v>
      </c>
    </row>
    <row r="282" ht="16.5" spans="1:5">
      <c r="A282" s="8">
        <v>3045103.988</v>
      </c>
      <c r="B282" s="8">
        <v>35401268.816</v>
      </c>
      <c r="C282" s="8">
        <v>907.163</v>
      </c>
      <c r="D282" s="34">
        <v>44110</v>
      </c>
      <c r="E282" s="95">
        <v>779.253</v>
      </c>
    </row>
    <row r="283" ht="16.5" spans="1:5">
      <c r="A283" s="8">
        <v>3045103.988</v>
      </c>
      <c r="B283" s="8">
        <v>35401268.816</v>
      </c>
      <c r="C283" s="8">
        <v>907.163</v>
      </c>
      <c r="D283" s="34">
        <v>44111</v>
      </c>
      <c r="E283" s="95">
        <v>779.263</v>
      </c>
    </row>
    <row r="284" ht="16.5" spans="1:5">
      <c r="A284" s="8">
        <v>3045103.988</v>
      </c>
      <c r="B284" s="8">
        <v>35401268.816</v>
      </c>
      <c r="C284" s="8">
        <v>907.163</v>
      </c>
      <c r="D284" s="34">
        <v>44112</v>
      </c>
      <c r="E284" s="95">
        <v>779.243</v>
      </c>
    </row>
    <row r="285" ht="16.5" spans="1:5">
      <c r="A285" s="8">
        <v>3045103.988</v>
      </c>
      <c r="B285" s="8">
        <v>35401268.816</v>
      </c>
      <c r="C285" s="8">
        <v>907.163</v>
      </c>
      <c r="D285" s="34">
        <v>44113</v>
      </c>
      <c r="E285" s="95">
        <v>779.233</v>
      </c>
    </row>
    <row r="286" ht="16.5" spans="1:5">
      <c r="A286" s="8">
        <v>3045103.988</v>
      </c>
      <c r="B286" s="8">
        <v>35401268.816</v>
      </c>
      <c r="C286" s="8">
        <v>907.163</v>
      </c>
      <c r="D286" s="34">
        <v>44114</v>
      </c>
      <c r="E286" s="95">
        <v>779.233</v>
      </c>
    </row>
    <row r="287" ht="16.5" spans="1:5">
      <c r="A287" s="8">
        <v>3045103.988</v>
      </c>
      <c r="B287" s="8">
        <v>35401268.816</v>
      </c>
      <c r="C287" s="8">
        <v>907.163</v>
      </c>
      <c r="D287" s="34">
        <v>44115</v>
      </c>
      <c r="E287" s="95">
        <v>779.213</v>
      </c>
    </row>
    <row r="288" ht="16.5" spans="1:5">
      <c r="A288" s="8">
        <v>3045103.988</v>
      </c>
      <c r="B288" s="8">
        <v>35401268.816</v>
      </c>
      <c r="C288" s="8">
        <v>907.163</v>
      </c>
      <c r="D288" s="34">
        <v>44116</v>
      </c>
      <c r="E288" s="95">
        <v>779.203</v>
      </c>
    </row>
    <row r="289" ht="16.5" spans="1:5">
      <c r="A289" s="8">
        <v>3045103.988</v>
      </c>
      <c r="B289" s="8">
        <v>35401268.816</v>
      </c>
      <c r="C289" s="8">
        <v>907.163</v>
      </c>
      <c r="D289" s="34">
        <v>44117</v>
      </c>
      <c r="E289" s="95">
        <v>779.233</v>
      </c>
    </row>
    <row r="290" ht="16.5" spans="1:5">
      <c r="A290" s="8">
        <v>3045103.988</v>
      </c>
      <c r="B290" s="8">
        <v>35401268.816</v>
      </c>
      <c r="C290" s="8">
        <v>907.163</v>
      </c>
      <c r="D290" s="34">
        <v>44118</v>
      </c>
      <c r="E290" s="95">
        <v>779.223</v>
      </c>
    </row>
    <row r="291" ht="16.5" spans="1:5">
      <c r="A291" s="8">
        <v>3045103.988</v>
      </c>
      <c r="B291" s="8">
        <v>35401268.816</v>
      </c>
      <c r="C291" s="8">
        <v>907.163</v>
      </c>
      <c r="D291" s="34">
        <v>44119</v>
      </c>
      <c r="E291" s="95">
        <v>779.213</v>
      </c>
    </row>
    <row r="292" ht="16.5" spans="1:5">
      <c r="A292" s="8">
        <v>3045103.988</v>
      </c>
      <c r="B292" s="8">
        <v>35401268.816</v>
      </c>
      <c r="C292" s="8">
        <v>907.163</v>
      </c>
      <c r="D292" s="34">
        <v>44120</v>
      </c>
      <c r="E292" s="95">
        <v>779.233</v>
      </c>
    </row>
    <row r="293" ht="16.5" spans="1:5">
      <c r="A293" s="8">
        <v>3045103.988</v>
      </c>
      <c r="B293" s="8">
        <v>35401268.816</v>
      </c>
      <c r="C293" s="8">
        <v>907.163</v>
      </c>
      <c r="D293" s="34">
        <v>44121</v>
      </c>
      <c r="E293" s="95">
        <v>779.243</v>
      </c>
    </row>
    <row r="294" ht="16.5" spans="1:5">
      <c r="A294" s="8">
        <v>3045103.988</v>
      </c>
      <c r="B294" s="8">
        <v>35401268.816</v>
      </c>
      <c r="C294" s="8">
        <v>907.163</v>
      </c>
      <c r="D294" s="34">
        <v>44122</v>
      </c>
      <c r="E294" s="95">
        <v>779.243</v>
      </c>
    </row>
    <row r="295" ht="16.5" spans="1:5">
      <c r="A295" s="8">
        <v>3045103.988</v>
      </c>
      <c r="B295" s="8">
        <v>35401268.816</v>
      </c>
      <c r="C295" s="8">
        <v>907.163</v>
      </c>
      <c r="D295" s="34">
        <v>44123</v>
      </c>
      <c r="E295" s="95">
        <v>779.253</v>
      </c>
    </row>
    <row r="296" ht="16.5" spans="1:5">
      <c r="A296" s="8">
        <v>3045103.988</v>
      </c>
      <c r="B296" s="8">
        <v>35401268.816</v>
      </c>
      <c r="C296" s="8">
        <v>907.163</v>
      </c>
      <c r="D296" s="34">
        <v>44124</v>
      </c>
      <c r="E296" s="95">
        <v>779.243</v>
      </c>
    </row>
    <row r="297" ht="16.5" spans="1:5">
      <c r="A297" s="8">
        <v>3045103.988</v>
      </c>
      <c r="B297" s="8">
        <v>35401268.816</v>
      </c>
      <c r="C297" s="8">
        <v>907.163</v>
      </c>
      <c r="D297" s="34">
        <v>44125</v>
      </c>
      <c r="E297" s="95">
        <v>779.253</v>
      </c>
    </row>
    <row r="298" ht="16.5" spans="1:5">
      <c r="A298" s="8">
        <v>3045103.988</v>
      </c>
      <c r="B298" s="8">
        <v>35401268.816</v>
      </c>
      <c r="C298" s="8">
        <v>907.163</v>
      </c>
      <c r="D298" s="34">
        <v>44126</v>
      </c>
      <c r="E298" s="95">
        <v>779.233</v>
      </c>
    </row>
    <row r="299" ht="16.5" spans="1:5">
      <c r="A299" s="8">
        <v>3045103.988</v>
      </c>
      <c r="B299" s="8">
        <v>35401268.816</v>
      </c>
      <c r="C299" s="8">
        <v>907.163</v>
      </c>
      <c r="D299" s="34">
        <v>44127</v>
      </c>
      <c r="E299" s="95">
        <v>779.233</v>
      </c>
    </row>
    <row r="300" ht="16.5" spans="1:5">
      <c r="A300" s="8">
        <v>3045103.988</v>
      </c>
      <c r="B300" s="8">
        <v>35401268.816</v>
      </c>
      <c r="C300" s="8">
        <v>907.163</v>
      </c>
      <c r="D300" s="34">
        <v>44128</v>
      </c>
      <c r="E300" s="95">
        <v>779.243</v>
      </c>
    </row>
    <row r="301" ht="16.5" spans="1:5">
      <c r="A301" s="8">
        <v>3045103.988</v>
      </c>
      <c r="B301" s="8">
        <v>35401268.816</v>
      </c>
      <c r="C301" s="8">
        <v>907.163</v>
      </c>
      <c r="D301" s="34">
        <v>44129</v>
      </c>
      <c r="E301" s="95">
        <v>779.253</v>
      </c>
    </row>
    <row r="302" ht="16.5" spans="1:5">
      <c r="A302" s="8">
        <v>3045103.988</v>
      </c>
      <c r="B302" s="8">
        <v>35401268.816</v>
      </c>
      <c r="C302" s="8">
        <v>907.163</v>
      </c>
      <c r="D302" s="34">
        <v>44130</v>
      </c>
      <c r="E302" s="95">
        <v>779.243</v>
      </c>
    </row>
    <row r="303" ht="16.5" spans="1:5">
      <c r="A303" s="8">
        <v>3045103.988</v>
      </c>
      <c r="B303" s="8">
        <v>35401268.816</v>
      </c>
      <c r="C303" s="8">
        <v>907.163</v>
      </c>
      <c r="D303" s="34">
        <v>44131</v>
      </c>
      <c r="E303" s="95">
        <v>779.233</v>
      </c>
    </row>
    <row r="304" ht="16.5" spans="1:5">
      <c r="A304" s="8">
        <v>3045103.988</v>
      </c>
      <c r="B304" s="8">
        <v>35401268.816</v>
      </c>
      <c r="C304" s="8">
        <v>907.163</v>
      </c>
      <c r="D304" s="34">
        <v>44132</v>
      </c>
      <c r="E304" s="95">
        <v>779.213</v>
      </c>
    </row>
    <row r="305" ht="16.5" spans="1:5">
      <c r="A305" s="8">
        <v>3045103.988</v>
      </c>
      <c r="B305" s="8">
        <v>35401268.816</v>
      </c>
      <c r="C305" s="8">
        <v>907.163</v>
      </c>
      <c r="D305" s="34">
        <v>44133</v>
      </c>
      <c r="E305" s="95">
        <v>779.213</v>
      </c>
    </row>
    <row r="306" ht="16.5" spans="1:5">
      <c r="A306" s="8">
        <v>3045103.988</v>
      </c>
      <c r="B306" s="8">
        <v>35401268.816</v>
      </c>
      <c r="C306" s="8">
        <v>907.163</v>
      </c>
      <c r="D306" s="34">
        <v>44134</v>
      </c>
      <c r="E306" s="95">
        <v>779.183</v>
      </c>
    </row>
    <row r="307" ht="16.5" spans="1:5">
      <c r="A307" s="8">
        <v>3045103.988</v>
      </c>
      <c r="B307" s="8">
        <v>35401268.816</v>
      </c>
      <c r="C307" s="8">
        <v>907.163</v>
      </c>
      <c r="D307" s="34">
        <v>44135</v>
      </c>
      <c r="E307" s="95">
        <v>779.243</v>
      </c>
    </row>
    <row r="308" ht="16.5" spans="1:5">
      <c r="A308" s="8">
        <v>3045103.988</v>
      </c>
      <c r="B308" s="8">
        <v>35401268.816</v>
      </c>
      <c r="C308" s="8">
        <v>907.163</v>
      </c>
      <c r="D308" s="34">
        <v>44136</v>
      </c>
      <c r="E308" s="95">
        <v>779.273</v>
      </c>
    </row>
    <row r="309" ht="16.5" spans="1:5">
      <c r="A309" s="8">
        <v>3045103.988</v>
      </c>
      <c r="B309" s="8">
        <v>35401268.816</v>
      </c>
      <c r="C309" s="8">
        <v>907.163</v>
      </c>
      <c r="D309" s="34">
        <v>44137</v>
      </c>
      <c r="E309" s="95">
        <v>779.303</v>
      </c>
    </row>
    <row r="310" ht="16.5" spans="1:5">
      <c r="A310" s="8">
        <v>3045103.988</v>
      </c>
      <c r="B310" s="8">
        <v>35401268.816</v>
      </c>
      <c r="C310" s="8">
        <v>907.163</v>
      </c>
      <c r="D310" s="34">
        <v>44138</v>
      </c>
      <c r="E310" s="95">
        <v>779.313</v>
      </c>
    </row>
    <row r="311" ht="16.5" spans="1:5">
      <c r="A311" s="8">
        <v>3045103.988</v>
      </c>
      <c r="B311" s="8">
        <v>35401268.816</v>
      </c>
      <c r="C311" s="8">
        <v>907.163</v>
      </c>
      <c r="D311" s="34">
        <v>44139</v>
      </c>
      <c r="E311" s="95">
        <v>779.293</v>
      </c>
    </row>
    <row r="312" ht="16.5" spans="1:5">
      <c r="A312" s="8">
        <v>3045103.988</v>
      </c>
      <c r="B312" s="8">
        <v>35401268.816</v>
      </c>
      <c r="C312" s="8">
        <v>907.163</v>
      </c>
      <c r="D312" s="34">
        <v>44140</v>
      </c>
      <c r="E312" s="95">
        <v>779.323</v>
      </c>
    </row>
    <row r="313" ht="16.5" spans="1:5">
      <c r="A313" s="8">
        <v>3045103.988</v>
      </c>
      <c r="B313" s="8">
        <v>35401268.816</v>
      </c>
      <c r="C313" s="8">
        <v>907.163</v>
      </c>
      <c r="D313" s="34">
        <v>44141</v>
      </c>
      <c r="E313" s="95">
        <v>779.333</v>
      </c>
    </row>
    <row r="314" ht="16.5" spans="1:5">
      <c r="A314" s="8">
        <v>3045103.988</v>
      </c>
      <c r="B314" s="8">
        <v>35401268.816</v>
      </c>
      <c r="C314" s="8">
        <v>907.163</v>
      </c>
      <c r="D314" s="34">
        <v>44142</v>
      </c>
      <c r="E314" s="95">
        <v>779.313</v>
      </c>
    </row>
    <row r="315" ht="16.5" spans="1:5">
      <c r="A315" s="8">
        <v>3045103.988</v>
      </c>
      <c r="B315" s="8">
        <v>35401268.816</v>
      </c>
      <c r="C315" s="8">
        <v>907.163</v>
      </c>
      <c r="D315" s="34">
        <v>44143</v>
      </c>
      <c r="E315" s="95">
        <v>779.333</v>
      </c>
    </row>
    <row r="316" ht="16.5" spans="1:5">
      <c r="A316" s="8">
        <v>3045103.988</v>
      </c>
      <c r="B316" s="8">
        <v>35401268.816</v>
      </c>
      <c r="C316" s="8">
        <v>907.163</v>
      </c>
      <c r="D316" s="34">
        <v>44144</v>
      </c>
      <c r="E316" s="95">
        <v>779.343</v>
      </c>
    </row>
    <row r="317" ht="16.5" spans="1:5">
      <c r="A317" s="8">
        <v>3045103.988</v>
      </c>
      <c r="B317" s="8">
        <v>35401268.816</v>
      </c>
      <c r="C317" s="8">
        <v>907.163</v>
      </c>
      <c r="D317" s="34">
        <v>44145</v>
      </c>
      <c r="E317" s="95">
        <v>779.313</v>
      </c>
    </row>
    <row r="318" ht="16.5" spans="1:5">
      <c r="A318" s="8">
        <v>3045103.988</v>
      </c>
      <c r="B318" s="8">
        <v>35401268.816</v>
      </c>
      <c r="C318" s="8">
        <v>907.163</v>
      </c>
      <c r="D318" s="34">
        <v>44146</v>
      </c>
      <c r="E318" s="95">
        <v>779.323</v>
      </c>
    </row>
    <row r="319" ht="16.5" spans="1:5">
      <c r="A319" s="8">
        <v>3045103.988</v>
      </c>
      <c r="B319" s="8">
        <v>35401268.816</v>
      </c>
      <c r="C319" s="8">
        <v>907.163</v>
      </c>
      <c r="D319" s="34">
        <v>44147</v>
      </c>
      <c r="E319" s="95">
        <v>779.283</v>
      </c>
    </row>
    <row r="320" ht="16.5" spans="1:5">
      <c r="A320" s="8">
        <v>3045103.988</v>
      </c>
      <c r="B320" s="8">
        <v>35401268.816</v>
      </c>
      <c r="C320" s="8">
        <v>907.163</v>
      </c>
      <c r="D320" s="34">
        <v>44148</v>
      </c>
      <c r="E320" s="95">
        <v>779.243</v>
      </c>
    </row>
    <row r="321" ht="16.5" spans="1:5">
      <c r="A321" s="8">
        <v>3045103.988</v>
      </c>
      <c r="B321" s="8">
        <v>35401268.816</v>
      </c>
      <c r="C321" s="8">
        <v>907.163</v>
      </c>
      <c r="D321" s="34">
        <v>44149</v>
      </c>
      <c r="E321" s="95">
        <v>779.213</v>
      </c>
    </row>
    <row r="322" ht="16.5" spans="1:5">
      <c r="A322" s="8">
        <v>3045103.988</v>
      </c>
      <c r="B322" s="8">
        <v>35401268.816</v>
      </c>
      <c r="C322" s="8">
        <v>907.163</v>
      </c>
      <c r="D322" s="34">
        <v>44150</v>
      </c>
      <c r="E322" s="95">
        <v>779.253</v>
      </c>
    </row>
    <row r="323" ht="16.5" spans="1:5">
      <c r="A323" s="8">
        <v>3045103.988</v>
      </c>
      <c r="B323" s="8">
        <v>35401268.816</v>
      </c>
      <c r="C323" s="8">
        <v>907.163</v>
      </c>
      <c r="D323" s="34">
        <v>44151</v>
      </c>
      <c r="E323" s="95">
        <v>779.243</v>
      </c>
    </row>
    <row r="324" ht="16.5" spans="1:5">
      <c r="A324" s="8">
        <v>3045103.988</v>
      </c>
      <c r="B324" s="8">
        <v>35401268.816</v>
      </c>
      <c r="C324" s="8">
        <v>907.163</v>
      </c>
      <c r="D324" s="34">
        <v>44152</v>
      </c>
      <c r="E324" s="95">
        <v>779.223</v>
      </c>
    </row>
    <row r="325" ht="16.5" spans="1:5">
      <c r="A325" s="8">
        <v>3045103.988</v>
      </c>
      <c r="B325" s="8">
        <v>35401268.816</v>
      </c>
      <c r="C325" s="8">
        <v>907.163</v>
      </c>
      <c r="D325" s="34">
        <v>44153</v>
      </c>
      <c r="E325" s="95">
        <v>779.203</v>
      </c>
    </row>
    <row r="326" ht="16.5" spans="1:5">
      <c r="A326" s="8">
        <v>3045103.988</v>
      </c>
      <c r="B326" s="8">
        <v>35401268.816</v>
      </c>
      <c r="C326" s="8">
        <v>907.163</v>
      </c>
      <c r="D326" s="34">
        <v>44154</v>
      </c>
      <c r="E326" s="95">
        <v>779.173</v>
      </c>
    </row>
    <row r="327" ht="16.5" spans="1:5">
      <c r="A327" s="8">
        <v>3045103.988</v>
      </c>
      <c r="B327" s="8">
        <v>35401268.816</v>
      </c>
      <c r="C327" s="8">
        <v>907.163</v>
      </c>
      <c r="D327" s="34">
        <v>44155</v>
      </c>
      <c r="E327" s="95">
        <v>779.153</v>
      </c>
    </row>
    <row r="328" ht="16.5" spans="1:5">
      <c r="A328" s="8">
        <v>3045103.988</v>
      </c>
      <c r="B328" s="8">
        <v>35401268.816</v>
      </c>
      <c r="C328" s="8">
        <v>907.163</v>
      </c>
      <c r="D328" s="34">
        <v>44156</v>
      </c>
      <c r="E328" s="95">
        <v>779.143</v>
      </c>
    </row>
    <row r="329" ht="16.5" spans="1:5">
      <c r="A329" s="8">
        <v>3045103.988</v>
      </c>
      <c r="B329" s="8">
        <v>35401268.816</v>
      </c>
      <c r="C329" s="8">
        <v>907.163</v>
      </c>
      <c r="D329" s="34">
        <v>44157</v>
      </c>
      <c r="E329" s="95">
        <v>779.113</v>
      </c>
    </row>
    <row r="330" ht="16.5" spans="1:5">
      <c r="A330" s="8">
        <v>3045103.988</v>
      </c>
      <c r="B330" s="8">
        <v>35401268.816</v>
      </c>
      <c r="C330" s="8">
        <v>907.163</v>
      </c>
      <c r="D330" s="34">
        <v>44158</v>
      </c>
      <c r="E330" s="95">
        <v>779.103</v>
      </c>
    </row>
    <row r="331" ht="16.5" spans="1:5">
      <c r="A331" s="8">
        <v>3045103.988</v>
      </c>
      <c r="B331" s="8">
        <v>35401268.816</v>
      </c>
      <c r="C331" s="8">
        <v>907.163</v>
      </c>
      <c r="D331" s="34">
        <v>44159</v>
      </c>
      <c r="E331" s="95">
        <v>779.053</v>
      </c>
    </row>
    <row r="332" ht="16.5" spans="1:5">
      <c r="A332" s="8">
        <v>3045103.988</v>
      </c>
      <c r="B332" s="8">
        <v>35401268.816</v>
      </c>
      <c r="C332" s="8">
        <v>907.163</v>
      </c>
      <c r="D332" s="34">
        <v>44160</v>
      </c>
      <c r="E332" s="95">
        <v>779.043</v>
      </c>
    </row>
    <row r="333" ht="16.5" spans="1:5">
      <c r="A333" s="8">
        <v>3045103.988</v>
      </c>
      <c r="B333" s="8">
        <v>35401268.816</v>
      </c>
      <c r="C333" s="8">
        <v>907.163</v>
      </c>
      <c r="D333" s="34">
        <v>44161</v>
      </c>
      <c r="E333" s="95">
        <v>779.013</v>
      </c>
    </row>
    <row r="334" ht="16.5" spans="1:5">
      <c r="A334" s="8">
        <v>3045103.988</v>
      </c>
      <c r="B334" s="8">
        <v>35401268.816</v>
      </c>
      <c r="C334" s="8">
        <v>907.163</v>
      </c>
      <c r="D334" s="34">
        <v>44162</v>
      </c>
      <c r="E334" s="95">
        <v>778.983</v>
      </c>
    </row>
    <row r="335" ht="16.5" spans="1:5">
      <c r="A335" s="8">
        <v>3045103.988</v>
      </c>
      <c r="B335" s="8">
        <v>35401268.816</v>
      </c>
      <c r="C335" s="8">
        <v>907.163</v>
      </c>
      <c r="D335" s="34">
        <v>44163</v>
      </c>
      <c r="E335" s="95">
        <v>778.943</v>
      </c>
    </row>
    <row r="336" ht="16.5" spans="1:5">
      <c r="A336" s="8">
        <v>3045103.988</v>
      </c>
      <c r="B336" s="8">
        <v>35401268.816</v>
      </c>
      <c r="C336" s="8">
        <v>907.163</v>
      </c>
      <c r="D336" s="34">
        <v>44164</v>
      </c>
      <c r="E336" s="95">
        <v>778.883</v>
      </c>
    </row>
    <row r="337" ht="16.5" spans="1:5">
      <c r="A337" s="8">
        <v>3045103.988</v>
      </c>
      <c r="B337" s="8">
        <v>35401268.816</v>
      </c>
      <c r="C337" s="8">
        <v>907.163</v>
      </c>
      <c r="D337" s="34">
        <v>44165</v>
      </c>
      <c r="E337" s="95">
        <v>778.843</v>
      </c>
    </row>
    <row r="338" ht="16.5" spans="1:5">
      <c r="A338" s="8">
        <v>3045103.988</v>
      </c>
      <c r="B338" s="8">
        <v>35401268.816</v>
      </c>
      <c r="C338" s="8">
        <v>907.163</v>
      </c>
      <c r="D338" s="34">
        <v>44166</v>
      </c>
      <c r="E338" s="95">
        <v>778.833</v>
      </c>
    </row>
    <row r="339" ht="16.5" spans="1:5">
      <c r="A339" s="8">
        <v>3045103.988</v>
      </c>
      <c r="B339" s="8">
        <v>35401268.816</v>
      </c>
      <c r="C339" s="8">
        <v>907.163</v>
      </c>
      <c r="D339" s="34">
        <v>44167</v>
      </c>
      <c r="E339" s="95">
        <v>778.803</v>
      </c>
    </row>
    <row r="340" ht="16.5" spans="1:5">
      <c r="A340" s="8">
        <v>3045103.988</v>
      </c>
      <c r="B340" s="8">
        <v>35401268.816</v>
      </c>
      <c r="C340" s="8">
        <v>907.163</v>
      </c>
      <c r="D340" s="34">
        <v>44168</v>
      </c>
      <c r="E340" s="95">
        <v>778.753</v>
      </c>
    </row>
    <row r="341" ht="16.5" spans="1:5">
      <c r="A341" s="8">
        <v>3045103.988</v>
      </c>
      <c r="B341" s="8">
        <v>35401268.816</v>
      </c>
      <c r="C341" s="8">
        <v>907.163</v>
      </c>
      <c r="D341" s="34">
        <v>44169</v>
      </c>
      <c r="E341" s="95">
        <v>778.733</v>
      </c>
    </row>
    <row r="342" ht="16.5" spans="1:5">
      <c r="A342" s="8">
        <v>3045103.988</v>
      </c>
      <c r="B342" s="8">
        <v>35401268.816</v>
      </c>
      <c r="C342" s="8">
        <v>907.163</v>
      </c>
      <c r="D342" s="34">
        <v>44170</v>
      </c>
      <c r="E342" s="95">
        <v>778.673</v>
      </c>
    </row>
    <row r="343" ht="16.5" spans="1:5">
      <c r="A343" s="8">
        <v>3045103.988</v>
      </c>
      <c r="B343" s="8">
        <v>35401268.816</v>
      </c>
      <c r="C343" s="8">
        <v>907.163</v>
      </c>
      <c r="D343" s="34">
        <v>44171</v>
      </c>
      <c r="E343" s="95">
        <v>778.643</v>
      </c>
    </row>
    <row r="344" ht="16.5" spans="1:5">
      <c r="A344" s="8">
        <v>3045103.988</v>
      </c>
      <c r="B344" s="8">
        <v>35401268.816</v>
      </c>
      <c r="C344" s="8">
        <v>907.163</v>
      </c>
      <c r="D344" s="34">
        <v>44172</v>
      </c>
      <c r="E344" s="95">
        <v>778.583</v>
      </c>
    </row>
    <row r="345" ht="16.5" spans="1:5">
      <c r="A345" s="8">
        <v>3045103.988</v>
      </c>
      <c r="B345" s="8">
        <v>35401268.816</v>
      </c>
      <c r="C345" s="8">
        <v>907.163</v>
      </c>
      <c r="D345" s="34">
        <v>44173</v>
      </c>
      <c r="E345" s="95">
        <v>778.523</v>
      </c>
    </row>
    <row r="346" ht="16.5" spans="1:5">
      <c r="A346" s="8">
        <v>3045103.988</v>
      </c>
      <c r="B346" s="8">
        <v>35401268.816</v>
      </c>
      <c r="C346" s="8">
        <v>907.163</v>
      </c>
      <c r="D346" s="34">
        <v>44174</v>
      </c>
      <c r="E346" s="95">
        <v>778.56</v>
      </c>
    </row>
    <row r="347" ht="16.5" spans="1:5">
      <c r="A347" s="8">
        <v>3045103.988</v>
      </c>
      <c r="B347" s="8">
        <v>35401268.816</v>
      </c>
      <c r="C347" s="8">
        <v>907.163</v>
      </c>
      <c r="D347" s="34">
        <v>44175</v>
      </c>
      <c r="E347" s="95">
        <v>778.52</v>
      </c>
    </row>
    <row r="348" ht="16.5" spans="1:5">
      <c r="A348" s="8">
        <v>3045103.988</v>
      </c>
      <c r="B348" s="8">
        <v>35401268.816</v>
      </c>
      <c r="C348" s="8">
        <v>907.163</v>
      </c>
      <c r="D348" s="34">
        <v>44176</v>
      </c>
      <c r="E348" s="95">
        <v>778.5</v>
      </c>
    </row>
    <row r="349" ht="16.5" spans="1:5">
      <c r="A349" s="8">
        <v>3045103.988</v>
      </c>
      <c r="B349" s="8">
        <v>35401268.816</v>
      </c>
      <c r="C349" s="8">
        <v>907.163</v>
      </c>
      <c r="D349" s="34">
        <v>44177</v>
      </c>
      <c r="E349" s="95">
        <v>778.45</v>
      </c>
    </row>
    <row r="350" ht="16.5" spans="1:5">
      <c r="A350" s="8">
        <v>3045103.988</v>
      </c>
      <c r="B350" s="8">
        <v>35401268.816</v>
      </c>
      <c r="C350" s="8">
        <v>907.163</v>
      </c>
      <c r="D350" s="34">
        <v>44178</v>
      </c>
      <c r="E350" s="95">
        <v>778.43</v>
      </c>
    </row>
    <row r="351" ht="16.5" spans="1:5">
      <c r="A351" s="8">
        <v>3045103.988</v>
      </c>
      <c r="B351" s="8">
        <v>35401268.816</v>
      </c>
      <c r="C351" s="8">
        <v>907.163</v>
      </c>
      <c r="D351" s="34">
        <v>44179</v>
      </c>
      <c r="E351" s="95">
        <v>778.38</v>
      </c>
    </row>
    <row r="352" ht="16.5" spans="1:5">
      <c r="A352" s="8">
        <v>3045103.988</v>
      </c>
      <c r="B352" s="8">
        <v>35401268.816</v>
      </c>
      <c r="C352" s="8">
        <v>907.163</v>
      </c>
      <c r="D352" s="34">
        <v>44180</v>
      </c>
      <c r="E352" s="95">
        <v>778.35</v>
      </c>
    </row>
    <row r="353" ht="16.5" spans="1:5">
      <c r="A353" s="8">
        <v>3045103.988</v>
      </c>
      <c r="B353" s="8">
        <v>35401268.816</v>
      </c>
      <c r="C353" s="8">
        <v>907.163</v>
      </c>
      <c r="D353" s="34">
        <v>44181</v>
      </c>
      <c r="E353" s="95">
        <v>778.33</v>
      </c>
    </row>
    <row r="354" ht="16.5" spans="1:5">
      <c r="A354" s="8">
        <v>3045103.988</v>
      </c>
      <c r="B354" s="8">
        <v>35401268.816</v>
      </c>
      <c r="C354" s="8">
        <v>907.163</v>
      </c>
      <c r="D354" s="34">
        <v>44182</v>
      </c>
      <c r="E354" s="95">
        <v>778.31</v>
      </c>
    </row>
    <row r="355" ht="16.5" spans="1:5">
      <c r="A355" s="8">
        <v>3045103.988</v>
      </c>
      <c r="B355" s="8">
        <v>35401268.816</v>
      </c>
      <c r="C355" s="8">
        <v>907.163</v>
      </c>
      <c r="D355" s="34">
        <v>44183</v>
      </c>
      <c r="E355" s="95">
        <v>778.3</v>
      </c>
    </row>
    <row r="356" ht="16.5" spans="1:5">
      <c r="A356" s="8">
        <v>3045103.988</v>
      </c>
      <c r="B356" s="8">
        <v>35401268.816</v>
      </c>
      <c r="C356" s="8">
        <v>907.163</v>
      </c>
      <c r="D356" s="34">
        <v>44184</v>
      </c>
      <c r="E356" s="95">
        <v>778.28</v>
      </c>
    </row>
    <row r="357" ht="16.5" spans="1:5">
      <c r="A357" s="8">
        <v>3045103.988</v>
      </c>
      <c r="B357" s="8">
        <v>35401268.816</v>
      </c>
      <c r="C357" s="8">
        <v>907.163</v>
      </c>
      <c r="D357" s="34">
        <v>44185</v>
      </c>
      <c r="E357" s="95">
        <v>778.26</v>
      </c>
    </row>
    <row r="358" ht="16.5" spans="1:5">
      <c r="A358" s="8">
        <v>3045103.988</v>
      </c>
      <c r="B358" s="8">
        <v>35401268.816</v>
      </c>
      <c r="C358" s="8">
        <v>907.163</v>
      </c>
      <c r="D358" s="34">
        <v>44186</v>
      </c>
      <c r="E358" s="95">
        <v>778.27</v>
      </c>
    </row>
    <row r="359" ht="16.5" spans="1:5">
      <c r="A359" s="8">
        <v>3045103.988</v>
      </c>
      <c r="B359" s="8">
        <v>35401268.816</v>
      </c>
      <c r="C359" s="8">
        <v>907.163</v>
      </c>
      <c r="D359" s="34">
        <v>44187</v>
      </c>
      <c r="E359" s="95">
        <v>778.26</v>
      </c>
    </row>
    <row r="360" ht="16.5" spans="1:5">
      <c r="A360" s="8">
        <v>3045103.988</v>
      </c>
      <c r="B360" s="8">
        <v>35401268.816</v>
      </c>
      <c r="C360" s="8">
        <v>907.163</v>
      </c>
      <c r="D360" s="34">
        <v>44188</v>
      </c>
      <c r="E360" s="95">
        <v>778.31</v>
      </c>
    </row>
    <row r="361" ht="16.5" spans="1:5">
      <c r="A361" s="8">
        <v>3045103.988</v>
      </c>
      <c r="B361" s="8">
        <v>35401268.816</v>
      </c>
      <c r="C361" s="8">
        <v>907.163</v>
      </c>
      <c r="D361" s="34">
        <v>44189</v>
      </c>
      <c r="E361" s="95">
        <v>778.29</v>
      </c>
    </row>
    <row r="362" ht="16.5" spans="1:5">
      <c r="A362" s="8">
        <v>3045103.988</v>
      </c>
      <c r="B362" s="8">
        <v>35401268.816</v>
      </c>
      <c r="C362" s="8">
        <v>907.163</v>
      </c>
      <c r="D362" s="34">
        <v>44190</v>
      </c>
      <c r="E362" s="95">
        <v>778.25</v>
      </c>
    </row>
    <row r="363" ht="16.5" spans="1:5">
      <c r="A363" s="8">
        <v>3045103.988</v>
      </c>
      <c r="B363" s="8">
        <v>35401268.816</v>
      </c>
      <c r="C363" s="8">
        <v>907.163</v>
      </c>
      <c r="D363" s="34">
        <v>44191</v>
      </c>
      <c r="E363" s="95">
        <v>778.22</v>
      </c>
    </row>
    <row r="364" ht="16.5" spans="1:5">
      <c r="A364" s="8">
        <v>3045103.988</v>
      </c>
      <c r="B364" s="8">
        <v>35401268.816</v>
      </c>
      <c r="C364" s="8">
        <v>907.163</v>
      </c>
      <c r="D364" s="34">
        <v>44192</v>
      </c>
      <c r="E364" s="95">
        <v>778.2</v>
      </c>
    </row>
    <row r="365" ht="16.5" spans="1:5">
      <c r="A365" s="8">
        <v>3045103.988</v>
      </c>
      <c r="B365" s="8">
        <v>35401268.816</v>
      </c>
      <c r="C365" s="8">
        <v>907.163</v>
      </c>
      <c r="D365" s="34">
        <v>44193</v>
      </c>
      <c r="E365" s="95">
        <v>778.17</v>
      </c>
    </row>
    <row r="366" ht="16.5" spans="1:5">
      <c r="A366" s="8">
        <v>3045103.988</v>
      </c>
      <c r="B366" s="8">
        <v>35401268.816</v>
      </c>
      <c r="C366" s="8">
        <v>907.163</v>
      </c>
      <c r="D366" s="34">
        <v>44194</v>
      </c>
      <c r="E366" s="95">
        <v>778.14</v>
      </c>
    </row>
    <row r="367" ht="16.5" spans="1:5">
      <c r="A367" s="8">
        <v>3045103.988</v>
      </c>
      <c r="B367" s="8">
        <v>35401268.816</v>
      </c>
      <c r="C367" s="8">
        <v>907.163</v>
      </c>
      <c r="D367" s="34">
        <v>44195</v>
      </c>
      <c r="E367" s="95">
        <v>778.12</v>
      </c>
    </row>
    <row r="368" ht="16.5" spans="1:5">
      <c r="A368" s="8">
        <v>3045103.988</v>
      </c>
      <c r="B368" s="8">
        <v>35401268.816</v>
      </c>
      <c r="C368" s="8">
        <v>907.163</v>
      </c>
      <c r="D368" s="34">
        <v>44196</v>
      </c>
      <c r="E368" s="95">
        <v>778.1</v>
      </c>
    </row>
    <row r="369" ht="16.5" spans="1:6">
      <c r="A369" s="8">
        <v>3045103.988</v>
      </c>
      <c r="B369" s="8">
        <v>35401268.816</v>
      </c>
      <c r="C369" s="8">
        <v>907.163</v>
      </c>
      <c r="D369" s="9" t="s">
        <v>7</v>
      </c>
      <c r="E369" s="10"/>
      <c r="F369" t="s">
        <v>495</v>
      </c>
    </row>
    <row r="370" ht="16.5" spans="1:5">
      <c r="A370" s="8">
        <v>3045103.988</v>
      </c>
      <c r="B370" s="8">
        <v>35401268.816</v>
      </c>
      <c r="C370" s="8">
        <v>907.163</v>
      </c>
      <c r="D370" s="9" t="s">
        <v>8</v>
      </c>
      <c r="E370" s="10"/>
    </row>
    <row r="371" ht="16.5" spans="1:5">
      <c r="A371" s="8">
        <v>3045103.988</v>
      </c>
      <c r="B371" s="8">
        <v>35401268.816</v>
      </c>
      <c r="C371" s="8">
        <v>907.163</v>
      </c>
      <c r="D371" s="9" t="s">
        <v>9</v>
      </c>
      <c r="E371" s="10"/>
    </row>
    <row r="372" ht="16.5" spans="1:5">
      <c r="A372" s="8">
        <v>3045103.988</v>
      </c>
      <c r="B372" s="8">
        <v>35401268.816</v>
      </c>
      <c r="C372" s="8">
        <v>907.163</v>
      </c>
      <c r="D372" s="9" t="s">
        <v>10</v>
      </c>
      <c r="E372" s="10"/>
    </row>
    <row r="373" ht="16.5" spans="1:5">
      <c r="A373" s="8">
        <v>3045103.988</v>
      </c>
      <c r="B373" s="8">
        <v>35401268.816</v>
      </c>
      <c r="C373" s="8">
        <v>907.163</v>
      </c>
      <c r="D373" s="9" t="s">
        <v>11</v>
      </c>
      <c r="E373" s="10"/>
    </row>
    <row r="374" ht="16.5" spans="1:5">
      <c r="A374" s="8">
        <v>3045103.988</v>
      </c>
      <c r="B374" s="8">
        <v>35401268.816</v>
      </c>
      <c r="C374" s="8">
        <v>907.163</v>
      </c>
      <c r="D374" s="9" t="s">
        <v>12</v>
      </c>
      <c r="E374" s="10"/>
    </row>
    <row r="375" ht="16.5" spans="1:5">
      <c r="A375" s="8">
        <v>3045103.988</v>
      </c>
      <c r="B375" s="8">
        <v>35401268.816</v>
      </c>
      <c r="C375" s="8">
        <v>907.163</v>
      </c>
      <c r="D375" s="9" t="s">
        <v>13</v>
      </c>
      <c r="E375" s="10"/>
    </row>
    <row r="376" ht="16.5" spans="1:5">
      <c r="A376" s="8">
        <v>3045103.988</v>
      </c>
      <c r="B376" s="8">
        <v>35401268.816</v>
      </c>
      <c r="C376" s="8">
        <v>907.163</v>
      </c>
      <c r="D376" s="9" t="s">
        <v>14</v>
      </c>
      <c r="E376" s="10"/>
    </row>
    <row r="377" ht="16.5" spans="1:5">
      <c r="A377" s="8">
        <v>3045103.988</v>
      </c>
      <c r="B377" s="8">
        <v>35401268.816</v>
      </c>
      <c r="C377" s="8">
        <v>907.163</v>
      </c>
      <c r="D377" s="9" t="s">
        <v>15</v>
      </c>
      <c r="E377" s="10"/>
    </row>
    <row r="378" ht="16.5" spans="1:5">
      <c r="A378" s="8">
        <v>3045103.988</v>
      </c>
      <c r="B378" s="8">
        <v>35401268.816</v>
      </c>
      <c r="C378" s="8">
        <v>907.163</v>
      </c>
      <c r="D378" s="9" t="s">
        <v>16</v>
      </c>
      <c r="E378" s="10"/>
    </row>
    <row r="379" ht="16.5" spans="1:5">
      <c r="A379" s="8">
        <v>3045103.988</v>
      </c>
      <c r="B379" s="8">
        <v>35401268.816</v>
      </c>
      <c r="C379" s="8">
        <v>907.163</v>
      </c>
      <c r="D379" s="9" t="s">
        <v>17</v>
      </c>
      <c r="E379" s="10"/>
    </row>
    <row r="380" ht="16.5" spans="1:5">
      <c r="A380" s="8">
        <v>3045103.988</v>
      </c>
      <c r="B380" s="8">
        <v>35401268.816</v>
      </c>
      <c r="C380" s="8">
        <v>907.163</v>
      </c>
      <c r="D380" s="9" t="s">
        <v>18</v>
      </c>
      <c r="E380" s="10"/>
    </row>
    <row r="381" ht="16.5" spans="1:5">
      <c r="A381" s="8">
        <v>3045103.988</v>
      </c>
      <c r="B381" s="8">
        <v>35401268.816</v>
      </c>
      <c r="C381" s="8">
        <v>907.163</v>
      </c>
      <c r="D381" s="9" t="s">
        <v>19</v>
      </c>
      <c r="E381" s="10"/>
    </row>
    <row r="382" ht="16.5" spans="1:5">
      <c r="A382" s="8">
        <v>3045103.988</v>
      </c>
      <c r="B382" s="8">
        <v>35401268.816</v>
      </c>
      <c r="C382" s="8">
        <v>907.163</v>
      </c>
      <c r="D382" s="9" t="s">
        <v>20</v>
      </c>
      <c r="E382" s="10"/>
    </row>
    <row r="383" ht="16.5" spans="1:5">
      <c r="A383" s="8">
        <v>3045103.988</v>
      </c>
      <c r="B383" s="8">
        <v>35401268.816</v>
      </c>
      <c r="C383" s="8">
        <v>907.163</v>
      </c>
      <c r="D383" s="9" t="s">
        <v>21</v>
      </c>
      <c r="E383" s="10"/>
    </row>
    <row r="384" ht="16.5" spans="1:5">
      <c r="A384" s="8">
        <v>3045103.988</v>
      </c>
      <c r="B384" s="8">
        <v>35401268.816</v>
      </c>
      <c r="C384" s="8">
        <v>907.163</v>
      </c>
      <c r="D384" s="9" t="s">
        <v>22</v>
      </c>
      <c r="E384" s="10"/>
    </row>
    <row r="385" ht="16.5" spans="1:5">
      <c r="A385" s="8">
        <v>3045103.988</v>
      </c>
      <c r="B385" s="8">
        <v>35401268.816</v>
      </c>
      <c r="C385" s="8">
        <v>907.163</v>
      </c>
      <c r="D385" s="9" t="s">
        <v>23</v>
      </c>
      <c r="E385" s="10"/>
    </row>
    <row r="386" ht="16.5" spans="1:5">
      <c r="A386" s="8">
        <v>3045103.988</v>
      </c>
      <c r="B386" s="8">
        <v>35401268.816</v>
      </c>
      <c r="C386" s="8">
        <v>907.163</v>
      </c>
      <c r="D386" s="9" t="s">
        <v>24</v>
      </c>
      <c r="E386" s="10"/>
    </row>
    <row r="387" ht="16.5" spans="1:5">
      <c r="A387" s="8">
        <v>3045103.988</v>
      </c>
      <c r="B387" s="8">
        <v>35401268.816</v>
      </c>
      <c r="C387" s="8">
        <v>907.163</v>
      </c>
      <c r="D387" s="9" t="s">
        <v>25</v>
      </c>
      <c r="E387" s="10"/>
    </row>
    <row r="388" ht="16.5" spans="1:5">
      <c r="A388" s="8">
        <v>3045103.988</v>
      </c>
      <c r="B388" s="8">
        <v>35401268.816</v>
      </c>
      <c r="C388" s="8">
        <v>907.163</v>
      </c>
      <c r="D388" s="9" t="s">
        <v>26</v>
      </c>
      <c r="E388" s="10"/>
    </row>
    <row r="389" ht="16.5" spans="1:5">
      <c r="A389" s="8">
        <v>3045103.988</v>
      </c>
      <c r="B389" s="8">
        <v>35401268.816</v>
      </c>
      <c r="C389" s="8">
        <v>907.163</v>
      </c>
      <c r="D389" s="9" t="s">
        <v>27</v>
      </c>
      <c r="E389" s="10"/>
    </row>
    <row r="390" ht="16.5" spans="1:5">
      <c r="A390" s="8">
        <v>3045103.988</v>
      </c>
      <c r="B390" s="8">
        <v>35401268.816</v>
      </c>
      <c r="C390" s="8">
        <v>907.163</v>
      </c>
      <c r="D390" s="9" t="s">
        <v>28</v>
      </c>
      <c r="E390" s="10"/>
    </row>
    <row r="391" ht="16.5" spans="1:5">
      <c r="A391" s="8">
        <v>3045103.988</v>
      </c>
      <c r="B391" s="8">
        <v>35401268.816</v>
      </c>
      <c r="C391" s="8">
        <v>907.163</v>
      </c>
      <c r="D391" s="9" t="s">
        <v>29</v>
      </c>
      <c r="E391" s="10"/>
    </row>
    <row r="392" ht="16.5" spans="1:5">
      <c r="A392" s="8">
        <v>3045103.988</v>
      </c>
      <c r="B392" s="8">
        <v>35401268.816</v>
      </c>
      <c r="C392" s="8">
        <v>907.163</v>
      </c>
      <c r="D392" s="9" t="s">
        <v>30</v>
      </c>
      <c r="E392" s="10"/>
    </row>
    <row r="393" ht="16.5" spans="1:5">
      <c r="A393" s="8">
        <v>3045103.988</v>
      </c>
      <c r="B393" s="8">
        <v>35401268.816</v>
      </c>
      <c r="C393" s="8">
        <v>907.163</v>
      </c>
      <c r="D393" s="9" t="s">
        <v>31</v>
      </c>
      <c r="E393" s="10"/>
    </row>
    <row r="394" ht="16.5" spans="1:5">
      <c r="A394" s="8">
        <v>3045103.988</v>
      </c>
      <c r="B394" s="8">
        <v>35401268.816</v>
      </c>
      <c r="C394" s="8">
        <v>907.163</v>
      </c>
      <c r="D394" s="9" t="s">
        <v>32</v>
      </c>
      <c r="E394" s="10"/>
    </row>
    <row r="395" ht="16.5" spans="1:5">
      <c r="A395" s="8">
        <v>3045103.988</v>
      </c>
      <c r="B395" s="8">
        <v>35401268.816</v>
      </c>
      <c r="C395" s="8">
        <v>907.163</v>
      </c>
      <c r="D395" s="9" t="s">
        <v>33</v>
      </c>
      <c r="E395" s="10"/>
    </row>
    <row r="396" ht="16.5" spans="1:5">
      <c r="A396" s="8">
        <v>3045103.988</v>
      </c>
      <c r="B396" s="8">
        <v>35401268.816</v>
      </c>
      <c r="C396" s="8">
        <v>907.163</v>
      </c>
      <c r="D396" s="9" t="s">
        <v>34</v>
      </c>
      <c r="E396" s="10"/>
    </row>
    <row r="397" ht="16.5" spans="1:5">
      <c r="A397" s="8">
        <v>3045103.988</v>
      </c>
      <c r="B397" s="8">
        <v>35401268.816</v>
      </c>
      <c r="C397" s="8">
        <v>907.163</v>
      </c>
      <c r="D397" s="9" t="s">
        <v>35</v>
      </c>
      <c r="E397" s="10"/>
    </row>
    <row r="398" ht="16.5" spans="1:5">
      <c r="A398" s="8">
        <v>3045103.988</v>
      </c>
      <c r="B398" s="8">
        <v>35401268.816</v>
      </c>
      <c r="C398" s="8">
        <v>907.163</v>
      </c>
      <c r="D398" s="9" t="s">
        <v>36</v>
      </c>
      <c r="E398" s="10"/>
    </row>
    <row r="399" ht="16.5" spans="1:5">
      <c r="A399" s="8">
        <v>3045103.988</v>
      </c>
      <c r="B399" s="8">
        <v>35401268.816</v>
      </c>
      <c r="C399" s="8">
        <v>907.163</v>
      </c>
      <c r="D399" s="9" t="s">
        <v>37</v>
      </c>
      <c r="E399" s="10"/>
    </row>
    <row r="400" ht="16.5" spans="1:5">
      <c r="A400" s="8">
        <v>3045103.988</v>
      </c>
      <c r="B400" s="8">
        <v>35401268.816</v>
      </c>
      <c r="C400" s="8">
        <v>907.163</v>
      </c>
      <c r="D400" s="9" t="s">
        <v>38</v>
      </c>
      <c r="E400" s="10"/>
    </row>
    <row r="401" ht="16.5" spans="1:5">
      <c r="A401" s="8">
        <v>3045103.988</v>
      </c>
      <c r="B401" s="8">
        <v>35401268.816</v>
      </c>
      <c r="C401" s="8">
        <v>907.163</v>
      </c>
      <c r="D401" s="9" t="s">
        <v>39</v>
      </c>
      <c r="E401" s="10"/>
    </row>
    <row r="402" ht="16.5" spans="1:5">
      <c r="A402" s="8">
        <v>3045103.988</v>
      </c>
      <c r="B402" s="8">
        <v>35401268.816</v>
      </c>
      <c r="C402" s="8">
        <v>907.163</v>
      </c>
      <c r="D402" s="9" t="s">
        <v>40</v>
      </c>
      <c r="E402" s="10"/>
    </row>
    <row r="403" ht="16.5" spans="1:5">
      <c r="A403" s="8">
        <v>3045103.988</v>
      </c>
      <c r="B403" s="8">
        <v>35401268.816</v>
      </c>
      <c r="C403" s="8">
        <v>907.163</v>
      </c>
      <c r="D403" s="9" t="s">
        <v>41</v>
      </c>
      <c r="E403" s="10"/>
    </row>
    <row r="404" ht="16.5" spans="1:5">
      <c r="A404" s="8">
        <v>3045103.988</v>
      </c>
      <c r="B404" s="8">
        <v>35401268.816</v>
      </c>
      <c r="C404" s="8">
        <v>907.163</v>
      </c>
      <c r="D404" s="9" t="s">
        <v>42</v>
      </c>
      <c r="E404" s="10"/>
    </row>
    <row r="405" ht="16.5" spans="1:5">
      <c r="A405" s="8">
        <v>3045103.988</v>
      </c>
      <c r="B405" s="8">
        <v>35401268.816</v>
      </c>
      <c r="C405" s="8">
        <v>907.163</v>
      </c>
      <c r="D405" s="9" t="s">
        <v>43</v>
      </c>
      <c r="E405" s="10"/>
    </row>
    <row r="406" ht="16.5" spans="1:5">
      <c r="A406" s="8">
        <v>3045103.988</v>
      </c>
      <c r="B406" s="8">
        <v>35401268.816</v>
      </c>
      <c r="C406" s="8">
        <v>907.163</v>
      </c>
      <c r="D406" s="9" t="s">
        <v>44</v>
      </c>
      <c r="E406" s="10"/>
    </row>
    <row r="407" ht="16.5" spans="1:5">
      <c r="A407" s="8">
        <v>3045103.988</v>
      </c>
      <c r="B407" s="8">
        <v>35401268.816</v>
      </c>
      <c r="C407" s="8">
        <v>907.163</v>
      </c>
      <c r="D407" s="9" t="s">
        <v>45</v>
      </c>
      <c r="E407" s="10"/>
    </row>
    <row r="408" ht="16.5" spans="1:5">
      <c r="A408" s="8">
        <v>3045103.988</v>
      </c>
      <c r="B408" s="8">
        <v>35401268.816</v>
      </c>
      <c r="C408" s="8">
        <v>907.163</v>
      </c>
      <c r="D408" s="9" t="s">
        <v>46</v>
      </c>
      <c r="E408" s="10"/>
    </row>
    <row r="409" ht="16.5" spans="1:5">
      <c r="A409" s="8">
        <v>3045103.988</v>
      </c>
      <c r="B409" s="8">
        <v>35401268.816</v>
      </c>
      <c r="C409" s="8">
        <v>907.163</v>
      </c>
      <c r="D409" s="9" t="s">
        <v>47</v>
      </c>
      <c r="E409" s="10"/>
    </row>
    <row r="410" ht="16.5" spans="1:5">
      <c r="A410" s="8">
        <v>3045103.988</v>
      </c>
      <c r="B410" s="8">
        <v>35401268.816</v>
      </c>
      <c r="C410" s="8">
        <v>907.163</v>
      </c>
      <c r="D410" s="9" t="s">
        <v>48</v>
      </c>
      <c r="E410" s="10"/>
    </row>
    <row r="411" ht="16.5" spans="1:5">
      <c r="A411" s="8">
        <v>3045103.988</v>
      </c>
      <c r="B411" s="8">
        <v>35401268.816</v>
      </c>
      <c r="C411" s="8">
        <v>907.163</v>
      </c>
      <c r="D411" s="9" t="s">
        <v>49</v>
      </c>
      <c r="E411" s="10"/>
    </row>
    <row r="412" ht="16.5" spans="1:5">
      <c r="A412" s="8">
        <v>3045103.988</v>
      </c>
      <c r="B412" s="8">
        <v>35401268.816</v>
      </c>
      <c r="C412" s="8">
        <v>907.163</v>
      </c>
      <c r="D412" s="9" t="s">
        <v>50</v>
      </c>
      <c r="E412" s="10"/>
    </row>
    <row r="413" ht="16.5" spans="1:5">
      <c r="A413" s="8">
        <v>3045103.988</v>
      </c>
      <c r="B413" s="8">
        <v>35401268.816</v>
      </c>
      <c r="C413" s="8">
        <v>907.163</v>
      </c>
      <c r="D413" s="9" t="s">
        <v>51</v>
      </c>
      <c r="E413" s="10"/>
    </row>
    <row r="414" ht="16.5" spans="1:5">
      <c r="A414" s="8">
        <v>3045103.988</v>
      </c>
      <c r="B414" s="8">
        <v>35401268.816</v>
      </c>
      <c r="C414" s="8">
        <v>907.163</v>
      </c>
      <c r="D414" s="9" t="s">
        <v>52</v>
      </c>
      <c r="E414" s="10"/>
    </row>
    <row r="415" ht="16.5" spans="1:5">
      <c r="A415" s="8">
        <v>3045103.988</v>
      </c>
      <c r="B415" s="8">
        <v>35401268.816</v>
      </c>
      <c r="C415" s="8">
        <v>907.163</v>
      </c>
      <c r="D415" s="9" t="s">
        <v>53</v>
      </c>
      <c r="E415" s="10"/>
    </row>
    <row r="416" ht="16.5" spans="1:5">
      <c r="A416" s="8">
        <v>3045103.988</v>
      </c>
      <c r="B416" s="8">
        <v>35401268.816</v>
      </c>
      <c r="C416" s="8">
        <v>907.163</v>
      </c>
      <c r="D416" s="9" t="s">
        <v>54</v>
      </c>
      <c r="E416" s="10"/>
    </row>
    <row r="417" ht="16.5" spans="1:5">
      <c r="A417" s="8">
        <v>3045103.988</v>
      </c>
      <c r="B417" s="8">
        <v>35401268.816</v>
      </c>
      <c r="C417" s="8">
        <v>907.163</v>
      </c>
      <c r="D417" s="9" t="s">
        <v>55</v>
      </c>
      <c r="E417" s="10"/>
    </row>
    <row r="418" ht="16.5" spans="1:5">
      <c r="A418" s="8">
        <v>3045103.988</v>
      </c>
      <c r="B418" s="8">
        <v>35401268.816</v>
      </c>
      <c r="C418" s="8">
        <v>907.163</v>
      </c>
      <c r="D418" s="9" t="s">
        <v>56</v>
      </c>
      <c r="E418" s="10"/>
    </row>
    <row r="419" ht="16.5" spans="1:5">
      <c r="A419" s="8">
        <v>3045103.988</v>
      </c>
      <c r="B419" s="8">
        <v>35401268.816</v>
      </c>
      <c r="C419" s="8">
        <v>907.163</v>
      </c>
      <c r="D419" s="9" t="s">
        <v>57</v>
      </c>
      <c r="E419" s="10"/>
    </row>
    <row r="420" ht="16.5" spans="1:5">
      <c r="A420" s="8">
        <v>3045103.988</v>
      </c>
      <c r="B420" s="8">
        <v>35401268.816</v>
      </c>
      <c r="C420" s="8">
        <v>907.163</v>
      </c>
      <c r="D420" s="9" t="s">
        <v>58</v>
      </c>
      <c r="E420" s="10"/>
    </row>
    <row r="421" ht="16.5" spans="1:5">
      <c r="A421" s="8">
        <v>3045103.988</v>
      </c>
      <c r="B421" s="8">
        <v>35401268.816</v>
      </c>
      <c r="C421" s="8">
        <v>907.163</v>
      </c>
      <c r="D421" s="9" t="s">
        <v>59</v>
      </c>
      <c r="E421" s="10"/>
    </row>
    <row r="422" ht="16.5" spans="1:5">
      <c r="A422" s="8">
        <v>3045103.988</v>
      </c>
      <c r="B422" s="8">
        <v>35401268.816</v>
      </c>
      <c r="C422" s="8">
        <v>907.163</v>
      </c>
      <c r="D422" s="9" t="s">
        <v>60</v>
      </c>
      <c r="E422" s="10"/>
    </row>
    <row r="423" ht="16.5" spans="1:5">
      <c r="A423" s="8">
        <v>3045103.988</v>
      </c>
      <c r="B423" s="8">
        <v>35401268.816</v>
      </c>
      <c r="C423" s="8">
        <v>907.163</v>
      </c>
      <c r="D423" s="9" t="s">
        <v>61</v>
      </c>
      <c r="E423" s="10"/>
    </row>
    <row r="424" ht="16.5" spans="1:5">
      <c r="A424" s="8">
        <v>3045103.988</v>
      </c>
      <c r="B424" s="8">
        <v>35401268.816</v>
      </c>
      <c r="C424" s="8">
        <v>907.163</v>
      </c>
      <c r="D424" s="9" t="s">
        <v>62</v>
      </c>
      <c r="E424" s="10"/>
    </row>
    <row r="425" ht="16.5" spans="1:5">
      <c r="A425" s="8">
        <v>3045103.988</v>
      </c>
      <c r="B425" s="8">
        <v>35401268.816</v>
      </c>
      <c r="C425" s="8">
        <v>907.163</v>
      </c>
      <c r="D425" s="9" t="s">
        <v>63</v>
      </c>
      <c r="E425" s="10"/>
    </row>
    <row r="426" ht="16.5" spans="1:5">
      <c r="A426" s="8">
        <v>3045103.988</v>
      </c>
      <c r="B426" s="8">
        <v>35401268.816</v>
      </c>
      <c r="C426" s="8">
        <v>907.163</v>
      </c>
      <c r="D426" s="9" t="s">
        <v>64</v>
      </c>
      <c r="E426" s="10"/>
    </row>
    <row r="427" ht="16.5" spans="1:5">
      <c r="A427" s="8">
        <v>3045103.988</v>
      </c>
      <c r="B427" s="8">
        <v>35401268.816</v>
      </c>
      <c r="C427" s="8">
        <v>907.163</v>
      </c>
      <c r="D427" s="9" t="s">
        <v>65</v>
      </c>
      <c r="E427" s="10"/>
    </row>
    <row r="428" ht="16.5" spans="1:5">
      <c r="A428" s="8">
        <v>3045103.988</v>
      </c>
      <c r="B428" s="8">
        <v>35401268.816</v>
      </c>
      <c r="C428" s="8">
        <v>907.163</v>
      </c>
      <c r="D428" s="9" t="s">
        <v>66</v>
      </c>
      <c r="E428" s="10"/>
    </row>
    <row r="429" ht="16.5" spans="1:5">
      <c r="A429" s="8">
        <v>3045103.988</v>
      </c>
      <c r="B429" s="8">
        <v>35401268.816</v>
      </c>
      <c r="C429" s="8">
        <v>907.163</v>
      </c>
      <c r="D429" s="9" t="s">
        <v>67</v>
      </c>
      <c r="E429" s="10"/>
    </row>
    <row r="430" ht="16.5" spans="1:5">
      <c r="A430" s="8">
        <v>3045103.988</v>
      </c>
      <c r="B430" s="8">
        <v>35401268.816</v>
      </c>
      <c r="C430" s="8">
        <v>907.163</v>
      </c>
      <c r="D430" s="9" t="s">
        <v>68</v>
      </c>
      <c r="E430" s="10"/>
    </row>
    <row r="431" ht="16.5" spans="1:5">
      <c r="A431" s="8">
        <v>3045103.988</v>
      </c>
      <c r="B431" s="8">
        <v>35401268.816</v>
      </c>
      <c r="C431" s="8">
        <v>907.163</v>
      </c>
      <c r="D431" s="9" t="s">
        <v>69</v>
      </c>
      <c r="E431" s="10"/>
    </row>
    <row r="432" ht="16.5" spans="1:5">
      <c r="A432" s="8">
        <v>3045103.988</v>
      </c>
      <c r="B432" s="8">
        <v>35401268.816</v>
      </c>
      <c r="C432" s="8">
        <v>907.163</v>
      </c>
      <c r="D432" s="9" t="s">
        <v>70</v>
      </c>
      <c r="E432" s="10"/>
    </row>
    <row r="433" ht="16.5" spans="1:5">
      <c r="A433" s="8">
        <v>3045103.988</v>
      </c>
      <c r="B433" s="8">
        <v>35401268.816</v>
      </c>
      <c r="C433" s="8">
        <v>907.163</v>
      </c>
      <c r="D433" s="9" t="s">
        <v>71</v>
      </c>
      <c r="E433" s="10"/>
    </row>
    <row r="434" ht="16.5" spans="1:5">
      <c r="A434" s="8">
        <v>3045103.988</v>
      </c>
      <c r="B434" s="8">
        <v>35401268.816</v>
      </c>
      <c r="C434" s="8">
        <v>907.163</v>
      </c>
      <c r="D434" s="9" t="s">
        <v>72</v>
      </c>
      <c r="E434" s="10"/>
    </row>
    <row r="435" ht="16.5" spans="1:5">
      <c r="A435" s="8">
        <v>3045103.988</v>
      </c>
      <c r="B435" s="8">
        <v>35401268.816</v>
      </c>
      <c r="C435" s="8">
        <v>907.163</v>
      </c>
      <c r="D435" s="9" t="s">
        <v>73</v>
      </c>
      <c r="E435" s="10"/>
    </row>
    <row r="436" ht="16.5" spans="1:5">
      <c r="A436" s="8">
        <v>3045103.988</v>
      </c>
      <c r="B436" s="8">
        <v>35401268.816</v>
      </c>
      <c r="C436" s="8">
        <v>907.163</v>
      </c>
      <c r="D436" s="9" t="s">
        <v>74</v>
      </c>
      <c r="E436" s="10"/>
    </row>
    <row r="437" ht="16.5" spans="1:5">
      <c r="A437" s="8">
        <v>3045103.988</v>
      </c>
      <c r="B437" s="8">
        <v>35401268.816</v>
      </c>
      <c r="C437" s="8">
        <v>907.163</v>
      </c>
      <c r="D437" s="9" t="s">
        <v>75</v>
      </c>
      <c r="E437" s="10"/>
    </row>
    <row r="438" ht="16.5" spans="1:5">
      <c r="A438" s="8">
        <v>3045103.988</v>
      </c>
      <c r="B438" s="8">
        <v>35401268.816</v>
      </c>
      <c r="C438" s="8">
        <v>907.163</v>
      </c>
      <c r="D438" s="9" t="s">
        <v>76</v>
      </c>
      <c r="E438" s="10"/>
    </row>
    <row r="439" ht="16.5" spans="1:5">
      <c r="A439" s="8">
        <v>3045103.988</v>
      </c>
      <c r="B439" s="8">
        <v>35401268.816</v>
      </c>
      <c r="C439" s="8">
        <v>907.163</v>
      </c>
      <c r="D439" s="9" t="s">
        <v>77</v>
      </c>
      <c r="E439" s="10"/>
    </row>
    <row r="440" ht="16.5" spans="1:5">
      <c r="A440" s="8">
        <v>3045103.988</v>
      </c>
      <c r="B440" s="8">
        <v>35401268.816</v>
      </c>
      <c r="C440" s="8">
        <v>907.163</v>
      </c>
      <c r="D440" s="9" t="s">
        <v>78</v>
      </c>
      <c r="E440" s="10"/>
    </row>
    <row r="441" ht="16.5" spans="1:5">
      <c r="A441" s="8">
        <v>3045103.988</v>
      </c>
      <c r="B441" s="8">
        <v>35401268.816</v>
      </c>
      <c r="C441" s="8">
        <v>907.163</v>
      </c>
      <c r="D441" s="9" t="s">
        <v>79</v>
      </c>
      <c r="E441" s="10"/>
    </row>
    <row r="442" ht="16.5" spans="1:5">
      <c r="A442" s="8">
        <v>3045103.988</v>
      </c>
      <c r="B442" s="8">
        <v>35401268.816</v>
      </c>
      <c r="C442" s="8">
        <v>907.163</v>
      </c>
      <c r="D442" s="9" t="s">
        <v>80</v>
      </c>
      <c r="E442" s="10"/>
    </row>
    <row r="443" ht="16.5" spans="1:5">
      <c r="A443" s="8">
        <v>3045103.988</v>
      </c>
      <c r="B443" s="8">
        <v>35401268.816</v>
      </c>
      <c r="C443" s="8">
        <v>907.163</v>
      </c>
      <c r="D443" s="9" t="s">
        <v>81</v>
      </c>
      <c r="E443" s="10"/>
    </row>
    <row r="444" ht="16.5" spans="1:5">
      <c r="A444" s="8">
        <v>3045103.988</v>
      </c>
      <c r="B444" s="8">
        <v>35401268.816</v>
      </c>
      <c r="C444" s="8">
        <v>907.163</v>
      </c>
      <c r="D444" s="9" t="s">
        <v>82</v>
      </c>
      <c r="E444" s="10"/>
    </row>
    <row r="445" ht="16.5" spans="1:5">
      <c r="A445" s="8">
        <v>3045103.988</v>
      </c>
      <c r="B445" s="8">
        <v>35401268.816</v>
      </c>
      <c r="C445" s="8">
        <v>907.163</v>
      </c>
      <c r="D445" s="9" t="s">
        <v>83</v>
      </c>
      <c r="E445" s="10"/>
    </row>
    <row r="446" ht="16.5" spans="1:5">
      <c r="A446" s="8">
        <v>3045103.988</v>
      </c>
      <c r="B446" s="8">
        <v>35401268.816</v>
      </c>
      <c r="C446" s="8">
        <v>907.163</v>
      </c>
      <c r="D446" s="9" t="s">
        <v>84</v>
      </c>
      <c r="E446" s="10"/>
    </row>
    <row r="447" ht="16.5" spans="1:5">
      <c r="A447" s="8">
        <v>3045103.988</v>
      </c>
      <c r="B447" s="8">
        <v>35401268.816</v>
      </c>
      <c r="C447" s="8">
        <v>907.163</v>
      </c>
      <c r="D447" s="9" t="s">
        <v>85</v>
      </c>
      <c r="E447" s="10"/>
    </row>
    <row r="448" ht="16.5" spans="1:5">
      <c r="A448" s="8">
        <v>3045103.988</v>
      </c>
      <c r="B448" s="8">
        <v>35401268.816</v>
      </c>
      <c r="C448" s="8">
        <v>907.163</v>
      </c>
      <c r="D448" s="9" t="s">
        <v>86</v>
      </c>
      <c r="E448" s="10"/>
    </row>
    <row r="449" ht="16.5" spans="1:5">
      <c r="A449" s="8">
        <v>3045103.988</v>
      </c>
      <c r="B449" s="8">
        <v>35401268.816</v>
      </c>
      <c r="C449" s="8">
        <v>907.163</v>
      </c>
      <c r="D449" s="9" t="s">
        <v>87</v>
      </c>
      <c r="E449" s="10"/>
    </row>
    <row r="450" ht="16.5" spans="1:5">
      <c r="A450" s="8">
        <v>3045103.988</v>
      </c>
      <c r="B450" s="8">
        <v>35401268.816</v>
      </c>
      <c r="C450" s="8">
        <v>907.163</v>
      </c>
      <c r="D450" s="9" t="s">
        <v>88</v>
      </c>
      <c r="E450" s="10"/>
    </row>
    <row r="451" ht="16.5" spans="1:5">
      <c r="A451" s="8">
        <v>3045103.988</v>
      </c>
      <c r="B451" s="8">
        <v>35401268.816</v>
      </c>
      <c r="C451" s="8">
        <v>907.163</v>
      </c>
      <c r="D451" s="9" t="s">
        <v>89</v>
      </c>
      <c r="E451" s="10"/>
    </row>
    <row r="452" ht="16.5" spans="1:5">
      <c r="A452" s="8">
        <v>3045103.988</v>
      </c>
      <c r="B452" s="8">
        <v>35401268.816</v>
      </c>
      <c r="C452" s="8">
        <v>907.163</v>
      </c>
      <c r="D452" s="9" t="s">
        <v>90</v>
      </c>
      <c r="E452" s="10"/>
    </row>
    <row r="453" ht="16.5" spans="1:5">
      <c r="A453" s="8">
        <v>3045103.988</v>
      </c>
      <c r="B453" s="8">
        <v>35401268.816</v>
      </c>
      <c r="C453" s="8">
        <v>907.163</v>
      </c>
      <c r="D453" s="9" t="s">
        <v>91</v>
      </c>
      <c r="E453" s="10"/>
    </row>
    <row r="454" ht="16.5" spans="1:5">
      <c r="A454" s="8">
        <v>3045103.988</v>
      </c>
      <c r="B454" s="8">
        <v>35401268.816</v>
      </c>
      <c r="C454" s="8">
        <v>907.163</v>
      </c>
      <c r="D454" s="9" t="s">
        <v>92</v>
      </c>
      <c r="E454" s="10"/>
    </row>
    <row r="455" ht="16.5" spans="1:5">
      <c r="A455" s="8">
        <v>3045103.988</v>
      </c>
      <c r="B455" s="8">
        <v>35401268.816</v>
      </c>
      <c r="C455" s="8">
        <v>907.163</v>
      </c>
      <c r="D455" s="9" t="s">
        <v>93</v>
      </c>
      <c r="E455" s="10"/>
    </row>
    <row r="456" ht="16.5" spans="1:5">
      <c r="A456" s="8">
        <v>3045103.988</v>
      </c>
      <c r="B456" s="8">
        <v>35401268.816</v>
      </c>
      <c r="C456" s="8">
        <v>907.163</v>
      </c>
      <c r="D456" s="9" t="s">
        <v>94</v>
      </c>
      <c r="E456" s="10"/>
    </row>
    <row r="457" ht="16.5" spans="1:5">
      <c r="A457" s="8">
        <v>3045103.988</v>
      </c>
      <c r="B457" s="8">
        <v>35401268.816</v>
      </c>
      <c r="C457" s="8">
        <v>907.163</v>
      </c>
      <c r="D457" s="9" t="s">
        <v>95</v>
      </c>
      <c r="E457" s="10"/>
    </row>
    <row r="458" ht="16.5" spans="1:5">
      <c r="A458" s="8">
        <v>3045103.988</v>
      </c>
      <c r="B458" s="8">
        <v>35401268.816</v>
      </c>
      <c r="C458" s="8">
        <v>907.163</v>
      </c>
      <c r="D458" s="9" t="s">
        <v>96</v>
      </c>
      <c r="E458" s="10"/>
    </row>
    <row r="459" ht="16.5" spans="1:5">
      <c r="A459" s="8">
        <v>3045103.988</v>
      </c>
      <c r="B459" s="8">
        <v>35401268.816</v>
      </c>
      <c r="C459" s="8">
        <v>907.163</v>
      </c>
      <c r="D459" s="9" t="s">
        <v>97</v>
      </c>
      <c r="E459" s="10"/>
    </row>
    <row r="460" ht="16.5" spans="1:5">
      <c r="A460" s="8">
        <v>3045103.988</v>
      </c>
      <c r="B460" s="8">
        <v>35401268.816</v>
      </c>
      <c r="C460" s="8">
        <v>907.163</v>
      </c>
      <c r="D460" s="9" t="s">
        <v>98</v>
      </c>
      <c r="E460" s="10"/>
    </row>
    <row r="461" ht="16.5" spans="1:5">
      <c r="A461" s="8">
        <v>3045103.988</v>
      </c>
      <c r="B461" s="8">
        <v>35401268.816</v>
      </c>
      <c r="C461" s="8">
        <v>907.163</v>
      </c>
      <c r="D461" s="9" t="s">
        <v>99</v>
      </c>
      <c r="E461" s="10"/>
    </row>
    <row r="462" ht="16.5" spans="1:5">
      <c r="A462" s="8">
        <v>3045103.988</v>
      </c>
      <c r="B462" s="8">
        <v>35401268.816</v>
      </c>
      <c r="C462" s="8">
        <v>907.163</v>
      </c>
      <c r="D462" s="9" t="s">
        <v>100</v>
      </c>
      <c r="E462" s="10"/>
    </row>
    <row r="463" ht="16.5" spans="1:5">
      <c r="A463" s="8">
        <v>3045103.988</v>
      </c>
      <c r="B463" s="8">
        <v>35401268.816</v>
      </c>
      <c r="C463" s="8">
        <v>907.163</v>
      </c>
      <c r="D463" s="9" t="s">
        <v>101</v>
      </c>
      <c r="E463" s="10"/>
    </row>
    <row r="464" ht="16.5" spans="1:5">
      <c r="A464" s="8">
        <v>3045103.988</v>
      </c>
      <c r="B464" s="8">
        <v>35401268.816</v>
      </c>
      <c r="C464" s="8">
        <v>907.163</v>
      </c>
      <c r="D464" s="9" t="s">
        <v>102</v>
      </c>
      <c r="E464" s="10"/>
    </row>
    <row r="465" ht="16.5" spans="1:5">
      <c r="A465" s="8">
        <v>3045103.988</v>
      </c>
      <c r="B465" s="8">
        <v>35401268.816</v>
      </c>
      <c r="C465" s="8">
        <v>907.163</v>
      </c>
      <c r="D465" s="9" t="s">
        <v>103</v>
      </c>
      <c r="E465" s="10"/>
    </row>
    <row r="466" ht="16.5" spans="1:5">
      <c r="A466" s="8">
        <v>3045103.988</v>
      </c>
      <c r="B466" s="8">
        <v>35401268.816</v>
      </c>
      <c r="C466" s="8">
        <v>907.163</v>
      </c>
      <c r="D466" s="9" t="s">
        <v>104</v>
      </c>
      <c r="E466" s="10"/>
    </row>
    <row r="467" ht="16.5" spans="1:5">
      <c r="A467" s="8">
        <v>3045103.988</v>
      </c>
      <c r="B467" s="8">
        <v>35401268.816</v>
      </c>
      <c r="C467" s="8">
        <v>907.163</v>
      </c>
      <c r="D467" s="9" t="s">
        <v>105</v>
      </c>
      <c r="E467" s="10"/>
    </row>
    <row r="468" ht="16.5" spans="1:5">
      <c r="A468" s="8">
        <v>3045103.988</v>
      </c>
      <c r="B468" s="8">
        <v>35401268.816</v>
      </c>
      <c r="C468" s="8">
        <v>907.163</v>
      </c>
      <c r="D468" s="9" t="s">
        <v>106</v>
      </c>
      <c r="E468" s="10"/>
    </row>
    <row r="469" ht="16.5" spans="1:5">
      <c r="A469" s="8">
        <v>3045103.988</v>
      </c>
      <c r="B469" s="8">
        <v>35401268.816</v>
      </c>
      <c r="C469" s="8">
        <v>907.163</v>
      </c>
      <c r="D469" s="9" t="s">
        <v>107</v>
      </c>
      <c r="E469" s="10"/>
    </row>
    <row r="470" ht="16.5" spans="1:5">
      <c r="A470" s="8">
        <v>3045103.988</v>
      </c>
      <c r="B470" s="8">
        <v>35401268.816</v>
      </c>
      <c r="C470" s="8">
        <v>907.163</v>
      </c>
      <c r="D470" s="9" t="s">
        <v>108</v>
      </c>
      <c r="E470" s="10"/>
    </row>
    <row r="471" ht="16.5" spans="1:5">
      <c r="A471" s="8">
        <v>3045103.988</v>
      </c>
      <c r="B471" s="8">
        <v>35401268.816</v>
      </c>
      <c r="C471" s="8">
        <v>907.163</v>
      </c>
      <c r="D471" s="9" t="s">
        <v>109</v>
      </c>
      <c r="E471" s="10"/>
    </row>
    <row r="472" ht="16.5" spans="1:5">
      <c r="A472" s="8">
        <v>3045103.988</v>
      </c>
      <c r="B472" s="8">
        <v>35401268.816</v>
      </c>
      <c r="C472" s="8">
        <v>907.163</v>
      </c>
      <c r="D472" s="9" t="s">
        <v>110</v>
      </c>
      <c r="E472" s="10"/>
    </row>
    <row r="473" ht="16.5" spans="1:5">
      <c r="A473" s="8">
        <v>3045103.988</v>
      </c>
      <c r="B473" s="8">
        <v>35401268.816</v>
      </c>
      <c r="C473" s="8">
        <v>907.163</v>
      </c>
      <c r="D473" s="9" t="s">
        <v>111</v>
      </c>
      <c r="E473" s="10"/>
    </row>
    <row r="474" ht="16.5" spans="1:5">
      <c r="A474" s="8">
        <v>3045103.988</v>
      </c>
      <c r="B474" s="8">
        <v>35401268.816</v>
      </c>
      <c r="C474" s="8">
        <v>907.163</v>
      </c>
      <c r="D474" s="9" t="s">
        <v>112</v>
      </c>
      <c r="E474" s="10"/>
    </row>
    <row r="475" ht="16.5" spans="1:5">
      <c r="A475" s="8">
        <v>3045103.988</v>
      </c>
      <c r="B475" s="8">
        <v>35401268.816</v>
      </c>
      <c r="C475" s="8">
        <v>907.163</v>
      </c>
      <c r="D475" s="9" t="s">
        <v>113</v>
      </c>
      <c r="E475" s="10"/>
    </row>
    <row r="476" ht="16.5" spans="1:5">
      <c r="A476" s="8">
        <v>3045103.988</v>
      </c>
      <c r="B476" s="8">
        <v>35401268.816</v>
      </c>
      <c r="C476" s="8">
        <v>907.163</v>
      </c>
      <c r="D476" s="9" t="s">
        <v>114</v>
      </c>
      <c r="E476" s="10"/>
    </row>
    <row r="477" ht="16.5" spans="1:5">
      <c r="A477" s="8">
        <v>3045103.988</v>
      </c>
      <c r="B477" s="8">
        <v>35401268.816</v>
      </c>
      <c r="C477" s="8">
        <v>907.163</v>
      </c>
      <c r="D477" s="9" t="s">
        <v>115</v>
      </c>
      <c r="E477" s="10"/>
    </row>
    <row r="478" ht="16.5" spans="1:5">
      <c r="A478" s="8">
        <v>3045103.988</v>
      </c>
      <c r="B478" s="8">
        <v>35401268.816</v>
      </c>
      <c r="C478" s="8">
        <v>907.163</v>
      </c>
      <c r="D478" s="9" t="s">
        <v>116</v>
      </c>
      <c r="E478" s="10"/>
    </row>
    <row r="479" ht="16.5" spans="1:5">
      <c r="A479" s="8">
        <v>3045103.988</v>
      </c>
      <c r="B479" s="8">
        <v>35401268.816</v>
      </c>
      <c r="C479" s="8">
        <v>907.163</v>
      </c>
      <c r="D479" s="9" t="s">
        <v>117</v>
      </c>
      <c r="E479" s="10"/>
    </row>
    <row r="480" ht="16.5" spans="1:5">
      <c r="A480" s="8">
        <v>3045103.988</v>
      </c>
      <c r="B480" s="8">
        <v>35401268.816</v>
      </c>
      <c r="C480" s="8">
        <v>907.163</v>
      </c>
      <c r="D480" s="9" t="s">
        <v>118</v>
      </c>
      <c r="E480" s="10"/>
    </row>
    <row r="481" ht="16.5" spans="1:5">
      <c r="A481" s="8">
        <v>3045103.988</v>
      </c>
      <c r="B481" s="8">
        <v>35401268.816</v>
      </c>
      <c r="C481" s="8">
        <v>907.163</v>
      </c>
      <c r="D481" s="9" t="s">
        <v>119</v>
      </c>
      <c r="E481" s="10"/>
    </row>
    <row r="482" ht="16.5" spans="1:5">
      <c r="A482" s="8">
        <v>3045103.988</v>
      </c>
      <c r="B482" s="8">
        <v>35401268.816</v>
      </c>
      <c r="C482" s="8">
        <v>907.163</v>
      </c>
      <c r="D482" s="9" t="s">
        <v>120</v>
      </c>
      <c r="E482" s="10"/>
    </row>
    <row r="483" ht="16.5" spans="1:5">
      <c r="A483" s="8">
        <v>3045103.988</v>
      </c>
      <c r="B483" s="8">
        <v>35401268.816</v>
      </c>
      <c r="C483" s="8">
        <v>907.163</v>
      </c>
      <c r="D483" s="9" t="s">
        <v>121</v>
      </c>
      <c r="E483" s="10"/>
    </row>
    <row r="484" ht="16.5" spans="1:5">
      <c r="A484" s="8">
        <v>3045103.988</v>
      </c>
      <c r="B484" s="8">
        <v>35401268.816</v>
      </c>
      <c r="C484" s="8">
        <v>907.163</v>
      </c>
      <c r="D484" s="9" t="s">
        <v>122</v>
      </c>
      <c r="E484" s="10"/>
    </row>
    <row r="485" ht="16.5" spans="1:5">
      <c r="A485" s="8">
        <v>3045103.988</v>
      </c>
      <c r="B485" s="8">
        <v>35401268.816</v>
      </c>
      <c r="C485" s="8">
        <v>907.163</v>
      </c>
      <c r="D485" s="9" t="s">
        <v>123</v>
      </c>
      <c r="E485" s="10"/>
    </row>
    <row r="486" ht="16.5" spans="1:5">
      <c r="A486" s="8">
        <v>3045103.988</v>
      </c>
      <c r="B486" s="8">
        <v>35401268.816</v>
      </c>
      <c r="C486" s="8">
        <v>907.163</v>
      </c>
      <c r="D486" s="9" t="s">
        <v>124</v>
      </c>
      <c r="E486" s="10"/>
    </row>
    <row r="487" ht="16.5" spans="1:5">
      <c r="A487" s="8">
        <v>3045103.988</v>
      </c>
      <c r="B487" s="8">
        <v>35401268.816</v>
      </c>
      <c r="C487" s="8">
        <v>907.163</v>
      </c>
      <c r="D487" s="9" t="s">
        <v>125</v>
      </c>
      <c r="E487" s="10"/>
    </row>
    <row r="488" ht="16.5" spans="1:5">
      <c r="A488" s="8">
        <v>3045103.988</v>
      </c>
      <c r="B488" s="8">
        <v>35401268.816</v>
      </c>
      <c r="C488" s="8">
        <v>907.163</v>
      </c>
      <c r="D488" s="9" t="s">
        <v>126</v>
      </c>
      <c r="E488" s="10"/>
    </row>
    <row r="489" ht="16.5" spans="1:5">
      <c r="A489" s="8">
        <v>3045103.988</v>
      </c>
      <c r="B489" s="8">
        <v>35401268.816</v>
      </c>
      <c r="C489" s="8">
        <v>907.163</v>
      </c>
      <c r="D489" s="9" t="s">
        <v>127</v>
      </c>
      <c r="E489" s="10"/>
    </row>
    <row r="490" ht="16.5" spans="1:5">
      <c r="A490" s="8">
        <v>3045103.988</v>
      </c>
      <c r="B490" s="8">
        <v>35401268.816</v>
      </c>
      <c r="C490" s="8">
        <v>907.163</v>
      </c>
      <c r="D490" s="9" t="s">
        <v>128</v>
      </c>
      <c r="E490" s="10"/>
    </row>
    <row r="491" ht="16.5" spans="1:5">
      <c r="A491" s="8">
        <v>3045103.988</v>
      </c>
      <c r="B491" s="8">
        <v>35401268.816</v>
      </c>
      <c r="C491" s="8">
        <v>907.163</v>
      </c>
      <c r="D491" s="9" t="s">
        <v>129</v>
      </c>
      <c r="E491" s="10"/>
    </row>
    <row r="492" ht="16.5" spans="1:5">
      <c r="A492" s="8">
        <v>3045103.988</v>
      </c>
      <c r="B492" s="8">
        <v>35401268.816</v>
      </c>
      <c r="C492" s="8">
        <v>907.163</v>
      </c>
      <c r="D492" s="9" t="s">
        <v>130</v>
      </c>
      <c r="E492" s="10"/>
    </row>
    <row r="493" ht="16.5" spans="1:5">
      <c r="A493" s="8">
        <v>3045103.988</v>
      </c>
      <c r="B493" s="8">
        <v>35401268.816</v>
      </c>
      <c r="C493" s="8">
        <v>907.163</v>
      </c>
      <c r="D493" s="9" t="s">
        <v>131</v>
      </c>
      <c r="E493" s="10"/>
    </row>
    <row r="494" ht="16.5" spans="1:5">
      <c r="A494" s="8">
        <v>3045103.988</v>
      </c>
      <c r="B494" s="8">
        <v>35401268.816</v>
      </c>
      <c r="C494" s="8">
        <v>907.163</v>
      </c>
      <c r="D494" s="9" t="s">
        <v>132</v>
      </c>
      <c r="E494" s="10"/>
    </row>
    <row r="495" ht="16.5" spans="1:5">
      <c r="A495" s="8">
        <v>3045103.988</v>
      </c>
      <c r="B495" s="8">
        <v>35401268.816</v>
      </c>
      <c r="C495" s="8">
        <v>907.163</v>
      </c>
      <c r="D495" s="9" t="s">
        <v>133</v>
      </c>
      <c r="E495" s="10"/>
    </row>
    <row r="496" ht="16.5" spans="1:5">
      <c r="A496" s="8">
        <v>3045103.988</v>
      </c>
      <c r="B496" s="8">
        <v>35401268.816</v>
      </c>
      <c r="C496" s="8">
        <v>907.163</v>
      </c>
      <c r="D496" s="9" t="s">
        <v>134</v>
      </c>
      <c r="E496" s="10"/>
    </row>
    <row r="497" ht="16.5" spans="1:5">
      <c r="A497" s="8">
        <v>3045103.988</v>
      </c>
      <c r="B497" s="8">
        <v>35401268.816</v>
      </c>
      <c r="C497" s="8">
        <v>907.163</v>
      </c>
      <c r="D497" s="9" t="s">
        <v>135</v>
      </c>
      <c r="E497" s="10"/>
    </row>
    <row r="498" ht="16.5" spans="1:5">
      <c r="A498" s="8">
        <v>3045103.988</v>
      </c>
      <c r="B498" s="8">
        <v>35401268.816</v>
      </c>
      <c r="C498" s="8">
        <v>907.163</v>
      </c>
      <c r="D498" s="9" t="s">
        <v>136</v>
      </c>
      <c r="E498" s="10"/>
    </row>
    <row r="499" ht="16.5" spans="1:5">
      <c r="A499" s="8">
        <v>3045103.988</v>
      </c>
      <c r="B499" s="8">
        <v>35401268.816</v>
      </c>
      <c r="C499" s="8">
        <v>907.163</v>
      </c>
      <c r="D499" s="9" t="s">
        <v>137</v>
      </c>
      <c r="E499" s="10"/>
    </row>
    <row r="500" ht="16.5" spans="1:5">
      <c r="A500" s="8">
        <v>3045103.988</v>
      </c>
      <c r="B500" s="8">
        <v>35401268.816</v>
      </c>
      <c r="C500" s="8">
        <v>907.163</v>
      </c>
      <c r="D500" s="9" t="s">
        <v>138</v>
      </c>
      <c r="E500" s="10"/>
    </row>
    <row r="501" ht="16.5" spans="1:5">
      <c r="A501" s="8">
        <v>3045103.988</v>
      </c>
      <c r="B501" s="8">
        <v>35401268.816</v>
      </c>
      <c r="C501" s="8">
        <v>907.163</v>
      </c>
      <c r="D501" s="9" t="s">
        <v>139</v>
      </c>
      <c r="E501" s="10"/>
    </row>
    <row r="502" ht="16.5" spans="1:5">
      <c r="A502" s="8">
        <v>3045103.988</v>
      </c>
      <c r="B502" s="8">
        <v>35401268.816</v>
      </c>
      <c r="C502" s="8">
        <v>907.163</v>
      </c>
      <c r="D502" s="9" t="s">
        <v>140</v>
      </c>
      <c r="E502" s="10"/>
    </row>
    <row r="503" ht="16.5" spans="1:5">
      <c r="A503" s="8">
        <v>3045103.988</v>
      </c>
      <c r="B503" s="8">
        <v>35401268.816</v>
      </c>
      <c r="C503" s="8">
        <v>907.163</v>
      </c>
      <c r="D503" s="9" t="s">
        <v>141</v>
      </c>
      <c r="E503" s="10"/>
    </row>
    <row r="504" ht="16.5" spans="1:5">
      <c r="A504" s="8">
        <v>3045103.988</v>
      </c>
      <c r="B504" s="8">
        <v>35401268.816</v>
      </c>
      <c r="C504" s="8">
        <v>907.163</v>
      </c>
      <c r="D504" s="9" t="s">
        <v>142</v>
      </c>
      <c r="E504" s="10"/>
    </row>
    <row r="505" ht="16.5" spans="1:5">
      <c r="A505" s="8">
        <v>3045103.988</v>
      </c>
      <c r="B505" s="8">
        <v>35401268.816</v>
      </c>
      <c r="C505" s="8">
        <v>907.163</v>
      </c>
      <c r="D505" s="9" t="s">
        <v>143</v>
      </c>
      <c r="E505" s="10"/>
    </row>
    <row r="506" ht="16.5" spans="1:5">
      <c r="A506" s="8">
        <v>3045103.988</v>
      </c>
      <c r="B506" s="8">
        <v>35401268.816</v>
      </c>
      <c r="C506" s="8">
        <v>907.163</v>
      </c>
      <c r="D506" s="9" t="s">
        <v>144</v>
      </c>
      <c r="E506" s="10"/>
    </row>
    <row r="507" ht="16.5" spans="1:5">
      <c r="A507" s="8">
        <v>3045103.988</v>
      </c>
      <c r="B507" s="8">
        <v>35401268.816</v>
      </c>
      <c r="C507" s="8">
        <v>907.163</v>
      </c>
      <c r="D507" s="9" t="s">
        <v>145</v>
      </c>
      <c r="E507" s="10"/>
    </row>
    <row r="508" ht="16.5" spans="1:5">
      <c r="A508" s="8">
        <v>3045103.988</v>
      </c>
      <c r="B508" s="8">
        <v>35401268.816</v>
      </c>
      <c r="C508" s="8">
        <v>907.163</v>
      </c>
      <c r="D508" s="9" t="s">
        <v>146</v>
      </c>
      <c r="E508" s="10"/>
    </row>
    <row r="509" ht="16.5" spans="1:5">
      <c r="A509" s="8">
        <v>3045103.988</v>
      </c>
      <c r="B509" s="8">
        <v>35401268.816</v>
      </c>
      <c r="C509" s="8">
        <v>907.163</v>
      </c>
      <c r="D509" s="9" t="s">
        <v>147</v>
      </c>
      <c r="E509" s="10"/>
    </row>
    <row r="510" ht="16.5" spans="1:5">
      <c r="A510" s="8">
        <v>3045103.988</v>
      </c>
      <c r="B510" s="8">
        <v>35401268.816</v>
      </c>
      <c r="C510" s="8">
        <v>907.163</v>
      </c>
      <c r="D510" s="9" t="s">
        <v>148</v>
      </c>
      <c r="E510" s="10"/>
    </row>
    <row r="511" ht="16.5" spans="1:5">
      <c r="A511" s="8">
        <v>3045103.988</v>
      </c>
      <c r="B511" s="8">
        <v>35401268.816</v>
      </c>
      <c r="C511" s="8">
        <v>907.163</v>
      </c>
      <c r="D511" s="9" t="s">
        <v>149</v>
      </c>
      <c r="E511" s="10"/>
    </row>
    <row r="512" ht="16.5" spans="1:5">
      <c r="A512" s="8">
        <v>3045103.988</v>
      </c>
      <c r="B512" s="8">
        <v>35401268.816</v>
      </c>
      <c r="C512" s="8">
        <v>907.163</v>
      </c>
      <c r="D512" s="9" t="s">
        <v>150</v>
      </c>
      <c r="E512" s="10"/>
    </row>
    <row r="513" ht="16.5" spans="1:5">
      <c r="A513" s="8">
        <v>3045103.988</v>
      </c>
      <c r="B513" s="8">
        <v>35401268.816</v>
      </c>
      <c r="C513" s="8">
        <v>907.163</v>
      </c>
      <c r="D513" s="9" t="s">
        <v>151</v>
      </c>
      <c r="E513" s="10"/>
    </row>
    <row r="514" ht="16.5" spans="1:5">
      <c r="A514" s="8">
        <v>3045103.988</v>
      </c>
      <c r="B514" s="8">
        <v>35401268.816</v>
      </c>
      <c r="C514" s="8">
        <v>907.163</v>
      </c>
      <c r="D514" s="9" t="s">
        <v>152</v>
      </c>
      <c r="E514" s="10"/>
    </row>
    <row r="515" ht="16.5" spans="1:5">
      <c r="A515" s="8">
        <v>3045103.988</v>
      </c>
      <c r="B515" s="8">
        <v>35401268.816</v>
      </c>
      <c r="C515" s="8">
        <v>907.163</v>
      </c>
      <c r="D515" s="9" t="s">
        <v>153</v>
      </c>
      <c r="E515" s="10"/>
    </row>
    <row r="516" ht="16.5" spans="1:5">
      <c r="A516" s="8">
        <v>3045103.988</v>
      </c>
      <c r="B516" s="8">
        <v>35401268.816</v>
      </c>
      <c r="C516" s="8">
        <v>907.163</v>
      </c>
      <c r="D516" s="9" t="s">
        <v>154</v>
      </c>
      <c r="E516" s="10"/>
    </row>
    <row r="517" ht="16.5" spans="1:5">
      <c r="A517" s="8">
        <v>3045103.988</v>
      </c>
      <c r="B517" s="8">
        <v>35401268.816</v>
      </c>
      <c r="C517" s="8">
        <v>907.163</v>
      </c>
      <c r="D517" s="9" t="s">
        <v>155</v>
      </c>
      <c r="E517" s="10"/>
    </row>
    <row r="518" ht="16.5" spans="1:5">
      <c r="A518" s="8">
        <v>3045103.988</v>
      </c>
      <c r="B518" s="8">
        <v>35401268.816</v>
      </c>
      <c r="C518" s="8">
        <v>907.163</v>
      </c>
      <c r="D518" s="9" t="s">
        <v>156</v>
      </c>
      <c r="E518" s="10"/>
    </row>
    <row r="519" ht="16.5" spans="1:5">
      <c r="A519" s="8">
        <v>3045103.988</v>
      </c>
      <c r="B519" s="8">
        <v>35401268.816</v>
      </c>
      <c r="C519" s="8">
        <v>907.163</v>
      </c>
      <c r="D519" s="9" t="s">
        <v>157</v>
      </c>
      <c r="E519" s="10"/>
    </row>
    <row r="520" ht="16.5" spans="1:5">
      <c r="A520" s="8">
        <v>3045103.988</v>
      </c>
      <c r="B520" s="8">
        <v>35401268.816</v>
      </c>
      <c r="C520" s="8">
        <v>907.163</v>
      </c>
      <c r="D520" s="9" t="s">
        <v>158</v>
      </c>
      <c r="E520" s="10"/>
    </row>
    <row r="521" ht="16.5" spans="1:5">
      <c r="A521" s="8">
        <v>3045103.988</v>
      </c>
      <c r="B521" s="8">
        <v>35401268.816</v>
      </c>
      <c r="C521" s="8">
        <v>907.163</v>
      </c>
      <c r="D521" s="9" t="s">
        <v>159</v>
      </c>
      <c r="E521" s="10"/>
    </row>
    <row r="522" ht="16.5" spans="1:5">
      <c r="A522" s="8">
        <v>3045103.988</v>
      </c>
      <c r="B522" s="8">
        <v>35401268.816</v>
      </c>
      <c r="C522" s="8">
        <v>907.163</v>
      </c>
      <c r="D522" s="9" t="s">
        <v>160</v>
      </c>
      <c r="E522" s="10"/>
    </row>
    <row r="523" ht="16.5" spans="1:5">
      <c r="A523" s="8">
        <v>3045103.988</v>
      </c>
      <c r="B523" s="8">
        <v>35401268.816</v>
      </c>
      <c r="C523" s="8">
        <v>907.163</v>
      </c>
      <c r="D523" s="9" t="s">
        <v>161</v>
      </c>
      <c r="E523" s="10"/>
    </row>
    <row r="524" ht="16.5" spans="1:5">
      <c r="A524" s="8">
        <v>3045103.988</v>
      </c>
      <c r="B524" s="8">
        <v>35401268.816</v>
      </c>
      <c r="C524" s="8">
        <v>907.163</v>
      </c>
      <c r="D524" s="9" t="s">
        <v>162</v>
      </c>
      <c r="E524" s="10"/>
    </row>
    <row r="525" ht="16.5" spans="1:5">
      <c r="A525" s="8">
        <v>3045103.988</v>
      </c>
      <c r="B525" s="8">
        <v>35401268.816</v>
      </c>
      <c r="C525" s="8">
        <v>907.163</v>
      </c>
      <c r="D525" s="9" t="s">
        <v>163</v>
      </c>
      <c r="E525" s="10"/>
    </row>
    <row r="526" ht="16.5" spans="1:5">
      <c r="A526" s="8">
        <v>3045103.988</v>
      </c>
      <c r="B526" s="8">
        <v>35401268.816</v>
      </c>
      <c r="C526" s="8">
        <v>907.163</v>
      </c>
      <c r="D526" s="9" t="s">
        <v>164</v>
      </c>
      <c r="E526" s="10"/>
    </row>
    <row r="527" ht="16.5" spans="1:5">
      <c r="A527" s="8">
        <v>3045103.988</v>
      </c>
      <c r="B527" s="8">
        <v>35401268.816</v>
      </c>
      <c r="C527" s="8">
        <v>907.163</v>
      </c>
      <c r="D527" s="9" t="s">
        <v>165</v>
      </c>
      <c r="E527" s="10"/>
    </row>
    <row r="528" ht="16.5" spans="1:5">
      <c r="A528" s="8">
        <v>3045103.988</v>
      </c>
      <c r="B528" s="8">
        <v>35401268.816</v>
      </c>
      <c r="C528" s="8">
        <v>907.163</v>
      </c>
      <c r="D528" s="9" t="s">
        <v>166</v>
      </c>
      <c r="E528" s="10"/>
    </row>
    <row r="529" ht="16.5" spans="1:5">
      <c r="A529" s="8">
        <v>3045103.988</v>
      </c>
      <c r="B529" s="8">
        <v>35401268.816</v>
      </c>
      <c r="C529" s="8">
        <v>907.163</v>
      </c>
      <c r="D529" s="9" t="s">
        <v>167</v>
      </c>
      <c r="E529" s="10"/>
    </row>
    <row r="530" ht="16.5" spans="1:5">
      <c r="A530" s="8">
        <v>3045103.988</v>
      </c>
      <c r="B530" s="8">
        <v>35401268.816</v>
      </c>
      <c r="C530" s="8">
        <v>907.163</v>
      </c>
      <c r="D530" s="9" t="s">
        <v>168</v>
      </c>
      <c r="E530" s="10"/>
    </row>
    <row r="531" ht="16.5" spans="1:5">
      <c r="A531" s="8">
        <v>3045103.988</v>
      </c>
      <c r="B531" s="8">
        <v>35401268.816</v>
      </c>
      <c r="C531" s="8">
        <v>907.163</v>
      </c>
      <c r="D531" s="9" t="s">
        <v>169</v>
      </c>
      <c r="E531" s="10"/>
    </row>
    <row r="532" ht="16.5" spans="1:5">
      <c r="A532" s="8">
        <v>3045103.988</v>
      </c>
      <c r="B532" s="8">
        <v>35401268.816</v>
      </c>
      <c r="C532" s="8">
        <v>907.163</v>
      </c>
      <c r="D532" s="9" t="s">
        <v>170</v>
      </c>
      <c r="E532" s="10"/>
    </row>
    <row r="533" ht="16.5" spans="1:5">
      <c r="A533" s="8">
        <v>3045103.988</v>
      </c>
      <c r="B533" s="8">
        <v>35401268.816</v>
      </c>
      <c r="C533" s="8">
        <v>907.163</v>
      </c>
      <c r="D533" s="9" t="s">
        <v>171</v>
      </c>
      <c r="E533" s="10"/>
    </row>
    <row r="534" ht="16.5" spans="1:5">
      <c r="A534" s="8">
        <v>3045103.988</v>
      </c>
      <c r="B534" s="8">
        <v>35401268.816</v>
      </c>
      <c r="C534" s="8">
        <v>907.163</v>
      </c>
      <c r="D534" s="9" t="s">
        <v>172</v>
      </c>
      <c r="E534" s="10"/>
    </row>
    <row r="535" ht="16.5" spans="1:5">
      <c r="A535" s="8">
        <v>3045103.988</v>
      </c>
      <c r="B535" s="8">
        <v>35401268.816</v>
      </c>
      <c r="C535" s="8">
        <v>907.163</v>
      </c>
      <c r="D535" s="9" t="s">
        <v>173</v>
      </c>
      <c r="E535" s="10"/>
    </row>
    <row r="536" ht="16.5" spans="1:5">
      <c r="A536" s="8">
        <v>3045103.988</v>
      </c>
      <c r="B536" s="8">
        <v>35401268.816</v>
      </c>
      <c r="C536" s="8">
        <v>907.163</v>
      </c>
      <c r="D536" s="9" t="s">
        <v>174</v>
      </c>
      <c r="E536" s="10"/>
    </row>
    <row r="537" ht="16.5" spans="1:5">
      <c r="A537" s="8">
        <v>3045103.988</v>
      </c>
      <c r="B537" s="8">
        <v>35401268.816</v>
      </c>
      <c r="C537" s="8">
        <v>907.163</v>
      </c>
      <c r="D537" s="9" t="s">
        <v>175</v>
      </c>
      <c r="E537" s="10"/>
    </row>
    <row r="538" ht="16.5" spans="1:5">
      <c r="A538" s="8">
        <v>3045103.988</v>
      </c>
      <c r="B538" s="8">
        <v>35401268.816</v>
      </c>
      <c r="C538" s="8">
        <v>907.163</v>
      </c>
      <c r="D538" s="9" t="s">
        <v>176</v>
      </c>
      <c r="E538" s="10"/>
    </row>
    <row r="539" ht="16.5" spans="1:5">
      <c r="A539" s="8">
        <v>3045103.988</v>
      </c>
      <c r="B539" s="8">
        <v>35401268.816</v>
      </c>
      <c r="C539" s="8">
        <v>907.163</v>
      </c>
      <c r="D539" s="9" t="s">
        <v>177</v>
      </c>
      <c r="E539" s="10"/>
    </row>
    <row r="540" ht="16.5" spans="1:5">
      <c r="A540" s="8">
        <v>3045103.988</v>
      </c>
      <c r="B540" s="8">
        <v>35401268.816</v>
      </c>
      <c r="C540" s="8">
        <v>907.163</v>
      </c>
      <c r="D540" s="9" t="s">
        <v>178</v>
      </c>
      <c r="E540" s="10"/>
    </row>
    <row r="541" ht="16.5" spans="1:5">
      <c r="A541" s="8">
        <v>3045103.988</v>
      </c>
      <c r="B541" s="8">
        <v>35401268.816</v>
      </c>
      <c r="C541" s="8">
        <v>907.163</v>
      </c>
      <c r="D541" s="9" t="s">
        <v>179</v>
      </c>
      <c r="E541" s="10"/>
    </row>
    <row r="542" ht="16.5" spans="1:5">
      <c r="A542" s="8">
        <v>3045103.988</v>
      </c>
      <c r="B542" s="8">
        <v>35401268.816</v>
      </c>
      <c r="C542" s="8">
        <v>907.163</v>
      </c>
      <c r="D542" s="9" t="s">
        <v>180</v>
      </c>
      <c r="E542" s="10"/>
    </row>
    <row r="543" ht="16.5" spans="1:5">
      <c r="A543" s="8">
        <v>3045103.988</v>
      </c>
      <c r="B543" s="8">
        <v>35401268.816</v>
      </c>
      <c r="C543" s="8">
        <v>907.163</v>
      </c>
      <c r="D543" s="9" t="s">
        <v>181</v>
      </c>
      <c r="E543" s="10"/>
    </row>
    <row r="544" ht="16.5" spans="1:5">
      <c r="A544" s="8">
        <v>3045103.988</v>
      </c>
      <c r="B544" s="8">
        <v>35401268.816</v>
      </c>
      <c r="C544" s="8">
        <v>907.163</v>
      </c>
      <c r="D544" s="9" t="s">
        <v>182</v>
      </c>
      <c r="E544" s="10"/>
    </row>
    <row r="545" ht="16.5" spans="1:5">
      <c r="A545" s="8">
        <v>3045103.988</v>
      </c>
      <c r="B545" s="8">
        <v>35401268.816</v>
      </c>
      <c r="C545" s="8">
        <v>907.163</v>
      </c>
      <c r="D545" s="9" t="s">
        <v>183</v>
      </c>
      <c r="E545" s="10"/>
    </row>
    <row r="546" ht="16.5" spans="1:5">
      <c r="A546" s="8">
        <v>3045103.988</v>
      </c>
      <c r="B546" s="8">
        <v>35401268.816</v>
      </c>
      <c r="C546" s="8">
        <v>907.163</v>
      </c>
      <c r="D546" s="9" t="s">
        <v>184</v>
      </c>
      <c r="E546" s="10"/>
    </row>
    <row r="547" ht="16.5" spans="1:5">
      <c r="A547" s="8">
        <v>3045103.988</v>
      </c>
      <c r="B547" s="8">
        <v>35401268.816</v>
      </c>
      <c r="C547" s="8">
        <v>907.163</v>
      </c>
      <c r="D547" s="9" t="s">
        <v>185</v>
      </c>
      <c r="E547" s="10"/>
    </row>
    <row r="548" ht="16.5" spans="1:5">
      <c r="A548" s="8">
        <v>3045103.988</v>
      </c>
      <c r="B548" s="8">
        <v>35401268.816</v>
      </c>
      <c r="C548" s="8">
        <v>907.163</v>
      </c>
      <c r="D548" s="9" t="s">
        <v>186</v>
      </c>
      <c r="E548" s="10"/>
    </row>
    <row r="549" ht="16.5" spans="1:5">
      <c r="A549" s="8">
        <v>3045103.988</v>
      </c>
      <c r="B549" s="8">
        <v>35401268.816</v>
      </c>
      <c r="C549" s="8">
        <v>907.163</v>
      </c>
      <c r="D549" s="9" t="s">
        <v>187</v>
      </c>
      <c r="E549" s="10"/>
    </row>
    <row r="550" ht="16.5" spans="1:5">
      <c r="A550" s="8">
        <v>3045103.988</v>
      </c>
      <c r="B550" s="8">
        <v>35401268.816</v>
      </c>
      <c r="C550" s="8">
        <v>907.163</v>
      </c>
      <c r="D550" s="9" t="s">
        <v>188</v>
      </c>
      <c r="E550" s="10"/>
    </row>
    <row r="551" ht="16.5" spans="1:5">
      <c r="A551" s="8">
        <v>3045103.988</v>
      </c>
      <c r="B551" s="8">
        <v>35401268.816</v>
      </c>
      <c r="C551" s="8">
        <v>907.163</v>
      </c>
      <c r="D551" s="9" t="s">
        <v>189</v>
      </c>
      <c r="E551" s="10"/>
    </row>
    <row r="552" ht="16.5" spans="1:5">
      <c r="A552" s="8">
        <v>3045103.988</v>
      </c>
      <c r="B552" s="8">
        <v>35401268.816</v>
      </c>
      <c r="C552" s="8">
        <v>907.163</v>
      </c>
      <c r="D552" s="9" t="s">
        <v>190</v>
      </c>
      <c r="E552" s="10"/>
    </row>
    <row r="553" ht="16.5" spans="1:5">
      <c r="A553" s="8">
        <v>3045103.988</v>
      </c>
      <c r="B553" s="8">
        <v>35401268.816</v>
      </c>
      <c r="C553" s="8">
        <v>907.163</v>
      </c>
      <c r="D553" s="9" t="s">
        <v>191</v>
      </c>
      <c r="E553" s="10"/>
    </row>
    <row r="554" ht="16.5" spans="1:5">
      <c r="A554" s="8">
        <v>3045103.988</v>
      </c>
      <c r="B554" s="8">
        <v>35401268.816</v>
      </c>
      <c r="C554" s="8">
        <v>907.163</v>
      </c>
      <c r="D554" s="9" t="s">
        <v>192</v>
      </c>
      <c r="E554" s="10"/>
    </row>
    <row r="555" ht="16.5" spans="1:5">
      <c r="A555" s="8">
        <v>3045103.988</v>
      </c>
      <c r="B555" s="8">
        <v>35401268.816</v>
      </c>
      <c r="C555" s="8">
        <v>907.163</v>
      </c>
      <c r="D555" s="9" t="s">
        <v>193</v>
      </c>
      <c r="E555" s="10"/>
    </row>
    <row r="556" ht="16.5" spans="1:5">
      <c r="A556" s="8">
        <v>3045103.988</v>
      </c>
      <c r="B556" s="8">
        <v>35401268.816</v>
      </c>
      <c r="C556" s="8">
        <v>907.163</v>
      </c>
      <c r="D556" s="9" t="s">
        <v>194</v>
      </c>
      <c r="E556" s="10"/>
    </row>
    <row r="557" ht="16.5" spans="1:5">
      <c r="A557" s="8">
        <v>3045103.988</v>
      </c>
      <c r="B557" s="8">
        <v>35401268.816</v>
      </c>
      <c r="C557" s="8">
        <v>907.163</v>
      </c>
      <c r="D557" s="9" t="s">
        <v>195</v>
      </c>
      <c r="E557" s="10"/>
    </row>
    <row r="558" ht="16.5" spans="1:5">
      <c r="A558" s="8">
        <v>3045103.988</v>
      </c>
      <c r="B558" s="8">
        <v>35401268.816</v>
      </c>
      <c r="C558" s="8">
        <v>907.163</v>
      </c>
      <c r="D558" s="9" t="s">
        <v>196</v>
      </c>
      <c r="E558" s="10"/>
    </row>
    <row r="559" ht="16.5" spans="1:5">
      <c r="A559" s="8">
        <v>3045103.988</v>
      </c>
      <c r="B559" s="8">
        <v>35401268.816</v>
      </c>
      <c r="C559" s="8">
        <v>907.163</v>
      </c>
      <c r="D559" s="9" t="s">
        <v>197</v>
      </c>
      <c r="E559" s="10"/>
    </row>
    <row r="560" ht="16.5" spans="1:5">
      <c r="A560" s="8">
        <v>3045103.988</v>
      </c>
      <c r="B560" s="8">
        <v>35401268.816</v>
      </c>
      <c r="C560" s="8">
        <v>907.163</v>
      </c>
      <c r="D560" s="9" t="s">
        <v>198</v>
      </c>
      <c r="E560" s="10"/>
    </row>
    <row r="561" ht="16.5" spans="1:5">
      <c r="A561" s="8">
        <v>3045103.988</v>
      </c>
      <c r="B561" s="8">
        <v>35401268.816</v>
      </c>
      <c r="C561" s="8">
        <v>907.163</v>
      </c>
      <c r="D561" s="9" t="s">
        <v>199</v>
      </c>
      <c r="E561" s="10"/>
    </row>
    <row r="562" ht="16.5" spans="1:5">
      <c r="A562" s="8">
        <v>3045103.988</v>
      </c>
      <c r="B562" s="8">
        <v>35401268.816</v>
      </c>
      <c r="C562" s="8">
        <v>907.163</v>
      </c>
      <c r="D562" s="9" t="s">
        <v>200</v>
      </c>
      <c r="E562" s="10"/>
    </row>
    <row r="563" ht="16.5" spans="1:5">
      <c r="A563" s="8">
        <v>3045103.988</v>
      </c>
      <c r="B563" s="8">
        <v>35401268.816</v>
      </c>
      <c r="C563" s="8">
        <v>907.163</v>
      </c>
      <c r="D563" s="9" t="s">
        <v>201</v>
      </c>
      <c r="E563" s="10"/>
    </row>
    <row r="564" ht="16.5" spans="1:5">
      <c r="A564" s="8">
        <v>3045103.988</v>
      </c>
      <c r="B564" s="8">
        <v>35401268.816</v>
      </c>
      <c r="C564" s="8">
        <v>907.163</v>
      </c>
      <c r="D564" s="9" t="s">
        <v>202</v>
      </c>
      <c r="E564" s="10"/>
    </row>
    <row r="565" ht="16.5" spans="1:5">
      <c r="A565" s="8">
        <v>3045103.988</v>
      </c>
      <c r="B565" s="8">
        <v>35401268.816</v>
      </c>
      <c r="C565" s="8">
        <v>907.163</v>
      </c>
      <c r="D565" s="9" t="s">
        <v>203</v>
      </c>
      <c r="E565" s="10"/>
    </row>
    <row r="566" ht="16.5" spans="1:5">
      <c r="A566" s="8">
        <v>3045103.988</v>
      </c>
      <c r="B566" s="8">
        <v>35401268.816</v>
      </c>
      <c r="C566" s="8">
        <v>907.163</v>
      </c>
      <c r="D566" s="9" t="s">
        <v>204</v>
      </c>
      <c r="E566" s="10"/>
    </row>
    <row r="567" ht="16.5" spans="1:5">
      <c r="A567" s="8">
        <v>3045103.988</v>
      </c>
      <c r="B567" s="8">
        <v>35401268.816</v>
      </c>
      <c r="C567" s="8">
        <v>907.163</v>
      </c>
      <c r="D567" s="9" t="s">
        <v>205</v>
      </c>
      <c r="E567" s="10"/>
    </row>
    <row r="568" ht="16.5" spans="1:5">
      <c r="A568" s="8">
        <v>3045103.988</v>
      </c>
      <c r="B568" s="8">
        <v>35401268.816</v>
      </c>
      <c r="C568" s="8">
        <v>907.163</v>
      </c>
      <c r="D568" s="9" t="s">
        <v>206</v>
      </c>
      <c r="E568" s="10"/>
    </row>
    <row r="569" ht="16.5" spans="1:5">
      <c r="A569" s="8">
        <v>3045103.988</v>
      </c>
      <c r="B569" s="8">
        <v>35401268.816</v>
      </c>
      <c r="C569" s="8">
        <v>907.163</v>
      </c>
      <c r="D569" s="9" t="s">
        <v>207</v>
      </c>
      <c r="E569" s="10"/>
    </row>
    <row r="570" ht="16.5" spans="1:5">
      <c r="A570" s="8">
        <v>3045103.988</v>
      </c>
      <c r="B570" s="8">
        <v>35401268.816</v>
      </c>
      <c r="C570" s="8">
        <v>907.163</v>
      </c>
      <c r="D570" s="9" t="s">
        <v>208</v>
      </c>
      <c r="E570" s="10"/>
    </row>
    <row r="571" ht="16.5" spans="1:5">
      <c r="A571" s="8">
        <v>3045103.988</v>
      </c>
      <c r="B571" s="8">
        <v>35401268.816</v>
      </c>
      <c r="C571" s="8">
        <v>907.163</v>
      </c>
      <c r="D571" s="9" t="s">
        <v>209</v>
      </c>
      <c r="E571" s="10"/>
    </row>
    <row r="572" ht="16.5" spans="1:5">
      <c r="A572" s="8">
        <v>3045103.988</v>
      </c>
      <c r="B572" s="8">
        <v>35401268.816</v>
      </c>
      <c r="C572" s="8">
        <v>907.163</v>
      </c>
      <c r="D572" s="9" t="s">
        <v>210</v>
      </c>
      <c r="E572" s="10"/>
    </row>
    <row r="573" ht="16.5" spans="1:5">
      <c r="A573" s="8">
        <v>3045103.988</v>
      </c>
      <c r="B573" s="8">
        <v>35401268.816</v>
      </c>
      <c r="C573" s="8">
        <v>907.163</v>
      </c>
      <c r="D573" s="9" t="s">
        <v>211</v>
      </c>
      <c r="E573" s="10"/>
    </row>
    <row r="574" ht="16.5" spans="1:5">
      <c r="A574" s="8">
        <v>3045103.988</v>
      </c>
      <c r="B574" s="8">
        <v>35401268.816</v>
      </c>
      <c r="C574" s="8">
        <v>907.163</v>
      </c>
      <c r="D574" s="9" t="s">
        <v>212</v>
      </c>
      <c r="E574" s="10"/>
    </row>
    <row r="575" ht="16.5" spans="1:5">
      <c r="A575" s="8">
        <v>3045103.988</v>
      </c>
      <c r="B575" s="8">
        <v>35401268.816</v>
      </c>
      <c r="C575" s="8">
        <v>907.163</v>
      </c>
      <c r="D575" s="9" t="s">
        <v>213</v>
      </c>
      <c r="E575" s="10"/>
    </row>
    <row r="576" ht="16.5" spans="1:5">
      <c r="A576" s="8">
        <v>3045103.988</v>
      </c>
      <c r="B576" s="8">
        <v>35401268.816</v>
      </c>
      <c r="C576" s="8">
        <v>907.163</v>
      </c>
      <c r="D576" s="9" t="s">
        <v>214</v>
      </c>
      <c r="E576" s="10"/>
    </row>
    <row r="577" ht="16.5" spans="1:5">
      <c r="A577" s="8">
        <v>3045103.988</v>
      </c>
      <c r="B577" s="8">
        <v>35401268.816</v>
      </c>
      <c r="C577" s="8">
        <v>907.163</v>
      </c>
      <c r="D577" s="9" t="s">
        <v>215</v>
      </c>
      <c r="E577" s="10"/>
    </row>
    <row r="578" ht="16.5" spans="1:5">
      <c r="A578" s="8">
        <v>3045103.988</v>
      </c>
      <c r="B578" s="8">
        <v>35401268.816</v>
      </c>
      <c r="C578" s="8">
        <v>907.163</v>
      </c>
      <c r="D578" s="9" t="s">
        <v>216</v>
      </c>
      <c r="E578" s="10"/>
    </row>
    <row r="579" ht="16.5" spans="1:5">
      <c r="A579" s="8">
        <v>3045103.988</v>
      </c>
      <c r="B579" s="8">
        <v>35401268.816</v>
      </c>
      <c r="C579" s="8">
        <v>907.163</v>
      </c>
      <c r="D579" s="9" t="s">
        <v>217</v>
      </c>
      <c r="E579" s="10"/>
    </row>
    <row r="580" ht="16.5" spans="1:5">
      <c r="A580" s="8">
        <v>3045103.988</v>
      </c>
      <c r="B580" s="8">
        <v>35401268.816</v>
      </c>
      <c r="C580" s="8">
        <v>907.163</v>
      </c>
      <c r="D580" s="9" t="s">
        <v>218</v>
      </c>
      <c r="E580" s="10"/>
    </row>
    <row r="581" ht="16.5" spans="1:5">
      <c r="A581" s="8">
        <v>3045103.988</v>
      </c>
      <c r="B581" s="8">
        <v>35401268.816</v>
      </c>
      <c r="C581" s="8">
        <v>907.163</v>
      </c>
      <c r="D581" s="9" t="s">
        <v>219</v>
      </c>
      <c r="E581" s="10"/>
    </row>
    <row r="582" ht="16.5" spans="1:5">
      <c r="A582" s="8">
        <v>3045103.988</v>
      </c>
      <c r="B582" s="8">
        <v>35401268.816</v>
      </c>
      <c r="C582" s="8">
        <v>907.163</v>
      </c>
      <c r="D582" s="9" t="s">
        <v>220</v>
      </c>
      <c r="E582" s="10"/>
    </row>
    <row r="583" ht="16.5" spans="1:5">
      <c r="A583" s="8">
        <v>3045103.988</v>
      </c>
      <c r="B583" s="8">
        <v>35401268.816</v>
      </c>
      <c r="C583" s="8">
        <v>907.163</v>
      </c>
      <c r="D583" s="9" t="s">
        <v>221</v>
      </c>
      <c r="E583" s="10"/>
    </row>
    <row r="584" ht="16.5" spans="1:5">
      <c r="A584" s="8">
        <v>3045103.988</v>
      </c>
      <c r="B584" s="8">
        <v>35401268.816</v>
      </c>
      <c r="C584" s="8">
        <v>907.163</v>
      </c>
      <c r="D584" s="9" t="s">
        <v>222</v>
      </c>
      <c r="E584" s="10"/>
    </row>
    <row r="585" ht="16.5" spans="1:5">
      <c r="A585" s="8">
        <v>3045103.988</v>
      </c>
      <c r="B585" s="8">
        <v>35401268.816</v>
      </c>
      <c r="C585" s="8">
        <v>907.163</v>
      </c>
      <c r="D585" s="9" t="s">
        <v>223</v>
      </c>
      <c r="E585" s="10"/>
    </row>
    <row r="586" ht="16.5" spans="1:5">
      <c r="A586" s="8">
        <v>3045103.988</v>
      </c>
      <c r="B586" s="8">
        <v>35401268.816</v>
      </c>
      <c r="C586" s="8">
        <v>907.163</v>
      </c>
      <c r="D586" s="9" t="s">
        <v>224</v>
      </c>
      <c r="E586" s="10"/>
    </row>
    <row r="587" ht="16.5" spans="1:5">
      <c r="A587" s="8">
        <v>3045103.988</v>
      </c>
      <c r="B587" s="8">
        <v>35401268.816</v>
      </c>
      <c r="C587" s="8">
        <v>907.163</v>
      </c>
      <c r="D587" s="9" t="s">
        <v>225</v>
      </c>
      <c r="E587" s="10"/>
    </row>
    <row r="588" ht="16.5" spans="1:5">
      <c r="A588" s="8">
        <v>3045103.988</v>
      </c>
      <c r="B588" s="8">
        <v>35401268.816</v>
      </c>
      <c r="C588" s="8">
        <v>907.163</v>
      </c>
      <c r="D588" s="9" t="s">
        <v>226</v>
      </c>
      <c r="E588" s="10"/>
    </row>
    <row r="589" ht="16.5" spans="1:5">
      <c r="A589" s="8">
        <v>3045103.988</v>
      </c>
      <c r="B589" s="8">
        <v>35401268.816</v>
      </c>
      <c r="C589" s="8">
        <v>907.163</v>
      </c>
      <c r="D589" s="9" t="s">
        <v>227</v>
      </c>
      <c r="E589" s="10"/>
    </row>
    <row r="590" ht="16.5" spans="1:5">
      <c r="A590" s="8">
        <v>3045103.988</v>
      </c>
      <c r="B590" s="8">
        <v>35401268.816</v>
      </c>
      <c r="C590" s="8">
        <v>907.163</v>
      </c>
      <c r="D590" s="9" t="s">
        <v>228</v>
      </c>
      <c r="E590" s="10"/>
    </row>
    <row r="591" ht="16.5" spans="1:5">
      <c r="A591" s="8">
        <v>3045103.988</v>
      </c>
      <c r="B591" s="8">
        <v>35401268.816</v>
      </c>
      <c r="C591" s="8">
        <v>907.163</v>
      </c>
      <c r="D591" s="9" t="s">
        <v>229</v>
      </c>
      <c r="E591" s="10"/>
    </row>
    <row r="592" ht="16.5" spans="1:5">
      <c r="A592" s="8">
        <v>3045103.988</v>
      </c>
      <c r="B592" s="8">
        <v>35401268.816</v>
      </c>
      <c r="C592" s="8">
        <v>907.163</v>
      </c>
      <c r="D592" s="9" t="s">
        <v>230</v>
      </c>
      <c r="E592" s="10"/>
    </row>
    <row r="593" ht="16.5" spans="1:5">
      <c r="A593" s="8">
        <v>3045103.988</v>
      </c>
      <c r="B593" s="8">
        <v>35401268.816</v>
      </c>
      <c r="C593" s="8">
        <v>907.163</v>
      </c>
      <c r="D593" s="9" t="s">
        <v>231</v>
      </c>
      <c r="E593" s="10"/>
    </row>
    <row r="594" ht="16.5" spans="1:5">
      <c r="A594" s="8">
        <v>3045103.988</v>
      </c>
      <c r="B594" s="8">
        <v>35401268.816</v>
      </c>
      <c r="C594" s="8">
        <v>907.163</v>
      </c>
      <c r="D594" s="9" t="s">
        <v>232</v>
      </c>
      <c r="E594" s="10"/>
    </row>
    <row r="595" ht="16.5" spans="1:5">
      <c r="A595" s="8">
        <v>3045103.988</v>
      </c>
      <c r="B595" s="8">
        <v>35401268.816</v>
      </c>
      <c r="C595" s="8">
        <v>907.163</v>
      </c>
      <c r="D595" s="9" t="s">
        <v>233</v>
      </c>
      <c r="E595" s="10"/>
    </row>
    <row r="596" ht="16.5" spans="1:5">
      <c r="A596" s="8">
        <v>3045103.988</v>
      </c>
      <c r="B596" s="8">
        <v>35401268.816</v>
      </c>
      <c r="C596" s="8">
        <v>907.163</v>
      </c>
      <c r="D596" s="9" t="s">
        <v>234</v>
      </c>
      <c r="E596" s="10"/>
    </row>
    <row r="597" ht="16.5" spans="1:5">
      <c r="A597" s="8">
        <v>3045103.988</v>
      </c>
      <c r="B597" s="8">
        <v>35401268.816</v>
      </c>
      <c r="C597" s="8">
        <v>907.163</v>
      </c>
      <c r="D597" s="9" t="s">
        <v>235</v>
      </c>
      <c r="E597" s="10"/>
    </row>
    <row r="598" ht="16.5" spans="1:5">
      <c r="A598" s="8">
        <v>3045103.988</v>
      </c>
      <c r="B598" s="8">
        <v>35401268.816</v>
      </c>
      <c r="C598" s="8">
        <v>907.163</v>
      </c>
      <c r="D598" s="9" t="s">
        <v>236</v>
      </c>
      <c r="E598" s="10"/>
    </row>
    <row r="599" ht="16.5" spans="1:5">
      <c r="A599" s="8">
        <v>3045103.988</v>
      </c>
      <c r="B599" s="8">
        <v>35401268.816</v>
      </c>
      <c r="C599" s="8">
        <v>907.163</v>
      </c>
      <c r="D599" s="9" t="s">
        <v>237</v>
      </c>
      <c r="E599" s="10"/>
    </row>
    <row r="600" ht="16.5" spans="1:5">
      <c r="A600" s="8">
        <v>3045103.988</v>
      </c>
      <c r="B600" s="8">
        <v>35401268.816</v>
      </c>
      <c r="C600" s="8">
        <v>907.163</v>
      </c>
      <c r="D600" s="9" t="s">
        <v>238</v>
      </c>
      <c r="E600" s="10"/>
    </row>
    <row r="601" ht="16.5" spans="1:5">
      <c r="A601" s="8">
        <v>3045103.988</v>
      </c>
      <c r="B601" s="8">
        <v>35401268.816</v>
      </c>
      <c r="C601" s="8">
        <v>907.163</v>
      </c>
      <c r="D601" s="9" t="s">
        <v>239</v>
      </c>
      <c r="E601" s="10"/>
    </row>
    <row r="602" ht="16.5" spans="1:5">
      <c r="A602" s="8">
        <v>3045103.988</v>
      </c>
      <c r="B602" s="8">
        <v>35401268.816</v>
      </c>
      <c r="C602" s="8">
        <v>907.163</v>
      </c>
      <c r="D602" s="9" t="s">
        <v>240</v>
      </c>
      <c r="E602" s="10"/>
    </row>
    <row r="603" ht="16.5" spans="1:5">
      <c r="A603" s="8">
        <v>3045103.988</v>
      </c>
      <c r="B603" s="8">
        <v>35401268.816</v>
      </c>
      <c r="C603" s="8">
        <v>907.163</v>
      </c>
      <c r="D603" s="9" t="s">
        <v>241</v>
      </c>
      <c r="E603" s="10"/>
    </row>
    <row r="604" ht="16.5" spans="1:5">
      <c r="A604" s="8">
        <v>3045103.988</v>
      </c>
      <c r="B604" s="8">
        <v>35401268.816</v>
      </c>
      <c r="C604" s="8">
        <v>907.163</v>
      </c>
      <c r="D604" s="9" t="s">
        <v>242</v>
      </c>
      <c r="E604" s="10"/>
    </row>
    <row r="605" ht="16.5" spans="1:5">
      <c r="A605" s="8">
        <v>3045103.988</v>
      </c>
      <c r="B605" s="8">
        <v>35401268.816</v>
      </c>
      <c r="C605" s="8">
        <v>907.163</v>
      </c>
      <c r="D605" s="9" t="s">
        <v>243</v>
      </c>
      <c r="E605" s="10"/>
    </row>
    <row r="606" ht="16.5" spans="1:5">
      <c r="A606" s="8">
        <v>3045103.988</v>
      </c>
      <c r="B606" s="8">
        <v>35401268.816</v>
      </c>
      <c r="C606" s="8">
        <v>907.163</v>
      </c>
      <c r="D606" s="9" t="s">
        <v>244</v>
      </c>
      <c r="E606" s="10"/>
    </row>
    <row r="607" ht="16.5" spans="1:5">
      <c r="A607" s="8">
        <v>3045103.988</v>
      </c>
      <c r="B607" s="8">
        <v>35401268.816</v>
      </c>
      <c r="C607" s="8">
        <v>907.163</v>
      </c>
      <c r="D607" s="9" t="s">
        <v>245</v>
      </c>
      <c r="E607" s="10"/>
    </row>
    <row r="608" ht="16.5" spans="1:5">
      <c r="A608" s="8">
        <v>3045103.988</v>
      </c>
      <c r="B608" s="8">
        <v>35401268.816</v>
      </c>
      <c r="C608" s="8">
        <v>907.163</v>
      </c>
      <c r="D608" s="9" t="s">
        <v>246</v>
      </c>
      <c r="E608" s="10"/>
    </row>
    <row r="609" ht="16.5" spans="1:5">
      <c r="A609" s="8">
        <v>3045103.988</v>
      </c>
      <c r="B609" s="8">
        <v>35401268.816</v>
      </c>
      <c r="C609" s="8">
        <v>907.163</v>
      </c>
      <c r="D609" s="9" t="s">
        <v>247</v>
      </c>
      <c r="E609" s="10"/>
    </row>
    <row r="610" ht="16.5" spans="1:5">
      <c r="A610" s="8">
        <v>3045103.988</v>
      </c>
      <c r="B610" s="8">
        <v>35401268.816</v>
      </c>
      <c r="C610" s="8">
        <v>907.163</v>
      </c>
      <c r="D610" s="9" t="s">
        <v>248</v>
      </c>
      <c r="E610" s="10"/>
    </row>
    <row r="611" ht="16.5" spans="1:5">
      <c r="A611" s="8">
        <v>3045103.988</v>
      </c>
      <c r="B611" s="8">
        <v>35401268.816</v>
      </c>
      <c r="C611" s="8">
        <v>907.163</v>
      </c>
      <c r="D611" s="9" t="s">
        <v>249</v>
      </c>
      <c r="E611" s="10"/>
    </row>
    <row r="612" ht="16.5" spans="1:5">
      <c r="A612" s="8">
        <v>3045103.988</v>
      </c>
      <c r="B612" s="8">
        <v>35401268.816</v>
      </c>
      <c r="C612" s="8">
        <v>907.163</v>
      </c>
      <c r="D612" s="9" t="s">
        <v>250</v>
      </c>
      <c r="E612" s="10"/>
    </row>
    <row r="613" ht="16.5" spans="1:5">
      <c r="A613" s="8">
        <v>3045103.988</v>
      </c>
      <c r="B613" s="8">
        <v>35401268.816</v>
      </c>
      <c r="C613" s="8">
        <v>907.163</v>
      </c>
      <c r="D613" s="9" t="s">
        <v>251</v>
      </c>
      <c r="E613" s="10"/>
    </row>
    <row r="614" ht="16.5" spans="1:5">
      <c r="A614" s="8">
        <v>3045103.988</v>
      </c>
      <c r="B614" s="8">
        <v>35401268.816</v>
      </c>
      <c r="C614" s="8">
        <v>907.163</v>
      </c>
      <c r="D614" s="9" t="s">
        <v>252</v>
      </c>
      <c r="E614" s="10"/>
    </row>
    <row r="615" ht="16.5" spans="1:5">
      <c r="A615" s="8">
        <v>3045103.988</v>
      </c>
      <c r="B615" s="8">
        <v>35401268.816</v>
      </c>
      <c r="C615" s="8">
        <v>907.163</v>
      </c>
      <c r="D615" s="9" t="s">
        <v>253</v>
      </c>
      <c r="E615" s="10"/>
    </row>
    <row r="616" ht="16.5" spans="1:5">
      <c r="A616" s="8">
        <v>3045103.988</v>
      </c>
      <c r="B616" s="8">
        <v>35401268.816</v>
      </c>
      <c r="C616" s="8">
        <v>907.163</v>
      </c>
      <c r="D616" s="9" t="s">
        <v>254</v>
      </c>
      <c r="E616" s="10"/>
    </row>
    <row r="617" ht="16.5" spans="1:5">
      <c r="A617" s="8">
        <v>3045103.988</v>
      </c>
      <c r="B617" s="8">
        <v>35401268.816</v>
      </c>
      <c r="C617" s="8">
        <v>907.163</v>
      </c>
      <c r="D617" s="9" t="s">
        <v>255</v>
      </c>
      <c r="E617" s="10"/>
    </row>
    <row r="618" ht="16.5" spans="1:5">
      <c r="A618" s="8">
        <v>3045103.988</v>
      </c>
      <c r="B618" s="8">
        <v>35401268.816</v>
      </c>
      <c r="C618" s="8">
        <v>907.163</v>
      </c>
      <c r="D618" s="9" t="s">
        <v>256</v>
      </c>
      <c r="E618" s="10"/>
    </row>
    <row r="619" ht="16.5" spans="1:5">
      <c r="A619" s="8">
        <v>3045103.988</v>
      </c>
      <c r="B619" s="8">
        <v>35401268.816</v>
      </c>
      <c r="C619" s="8">
        <v>907.163</v>
      </c>
      <c r="D619" s="9" t="s">
        <v>257</v>
      </c>
      <c r="E619" s="10"/>
    </row>
    <row r="620" ht="16.5" spans="1:5">
      <c r="A620" s="8">
        <v>3045103.988</v>
      </c>
      <c r="B620" s="8">
        <v>35401268.816</v>
      </c>
      <c r="C620" s="8">
        <v>907.163</v>
      </c>
      <c r="D620" s="9" t="s">
        <v>258</v>
      </c>
      <c r="E620" s="10"/>
    </row>
    <row r="621" ht="16.5" spans="1:5">
      <c r="A621" s="8">
        <v>3045103.988</v>
      </c>
      <c r="B621" s="8">
        <v>35401268.816</v>
      </c>
      <c r="C621" s="8">
        <v>907.163</v>
      </c>
      <c r="D621" s="9" t="s">
        <v>259</v>
      </c>
      <c r="E621" s="10"/>
    </row>
    <row r="622" ht="16.5" spans="1:5">
      <c r="A622" s="8">
        <v>3045103.988</v>
      </c>
      <c r="B622" s="8">
        <v>35401268.816</v>
      </c>
      <c r="C622" s="8">
        <v>907.163</v>
      </c>
      <c r="D622" s="9" t="s">
        <v>260</v>
      </c>
      <c r="E622" s="10"/>
    </row>
    <row r="623" ht="16.5" spans="1:5">
      <c r="A623" s="8">
        <v>3045103.988</v>
      </c>
      <c r="B623" s="8">
        <v>35401268.816</v>
      </c>
      <c r="C623" s="8">
        <v>907.163</v>
      </c>
      <c r="D623" s="9" t="s">
        <v>261</v>
      </c>
      <c r="E623" s="10"/>
    </row>
    <row r="624" ht="16.5" spans="1:5">
      <c r="A624" s="8">
        <v>3045103.988</v>
      </c>
      <c r="B624" s="8">
        <v>35401268.816</v>
      </c>
      <c r="C624" s="8">
        <v>907.163</v>
      </c>
      <c r="D624" s="9" t="s">
        <v>262</v>
      </c>
      <c r="E624" s="10"/>
    </row>
    <row r="625" ht="16.5" spans="1:5">
      <c r="A625" s="8">
        <v>3045103.988</v>
      </c>
      <c r="B625" s="8">
        <v>35401268.816</v>
      </c>
      <c r="C625" s="8">
        <v>907.163</v>
      </c>
      <c r="D625" s="9" t="s">
        <v>263</v>
      </c>
      <c r="E625" s="10"/>
    </row>
    <row r="626" ht="16.5" spans="1:5">
      <c r="A626" s="8">
        <v>3045103.988</v>
      </c>
      <c r="B626" s="8">
        <v>35401268.816</v>
      </c>
      <c r="C626" s="8">
        <v>907.163</v>
      </c>
      <c r="D626" s="9" t="s">
        <v>264</v>
      </c>
      <c r="E626" s="10"/>
    </row>
    <row r="627" ht="16.5" spans="1:5">
      <c r="A627" s="8">
        <v>3045103.988</v>
      </c>
      <c r="B627" s="8">
        <v>35401268.816</v>
      </c>
      <c r="C627" s="8">
        <v>907.163</v>
      </c>
      <c r="D627" s="9" t="s">
        <v>265</v>
      </c>
      <c r="E627" s="10"/>
    </row>
    <row r="628" ht="16.5" spans="1:5">
      <c r="A628" s="8">
        <v>3045103.988</v>
      </c>
      <c r="B628" s="8">
        <v>35401268.816</v>
      </c>
      <c r="C628" s="8">
        <v>907.163</v>
      </c>
      <c r="D628" s="9" t="s">
        <v>266</v>
      </c>
      <c r="E628" s="10"/>
    </row>
    <row r="629" ht="16.5" spans="1:5">
      <c r="A629" s="8">
        <v>3045103.988</v>
      </c>
      <c r="B629" s="8">
        <v>35401268.816</v>
      </c>
      <c r="C629" s="8">
        <v>907.163</v>
      </c>
      <c r="D629" s="9" t="s">
        <v>267</v>
      </c>
      <c r="E629" s="10"/>
    </row>
    <row r="630" ht="16.5" spans="1:5">
      <c r="A630" s="8">
        <v>3045103.988</v>
      </c>
      <c r="B630" s="8">
        <v>35401268.816</v>
      </c>
      <c r="C630" s="8">
        <v>907.163</v>
      </c>
      <c r="D630" s="9" t="s">
        <v>268</v>
      </c>
      <c r="E630" s="10"/>
    </row>
    <row r="631" ht="16.5" spans="1:5">
      <c r="A631" s="8">
        <v>3045103.988</v>
      </c>
      <c r="B631" s="8">
        <v>35401268.816</v>
      </c>
      <c r="C631" s="8">
        <v>907.163</v>
      </c>
      <c r="D631" s="9" t="s">
        <v>269</v>
      </c>
      <c r="E631" s="10"/>
    </row>
    <row r="632" ht="16.5" spans="1:5">
      <c r="A632" s="8">
        <v>3045103.988</v>
      </c>
      <c r="B632" s="8">
        <v>35401268.816</v>
      </c>
      <c r="C632" s="8">
        <v>907.163</v>
      </c>
      <c r="D632" s="9" t="s">
        <v>270</v>
      </c>
      <c r="E632" s="10"/>
    </row>
    <row r="633" ht="16.5" spans="1:5">
      <c r="A633" s="8">
        <v>3045103.988</v>
      </c>
      <c r="B633" s="8">
        <v>35401268.816</v>
      </c>
      <c r="C633" s="8">
        <v>907.163</v>
      </c>
      <c r="D633" s="9" t="s">
        <v>271</v>
      </c>
      <c r="E633" s="10"/>
    </row>
    <row r="634" ht="16.5" spans="1:5">
      <c r="A634" s="8">
        <v>3045103.988</v>
      </c>
      <c r="B634" s="8">
        <v>35401268.816</v>
      </c>
      <c r="C634" s="8">
        <v>907.163</v>
      </c>
      <c r="D634" s="9" t="s">
        <v>272</v>
      </c>
      <c r="E634" s="10"/>
    </row>
    <row r="635" ht="16.5" spans="1:5">
      <c r="A635" s="8">
        <v>3045103.988</v>
      </c>
      <c r="B635" s="8">
        <v>35401268.816</v>
      </c>
      <c r="C635" s="8">
        <v>907.163</v>
      </c>
      <c r="D635" s="9" t="s">
        <v>273</v>
      </c>
      <c r="E635" s="10"/>
    </row>
    <row r="636" ht="16.5" spans="1:5">
      <c r="A636" s="8">
        <v>3045103.988</v>
      </c>
      <c r="B636" s="8">
        <v>35401268.816</v>
      </c>
      <c r="C636" s="8">
        <v>907.163</v>
      </c>
      <c r="D636" s="9" t="s">
        <v>274</v>
      </c>
      <c r="E636" s="10"/>
    </row>
    <row r="637" ht="16.5" spans="1:5">
      <c r="A637" s="8">
        <v>3045103.988</v>
      </c>
      <c r="B637" s="8">
        <v>35401268.816</v>
      </c>
      <c r="C637" s="8">
        <v>907.163</v>
      </c>
      <c r="D637" s="9" t="s">
        <v>275</v>
      </c>
      <c r="E637" s="10"/>
    </row>
    <row r="638" ht="16.5" spans="1:5">
      <c r="A638" s="8">
        <v>3045103.988</v>
      </c>
      <c r="B638" s="8">
        <v>35401268.816</v>
      </c>
      <c r="C638" s="8">
        <v>907.163</v>
      </c>
      <c r="D638" s="9" t="s">
        <v>276</v>
      </c>
      <c r="E638" s="10"/>
    </row>
    <row r="639" ht="16.5" spans="1:5">
      <c r="A639" s="8">
        <v>3045103.988</v>
      </c>
      <c r="B639" s="8">
        <v>35401268.816</v>
      </c>
      <c r="C639" s="8">
        <v>907.163</v>
      </c>
      <c r="D639" s="9" t="s">
        <v>277</v>
      </c>
      <c r="E639" s="10"/>
    </row>
    <row r="640" ht="16.5" spans="1:5">
      <c r="A640" s="8">
        <v>3045103.988</v>
      </c>
      <c r="B640" s="8">
        <v>35401268.816</v>
      </c>
      <c r="C640" s="8">
        <v>907.163</v>
      </c>
      <c r="D640" s="9" t="s">
        <v>278</v>
      </c>
      <c r="E640" s="10"/>
    </row>
    <row r="641" ht="16.5" spans="1:5">
      <c r="A641" s="8">
        <v>3045103.988</v>
      </c>
      <c r="B641" s="8">
        <v>35401268.816</v>
      </c>
      <c r="C641" s="8">
        <v>907.163</v>
      </c>
      <c r="D641" s="9" t="s">
        <v>279</v>
      </c>
      <c r="E641" s="10"/>
    </row>
    <row r="642" ht="16.5" spans="1:5">
      <c r="A642" s="8">
        <v>3045103.988</v>
      </c>
      <c r="B642" s="8">
        <v>35401268.816</v>
      </c>
      <c r="C642" s="8">
        <v>907.163</v>
      </c>
      <c r="D642" s="9" t="s">
        <v>280</v>
      </c>
      <c r="E642" s="10"/>
    </row>
    <row r="643" ht="16.5" spans="1:5">
      <c r="A643" s="8">
        <v>3045103.988</v>
      </c>
      <c r="B643" s="8">
        <v>35401268.816</v>
      </c>
      <c r="C643" s="8">
        <v>907.163</v>
      </c>
      <c r="D643" s="9" t="s">
        <v>281</v>
      </c>
      <c r="E643" s="10"/>
    </row>
    <row r="644" ht="16.5" spans="1:5">
      <c r="A644" s="8">
        <v>3045103.988</v>
      </c>
      <c r="B644" s="8">
        <v>35401268.816</v>
      </c>
      <c r="C644" s="8">
        <v>907.163</v>
      </c>
      <c r="D644" s="9" t="s">
        <v>282</v>
      </c>
      <c r="E644" s="10"/>
    </row>
    <row r="645" ht="16.5" spans="1:5">
      <c r="A645" s="8">
        <v>3045103.988</v>
      </c>
      <c r="B645" s="8">
        <v>35401268.816</v>
      </c>
      <c r="C645" s="8">
        <v>907.163</v>
      </c>
      <c r="D645" s="9" t="s">
        <v>283</v>
      </c>
      <c r="E645" s="10"/>
    </row>
    <row r="646" ht="16.5" spans="1:5">
      <c r="A646" s="8">
        <v>3045103.988</v>
      </c>
      <c r="B646" s="8">
        <v>35401268.816</v>
      </c>
      <c r="C646" s="8">
        <v>907.163</v>
      </c>
      <c r="D646" s="9" t="s">
        <v>284</v>
      </c>
      <c r="E646" s="10"/>
    </row>
    <row r="647" ht="16.5" spans="1:5">
      <c r="A647" s="8">
        <v>3045103.988</v>
      </c>
      <c r="B647" s="8">
        <v>35401268.816</v>
      </c>
      <c r="C647" s="8">
        <v>907.163</v>
      </c>
      <c r="D647" s="9" t="s">
        <v>285</v>
      </c>
      <c r="E647" s="10"/>
    </row>
    <row r="648" ht="16.5" spans="1:5">
      <c r="A648" s="8">
        <v>3045103.988</v>
      </c>
      <c r="B648" s="8">
        <v>35401268.816</v>
      </c>
      <c r="C648" s="8">
        <v>907.163</v>
      </c>
      <c r="D648" s="9" t="s">
        <v>286</v>
      </c>
      <c r="E648" s="10"/>
    </row>
    <row r="649" ht="16.5" spans="1:5">
      <c r="A649" s="8">
        <v>3045103.988</v>
      </c>
      <c r="B649" s="8">
        <v>35401268.816</v>
      </c>
      <c r="C649" s="8">
        <v>907.163</v>
      </c>
      <c r="D649" s="9" t="s">
        <v>287</v>
      </c>
      <c r="E649" s="10"/>
    </row>
    <row r="650" ht="16.5" spans="1:5">
      <c r="A650" s="8">
        <v>3045103.988</v>
      </c>
      <c r="B650" s="8">
        <v>35401268.816</v>
      </c>
      <c r="C650" s="8">
        <v>907.163</v>
      </c>
      <c r="D650" s="9" t="s">
        <v>288</v>
      </c>
      <c r="E650" s="10"/>
    </row>
    <row r="651" ht="16.5" spans="1:5">
      <c r="A651" s="8">
        <v>3045103.988</v>
      </c>
      <c r="B651" s="8">
        <v>35401268.816</v>
      </c>
      <c r="C651" s="8">
        <v>907.163</v>
      </c>
      <c r="D651" s="9" t="s">
        <v>289</v>
      </c>
      <c r="E651" s="10"/>
    </row>
    <row r="652" ht="16.5" spans="1:5">
      <c r="A652" s="8">
        <v>3045103.988</v>
      </c>
      <c r="B652" s="8">
        <v>35401268.816</v>
      </c>
      <c r="C652" s="8">
        <v>907.163</v>
      </c>
      <c r="D652" s="9" t="s">
        <v>290</v>
      </c>
      <c r="E652" s="10"/>
    </row>
    <row r="653" ht="16.5" spans="1:5">
      <c r="A653" s="8">
        <v>3045103.988</v>
      </c>
      <c r="B653" s="8">
        <v>35401268.816</v>
      </c>
      <c r="C653" s="8">
        <v>907.163</v>
      </c>
      <c r="D653" s="9" t="s">
        <v>291</v>
      </c>
      <c r="E653" s="10"/>
    </row>
    <row r="654" ht="16.5" spans="1:5">
      <c r="A654" s="8">
        <v>3045103.988</v>
      </c>
      <c r="B654" s="8">
        <v>35401268.816</v>
      </c>
      <c r="C654" s="8">
        <v>907.163</v>
      </c>
      <c r="D654" s="9" t="s">
        <v>292</v>
      </c>
      <c r="E654" s="10"/>
    </row>
    <row r="655" ht="16.5" spans="1:5">
      <c r="A655" s="8">
        <v>3045103.988</v>
      </c>
      <c r="B655" s="8">
        <v>35401268.816</v>
      </c>
      <c r="C655" s="8">
        <v>907.163</v>
      </c>
      <c r="D655" s="9" t="s">
        <v>293</v>
      </c>
      <c r="E655" s="10"/>
    </row>
    <row r="656" ht="16.5" spans="1:5">
      <c r="A656" s="8">
        <v>3045103.988</v>
      </c>
      <c r="B656" s="8">
        <v>35401268.816</v>
      </c>
      <c r="C656" s="8">
        <v>907.163</v>
      </c>
      <c r="D656" s="9" t="s">
        <v>294</v>
      </c>
      <c r="E656" s="10"/>
    </row>
    <row r="657" ht="16.5" spans="1:5">
      <c r="A657" s="8">
        <v>3045103.988</v>
      </c>
      <c r="B657" s="8">
        <v>35401268.816</v>
      </c>
      <c r="C657" s="8">
        <v>907.163</v>
      </c>
      <c r="D657" s="9" t="s">
        <v>295</v>
      </c>
      <c r="E657" s="10"/>
    </row>
    <row r="658" ht="16.5" spans="1:5">
      <c r="A658" s="8">
        <v>3045103.988</v>
      </c>
      <c r="B658" s="8">
        <v>35401268.816</v>
      </c>
      <c r="C658" s="8">
        <v>907.163</v>
      </c>
      <c r="D658" s="9" t="s">
        <v>296</v>
      </c>
      <c r="E658" s="10"/>
    </row>
    <row r="659" ht="16.5" spans="1:5">
      <c r="A659" s="8">
        <v>3045103.988</v>
      </c>
      <c r="B659" s="8">
        <v>35401268.816</v>
      </c>
      <c r="C659" s="8">
        <v>907.163</v>
      </c>
      <c r="D659" s="9" t="s">
        <v>297</v>
      </c>
      <c r="E659" s="10"/>
    </row>
    <row r="660" ht="16.5" spans="1:5">
      <c r="A660" s="8">
        <v>3045103.988</v>
      </c>
      <c r="B660" s="8">
        <v>35401268.816</v>
      </c>
      <c r="C660" s="8">
        <v>907.163</v>
      </c>
      <c r="D660" s="9" t="s">
        <v>298</v>
      </c>
      <c r="E660" s="10"/>
    </row>
    <row r="661" ht="16.5" spans="1:5">
      <c r="A661" s="8">
        <v>3045103.988</v>
      </c>
      <c r="B661" s="8">
        <v>35401268.816</v>
      </c>
      <c r="C661" s="8">
        <v>907.163</v>
      </c>
      <c r="D661" s="9" t="s">
        <v>299</v>
      </c>
      <c r="E661" s="10"/>
    </row>
    <row r="662" ht="16.5" spans="1:5">
      <c r="A662" s="8">
        <v>3045103.988</v>
      </c>
      <c r="B662" s="8">
        <v>35401268.816</v>
      </c>
      <c r="C662" s="8">
        <v>907.163</v>
      </c>
      <c r="D662" s="9" t="s">
        <v>300</v>
      </c>
      <c r="E662" s="10"/>
    </row>
    <row r="663" ht="16.5" spans="1:5">
      <c r="A663" s="8">
        <v>3045103.988</v>
      </c>
      <c r="B663" s="8">
        <v>35401268.816</v>
      </c>
      <c r="C663" s="8">
        <v>907.163</v>
      </c>
      <c r="D663" s="9" t="s">
        <v>301</v>
      </c>
      <c r="E663" s="10"/>
    </row>
    <row r="664" ht="16.5" spans="1:5">
      <c r="A664" s="8">
        <v>3045103.988</v>
      </c>
      <c r="B664" s="8">
        <v>35401268.816</v>
      </c>
      <c r="C664" s="8">
        <v>907.163</v>
      </c>
      <c r="D664" s="9" t="s">
        <v>302</v>
      </c>
      <c r="E664" s="10"/>
    </row>
    <row r="665" ht="16.5" spans="1:5">
      <c r="A665" s="8">
        <v>3045103.988</v>
      </c>
      <c r="B665" s="8">
        <v>35401268.816</v>
      </c>
      <c r="C665" s="8">
        <v>907.163</v>
      </c>
      <c r="D665" s="9" t="s">
        <v>303</v>
      </c>
      <c r="E665" s="10"/>
    </row>
    <row r="666" ht="16.5" spans="1:5">
      <c r="A666" s="8">
        <v>3045103.988</v>
      </c>
      <c r="B666" s="8">
        <v>35401268.816</v>
      </c>
      <c r="C666" s="8">
        <v>907.163</v>
      </c>
      <c r="D666" s="9" t="s">
        <v>304</v>
      </c>
      <c r="E666" s="10"/>
    </row>
    <row r="667" ht="16.5" spans="1:5">
      <c r="A667" s="8">
        <v>3045103.988</v>
      </c>
      <c r="B667" s="8">
        <v>35401268.816</v>
      </c>
      <c r="C667" s="8">
        <v>907.163</v>
      </c>
      <c r="D667" s="9" t="s">
        <v>305</v>
      </c>
      <c r="E667" s="10"/>
    </row>
    <row r="668" ht="16.5" spans="1:5">
      <c r="A668" s="8">
        <v>3045103.988</v>
      </c>
      <c r="B668" s="8">
        <v>35401268.816</v>
      </c>
      <c r="C668" s="8">
        <v>907.163</v>
      </c>
      <c r="D668" s="9" t="s">
        <v>306</v>
      </c>
      <c r="E668" s="10"/>
    </row>
    <row r="669" ht="16.5" spans="1:5">
      <c r="A669" s="8">
        <v>3045103.988</v>
      </c>
      <c r="B669" s="8">
        <v>35401268.816</v>
      </c>
      <c r="C669" s="8">
        <v>907.163</v>
      </c>
      <c r="D669" s="9" t="s">
        <v>307</v>
      </c>
      <c r="E669" s="10"/>
    </row>
    <row r="670" ht="16.5" spans="1:5">
      <c r="A670" s="8">
        <v>3045103.988</v>
      </c>
      <c r="B670" s="8">
        <v>35401268.816</v>
      </c>
      <c r="C670" s="8">
        <v>907.163</v>
      </c>
      <c r="D670" s="9" t="s">
        <v>308</v>
      </c>
      <c r="E670" s="10"/>
    </row>
    <row r="671" ht="16.5" spans="1:5">
      <c r="A671" s="8">
        <v>3045103.988</v>
      </c>
      <c r="B671" s="8">
        <v>35401268.816</v>
      </c>
      <c r="C671" s="8">
        <v>907.163</v>
      </c>
      <c r="D671" s="9" t="s">
        <v>309</v>
      </c>
      <c r="E671" s="10"/>
    </row>
    <row r="672" ht="16.5" spans="1:5">
      <c r="A672" s="8">
        <v>3045103.988</v>
      </c>
      <c r="B672" s="8">
        <v>35401268.816</v>
      </c>
      <c r="C672" s="8">
        <v>907.163</v>
      </c>
      <c r="D672" s="9" t="s">
        <v>310</v>
      </c>
      <c r="E672" s="10"/>
    </row>
    <row r="673" ht="16.5" spans="1:5">
      <c r="A673" s="8">
        <v>3045103.988</v>
      </c>
      <c r="B673" s="8">
        <v>35401268.816</v>
      </c>
      <c r="C673" s="8">
        <v>907.163</v>
      </c>
      <c r="D673" s="9" t="s">
        <v>311</v>
      </c>
      <c r="E673" s="10"/>
    </row>
    <row r="674" ht="16.5" spans="1:5">
      <c r="A674" s="8">
        <v>3045103.988</v>
      </c>
      <c r="B674" s="8">
        <v>35401268.816</v>
      </c>
      <c r="C674" s="8">
        <v>907.163</v>
      </c>
      <c r="D674" s="9" t="s">
        <v>312</v>
      </c>
      <c r="E674" s="10"/>
    </row>
    <row r="675" ht="16.5" spans="1:5">
      <c r="A675" s="8">
        <v>3045103.988</v>
      </c>
      <c r="B675" s="8">
        <v>35401268.816</v>
      </c>
      <c r="C675" s="8">
        <v>907.163</v>
      </c>
      <c r="D675" s="9" t="s">
        <v>313</v>
      </c>
      <c r="E675" s="10"/>
    </row>
    <row r="676" ht="16.5" spans="1:5">
      <c r="A676" s="8">
        <v>3045103.988</v>
      </c>
      <c r="B676" s="8">
        <v>35401268.816</v>
      </c>
      <c r="C676" s="8">
        <v>907.163</v>
      </c>
      <c r="D676" s="9" t="s">
        <v>314</v>
      </c>
      <c r="E676" s="10"/>
    </row>
    <row r="677" ht="16.5" spans="1:5">
      <c r="A677" s="8">
        <v>3045103.988</v>
      </c>
      <c r="B677" s="8">
        <v>35401268.816</v>
      </c>
      <c r="C677" s="8">
        <v>907.163</v>
      </c>
      <c r="D677" s="9" t="s">
        <v>315</v>
      </c>
      <c r="E677" s="10"/>
    </row>
    <row r="678" ht="16.5" spans="1:5">
      <c r="A678" s="8">
        <v>3045103.988</v>
      </c>
      <c r="B678" s="8">
        <v>35401268.816</v>
      </c>
      <c r="C678" s="8">
        <v>907.163</v>
      </c>
      <c r="D678" s="9" t="s">
        <v>316</v>
      </c>
      <c r="E678" s="10"/>
    </row>
    <row r="679" ht="16.5" spans="1:5">
      <c r="A679" s="8">
        <v>3045103.988</v>
      </c>
      <c r="B679" s="8">
        <v>35401268.816</v>
      </c>
      <c r="C679" s="8">
        <v>907.163</v>
      </c>
      <c r="D679" s="9" t="s">
        <v>317</v>
      </c>
      <c r="E679" s="10"/>
    </row>
    <row r="680" ht="16.5" spans="1:5">
      <c r="A680" s="8">
        <v>3045103.988</v>
      </c>
      <c r="B680" s="8">
        <v>35401268.816</v>
      </c>
      <c r="C680" s="8">
        <v>907.163</v>
      </c>
      <c r="D680" s="9" t="s">
        <v>318</v>
      </c>
      <c r="E680" s="10"/>
    </row>
    <row r="681" ht="16.5" spans="1:5">
      <c r="A681" s="8">
        <v>3045103.988</v>
      </c>
      <c r="B681" s="8">
        <v>35401268.816</v>
      </c>
      <c r="C681" s="8">
        <v>907.163</v>
      </c>
      <c r="D681" s="9" t="s">
        <v>319</v>
      </c>
      <c r="E681" s="10"/>
    </row>
    <row r="682" ht="16.5" spans="1:5">
      <c r="A682" s="8">
        <v>3045103.988</v>
      </c>
      <c r="B682" s="8">
        <v>35401268.816</v>
      </c>
      <c r="C682" s="8">
        <v>907.163</v>
      </c>
      <c r="D682" s="9" t="s">
        <v>320</v>
      </c>
      <c r="E682" s="10"/>
    </row>
    <row r="683" ht="16.5" spans="1:5">
      <c r="A683" s="8">
        <v>3045103.988</v>
      </c>
      <c r="B683" s="8">
        <v>35401268.816</v>
      </c>
      <c r="C683" s="8">
        <v>907.163</v>
      </c>
      <c r="D683" s="9" t="s">
        <v>321</v>
      </c>
      <c r="E683" s="10"/>
    </row>
    <row r="684" ht="16.5" spans="1:5">
      <c r="A684" s="8">
        <v>3045103.988</v>
      </c>
      <c r="B684" s="8">
        <v>35401268.816</v>
      </c>
      <c r="C684" s="8">
        <v>907.163</v>
      </c>
      <c r="D684" s="9" t="s">
        <v>322</v>
      </c>
      <c r="E684" s="10"/>
    </row>
    <row r="685" ht="16.5" spans="1:5">
      <c r="A685" s="8">
        <v>3045103.988</v>
      </c>
      <c r="B685" s="8">
        <v>35401268.816</v>
      </c>
      <c r="C685" s="8">
        <v>907.163</v>
      </c>
      <c r="D685" s="9" t="s">
        <v>323</v>
      </c>
      <c r="E685" s="10"/>
    </row>
    <row r="686" ht="16.5" spans="1:5">
      <c r="A686" s="8">
        <v>3045103.988</v>
      </c>
      <c r="B686" s="8">
        <v>35401268.816</v>
      </c>
      <c r="C686" s="8">
        <v>907.163</v>
      </c>
      <c r="D686" s="9" t="s">
        <v>324</v>
      </c>
      <c r="E686" s="10"/>
    </row>
    <row r="687" ht="16.5" spans="1:5">
      <c r="A687" s="8">
        <v>3045103.988</v>
      </c>
      <c r="B687" s="8">
        <v>35401268.816</v>
      </c>
      <c r="C687" s="8">
        <v>907.163</v>
      </c>
      <c r="D687" s="9" t="s">
        <v>325</v>
      </c>
      <c r="E687" s="10"/>
    </row>
    <row r="688" ht="16.5" spans="1:5">
      <c r="A688" s="8">
        <v>3045103.988</v>
      </c>
      <c r="B688" s="8">
        <v>35401268.816</v>
      </c>
      <c r="C688" s="8">
        <v>907.163</v>
      </c>
      <c r="D688" s="9" t="s">
        <v>326</v>
      </c>
      <c r="E688" s="10"/>
    </row>
    <row r="689" ht="16.5" spans="1:5">
      <c r="A689" s="8">
        <v>3045103.988</v>
      </c>
      <c r="B689" s="8">
        <v>35401268.816</v>
      </c>
      <c r="C689" s="8">
        <v>907.163</v>
      </c>
      <c r="D689" s="9" t="s">
        <v>327</v>
      </c>
      <c r="E689" s="10"/>
    </row>
    <row r="690" ht="16.5" spans="1:5">
      <c r="A690" s="8">
        <v>3045103.988</v>
      </c>
      <c r="B690" s="8">
        <v>35401268.816</v>
      </c>
      <c r="C690" s="8">
        <v>907.163</v>
      </c>
      <c r="D690" s="9" t="s">
        <v>328</v>
      </c>
      <c r="E690" s="10"/>
    </row>
    <row r="691" ht="16.5" spans="1:5">
      <c r="A691" s="8">
        <v>3045103.988</v>
      </c>
      <c r="B691" s="8">
        <v>35401268.816</v>
      </c>
      <c r="C691" s="8">
        <v>907.163</v>
      </c>
      <c r="D691" s="9" t="s">
        <v>329</v>
      </c>
      <c r="E691" s="10"/>
    </row>
    <row r="692" ht="16.5" spans="1:5">
      <c r="A692" s="8">
        <v>3045103.988</v>
      </c>
      <c r="B692" s="8">
        <v>35401268.816</v>
      </c>
      <c r="C692" s="8">
        <v>907.163</v>
      </c>
      <c r="D692" s="9" t="s">
        <v>330</v>
      </c>
      <c r="E692" s="10"/>
    </row>
    <row r="693" ht="16.5" spans="1:5">
      <c r="A693" s="8">
        <v>3045103.988</v>
      </c>
      <c r="B693" s="8">
        <v>35401268.816</v>
      </c>
      <c r="C693" s="8">
        <v>907.163</v>
      </c>
      <c r="D693" s="9" t="s">
        <v>331</v>
      </c>
      <c r="E693" s="10"/>
    </row>
    <row r="694" ht="16.5" spans="1:5">
      <c r="A694" s="8">
        <v>3045103.988</v>
      </c>
      <c r="B694" s="8">
        <v>35401268.816</v>
      </c>
      <c r="C694" s="8">
        <v>907.163</v>
      </c>
      <c r="D694" s="9" t="s">
        <v>332</v>
      </c>
      <c r="E694" s="10"/>
    </row>
    <row r="695" ht="16.5" spans="1:5">
      <c r="A695" s="8">
        <v>3045103.988</v>
      </c>
      <c r="B695" s="8">
        <v>35401268.816</v>
      </c>
      <c r="C695" s="8">
        <v>907.163</v>
      </c>
      <c r="D695" s="9" t="s">
        <v>333</v>
      </c>
      <c r="E695" s="10"/>
    </row>
    <row r="696" ht="16.5" spans="1:5">
      <c r="A696" s="8">
        <v>3045103.988</v>
      </c>
      <c r="B696" s="8">
        <v>35401268.816</v>
      </c>
      <c r="C696" s="8">
        <v>907.163</v>
      </c>
      <c r="D696" s="9" t="s">
        <v>334</v>
      </c>
      <c r="E696" s="10"/>
    </row>
    <row r="697" ht="16.5" spans="1:5">
      <c r="A697" s="8">
        <v>3045103.988</v>
      </c>
      <c r="B697" s="8">
        <v>35401268.816</v>
      </c>
      <c r="C697" s="8">
        <v>907.163</v>
      </c>
      <c r="D697" s="9" t="s">
        <v>335</v>
      </c>
      <c r="E697" s="10"/>
    </row>
    <row r="698" ht="16.5" spans="1:5">
      <c r="A698" s="8">
        <v>3045103.988</v>
      </c>
      <c r="B698" s="8">
        <v>35401268.816</v>
      </c>
      <c r="C698" s="8">
        <v>907.163</v>
      </c>
      <c r="D698" s="9" t="s">
        <v>336</v>
      </c>
      <c r="E698" s="10"/>
    </row>
    <row r="699" ht="16.5" spans="1:5">
      <c r="A699" s="8">
        <v>3045103.988</v>
      </c>
      <c r="B699" s="8">
        <v>35401268.816</v>
      </c>
      <c r="C699" s="8">
        <v>907.163</v>
      </c>
      <c r="D699" s="9" t="s">
        <v>337</v>
      </c>
      <c r="E699" s="10"/>
    </row>
    <row r="700" ht="16.5" spans="1:5">
      <c r="A700" s="8">
        <v>3045103.988</v>
      </c>
      <c r="B700" s="8">
        <v>35401268.816</v>
      </c>
      <c r="C700" s="8">
        <v>907.163</v>
      </c>
      <c r="D700" s="9" t="s">
        <v>338</v>
      </c>
      <c r="E700" s="10"/>
    </row>
    <row r="701" ht="16.5" spans="1:5">
      <c r="A701" s="8">
        <v>3045103.988</v>
      </c>
      <c r="B701" s="8">
        <v>35401268.816</v>
      </c>
      <c r="C701" s="8">
        <v>907.163</v>
      </c>
      <c r="D701" s="9" t="s">
        <v>339</v>
      </c>
      <c r="E701" s="10"/>
    </row>
    <row r="702" ht="16.5" spans="1:5">
      <c r="A702" s="8">
        <v>3045103.988</v>
      </c>
      <c r="B702" s="8">
        <v>35401268.816</v>
      </c>
      <c r="C702" s="8">
        <v>907.163</v>
      </c>
      <c r="D702" s="9" t="s">
        <v>340</v>
      </c>
      <c r="E702" s="10"/>
    </row>
    <row r="703" ht="16.5" spans="1:5">
      <c r="A703" s="8">
        <v>3045103.988</v>
      </c>
      <c r="B703" s="8">
        <v>35401268.816</v>
      </c>
      <c r="C703" s="8">
        <v>907.163</v>
      </c>
      <c r="D703" s="9" t="s">
        <v>341</v>
      </c>
      <c r="E703" s="10"/>
    </row>
    <row r="704" ht="16.5" spans="1:5">
      <c r="A704" s="8">
        <v>3045103.988</v>
      </c>
      <c r="B704" s="8">
        <v>35401268.816</v>
      </c>
      <c r="C704" s="8">
        <v>907.163</v>
      </c>
      <c r="D704" s="9" t="s">
        <v>342</v>
      </c>
      <c r="E704" s="10"/>
    </row>
    <row r="705" ht="16.5" spans="1:5">
      <c r="A705" s="8">
        <v>3045103.988</v>
      </c>
      <c r="B705" s="8">
        <v>35401268.816</v>
      </c>
      <c r="C705" s="8">
        <v>907.163</v>
      </c>
      <c r="D705" s="9" t="s">
        <v>343</v>
      </c>
      <c r="E705" s="10"/>
    </row>
    <row r="706" ht="16.5" spans="1:5">
      <c r="A706" s="8">
        <v>3045103.988</v>
      </c>
      <c r="B706" s="8">
        <v>35401268.816</v>
      </c>
      <c r="C706" s="8">
        <v>907.163</v>
      </c>
      <c r="D706" s="9" t="s">
        <v>344</v>
      </c>
      <c r="E706" s="10"/>
    </row>
    <row r="707" ht="16.5" spans="1:5">
      <c r="A707" s="8">
        <v>3045103.988</v>
      </c>
      <c r="B707" s="8">
        <v>35401268.816</v>
      </c>
      <c r="C707" s="8">
        <v>907.163</v>
      </c>
      <c r="D707" s="9" t="s">
        <v>345</v>
      </c>
      <c r="E707" s="10"/>
    </row>
    <row r="708" ht="16.5" spans="1:5">
      <c r="A708" s="8">
        <v>3045103.988</v>
      </c>
      <c r="B708" s="8">
        <v>35401268.816</v>
      </c>
      <c r="C708" s="8">
        <v>907.163</v>
      </c>
      <c r="D708" s="9" t="s">
        <v>346</v>
      </c>
      <c r="E708" s="10"/>
    </row>
    <row r="709" ht="16.5" spans="1:5">
      <c r="A709" s="8">
        <v>3045103.988</v>
      </c>
      <c r="B709" s="8">
        <v>35401268.816</v>
      </c>
      <c r="C709" s="8">
        <v>907.163</v>
      </c>
      <c r="D709" s="9" t="s">
        <v>347</v>
      </c>
      <c r="E709" s="10"/>
    </row>
    <row r="710" ht="16.5" spans="1:5">
      <c r="A710" s="8">
        <v>3045103.988</v>
      </c>
      <c r="B710" s="8">
        <v>35401268.816</v>
      </c>
      <c r="C710" s="8">
        <v>907.163</v>
      </c>
      <c r="D710" s="9" t="s">
        <v>348</v>
      </c>
      <c r="E710" s="10"/>
    </row>
    <row r="711" ht="16.5" spans="1:5">
      <c r="A711" s="8">
        <v>3045103.988</v>
      </c>
      <c r="B711" s="8">
        <v>35401268.816</v>
      </c>
      <c r="C711" s="8">
        <v>907.163</v>
      </c>
      <c r="D711" s="9" t="s">
        <v>349</v>
      </c>
      <c r="E711" s="10"/>
    </row>
    <row r="712" ht="16.5" spans="1:5">
      <c r="A712" s="8">
        <v>3045103.988</v>
      </c>
      <c r="B712" s="8">
        <v>35401268.816</v>
      </c>
      <c r="C712" s="8">
        <v>907.163</v>
      </c>
      <c r="D712" s="9" t="s">
        <v>350</v>
      </c>
      <c r="E712" s="10"/>
    </row>
    <row r="713" ht="16.5" spans="1:5">
      <c r="A713" s="8">
        <v>3045103.988</v>
      </c>
      <c r="B713" s="8">
        <v>35401268.816</v>
      </c>
      <c r="C713" s="8">
        <v>907.163</v>
      </c>
      <c r="D713" s="9" t="s">
        <v>351</v>
      </c>
      <c r="E713" s="10"/>
    </row>
    <row r="714" ht="16.5" spans="1:5">
      <c r="A714" s="8">
        <v>3045103.988</v>
      </c>
      <c r="B714" s="8">
        <v>35401268.816</v>
      </c>
      <c r="C714" s="8">
        <v>907.163</v>
      </c>
      <c r="D714" s="9" t="s">
        <v>352</v>
      </c>
      <c r="E714" s="10"/>
    </row>
    <row r="715" ht="16.5" spans="1:5">
      <c r="A715" s="8">
        <v>3045103.988</v>
      </c>
      <c r="B715" s="8">
        <v>35401268.816</v>
      </c>
      <c r="C715" s="8">
        <v>907.163</v>
      </c>
      <c r="D715" s="9" t="s">
        <v>353</v>
      </c>
      <c r="E715" s="10"/>
    </row>
    <row r="716" ht="16.5" spans="1:5">
      <c r="A716" s="8">
        <v>3045103.988</v>
      </c>
      <c r="B716" s="8">
        <v>35401268.816</v>
      </c>
      <c r="C716" s="8">
        <v>907.163</v>
      </c>
      <c r="D716" s="9" t="s">
        <v>354</v>
      </c>
      <c r="E716" s="10"/>
    </row>
    <row r="717" ht="16.5" spans="1:5">
      <c r="A717" s="8">
        <v>3045103.988</v>
      </c>
      <c r="B717" s="8">
        <v>35401268.816</v>
      </c>
      <c r="C717" s="8">
        <v>907.163</v>
      </c>
      <c r="D717" s="9" t="s">
        <v>355</v>
      </c>
      <c r="E717" s="10"/>
    </row>
    <row r="718" ht="16.5" spans="1:5">
      <c r="A718" s="8">
        <v>3045103.988</v>
      </c>
      <c r="B718" s="8">
        <v>35401268.816</v>
      </c>
      <c r="C718" s="8">
        <v>907.163</v>
      </c>
      <c r="D718" s="9" t="s">
        <v>356</v>
      </c>
      <c r="E718" s="10"/>
    </row>
    <row r="719" ht="16.5" spans="1:5">
      <c r="A719" s="8">
        <v>3045103.988</v>
      </c>
      <c r="B719" s="8">
        <v>35401268.816</v>
      </c>
      <c r="C719" s="8">
        <v>907.163</v>
      </c>
      <c r="D719" s="9" t="s">
        <v>357</v>
      </c>
      <c r="E719" s="10"/>
    </row>
    <row r="720" ht="16.5" spans="1:5">
      <c r="A720" s="8">
        <v>3045103.988</v>
      </c>
      <c r="B720" s="8">
        <v>35401268.816</v>
      </c>
      <c r="C720" s="8">
        <v>907.163</v>
      </c>
      <c r="D720" s="9" t="s">
        <v>358</v>
      </c>
      <c r="E720" s="10"/>
    </row>
    <row r="721" ht="16.5" spans="1:5">
      <c r="A721" s="8">
        <v>3045103.988</v>
      </c>
      <c r="B721" s="8">
        <v>35401268.816</v>
      </c>
      <c r="C721" s="8">
        <v>907.163</v>
      </c>
      <c r="D721" s="9" t="s">
        <v>359</v>
      </c>
      <c r="E721" s="10"/>
    </row>
    <row r="722" ht="16.5" spans="1:5">
      <c r="A722" s="8">
        <v>3045103.988</v>
      </c>
      <c r="B722" s="8">
        <v>35401268.816</v>
      </c>
      <c r="C722" s="8">
        <v>907.163</v>
      </c>
      <c r="D722" s="9" t="s">
        <v>360</v>
      </c>
      <c r="E722" s="10"/>
    </row>
    <row r="723" ht="16.5" spans="1:5">
      <c r="A723" s="8">
        <v>3045103.988</v>
      </c>
      <c r="B723" s="8">
        <v>35401268.816</v>
      </c>
      <c r="C723" s="8">
        <v>907.163</v>
      </c>
      <c r="D723" s="9" t="s">
        <v>361</v>
      </c>
      <c r="E723" s="10"/>
    </row>
    <row r="724" ht="16.5" spans="1:5">
      <c r="A724" s="8">
        <v>3045103.988</v>
      </c>
      <c r="B724" s="8">
        <v>35401268.816</v>
      </c>
      <c r="C724" s="8">
        <v>907.163</v>
      </c>
      <c r="D724" s="9" t="s">
        <v>362</v>
      </c>
      <c r="E724" s="10"/>
    </row>
    <row r="725" ht="16.5" spans="1:5">
      <c r="A725" s="8">
        <v>3045103.988</v>
      </c>
      <c r="B725" s="8">
        <v>35401268.816</v>
      </c>
      <c r="C725" s="8">
        <v>907.163</v>
      </c>
      <c r="D725" s="9" t="s">
        <v>363</v>
      </c>
      <c r="E725" s="10"/>
    </row>
    <row r="726" ht="16.5" spans="1:5">
      <c r="A726" s="8">
        <v>3045103.988</v>
      </c>
      <c r="B726" s="8">
        <v>35401268.816</v>
      </c>
      <c r="C726" s="8">
        <v>907.163</v>
      </c>
      <c r="D726" s="9" t="s">
        <v>364</v>
      </c>
      <c r="E726" s="10"/>
    </row>
    <row r="727" ht="16.5" spans="1:5">
      <c r="A727" s="8">
        <v>3045103.988</v>
      </c>
      <c r="B727" s="8">
        <v>35401268.816</v>
      </c>
      <c r="C727" s="8">
        <v>907.163</v>
      </c>
      <c r="D727" s="9" t="s">
        <v>365</v>
      </c>
      <c r="E727" s="10"/>
    </row>
    <row r="728" ht="16.5" spans="1:5">
      <c r="A728" s="8">
        <v>3045103.988</v>
      </c>
      <c r="B728" s="8">
        <v>35401268.816</v>
      </c>
      <c r="C728" s="8">
        <v>907.163</v>
      </c>
      <c r="D728" s="9" t="s">
        <v>366</v>
      </c>
      <c r="E728" s="10"/>
    </row>
    <row r="729" ht="16.5" spans="1:5">
      <c r="A729" s="8">
        <v>3045103.988</v>
      </c>
      <c r="B729" s="8">
        <v>35401268.816</v>
      </c>
      <c r="C729" s="8">
        <v>907.163</v>
      </c>
      <c r="D729" s="9" t="s">
        <v>367</v>
      </c>
      <c r="E729" s="10"/>
    </row>
    <row r="730" ht="16.5" spans="1:5">
      <c r="A730" s="8">
        <v>3045103.988</v>
      </c>
      <c r="B730" s="8">
        <v>35401268.816</v>
      </c>
      <c r="C730" s="8">
        <v>907.163</v>
      </c>
      <c r="D730" s="9" t="s">
        <v>368</v>
      </c>
      <c r="E730" s="10"/>
    </row>
    <row r="731" ht="16.5" spans="1:5">
      <c r="A731" s="8">
        <v>3045103.988</v>
      </c>
      <c r="B731" s="8">
        <v>35401268.816</v>
      </c>
      <c r="C731" s="8">
        <v>907.163</v>
      </c>
      <c r="D731" s="9" t="s">
        <v>369</v>
      </c>
      <c r="E731" s="10"/>
    </row>
    <row r="732" ht="16.5" spans="1:5">
      <c r="A732" s="8">
        <v>3045103.988</v>
      </c>
      <c r="B732" s="8">
        <v>35401268.816</v>
      </c>
      <c r="C732" s="8">
        <v>907.163</v>
      </c>
      <c r="D732" s="9" t="s">
        <v>370</v>
      </c>
      <c r="E732" s="10"/>
    </row>
    <row r="733" ht="16.5" spans="1:5">
      <c r="A733" s="8">
        <v>3045103.988</v>
      </c>
      <c r="B733" s="8">
        <v>35401268.816</v>
      </c>
      <c r="C733" s="8">
        <v>907.163</v>
      </c>
      <c r="D733" s="9" t="s">
        <v>371</v>
      </c>
      <c r="E733" s="10"/>
    </row>
    <row r="734" ht="16.5" spans="1:5">
      <c r="A734" s="8">
        <v>3045103.988</v>
      </c>
      <c r="B734" s="8">
        <v>35401268.816</v>
      </c>
      <c r="C734" s="8">
        <v>907.163</v>
      </c>
      <c r="D734" s="9" t="s">
        <v>372</v>
      </c>
      <c r="E734" s="10"/>
    </row>
    <row r="735" ht="16.5" spans="1:5">
      <c r="A735" s="8">
        <v>3045103.988</v>
      </c>
      <c r="B735" s="8">
        <v>35401268.816</v>
      </c>
      <c r="C735" s="8">
        <v>907.163</v>
      </c>
      <c r="D735" s="9" t="s">
        <v>373</v>
      </c>
      <c r="E735" s="10"/>
    </row>
    <row r="736" ht="16.5" spans="1:5">
      <c r="A736" s="8">
        <v>3045103.988</v>
      </c>
      <c r="B736" s="8">
        <v>35401268.816</v>
      </c>
      <c r="C736" s="8">
        <v>907.163</v>
      </c>
      <c r="D736" s="9" t="s">
        <v>374</v>
      </c>
      <c r="E736" s="10"/>
    </row>
    <row r="737" ht="16.5" spans="1:5">
      <c r="A737" s="8">
        <v>3045103.988</v>
      </c>
      <c r="B737" s="8">
        <v>35401268.816</v>
      </c>
      <c r="C737" s="8">
        <v>907.163</v>
      </c>
      <c r="D737" s="9" t="s">
        <v>375</v>
      </c>
      <c r="E737" s="10"/>
    </row>
    <row r="738" ht="16.5" spans="1:5">
      <c r="A738" s="8">
        <v>3045103.988</v>
      </c>
      <c r="B738" s="8">
        <v>35401268.816</v>
      </c>
      <c r="C738" s="8">
        <v>907.163</v>
      </c>
      <c r="D738" s="9" t="s">
        <v>376</v>
      </c>
      <c r="E738" s="10"/>
    </row>
    <row r="739" ht="16.5" spans="1:5">
      <c r="A739" s="8">
        <v>3045103.988</v>
      </c>
      <c r="B739" s="8">
        <v>35401268.816</v>
      </c>
      <c r="C739" s="8">
        <v>907.163</v>
      </c>
      <c r="D739" s="9" t="s">
        <v>377</v>
      </c>
      <c r="E739" s="10"/>
    </row>
    <row r="740" ht="16.5" spans="1:5">
      <c r="A740" s="8">
        <v>3045103.988</v>
      </c>
      <c r="B740" s="8">
        <v>35401268.816</v>
      </c>
      <c r="C740" s="8">
        <v>907.163</v>
      </c>
      <c r="D740" s="9" t="s">
        <v>378</v>
      </c>
      <c r="E740" s="10">
        <v>760.863</v>
      </c>
    </row>
    <row r="741" ht="16.5" spans="1:5">
      <c r="A741" s="8">
        <v>3045103.988</v>
      </c>
      <c r="B741" s="8">
        <v>35401268.816</v>
      </c>
      <c r="C741" s="8">
        <v>907.163</v>
      </c>
      <c r="D741" s="9" t="s">
        <v>379</v>
      </c>
      <c r="E741" s="10"/>
    </row>
    <row r="742" ht="16.5" spans="1:5">
      <c r="A742" s="8">
        <v>3045103.988</v>
      </c>
      <c r="B742" s="8">
        <v>35401268.816</v>
      </c>
      <c r="C742" s="8">
        <v>907.163</v>
      </c>
      <c r="D742" s="9" t="s">
        <v>380</v>
      </c>
      <c r="E742" s="10"/>
    </row>
    <row r="743" ht="16.5" spans="1:5">
      <c r="A743" s="8">
        <v>3045103.988</v>
      </c>
      <c r="B743" s="8">
        <v>35401268.816</v>
      </c>
      <c r="C743" s="8">
        <v>907.163</v>
      </c>
      <c r="D743" s="9" t="s">
        <v>381</v>
      </c>
      <c r="E743" s="10"/>
    </row>
    <row r="744" ht="16.5" spans="1:5">
      <c r="A744" s="8">
        <v>3045103.988</v>
      </c>
      <c r="B744" s="8">
        <v>35401268.816</v>
      </c>
      <c r="C744" s="8">
        <v>907.163</v>
      </c>
      <c r="D744" s="9" t="s">
        <v>382</v>
      </c>
      <c r="E744" s="10"/>
    </row>
    <row r="745" ht="16.5" spans="1:5">
      <c r="A745" s="8">
        <v>3045103.988</v>
      </c>
      <c r="B745" s="8">
        <v>35401268.816</v>
      </c>
      <c r="C745" s="8">
        <v>907.163</v>
      </c>
      <c r="D745" s="9" t="s">
        <v>383</v>
      </c>
      <c r="E745" s="10"/>
    </row>
    <row r="746" ht="16.5" spans="1:5">
      <c r="A746" s="8">
        <v>3045103.988</v>
      </c>
      <c r="B746" s="8">
        <v>35401268.816</v>
      </c>
      <c r="C746" s="8">
        <v>907.163</v>
      </c>
      <c r="D746" s="9" t="s">
        <v>384</v>
      </c>
      <c r="E746" s="10"/>
    </row>
    <row r="747" ht="16.5" spans="1:5">
      <c r="A747" s="8">
        <v>3045103.988</v>
      </c>
      <c r="B747" s="8">
        <v>35401268.816</v>
      </c>
      <c r="C747" s="8">
        <v>907.163</v>
      </c>
      <c r="D747" s="9" t="s">
        <v>385</v>
      </c>
      <c r="E747" s="10"/>
    </row>
    <row r="748" ht="16.5" spans="1:5">
      <c r="A748" s="8">
        <v>3045103.988</v>
      </c>
      <c r="B748" s="8">
        <v>35401268.816</v>
      </c>
      <c r="C748" s="8">
        <v>907.163</v>
      </c>
      <c r="D748" s="9" t="s">
        <v>386</v>
      </c>
      <c r="E748" s="10"/>
    </row>
    <row r="749" ht="16.5" spans="1:5">
      <c r="A749" s="8">
        <v>3045103.988</v>
      </c>
      <c r="B749" s="8">
        <v>35401268.816</v>
      </c>
      <c r="C749" s="8">
        <v>907.163</v>
      </c>
      <c r="D749" s="9" t="s">
        <v>387</v>
      </c>
      <c r="E749" s="10"/>
    </row>
    <row r="750" ht="16.5" spans="1:5">
      <c r="A750" s="8">
        <v>3045103.988</v>
      </c>
      <c r="B750" s="8">
        <v>35401268.816</v>
      </c>
      <c r="C750" s="8">
        <v>907.163</v>
      </c>
      <c r="D750" s="9" t="s">
        <v>388</v>
      </c>
      <c r="E750" s="10"/>
    </row>
    <row r="751" ht="16.5" spans="1:5">
      <c r="A751" s="8">
        <v>3045103.988</v>
      </c>
      <c r="B751" s="8">
        <v>35401268.816</v>
      </c>
      <c r="C751" s="8">
        <v>907.163</v>
      </c>
      <c r="D751" s="9" t="s">
        <v>389</v>
      </c>
      <c r="E751" s="10"/>
    </row>
    <row r="752" ht="16.5" spans="1:5">
      <c r="A752" s="8">
        <v>3045103.988</v>
      </c>
      <c r="B752" s="8">
        <v>35401268.816</v>
      </c>
      <c r="C752" s="8">
        <v>907.163</v>
      </c>
      <c r="D752" s="9" t="s">
        <v>390</v>
      </c>
      <c r="E752" s="10"/>
    </row>
    <row r="753" ht="16.5" spans="1:5">
      <c r="A753" s="8">
        <v>3045103.988</v>
      </c>
      <c r="B753" s="8">
        <v>35401268.816</v>
      </c>
      <c r="C753" s="8">
        <v>907.163</v>
      </c>
      <c r="D753" s="9" t="s">
        <v>391</v>
      </c>
      <c r="E753" s="10"/>
    </row>
    <row r="754" ht="16.5" spans="1:5">
      <c r="A754" s="8">
        <v>3045103.988</v>
      </c>
      <c r="B754" s="8">
        <v>35401268.816</v>
      </c>
      <c r="C754" s="8">
        <v>907.163</v>
      </c>
      <c r="D754" s="9" t="s">
        <v>392</v>
      </c>
      <c r="E754" s="10"/>
    </row>
    <row r="755" ht="16.5" spans="1:5">
      <c r="A755" s="8">
        <v>3045103.988</v>
      </c>
      <c r="B755" s="8">
        <v>35401268.816</v>
      </c>
      <c r="C755" s="8">
        <v>907.163</v>
      </c>
      <c r="D755" s="9" t="s">
        <v>393</v>
      </c>
      <c r="E755" s="10"/>
    </row>
    <row r="756" ht="16.5" spans="1:5">
      <c r="A756" s="8">
        <v>3045103.988</v>
      </c>
      <c r="B756" s="8">
        <v>35401268.816</v>
      </c>
      <c r="C756" s="8">
        <v>907.163</v>
      </c>
      <c r="D756" s="9" t="s">
        <v>394</v>
      </c>
      <c r="E756" s="10"/>
    </row>
    <row r="757" ht="16.5" spans="1:5">
      <c r="A757" s="8">
        <v>3045103.988</v>
      </c>
      <c r="B757" s="8">
        <v>35401268.816</v>
      </c>
      <c r="C757" s="8">
        <v>907.163</v>
      </c>
      <c r="D757" s="9" t="s">
        <v>395</v>
      </c>
      <c r="E757" s="10"/>
    </row>
    <row r="758" ht="16.5" spans="1:5">
      <c r="A758" s="8">
        <v>3045103.988</v>
      </c>
      <c r="B758" s="8">
        <v>35401268.816</v>
      </c>
      <c r="C758" s="8">
        <v>907.163</v>
      </c>
      <c r="D758" s="9" t="s">
        <v>396</v>
      </c>
      <c r="E758" s="10"/>
    </row>
    <row r="759" ht="16.5" spans="1:5">
      <c r="A759" s="8">
        <v>3045103.988</v>
      </c>
      <c r="B759" s="8">
        <v>35401268.816</v>
      </c>
      <c r="C759" s="8">
        <v>907.163</v>
      </c>
      <c r="D759" s="9" t="s">
        <v>397</v>
      </c>
      <c r="E759" s="10"/>
    </row>
    <row r="760" ht="16.5" spans="1:5">
      <c r="A760" s="8">
        <v>3045103.988</v>
      </c>
      <c r="B760" s="8">
        <v>35401268.816</v>
      </c>
      <c r="C760" s="8">
        <v>907.163</v>
      </c>
      <c r="D760" s="9" t="s">
        <v>398</v>
      </c>
      <c r="E760" s="10"/>
    </row>
    <row r="761" ht="16.5" spans="1:5">
      <c r="A761" s="8">
        <v>3045103.988</v>
      </c>
      <c r="B761" s="8">
        <v>35401268.816</v>
      </c>
      <c r="C761" s="8">
        <v>907.163</v>
      </c>
      <c r="D761" s="9" t="s">
        <v>399</v>
      </c>
      <c r="E761" s="10"/>
    </row>
    <row r="762" ht="16.5" spans="1:5">
      <c r="A762" s="8">
        <v>3045103.988</v>
      </c>
      <c r="B762" s="8">
        <v>35401268.816</v>
      </c>
      <c r="C762" s="8">
        <v>907.163</v>
      </c>
      <c r="D762" s="9" t="s">
        <v>400</v>
      </c>
      <c r="E762" s="10"/>
    </row>
    <row r="763" ht="16.5" spans="1:5">
      <c r="A763" s="8">
        <v>3045103.988</v>
      </c>
      <c r="B763" s="8">
        <v>35401268.816</v>
      </c>
      <c r="C763" s="8">
        <v>907.163</v>
      </c>
      <c r="D763" s="9" t="s">
        <v>401</v>
      </c>
      <c r="E763" s="10"/>
    </row>
    <row r="764" ht="16.5" spans="1:5">
      <c r="A764" s="8">
        <v>3045103.988</v>
      </c>
      <c r="B764" s="8">
        <v>35401268.816</v>
      </c>
      <c r="C764" s="8">
        <v>907.163</v>
      </c>
      <c r="D764" s="9" t="s">
        <v>402</v>
      </c>
      <c r="E764" s="10"/>
    </row>
    <row r="765" ht="16.5" spans="1:5">
      <c r="A765" s="8">
        <v>3045103.988</v>
      </c>
      <c r="B765" s="8">
        <v>35401268.816</v>
      </c>
      <c r="C765" s="8">
        <v>907.163</v>
      </c>
      <c r="D765" s="9" t="s">
        <v>403</v>
      </c>
      <c r="E765" s="10"/>
    </row>
    <row r="766" ht="16.5" spans="1:5">
      <c r="A766" s="8">
        <v>3045103.988</v>
      </c>
      <c r="B766" s="8">
        <v>35401268.816</v>
      </c>
      <c r="C766" s="8">
        <v>907.163</v>
      </c>
      <c r="D766" s="9" t="s">
        <v>404</v>
      </c>
      <c r="E766" s="10"/>
    </row>
    <row r="767" ht="16.5" spans="1:5">
      <c r="A767" s="8">
        <v>3045103.988</v>
      </c>
      <c r="B767" s="8">
        <v>35401268.816</v>
      </c>
      <c r="C767" s="8">
        <v>907.163</v>
      </c>
      <c r="D767" s="9" t="s">
        <v>405</v>
      </c>
      <c r="E767" s="10"/>
    </row>
    <row r="768" ht="16.5" spans="1:5">
      <c r="A768" s="8">
        <v>3045103.988</v>
      </c>
      <c r="B768" s="8">
        <v>35401268.816</v>
      </c>
      <c r="C768" s="8">
        <v>907.163</v>
      </c>
      <c r="D768" s="9" t="s">
        <v>406</v>
      </c>
      <c r="E768" s="10"/>
    </row>
    <row r="769" ht="16.5" spans="1:5">
      <c r="A769" s="8">
        <v>3045103.988</v>
      </c>
      <c r="B769" s="8">
        <v>35401268.816</v>
      </c>
      <c r="C769" s="8">
        <v>907.163</v>
      </c>
      <c r="D769" s="9" t="s">
        <v>407</v>
      </c>
      <c r="E769" s="10"/>
    </row>
    <row r="770" ht="16.5" spans="1:5">
      <c r="A770" s="8">
        <v>3045103.988</v>
      </c>
      <c r="B770" s="8">
        <v>35401268.816</v>
      </c>
      <c r="C770" s="8">
        <v>907.163</v>
      </c>
      <c r="D770" s="9" t="s">
        <v>408</v>
      </c>
      <c r="E770" s="10"/>
    </row>
    <row r="771" ht="16.5" spans="1:5">
      <c r="A771" s="8">
        <v>3045103.988</v>
      </c>
      <c r="B771" s="8">
        <v>35401268.816</v>
      </c>
      <c r="C771" s="8">
        <v>907.163</v>
      </c>
      <c r="D771" s="9" t="s">
        <v>409</v>
      </c>
      <c r="E771" s="10"/>
    </row>
    <row r="772" ht="16.5" spans="1:5">
      <c r="A772" s="8">
        <v>3045103.988</v>
      </c>
      <c r="B772" s="8">
        <v>35401268.816</v>
      </c>
      <c r="C772" s="8">
        <v>907.163</v>
      </c>
      <c r="D772" s="9" t="s">
        <v>410</v>
      </c>
      <c r="E772" s="10"/>
    </row>
    <row r="773" ht="16.5" spans="1:5">
      <c r="A773" s="8">
        <v>3045103.988</v>
      </c>
      <c r="B773" s="8">
        <v>35401268.816</v>
      </c>
      <c r="C773" s="8">
        <v>907.163</v>
      </c>
      <c r="D773" s="9" t="s">
        <v>411</v>
      </c>
      <c r="E773" s="10"/>
    </row>
    <row r="774" ht="16.5" spans="1:5">
      <c r="A774" s="8">
        <v>3045103.988</v>
      </c>
      <c r="B774" s="8">
        <v>35401268.816</v>
      </c>
      <c r="C774" s="8">
        <v>907.163</v>
      </c>
      <c r="D774" s="9" t="s">
        <v>412</v>
      </c>
      <c r="E774" s="10"/>
    </row>
    <row r="775" ht="16.5" spans="1:5">
      <c r="A775" s="8">
        <v>3045103.988</v>
      </c>
      <c r="B775" s="8">
        <v>35401268.816</v>
      </c>
      <c r="C775" s="8">
        <v>907.163</v>
      </c>
      <c r="D775" s="9" t="s">
        <v>413</v>
      </c>
      <c r="E775" s="10"/>
    </row>
    <row r="776" ht="16.5" spans="1:5">
      <c r="A776" s="8">
        <v>3045103.988</v>
      </c>
      <c r="B776" s="8">
        <v>35401268.816</v>
      </c>
      <c r="C776" s="8">
        <v>907.163</v>
      </c>
      <c r="D776" s="9" t="s">
        <v>414</v>
      </c>
      <c r="E776" s="10"/>
    </row>
    <row r="777" ht="16.5" spans="1:5">
      <c r="A777" s="8">
        <v>3045103.988</v>
      </c>
      <c r="B777" s="8">
        <v>35401268.816</v>
      </c>
      <c r="C777" s="8">
        <v>907.163</v>
      </c>
      <c r="D777" s="9" t="s">
        <v>415</v>
      </c>
      <c r="E777" s="10"/>
    </row>
    <row r="778" ht="16.5" spans="1:5">
      <c r="A778" s="8">
        <v>3045103.988</v>
      </c>
      <c r="B778" s="8">
        <v>35401268.816</v>
      </c>
      <c r="C778" s="8">
        <v>907.163</v>
      </c>
      <c r="D778" s="9" t="s">
        <v>416</v>
      </c>
      <c r="E778" s="10"/>
    </row>
    <row r="779" ht="16.5" spans="1:5">
      <c r="A779" s="8">
        <v>3045103.988</v>
      </c>
      <c r="B779" s="8">
        <v>35401268.816</v>
      </c>
      <c r="C779" s="8">
        <v>907.163</v>
      </c>
      <c r="D779" s="9" t="s">
        <v>417</v>
      </c>
      <c r="E779" s="10"/>
    </row>
    <row r="780" ht="16.5" spans="1:5">
      <c r="A780" s="8">
        <v>3045103.988</v>
      </c>
      <c r="B780" s="8">
        <v>35401268.816</v>
      </c>
      <c r="C780" s="8">
        <v>907.163</v>
      </c>
      <c r="D780" s="9" t="s">
        <v>418</v>
      </c>
      <c r="E780" s="10"/>
    </row>
    <row r="781" ht="16.5" spans="1:5">
      <c r="A781" s="8">
        <v>3045103.988</v>
      </c>
      <c r="B781" s="8">
        <v>35401268.816</v>
      </c>
      <c r="C781" s="8">
        <v>907.163</v>
      </c>
      <c r="D781" s="9" t="s">
        <v>419</v>
      </c>
      <c r="E781" s="10"/>
    </row>
    <row r="782" ht="16.5" spans="1:5">
      <c r="A782" s="8">
        <v>3045103.988</v>
      </c>
      <c r="B782" s="8">
        <v>35401268.816</v>
      </c>
      <c r="C782" s="8">
        <v>907.163</v>
      </c>
      <c r="D782" s="9" t="s">
        <v>420</v>
      </c>
      <c r="E782" s="10"/>
    </row>
    <row r="783" ht="16.5" spans="1:5">
      <c r="A783" s="8">
        <v>3045103.988</v>
      </c>
      <c r="B783" s="8">
        <v>35401268.816</v>
      </c>
      <c r="C783" s="8">
        <v>907.163</v>
      </c>
      <c r="D783" s="9" t="s">
        <v>421</v>
      </c>
      <c r="E783" s="10"/>
    </row>
    <row r="784" ht="16.5" spans="1:5">
      <c r="A784" s="8">
        <v>3045103.988</v>
      </c>
      <c r="B784" s="8">
        <v>35401268.816</v>
      </c>
      <c r="C784" s="8">
        <v>907.163</v>
      </c>
      <c r="D784" s="9" t="s">
        <v>422</v>
      </c>
      <c r="E784" s="10"/>
    </row>
    <row r="785" ht="16.5" spans="1:5">
      <c r="A785" s="8">
        <v>3045103.988</v>
      </c>
      <c r="B785" s="8">
        <v>35401268.816</v>
      </c>
      <c r="C785" s="8">
        <v>907.163</v>
      </c>
      <c r="D785" s="9" t="s">
        <v>423</v>
      </c>
      <c r="E785" s="10"/>
    </row>
    <row r="786" ht="16.5" spans="1:5">
      <c r="A786" s="8">
        <v>3045103.988</v>
      </c>
      <c r="B786" s="8">
        <v>35401268.816</v>
      </c>
      <c r="C786" s="8">
        <v>907.163</v>
      </c>
      <c r="D786" s="9" t="s">
        <v>424</v>
      </c>
      <c r="E786" s="10"/>
    </row>
    <row r="787" ht="16.5" spans="1:5">
      <c r="A787" s="8">
        <v>3045103.988</v>
      </c>
      <c r="B787" s="8">
        <v>35401268.816</v>
      </c>
      <c r="C787" s="8">
        <v>907.163</v>
      </c>
      <c r="D787" s="9" t="s">
        <v>425</v>
      </c>
      <c r="E787" s="10"/>
    </row>
    <row r="788" ht="16.5" spans="1:5">
      <c r="A788" s="8">
        <v>3045103.988</v>
      </c>
      <c r="B788" s="8">
        <v>35401268.816</v>
      </c>
      <c r="C788" s="8">
        <v>907.163</v>
      </c>
      <c r="D788" s="9" t="s">
        <v>426</v>
      </c>
      <c r="E788" s="10">
        <v>758.863</v>
      </c>
    </row>
    <row r="789" ht="16.5" spans="1:5">
      <c r="A789" s="8">
        <v>3045103.988</v>
      </c>
      <c r="B789" s="8">
        <v>35401268.816</v>
      </c>
      <c r="C789" s="8">
        <v>907.163</v>
      </c>
      <c r="D789" s="9" t="s">
        <v>427</v>
      </c>
      <c r="E789" s="10"/>
    </row>
    <row r="790" ht="16.5" spans="1:5">
      <c r="A790" s="8">
        <v>3045103.988</v>
      </c>
      <c r="B790" s="8">
        <v>35401268.816</v>
      </c>
      <c r="C790" s="8">
        <v>907.163</v>
      </c>
      <c r="D790" s="9" t="s">
        <v>428</v>
      </c>
      <c r="E790" s="10"/>
    </row>
    <row r="791" ht="16.5" spans="1:5">
      <c r="A791" s="8">
        <v>3045103.988</v>
      </c>
      <c r="B791" s="8">
        <v>35401268.816</v>
      </c>
      <c r="C791" s="8">
        <v>907.163</v>
      </c>
      <c r="D791" s="9" t="s">
        <v>429</v>
      </c>
      <c r="E791" s="10"/>
    </row>
    <row r="792" ht="16.5" spans="1:5">
      <c r="A792" s="8">
        <v>3045103.988</v>
      </c>
      <c r="B792" s="8">
        <v>35401268.816</v>
      </c>
      <c r="C792" s="8">
        <v>907.163</v>
      </c>
      <c r="D792" s="9" t="s">
        <v>430</v>
      </c>
      <c r="E792" s="10"/>
    </row>
    <row r="793" ht="16.5" spans="1:5">
      <c r="A793" s="8">
        <v>3045103.988</v>
      </c>
      <c r="B793" s="8">
        <v>35401268.816</v>
      </c>
      <c r="C793" s="8">
        <v>907.163</v>
      </c>
      <c r="D793" s="9" t="s">
        <v>431</v>
      </c>
      <c r="E793" s="10"/>
    </row>
    <row r="794" ht="16.5" spans="1:5">
      <c r="A794" s="8">
        <v>3045103.988</v>
      </c>
      <c r="B794" s="8">
        <v>35401268.816</v>
      </c>
      <c r="C794" s="8">
        <v>907.163</v>
      </c>
      <c r="D794" s="9" t="s">
        <v>432</v>
      </c>
      <c r="E794" s="10"/>
    </row>
    <row r="795" ht="16.5" spans="1:5">
      <c r="A795" s="8">
        <v>3045103.988</v>
      </c>
      <c r="B795" s="8">
        <v>35401268.816</v>
      </c>
      <c r="C795" s="8">
        <v>907.163</v>
      </c>
      <c r="D795" s="9" t="s">
        <v>433</v>
      </c>
      <c r="E795" s="10">
        <v>760.463</v>
      </c>
    </row>
    <row r="796" ht="16.5" spans="1:5">
      <c r="A796" s="8">
        <v>3045103.988</v>
      </c>
      <c r="B796" s="8">
        <v>35401268.816</v>
      </c>
      <c r="C796" s="8">
        <v>907.163</v>
      </c>
      <c r="D796" s="9" t="s">
        <v>434</v>
      </c>
      <c r="E796" s="10"/>
    </row>
    <row r="797" ht="16.5" spans="1:5">
      <c r="A797" s="8">
        <v>3045103.988</v>
      </c>
      <c r="B797" s="8">
        <v>35401268.816</v>
      </c>
      <c r="C797" s="8">
        <v>907.163</v>
      </c>
      <c r="D797" s="9" t="s">
        <v>435</v>
      </c>
      <c r="E797" s="10"/>
    </row>
    <row r="798" ht="16.5" spans="1:5">
      <c r="A798" s="8">
        <v>3045103.988</v>
      </c>
      <c r="B798" s="8">
        <v>35401268.816</v>
      </c>
      <c r="C798" s="8">
        <v>907.163</v>
      </c>
      <c r="D798" s="9" t="s">
        <v>436</v>
      </c>
      <c r="E798" s="10"/>
    </row>
    <row r="799" ht="16.5" spans="1:5">
      <c r="A799" s="8">
        <v>3045103.988</v>
      </c>
      <c r="B799" s="8">
        <v>35401268.816</v>
      </c>
      <c r="C799" s="8">
        <v>907.163</v>
      </c>
      <c r="D799" s="9" t="s">
        <v>437</v>
      </c>
      <c r="E799" s="10">
        <v>759.163</v>
      </c>
    </row>
    <row r="800" ht="16.5" spans="1:5">
      <c r="A800" s="8">
        <v>3045103.988</v>
      </c>
      <c r="B800" s="8">
        <v>35401268.816</v>
      </c>
      <c r="C800" s="8">
        <v>907.163</v>
      </c>
      <c r="D800" s="9" t="s">
        <v>438</v>
      </c>
      <c r="E800" s="10"/>
    </row>
    <row r="801" ht="16.5" spans="1:5">
      <c r="A801" s="8">
        <v>3045103.988</v>
      </c>
      <c r="B801" s="8">
        <v>35401268.816</v>
      </c>
      <c r="C801" s="8">
        <v>907.163</v>
      </c>
      <c r="D801" s="9" t="s">
        <v>439</v>
      </c>
      <c r="E801" s="10"/>
    </row>
    <row r="802" ht="16.5" spans="1:5">
      <c r="A802" s="8">
        <v>3045103.988</v>
      </c>
      <c r="B802" s="8">
        <v>35401268.816</v>
      </c>
      <c r="C802" s="8">
        <v>907.163</v>
      </c>
      <c r="D802" s="9" t="s">
        <v>440</v>
      </c>
      <c r="E802" s="10"/>
    </row>
    <row r="803" ht="16.5" spans="1:5">
      <c r="A803" s="8">
        <v>3045103.988</v>
      </c>
      <c r="B803" s="8">
        <v>35401268.816</v>
      </c>
      <c r="C803" s="8">
        <v>907.163</v>
      </c>
      <c r="D803" s="9" t="s">
        <v>441</v>
      </c>
      <c r="E803" s="10"/>
    </row>
    <row r="804" ht="16.5" spans="1:5">
      <c r="A804" s="8">
        <v>3045103.988</v>
      </c>
      <c r="B804" s="8">
        <v>35401268.816</v>
      </c>
      <c r="C804" s="8">
        <v>907.163</v>
      </c>
      <c r="D804" s="9" t="s">
        <v>442</v>
      </c>
      <c r="E804" s="10"/>
    </row>
    <row r="805" ht="16.5" spans="1:5">
      <c r="A805" s="8">
        <v>3045103.988</v>
      </c>
      <c r="B805" s="8">
        <v>35401268.816</v>
      </c>
      <c r="C805" s="8">
        <v>907.163</v>
      </c>
      <c r="D805" s="9" t="s">
        <v>443</v>
      </c>
      <c r="E805" s="10"/>
    </row>
    <row r="806" ht="16.5" spans="1:5">
      <c r="A806" s="8">
        <v>3045103.988</v>
      </c>
      <c r="B806" s="8">
        <v>35401268.816</v>
      </c>
      <c r="C806" s="8">
        <v>907.163</v>
      </c>
      <c r="D806" s="9" t="s">
        <v>444</v>
      </c>
      <c r="E806" s="10"/>
    </row>
    <row r="807" ht="16.5" spans="1:5">
      <c r="A807" s="8">
        <v>3045103.988</v>
      </c>
      <c r="B807" s="8">
        <v>35401268.816</v>
      </c>
      <c r="C807" s="8">
        <v>907.163</v>
      </c>
      <c r="D807" s="9" t="s">
        <v>445</v>
      </c>
      <c r="E807" s="10"/>
    </row>
    <row r="808" ht="16.5" spans="1:5">
      <c r="A808" s="8">
        <v>3045103.988</v>
      </c>
      <c r="B808" s="8">
        <v>35401268.816</v>
      </c>
      <c r="C808" s="8">
        <v>907.163</v>
      </c>
      <c r="D808" s="9" t="s">
        <v>446</v>
      </c>
      <c r="E808" s="10"/>
    </row>
    <row r="809" ht="16.5" spans="1:5">
      <c r="A809" s="8">
        <v>3045103.988</v>
      </c>
      <c r="B809" s="8">
        <v>35401268.816</v>
      </c>
      <c r="C809" s="8">
        <v>907.163</v>
      </c>
      <c r="D809" s="9" t="s">
        <v>447</v>
      </c>
      <c r="E809" s="10">
        <v>758.463</v>
      </c>
    </row>
    <row r="810" ht="16.5" spans="1:5">
      <c r="A810" s="8">
        <v>3045103.988</v>
      </c>
      <c r="B810" s="8">
        <v>35401268.816</v>
      </c>
      <c r="C810" s="8">
        <v>907.163</v>
      </c>
      <c r="D810" s="9" t="s">
        <v>448</v>
      </c>
      <c r="E810" s="10"/>
    </row>
    <row r="811" ht="16.5" spans="1:5">
      <c r="A811" s="8">
        <v>3045103.988</v>
      </c>
      <c r="B811" s="8">
        <v>35401268.816</v>
      </c>
      <c r="C811" s="8">
        <v>907.163</v>
      </c>
      <c r="D811" s="9" t="s">
        <v>449</v>
      </c>
      <c r="E811" s="10"/>
    </row>
    <row r="812" ht="16.5" spans="1:5">
      <c r="A812" s="8">
        <v>3045103.988</v>
      </c>
      <c r="B812" s="8">
        <v>35401268.816</v>
      </c>
      <c r="C812" s="8">
        <v>907.163</v>
      </c>
      <c r="D812" s="9" t="s">
        <v>450</v>
      </c>
      <c r="E812" s="10"/>
    </row>
    <row r="813" ht="16.5" spans="1:5">
      <c r="A813" s="8">
        <v>3045103.988</v>
      </c>
      <c r="B813" s="8">
        <v>35401268.816</v>
      </c>
      <c r="C813" s="8">
        <v>907.163</v>
      </c>
      <c r="D813" s="9" t="s">
        <v>451</v>
      </c>
      <c r="E813" s="10"/>
    </row>
    <row r="814" ht="16.5" spans="1:5">
      <c r="A814" s="8">
        <v>3045103.988</v>
      </c>
      <c r="B814" s="8">
        <v>35401268.816</v>
      </c>
      <c r="C814" s="8">
        <v>907.163</v>
      </c>
      <c r="D814" s="9" t="s">
        <v>452</v>
      </c>
      <c r="E814" s="10">
        <v>758.903</v>
      </c>
    </row>
    <row r="815" ht="16.5" spans="1:5">
      <c r="A815" s="8">
        <v>3045103.988</v>
      </c>
      <c r="B815" s="8">
        <v>35401268.816</v>
      </c>
      <c r="C815" s="8">
        <v>907.163</v>
      </c>
      <c r="D815" s="9" t="s">
        <v>453</v>
      </c>
      <c r="E815" s="10"/>
    </row>
    <row r="816" ht="16.5" spans="1:5">
      <c r="A816" s="8">
        <v>3045103.988</v>
      </c>
      <c r="B816" s="8">
        <v>35401268.816</v>
      </c>
      <c r="C816" s="8">
        <v>907.163</v>
      </c>
      <c r="D816" s="9" t="s">
        <v>454</v>
      </c>
      <c r="E816" s="10"/>
    </row>
    <row r="817" ht="16.5" spans="1:5">
      <c r="A817" s="8">
        <v>3045103.988</v>
      </c>
      <c r="B817" s="8">
        <v>35401268.816</v>
      </c>
      <c r="C817" s="8">
        <v>907.163</v>
      </c>
      <c r="D817" s="9" t="s">
        <v>455</v>
      </c>
      <c r="E817" s="10"/>
    </row>
    <row r="818" ht="16.5" spans="1:5">
      <c r="A818" s="8">
        <v>3045103.988</v>
      </c>
      <c r="B818" s="8">
        <v>35401268.816</v>
      </c>
      <c r="C818" s="8">
        <v>907.163</v>
      </c>
      <c r="D818" s="9" t="s">
        <v>456</v>
      </c>
      <c r="E818" s="10"/>
    </row>
    <row r="819" ht="16.5" spans="1:5">
      <c r="A819" s="8">
        <v>3045103.988</v>
      </c>
      <c r="B819" s="8">
        <v>35401268.816</v>
      </c>
      <c r="C819" s="8">
        <v>907.163</v>
      </c>
      <c r="D819" s="9" t="s">
        <v>457</v>
      </c>
      <c r="E819" s="10"/>
    </row>
    <row r="820" ht="16.5" spans="1:5">
      <c r="A820" s="8">
        <v>3045103.988</v>
      </c>
      <c r="B820" s="8">
        <v>35401268.816</v>
      </c>
      <c r="C820" s="8">
        <v>907.163</v>
      </c>
      <c r="D820" s="9" t="s">
        <v>458</v>
      </c>
      <c r="E820" s="10"/>
    </row>
    <row r="821" ht="16.5" spans="1:5">
      <c r="A821" s="8">
        <v>3045103.988</v>
      </c>
      <c r="B821" s="8">
        <v>35401268.816</v>
      </c>
      <c r="C821" s="8">
        <v>907.163</v>
      </c>
      <c r="D821" s="9" t="s">
        <v>459</v>
      </c>
      <c r="E821" s="10">
        <v>757.943</v>
      </c>
    </row>
    <row r="822" ht="16.5" spans="1:5">
      <c r="A822" s="8">
        <v>3045103.988</v>
      </c>
      <c r="B822" s="8">
        <v>35401268.816</v>
      </c>
      <c r="C822" s="8">
        <v>907.163</v>
      </c>
      <c r="D822" s="9" t="s">
        <v>460</v>
      </c>
      <c r="E822" s="10"/>
    </row>
    <row r="823" ht="16.5" spans="1:5">
      <c r="A823" s="8">
        <v>3045103.988</v>
      </c>
      <c r="B823" s="8">
        <v>35401268.816</v>
      </c>
      <c r="C823" s="8">
        <v>907.163</v>
      </c>
      <c r="D823" s="9" t="s">
        <v>461</v>
      </c>
      <c r="E823" s="10"/>
    </row>
    <row r="824" ht="16.5" spans="1:5">
      <c r="A824" s="8">
        <v>3045103.988</v>
      </c>
      <c r="B824" s="8">
        <v>35401268.816</v>
      </c>
      <c r="C824" s="8">
        <v>907.163</v>
      </c>
      <c r="D824" s="9" t="s">
        <v>462</v>
      </c>
      <c r="E824" s="10"/>
    </row>
    <row r="825" ht="16.5" spans="1:5">
      <c r="A825" s="8">
        <v>3045103.988</v>
      </c>
      <c r="B825" s="8">
        <v>35401268.816</v>
      </c>
      <c r="C825" s="8">
        <v>907.163</v>
      </c>
      <c r="D825" s="9" t="s">
        <v>463</v>
      </c>
      <c r="E825" s="10"/>
    </row>
    <row r="826" ht="16.5" spans="1:5">
      <c r="A826" s="8">
        <v>3045103.988</v>
      </c>
      <c r="B826" s="8">
        <v>35401268.816</v>
      </c>
      <c r="C826" s="8">
        <v>907.163</v>
      </c>
      <c r="D826" s="9" t="s">
        <v>464</v>
      </c>
      <c r="E826" s="10"/>
    </row>
    <row r="827" ht="16.5" spans="1:5">
      <c r="A827" s="8">
        <v>3045103.988</v>
      </c>
      <c r="B827" s="8">
        <v>35401268.816</v>
      </c>
      <c r="C827" s="8">
        <v>907.163</v>
      </c>
      <c r="D827" s="9" t="s">
        <v>465</v>
      </c>
      <c r="E827" s="10"/>
    </row>
    <row r="828" ht="16.5" spans="1:5">
      <c r="A828" s="8">
        <v>3045103.988</v>
      </c>
      <c r="B828" s="8">
        <v>35401268.816</v>
      </c>
      <c r="C828" s="8">
        <v>907.163</v>
      </c>
      <c r="D828" s="9" t="s">
        <v>466</v>
      </c>
      <c r="E828" s="10"/>
    </row>
    <row r="829" ht="16.5" spans="1:5">
      <c r="A829" s="8">
        <v>3045103.988</v>
      </c>
      <c r="B829" s="8">
        <v>35401268.816</v>
      </c>
      <c r="C829" s="8">
        <v>907.163</v>
      </c>
      <c r="D829" s="9" t="s">
        <v>467</v>
      </c>
      <c r="E829" s="10"/>
    </row>
    <row r="830" ht="16.5" spans="1:5">
      <c r="A830" s="8">
        <v>3045103.988</v>
      </c>
      <c r="B830" s="8">
        <v>35401268.816</v>
      </c>
      <c r="C830" s="8">
        <v>907.163</v>
      </c>
      <c r="D830" s="9" t="s">
        <v>468</v>
      </c>
      <c r="E830" s="10">
        <v>756.253</v>
      </c>
    </row>
    <row r="831" ht="16.5" spans="1:5">
      <c r="A831" s="8">
        <v>3045103.988</v>
      </c>
      <c r="B831" s="8">
        <v>35401268.816</v>
      </c>
      <c r="C831" s="8">
        <v>907.163</v>
      </c>
      <c r="D831" s="9" t="s">
        <v>469</v>
      </c>
      <c r="E831" s="10">
        <v>756.953</v>
      </c>
    </row>
    <row r="832" ht="16.5" spans="1:5">
      <c r="A832" s="8">
        <v>3045103.988</v>
      </c>
      <c r="B832" s="8">
        <v>35401268.816</v>
      </c>
      <c r="C832" s="8">
        <v>907.163</v>
      </c>
      <c r="D832" s="9" t="s">
        <v>470</v>
      </c>
      <c r="E832" s="10">
        <v>757.993</v>
      </c>
    </row>
    <row r="833" ht="16.5" spans="1:5">
      <c r="A833" s="8">
        <v>3045103.988</v>
      </c>
      <c r="B833" s="8">
        <v>35401268.816</v>
      </c>
      <c r="C833" s="8">
        <v>907.163</v>
      </c>
      <c r="D833" s="9" t="s">
        <v>471</v>
      </c>
      <c r="E833" s="10">
        <v>758.283</v>
      </c>
    </row>
    <row r="834" ht="16.5" spans="1:5">
      <c r="A834" s="8">
        <v>3045103.988</v>
      </c>
      <c r="B834" s="8">
        <v>35401268.816</v>
      </c>
      <c r="C834" s="8">
        <v>907.163</v>
      </c>
      <c r="D834" s="9" t="s">
        <v>472</v>
      </c>
      <c r="E834" s="10">
        <v>758.103</v>
      </c>
    </row>
    <row r="835" ht="16.5" spans="1:5">
      <c r="A835" s="8">
        <v>3045103.988</v>
      </c>
      <c r="B835" s="8">
        <v>35401268.816</v>
      </c>
      <c r="C835" s="8">
        <v>907.163</v>
      </c>
      <c r="D835" s="9" t="s">
        <v>473</v>
      </c>
      <c r="E835" s="10">
        <v>759.083</v>
      </c>
    </row>
    <row r="836" ht="16.5" spans="1:5">
      <c r="A836" s="8">
        <v>3045103.988</v>
      </c>
      <c r="B836" s="8">
        <v>35401268.816</v>
      </c>
      <c r="C836" s="8">
        <v>907.163</v>
      </c>
      <c r="D836" s="9" t="s">
        <v>474</v>
      </c>
      <c r="E836" s="10">
        <v>759.743</v>
      </c>
    </row>
    <row r="837" ht="16.5" spans="1:5">
      <c r="A837" s="8">
        <v>3045103.988</v>
      </c>
      <c r="B837" s="8">
        <v>35401268.816</v>
      </c>
      <c r="C837" s="8">
        <v>907.163</v>
      </c>
      <c r="D837" s="9" t="s">
        <v>475</v>
      </c>
      <c r="E837" s="10">
        <v>760.263</v>
      </c>
    </row>
    <row r="838" ht="16.5" spans="1:5">
      <c r="A838" s="8">
        <v>3045103.988</v>
      </c>
      <c r="B838" s="8">
        <v>35401268.816</v>
      </c>
      <c r="C838" s="8">
        <v>907.163</v>
      </c>
      <c r="D838" s="9" t="s">
        <v>476</v>
      </c>
      <c r="E838" s="10">
        <v>760.183</v>
      </c>
    </row>
    <row r="839" ht="16.5" spans="1:5">
      <c r="A839" s="8">
        <v>3045103.988</v>
      </c>
      <c r="B839" s="8">
        <v>35401268.816</v>
      </c>
      <c r="C839" s="8">
        <v>907.163</v>
      </c>
      <c r="D839" s="9" t="s">
        <v>477</v>
      </c>
      <c r="E839" s="10">
        <v>759.203</v>
      </c>
    </row>
    <row r="840" ht="16.5" spans="1:5">
      <c r="A840" s="8">
        <v>3045103.988</v>
      </c>
      <c r="B840" s="8">
        <v>35401268.816</v>
      </c>
      <c r="C840" s="8">
        <v>907.163</v>
      </c>
      <c r="D840" s="9" t="s">
        <v>478</v>
      </c>
      <c r="E840" s="10">
        <v>759.743</v>
      </c>
    </row>
    <row r="841" ht="16.5" spans="1:5">
      <c r="A841" s="8">
        <v>3045103.988</v>
      </c>
      <c r="B841" s="8">
        <v>35401268.816</v>
      </c>
      <c r="C841" s="8">
        <v>907.163</v>
      </c>
      <c r="D841" s="9" t="s">
        <v>479</v>
      </c>
      <c r="E841" s="10">
        <v>759.923</v>
      </c>
    </row>
    <row r="842" ht="16.5" spans="1:5">
      <c r="A842" s="8">
        <v>3045103.988</v>
      </c>
      <c r="B842" s="8">
        <v>35401268.816</v>
      </c>
      <c r="C842" s="8">
        <v>907.163</v>
      </c>
      <c r="D842" s="9" t="s">
        <v>480</v>
      </c>
      <c r="E842" s="10">
        <v>759.833</v>
      </c>
    </row>
    <row r="843" ht="16.5" spans="1:5">
      <c r="A843" s="8">
        <v>3045103.988</v>
      </c>
      <c r="B843" s="8">
        <v>35401268.816</v>
      </c>
      <c r="C843" s="8">
        <v>907.163</v>
      </c>
      <c r="D843" s="9" t="s">
        <v>481</v>
      </c>
      <c r="E843" s="10">
        <v>759.293</v>
      </c>
    </row>
    <row r="844" ht="16.5" spans="1:5">
      <c r="A844" s="8">
        <v>3045103.988</v>
      </c>
      <c r="B844" s="8">
        <v>35401268.816</v>
      </c>
      <c r="C844" s="8">
        <v>907.163</v>
      </c>
      <c r="D844" s="9" t="s">
        <v>482</v>
      </c>
      <c r="E844" s="10">
        <v>759.783</v>
      </c>
    </row>
    <row r="845" ht="16.5" spans="1:5">
      <c r="A845" s="8">
        <v>3045103.988</v>
      </c>
      <c r="B845" s="8">
        <v>35401268.816</v>
      </c>
      <c r="C845" s="8">
        <v>907.163</v>
      </c>
      <c r="D845" s="9" t="s">
        <v>483</v>
      </c>
      <c r="E845" s="10">
        <v>759.743</v>
      </c>
    </row>
    <row r="846" ht="16.5" spans="1:5">
      <c r="A846" s="8">
        <v>3045103.988</v>
      </c>
      <c r="B846" s="8">
        <v>35401268.816</v>
      </c>
      <c r="C846" s="8">
        <v>907.163</v>
      </c>
      <c r="D846" s="9" t="s">
        <v>484</v>
      </c>
      <c r="E846" s="10">
        <v>757.913</v>
      </c>
    </row>
    <row r="847" ht="16.5" spans="1:5">
      <c r="A847" s="8">
        <v>3045103.988</v>
      </c>
      <c r="B847" s="8">
        <v>35401268.816</v>
      </c>
      <c r="C847" s="8">
        <v>907.163</v>
      </c>
      <c r="D847" s="9" t="s">
        <v>485</v>
      </c>
      <c r="E847" s="10">
        <v>760.583</v>
      </c>
    </row>
    <row r="848" ht="16.5" spans="1:5">
      <c r="A848" s="8">
        <v>3045103.988</v>
      </c>
      <c r="B848" s="8">
        <v>35401268.816</v>
      </c>
      <c r="C848" s="8">
        <v>907.163</v>
      </c>
      <c r="D848" s="9" t="s">
        <v>486</v>
      </c>
      <c r="E848" s="10">
        <v>760.293</v>
      </c>
    </row>
    <row r="849" ht="16.5" spans="1:5">
      <c r="A849" s="8">
        <v>3045103.988</v>
      </c>
      <c r="B849" s="8">
        <v>35401268.816</v>
      </c>
      <c r="C849" s="8">
        <v>907.163</v>
      </c>
      <c r="D849" s="9" t="s">
        <v>487</v>
      </c>
      <c r="E849" s="10">
        <v>760.793</v>
      </c>
    </row>
    <row r="850" ht="16.5" spans="1:5">
      <c r="A850" s="8">
        <v>3045103.988</v>
      </c>
      <c r="B850" s="8">
        <v>35401268.816</v>
      </c>
      <c r="C850" s="8">
        <v>907.163</v>
      </c>
      <c r="D850" s="9" t="s">
        <v>488</v>
      </c>
      <c r="E850" s="10">
        <v>760.743</v>
      </c>
    </row>
    <row r="851" ht="16.5" spans="1:5">
      <c r="A851" s="8">
        <v>3045103.988</v>
      </c>
      <c r="B851" s="8">
        <v>35401268.816</v>
      </c>
      <c r="C851" s="8">
        <v>907.163</v>
      </c>
      <c r="D851" s="9" t="s">
        <v>489</v>
      </c>
      <c r="E851" s="10">
        <v>760.773</v>
      </c>
    </row>
    <row r="852" ht="16.5" spans="1:5">
      <c r="A852" s="8">
        <v>3045103.988</v>
      </c>
      <c r="B852" s="8">
        <v>35401268.816</v>
      </c>
      <c r="C852" s="8">
        <v>907.163</v>
      </c>
      <c r="D852" s="9" t="s">
        <v>490</v>
      </c>
      <c r="E852" s="10">
        <v>761.993</v>
      </c>
    </row>
    <row r="853" ht="16.5" spans="1:5">
      <c r="A853" s="8">
        <v>3045103.988</v>
      </c>
      <c r="B853" s="8">
        <v>35401268.816</v>
      </c>
      <c r="C853" s="8">
        <v>907.163</v>
      </c>
      <c r="D853" s="9" t="s">
        <v>491</v>
      </c>
      <c r="E853" s="10">
        <v>762.023</v>
      </c>
    </row>
    <row r="854" ht="16.5" spans="1:5">
      <c r="A854" s="8">
        <v>3045103.988</v>
      </c>
      <c r="B854" s="8">
        <v>35401268.816</v>
      </c>
      <c r="C854" s="8">
        <v>907.163</v>
      </c>
      <c r="D854" s="11">
        <v>44682</v>
      </c>
      <c r="E854" s="10">
        <v>761.873</v>
      </c>
    </row>
    <row r="855" ht="16.5" spans="1:5">
      <c r="A855" s="8">
        <v>3045103.988</v>
      </c>
      <c r="B855" s="8">
        <v>35401268.816</v>
      </c>
      <c r="C855" s="8">
        <v>907.163</v>
      </c>
      <c r="D855" s="11">
        <v>44683</v>
      </c>
      <c r="E855" s="10"/>
    </row>
    <row r="856" ht="16.5" spans="1:5">
      <c r="A856" s="8">
        <v>3045103.988</v>
      </c>
      <c r="B856" s="8">
        <v>35401268.816</v>
      </c>
      <c r="C856" s="8">
        <v>907.163</v>
      </c>
      <c r="D856" s="11">
        <v>44684</v>
      </c>
      <c r="E856" s="10"/>
    </row>
    <row r="857" ht="16.5" spans="1:5">
      <c r="A857" s="8">
        <v>3045103.988</v>
      </c>
      <c r="B857" s="8">
        <v>35401268.816</v>
      </c>
      <c r="C857" s="8">
        <v>907.163</v>
      </c>
      <c r="D857" s="11">
        <v>44685</v>
      </c>
      <c r="E857" s="10">
        <v>763.223</v>
      </c>
    </row>
    <row r="858" ht="16.5" spans="1:5">
      <c r="A858" s="8">
        <v>3045103.988</v>
      </c>
      <c r="B858" s="8">
        <v>35401268.816</v>
      </c>
      <c r="C858" s="8">
        <v>907.163</v>
      </c>
      <c r="D858" s="11">
        <v>44686</v>
      </c>
      <c r="E858" s="10">
        <v>763.163</v>
      </c>
    </row>
    <row r="859" ht="16.5" spans="1:5">
      <c r="A859" s="8">
        <v>3045103.988</v>
      </c>
      <c r="B859" s="8">
        <v>35401268.816</v>
      </c>
      <c r="C859" s="8">
        <v>907.163</v>
      </c>
      <c r="D859" s="11">
        <v>44687</v>
      </c>
      <c r="E859" s="10"/>
    </row>
    <row r="860" ht="16.5" spans="1:5">
      <c r="A860" s="8">
        <v>3045103.988</v>
      </c>
      <c r="B860" s="8">
        <v>35401268.816</v>
      </c>
      <c r="C860" s="8">
        <v>907.163</v>
      </c>
      <c r="D860" s="11">
        <v>44688</v>
      </c>
      <c r="E860" s="10">
        <v>762.153</v>
      </c>
    </row>
    <row r="861" ht="16.5" spans="1:5">
      <c r="A861" s="8">
        <v>3045103.988</v>
      </c>
      <c r="B861" s="8">
        <v>35401268.816</v>
      </c>
      <c r="C861" s="8">
        <v>907.163</v>
      </c>
      <c r="D861" s="11">
        <v>44689</v>
      </c>
      <c r="E861" s="10"/>
    </row>
    <row r="862" ht="16.5" spans="1:5">
      <c r="A862" s="8">
        <v>3045103.988</v>
      </c>
      <c r="B862" s="8">
        <v>35401268.816</v>
      </c>
      <c r="C862" s="8">
        <v>907.163</v>
      </c>
      <c r="D862" s="11">
        <v>44690</v>
      </c>
      <c r="E862" s="10"/>
    </row>
    <row r="863" ht="16.5" spans="1:5">
      <c r="A863" s="8">
        <v>3045103.988</v>
      </c>
      <c r="B863" s="8">
        <v>35401268.816</v>
      </c>
      <c r="C863" s="8">
        <v>907.163</v>
      </c>
      <c r="D863" s="11">
        <v>44691</v>
      </c>
      <c r="E863" s="10">
        <v>763.063</v>
      </c>
    </row>
    <row r="864" ht="16.5" spans="1:5">
      <c r="A864" s="8">
        <v>3045103.988</v>
      </c>
      <c r="B864" s="8">
        <v>35401268.816</v>
      </c>
      <c r="C864" s="8">
        <v>907.163</v>
      </c>
      <c r="D864" s="11">
        <v>44692</v>
      </c>
      <c r="E864" s="10">
        <v>763.103</v>
      </c>
    </row>
    <row r="865" ht="16.5" spans="1:5">
      <c r="A865" s="8">
        <v>3045103.988</v>
      </c>
      <c r="B865" s="8">
        <v>35401268.816</v>
      </c>
      <c r="C865" s="8">
        <v>907.163</v>
      </c>
      <c r="D865" s="11">
        <v>44693</v>
      </c>
      <c r="E865" s="10">
        <v>763.203</v>
      </c>
    </row>
    <row r="866" ht="16.5" spans="1:5">
      <c r="A866" s="8">
        <v>3045103.988</v>
      </c>
      <c r="B866" s="8">
        <v>35401268.816</v>
      </c>
      <c r="C866" s="8">
        <v>907.163</v>
      </c>
      <c r="D866" s="11">
        <v>44694</v>
      </c>
      <c r="E866" s="10">
        <v>761.113</v>
      </c>
    </row>
    <row r="867" ht="16.5" spans="1:5">
      <c r="A867" s="8">
        <v>3045103.988</v>
      </c>
      <c r="B867" s="8">
        <v>35401268.816</v>
      </c>
      <c r="C867" s="8">
        <v>907.163</v>
      </c>
      <c r="D867" s="11">
        <v>44695</v>
      </c>
      <c r="E867" s="10">
        <v>756.793</v>
      </c>
    </row>
    <row r="868" ht="16.5" spans="1:5">
      <c r="A868" s="8">
        <v>3045103.988</v>
      </c>
      <c r="B868" s="8">
        <v>35401268.816</v>
      </c>
      <c r="C868" s="8">
        <v>907.163</v>
      </c>
      <c r="D868" s="11">
        <v>44696</v>
      </c>
      <c r="E868" s="10">
        <v>757.493</v>
      </c>
    </row>
    <row r="869" ht="16.5" spans="1:5">
      <c r="A869" s="8">
        <v>3045103.988</v>
      </c>
      <c r="B869" s="8">
        <v>35401268.816</v>
      </c>
      <c r="C869" s="8">
        <v>907.163</v>
      </c>
      <c r="D869" s="11">
        <v>44697</v>
      </c>
      <c r="E869" s="10">
        <v>761.253</v>
      </c>
    </row>
    <row r="870" ht="16.5" spans="1:5">
      <c r="A870" s="8">
        <v>3045103.988</v>
      </c>
      <c r="B870" s="8">
        <v>35401268.816</v>
      </c>
      <c r="C870" s="8">
        <v>907.163</v>
      </c>
      <c r="D870" s="11">
        <v>44698</v>
      </c>
      <c r="E870" s="10">
        <v>757.183</v>
      </c>
    </row>
    <row r="871" ht="16.5" spans="1:5">
      <c r="A871" s="8">
        <v>3045103.988</v>
      </c>
      <c r="B871" s="8">
        <v>35401268.816</v>
      </c>
      <c r="C871" s="8">
        <v>907.163</v>
      </c>
      <c r="D871" s="11">
        <v>44699</v>
      </c>
      <c r="E871" s="10">
        <v>755.463</v>
      </c>
    </row>
    <row r="872" ht="16.5" spans="1:5">
      <c r="A872" s="8">
        <v>3045103.988</v>
      </c>
      <c r="B872" s="8">
        <v>35401268.816</v>
      </c>
      <c r="C872" s="8">
        <v>907.163</v>
      </c>
      <c r="D872" s="11">
        <v>44700</v>
      </c>
      <c r="E872" s="10">
        <v>757.143</v>
      </c>
    </row>
    <row r="873" ht="16.5" spans="1:5">
      <c r="A873" s="8">
        <v>3045103.988</v>
      </c>
      <c r="B873" s="8">
        <v>35401268.816</v>
      </c>
      <c r="C873" s="8">
        <v>907.163</v>
      </c>
      <c r="D873" s="11">
        <v>44701</v>
      </c>
      <c r="E873" s="10">
        <v>756.283</v>
      </c>
    </row>
    <row r="874" ht="16.5" spans="1:5">
      <c r="A874" s="8">
        <v>3045103.988</v>
      </c>
      <c r="B874" s="8">
        <v>35401268.816</v>
      </c>
      <c r="C874" s="8">
        <v>907.163</v>
      </c>
      <c r="D874" s="11">
        <v>44702</v>
      </c>
      <c r="E874" s="10">
        <v>756.943</v>
      </c>
    </row>
    <row r="875" ht="16.5" spans="1:5">
      <c r="A875" s="8">
        <v>3045103.988</v>
      </c>
      <c r="B875" s="8">
        <v>35401268.816</v>
      </c>
      <c r="C875" s="8">
        <v>907.163</v>
      </c>
      <c r="D875" s="11">
        <v>44703</v>
      </c>
      <c r="E875" s="10">
        <v>755.233</v>
      </c>
    </row>
    <row r="876" ht="16.5" spans="1:5">
      <c r="A876" s="8">
        <v>3045103.988</v>
      </c>
      <c r="B876" s="8">
        <v>35401268.816</v>
      </c>
      <c r="C876" s="8">
        <v>907.163</v>
      </c>
      <c r="D876" s="11">
        <v>44704</v>
      </c>
      <c r="E876" s="10">
        <v>754.283</v>
      </c>
    </row>
    <row r="877" ht="16.5" spans="1:5">
      <c r="A877" s="8">
        <v>3045103.988</v>
      </c>
      <c r="B877" s="8">
        <v>35401268.816</v>
      </c>
      <c r="C877" s="8">
        <v>907.163</v>
      </c>
      <c r="D877" s="11">
        <v>44705</v>
      </c>
      <c r="E877" s="10"/>
    </row>
    <row r="878" ht="16.5" spans="1:5">
      <c r="A878" s="8">
        <v>3045103.988</v>
      </c>
      <c r="B878" s="8">
        <v>35401268.816</v>
      </c>
      <c r="C878" s="8">
        <v>907.163</v>
      </c>
      <c r="D878" s="11">
        <v>44706</v>
      </c>
      <c r="E878" s="10">
        <v>753.413</v>
      </c>
    </row>
    <row r="879" ht="16.5" spans="1:5">
      <c r="A879" s="8">
        <v>3045103.988</v>
      </c>
      <c r="B879" s="8">
        <v>35401268.816</v>
      </c>
      <c r="C879" s="8">
        <v>907.163</v>
      </c>
      <c r="D879" s="11">
        <v>44707</v>
      </c>
      <c r="E879" s="10">
        <v>752.683</v>
      </c>
    </row>
    <row r="880" ht="16.5" spans="1:5">
      <c r="A880" s="8">
        <v>3045103.988</v>
      </c>
      <c r="B880" s="8">
        <v>35401268.816</v>
      </c>
      <c r="C880" s="8">
        <v>907.163</v>
      </c>
      <c r="D880" s="11">
        <v>44708</v>
      </c>
      <c r="E880" s="10">
        <v>753.393</v>
      </c>
    </row>
    <row r="881" ht="16.5" spans="1:5">
      <c r="A881" s="8">
        <v>3045103.988</v>
      </c>
      <c r="B881" s="8">
        <v>35401268.816</v>
      </c>
      <c r="C881" s="8">
        <v>907.163</v>
      </c>
      <c r="D881" s="11">
        <v>44709</v>
      </c>
      <c r="E881" s="10">
        <v>755.963</v>
      </c>
    </row>
    <row r="882" ht="16.5" spans="1:5">
      <c r="A882" s="8">
        <v>3045103.988</v>
      </c>
      <c r="B882" s="8">
        <v>35401268.816</v>
      </c>
      <c r="C882" s="8">
        <v>907.163</v>
      </c>
      <c r="D882" s="11">
        <v>44710</v>
      </c>
      <c r="E882" s="10">
        <v>757.743</v>
      </c>
    </row>
    <row r="883" ht="16.5" spans="1:5">
      <c r="A883" s="8">
        <v>3045103.988</v>
      </c>
      <c r="B883" s="8">
        <v>35401268.816</v>
      </c>
      <c r="C883" s="8">
        <v>907.163</v>
      </c>
      <c r="D883" s="11">
        <v>44711</v>
      </c>
      <c r="E883" s="10"/>
    </row>
    <row r="884" ht="16.5" spans="1:5">
      <c r="A884" s="8">
        <v>3045103.988</v>
      </c>
      <c r="B884" s="8">
        <v>35401268.816</v>
      </c>
      <c r="C884" s="8">
        <v>907.163</v>
      </c>
      <c r="D884" s="11">
        <v>44712</v>
      </c>
      <c r="E884" s="10">
        <v>757.843</v>
      </c>
    </row>
    <row r="885" ht="16.5" spans="1:5">
      <c r="A885" s="8">
        <v>3045103.988</v>
      </c>
      <c r="B885" s="8">
        <v>35401268.816</v>
      </c>
      <c r="C885" s="8">
        <v>907.163</v>
      </c>
      <c r="D885" s="11">
        <v>44713</v>
      </c>
      <c r="E885" s="10"/>
    </row>
    <row r="886" ht="16.5" spans="1:5">
      <c r="A886" s="8">
        <v>3045103.988</v>
      </c>
      <c r="B886" s="8">
        <v>35401268.816</v>
      </c>
      <c r="C886" s="8">
        <v>907.163</v>
      </c>
      <c r="D886" s="11">
        <v>44714</v>
      </c>
      <c r="E886" s="10">
        <v>757.893</v>
      </c>
    </row>
    <row r="887" ht="16.5" spans="1:5">
      <c r="A887" s="8">
        <v>3045103.988</v>
      </c>
      <c r="B887" s="8">
        <v>35401268.816</v>
      </c>
      <c r="C887" s="8">
        <v>907.163</v>
      </c>
      <c r="D887" s="11">
        <v>44715</v>
      </c>
      <c r="E887" s="10"/>
    </row>
    <row r="888" ht="16.5" spans="1:5">
      <c r="A888" s="8">
        <v>3045103.988</v>
      </c>
      <c r="B888" s="8">
        <v>35401268.816</v>
      </c>
      <c r="C888" s="8">
        <v>907.163</v>
      </c>
      <c r="D888" s="11">
        <v>44716</v>
      </c>
      <c r="E888" s="10">
        <v>757.943</v>
      </c>
    </row>
    <row r="889" ht="16.5" spans="1:5">
      <c r="A889" s="8">
        <v>3045103.988</v>
      </c>
      <c r="B889" s="8">
        <v>35401268.816</v>
      </c>
      <c r="C889" s="8">
        <v>907.163</v>
      </c>
      <c r="D889" s="11">
        <v>44717</v>
      </c>
      <c r="E889" s="10"/>
    </row>
    <row r="890" ht="16.5" spans="1:5">
      <c r="A890" s="8">
        <v>3045103.988</v>
      </c>
      <c r="B890" s="8">
        <v>35401268.816</v>
      </c>
      <c r="C890" s="8">
        <v>907.163</v>
      </c>
      <c r="D890" s="11">
        <v>44718</v>
      </c>
      <c r="E890" s="10"/>
    </row>
    <row r="891" ht="16.5" spans="1:5">
      <c r="A891" s="8">
        <v>3045103.988</v>
      </c>
      <c r="B891" s="8">
        <v>35401268.816</v>
      </c>
      <c r="C891" s="8">
        <v>907.163</v>
      </c>
      <c r="D891" s="11">
        <v>44719</v>
      </c>
      <c r="E891" s="10">
        <v>758.073</v>
      </c>
    </row>
    <row r="892" ht="16.5" spans="1:5">
      <c r="A892" s="8">
        <v>3045103.988</v>
      </c>
      <c r="B892" s="8">
        <v>35401268.816</v>
      </c>
      <c r="C892" s="8">
        <v>907.163</v>
      </c>
      <c r="D892" s="11">
        <v>44720</v>
      </c>
      <c r="E892" s="12"/>
    </row>
    <row r="893" ht="16.5" spans="1:5">
      <c r="A893" s="8">
        <v>3045103.988</v>
      </c>
      <c r="B893" s="8">
        <v>35401268.816</v>
      </c>
      <c r="C893" s="8">
        <v>907.163</v>
      </c>
      <c r="D893" s="11">
        <v>44721</v>
      </c>
      <c r="E893" s="12"/>
    </row>
    <row r="894" ht="16.5" spans="1:5">
      <c r="A894" s="8">
        <v>3045103.988</v>
      </c>
      <c r="B894" s="8">
        <v>35401268.816</v>
      </c>
      <c r="C894" s="8">
        <v>907.163</v>
      </c>
      <c r="D894" s="11">
        <v>44722</v>
      </c>
      <c r="E894" s="12"/>
    </row>
    <row r="895" ht="16.5" spans="1:5">
      <c r="A895" s="8">
        <v>3045103.988</v>
      </c>
      <c r="B895" s="8">
        <v>35401268.816</v>
      </c>
      <c r="C895" s="8">
        <v>907.163</v>
      </c>
      <c r="D895" s="11">
        <v>44723</v>
      </c>
      <c r="E895" s="10">
        <v>761.663</v>
      </c>
    </row>
    <row r="896" ht="16.5" spans="1:5">
      <c r="A896" s="8">
        <v>3045103.988</v>
      </c>
      <c r="B896" s="8">
        <v>35401268.816</v>
      </c>
      <c r="C896" s="8">
        <v>907.163</v>
      </c>
      <c r="D896" s="11">
        <v>44724</v>
      </c>
      <c r="E896" s="10">
        <v>761.723</v>
      </c>
    </row>
    <row r="897" ht="16.5" spans="1:5">
      <c r="A897" s="8">
        <v>3045103.988</v>
      </c>
      <c r="B897" s="8">
        <v>35401268.816</v>
      </c>
      <c r="C897" s="8">
        <v>907.163</v>
      </c>
      <c r="D897" s="11">
        <v>44725</v>
      </c>
      <c r="E897" s="10"/>
    </row>
    <row r="898" ht="16.5" spans="1:5">
      <c r="A898" s="8">
        <v>3045103.988</v>
      </c>
      <c r="B898" s="8">
        <v>35401268.816</v>
      </c>
      <c r="C898" s="8">
        <v>907.163</v>
      </c>
      <c r="D898" s="11">
        <v>44726</v>
      </c>
      <c r="E898" s="10">
        <v>761.793</v>
      </c>
    </row>
    <row r="899" ht="16.5" spans="1:5">
      <c r="A899" s="8">
        <v>3045103.988</v>
      </c>
      <c r="B899" s="8">
        <v>35401268.816</v>
      </c>
      <c r="C899" s="8">
        <v>907.163</v>
      </c>
      <c r="D899" s="11">
        <v>44727</v>
      </c>
      <c r="E899" s="10"/>
    </row>
    <row r="900" ht="16.5" spans="1:5">
      <c r="A900" s="8">
        <v>3045103.988</v>
      </c>
      <c r="B900" s="8">
        <v>35401268.816</v>
      </c>
      <c r="C900" s="8">
        <v>907.163</v>
      </c>
      <c r="D900" s="11">
        <v>44728</v>
      </c>
      <c r="E900" s="10">
        <v>761.873</v>
      </c>
    </row>
    <row r="901" ht="16.5" spans="1:5">
      <c r="A901" s="8">
        <v>3045103.988</v>
      </c>
      <c r="B901" s="8">
        <v>35401268.816</v>
      </c>
      <c r="C901" s="8">
        <v>907.163</v>
      </c>
      <c r="D901" s="11">
        <v>44729</v>
      </c>
      <c r="E901" s="10"/>
    </row>
    <row r="902" ht="16.5" spans="1:5">
      <c r="A902" s="8">
        <v>3045103.988</v>
      </c>
      <c r="B902" s="8">
        <v>35401268.816</v>
      </c>
      <c r="C902" s="8">
        <v>907.163</v>
      </c>
      <c r="D902" s="11">
        <v>44730</v>
      </c>
      <c r="E902" s="10"/>
    </row>
    <row r="903" ht="16.5" spans="1:5">
      <c r="A903" s="8">
        <v>3045103.988</v>
      </c>
      <c r="B903" s="8">
        <v>35401268.816</v>
      </c>
      <c r="C903" s="8">
        <v>907.163</v>
      </c>
      <c r="D903" s="11">
        <v>44731</v>
      </c>
      <c r="E903" s="10"/>
    </row>
    <row r="904" ht="16.5" spans="1:5">
      <c r="A904" s="8">
        <v>3045103.988</v>
      </c>
      <c r="B904" s="8">
        <v>35401268.816</v>
      </c>
      <c r="C904" s="8">
        <v>907.163</v>
      </c>
      <c r="D904" s="13">
        <v>44732</v>
      </c>
      <c r="E904" s="10"/>
    </row>
    <row r="905" ht="16.5" spans="1:5">
      <c r="A905" s="8">
        <v>3045103.988</v>
      </c>
      <c r="B905" s="8">
        <v>35401268.816</v>
      </c>
      <c r="C905" s="8">
        <v>907.163</v>
      </c>
      <c r="D905" s="13">
        <v>44733</v>
      </c>
      <c r="E905" s="10"/>
    </row>
    <row r="906" ht="16.5" spans="1:5">
      <c r="A906" s="8">
        <v>3045103.988</v>
      </c>
      <c r="B906" s="8">
        <v>35401268.816</v>
      </c>
      <c r="C906" s="8">
        <v>907.163</v>
      </c>
      <c r="D906" s="13">
        <v>44734</v>
      </c>
      <c r="E906" s="10"/>
    </row>
    <row r="907" ht="16.5" spans="1:5">
      <c r="A907" s="8">
        <v>3045103.988</v>
      </c>
      <c r="B907" s="8">
        <v>35401268.816</v>
      </c>
      <c r="C907" s="8">
        <v>907.163</v>
      </c>
      <c r="D907" s="13">
        <v>44735</v>
      </c>
      <c r="E907" s="10"/>
    </row>
    <row r="908" ht="16.5" spans="1:5">
      <c r="A908" s="8">
        <v>3045103.988</v>
      </c>
      <c r="B908" s="8">
        <v>35401268.816</v>
      </c>
      <c r="C908" s="8">
        <v>907.163</v>
      </c>
      <c r="D908" s="13">
        <v>44736</v>
      </c>
      <c r="E908" s="10">
        <v>762.333</v>
      </c>
    </row>
    <row r="909" ht="16.5" spans="1:5">
      <c r="A909" s="8">
        <v>3045103.988</v>
      </c>
      <c r="B909" s="8">
        <v>35401268.816</v>
      </c>
      <c r="C909" s="8">
        <v>907.163</v>
      </c>
      <c r="D909" s="13">
        <v>44737</v>
      </c>
      <c r="E909" s="10"/>
    </row>
    <row r="910" ht="16.5" spans="1:5">
      <c r="A910" s="8">
        <v>3045103.988</v>
      </c>
      <c r="B910" s="8">
        <v>35401268.816</v>
      </c>
      <c r="C910" s="8">
        <v>907.163</v>
      </c>
      <c r="D910" s="13">
        <v>44738</v>
      </c>
      <c r="E910" s="10"/>
    </row>
    <row r="911" ht="16.5" spans="1:5">
      <c r="A911" s="8">
        <v>3045103.988</v>
      </c>
      <c r="B911" s="8">
        <v>35401268.816</v>
      </c>
      <c r="C911" s="8">
        <v>907.163</v>
      </c>
      <c r="D911" s="13">
        <v>44739</v>
      </c>
      <c r="E911" s="12"/>
    </row>
    <row r="912" ht="16.5" spans="1:5">
      <c r="A912" s="8">
        <v>3045103.988</v>
      </c>
      <c r="B912" s="8">
        <v>35401268.816</v>
      </c>
      <c r="C912" s="8">
        <v>907.163</v>
      </c>
      <c r="D912" s="13">
        <v>44740</v>
      </c>
      <c r="E912" s="12"/>
    </row>
    <row r="913" ht="16.5" spans="1:5">
      <c r="A913" s="8">
        <v>3045103.988</v>
      </c>
      <c r="B913" s="8">
        <v>35401268.816</v>
      </c>
      <c r="C913" s="8">
        <v>907.163</v>
      </c>
      <c r="D913" s="13">
        <v>44741</v>
      </c>
      <c r="E913" s="12"/>
    </row>
    <row r="914" ht="16.5" spans="1:5">
      <c r="A914" s="8">
        <v>3045103.988</v>
      </c>
      <c r="B914" s="8">
        <v>35401268.816</v>
      </c>
      <c r="C914" s="8">
        <v>907.163</v>
      </c>
      <c r="D914" s="13">
        <v>44742</v>
      </c>
      <c r="E914" s="12"/>
    </row>
    <row r="915" ht="16.5" spans="1:5">
      <c r="A915" s="8">
        <v>3045103.988</v>
      </c>
      <c r="B915" s="8">
        <v>35401268.816</v>
      </c>
      <c r="C915" s="8">
        <v>907.163</v>
      </c>
      <c r="D915" s="13">
        <v>44743</v>
      </c>
      <c r="E915" s="12"/>
    </row>
    <row r="916" ht="16.5" spans="1:5">
      <c r="A916" s="8">
        <v>3045103.988</v>
      </c>
      <c r="B916" s="8">
        <v>35401268.816</v>
      </c>
      <c r="C916" s="8">
        <v>907.163</v>
      </c>
      <c r="D916" s="13">
        <v>44744</v>
      </c>
      <c r="E916" s="12"/>
    </row>
    <row r="917" ht="16.5" spans="1:5">
      <c r="A917" s="8">
        <v>3045103.988</v>
      </c>
      <c r="B917" s="8">
        <v>35401268.816</v>
      </c>
      <c r="C917" s="8">
        <v>907.163</v>
      </c>
      <c r="D917" s="13">
        <v>44745</v>
      </c>
      <c r="E917" s="12"/>
    </row>
    <row r="918" ht="16.5" spans="1:5">
      <c r="A918" s="8">
        <v>3045103.988</v>
      </c>
      <c r="B918" s="8">
        <v>35401268.816</v>
      </c>
      <c r="C918" s="8">
        <v>907.163</v>
      </c>
      <c r="D918" s="13">
        <v>44746</v>
      </c>
      <c r="E918" s="10"/>
    </row>
    <row r="919" ht="16.5" spans="1:5">
      <c r="A919" s="8">
        <v>3045103.988</v>
      </c>
      <c r="B919" s="8">
        <v>35401268.816</v>
      </c>
      <c r="C919" s="8">
        <v>907.163</v>
      </c>
      <c r="D919" s="13">
        <v>44747</v>
      </c>
      <c r="E919" s="12"/>
    </row>
    <row r="920" ht="16.5" spans="1:5">
      <c r="A920" s="8">
        <v>3045103.988</v>
      </c>
      <c r="B920" s="8">
        <v>35401268.816</v>
      </c>
      <c r="C920" s="8">
        <v>907.163</v>
      </c>
      <c r="D920" s="13">
        <v>44748</v>
      </c>
      <c r="E920" s="10">
        <v>760.76</v>
      </c>
    </row>
    <row r="921" ht="16.5" spans="1:5">
      <c r="A921" s="8">
        <v>3045103.988</v>
      </c>
      <c r="B921" s="8">
        <v>35401268.816</v>
      </c>
      <c r="C921" s="8">
        <v>907.163</v>
      </c>
      <c r="D921" s="13">
        <v>44749</v>
      </c>
      <c r="E921" s="12"/>
    </row>
    <row r="922" ht="16.5" spans="1:5">
      <c r="A922" s="8">
        <v>3045103.988</v>
      </c>
      <c r="B922" s="8">
        <v>35401268.816</v>
      </c>
      <c r="C922" s="8">
        <v>907.163</v>
      </c>
      <c r="D922" s="13">
        <v>44750</v>
      </c>
      <c r="E922" s="12"/>
    </row>
    <row r="923" ht="16.5" spans="1:5">
      <c r="A923" s="8">
        <v>3045103.988</v>
      </c>
      <c r="B923" s="8">
        <v>35401268.816</v>
      </c>
      <c r="C923" s="8">
        <v>907.163</v>
      </c>
      <c r="D923" s="13">
        <v>44751</v>
      </c>
      <c r="E923" s="12"/>
    </row>
    <row r="924" ht="16.5" spans="1:5">
      <c r="A924" s="8">
        <v>3045103.988</v>
      </c>
      <c r="B924" s="8">
        <v>35401268.816</v>
      </c>
      <c r="C924" s="8">
        <v>907.163</v>
      </c>
      <c r="D924" s="13">
        <v>44752</v>
      </c>
      <c r="E924" s="12"/>
    </row>
    <row r="925" ht="16.5" spans="1:5">
      <c r="A925" s="8">
        <v>3045103.988</v>
      </c>
      <c r="B925" s="8">
        <v>35401268.816</v>
      </c>
      <c r="C925" s="8">
        <v>907.163</v>
      </c>
      <c r="D925" s="13">
        <v>44753</v>
      </c>
      <c r="E925" s="12"/>
    </row>
    <row r="926" ht="16.5" spans="1:5">
      <c r="A926" s="8">
        <v>3045103.988</v>
      </c>
      <c r="B926" s="8">
        <v>35401268.816</v>
      </c>
      <c r="C926" s="8">
        <v>907.163</v>
      </c>
      <c r="D926" s="13">
        <v>44754</v>
      </c>
      <c r="E926" s="12"/>
    </row>
    <row r="927" ht="16.5" spans="1:5">
      <c r="A927" s="8">
        <v>3045103.988</v>
      </c>
      <c r="B927" s="8">
        <v>35401268.816</v>
      </c>
      <c r="C927" s="8">
        <v>907.163</v>
      </c>
      <c r="D927" s="13">
        <v>44755</v>
      </c>
      <c r="E927" s="10"/>
    </row>
    <row r="928" ht="16.5" spans="1:5">
      <c r="A928" s="8">
        <v>3045103.988</v>
      </c>
      <c r="B928" s="8">
        <v>35401268.816</v>
      </c>
      <c r="C928" s="8">
        <v>907.163</v>
      </c>
      <c r="D928" s="13">
        <v>44756</v>
      </c>
      <c r="E928" s="12"/>
    </row>
    <row r="929" ht="16.5" spans="1:5">
      <c r="A929" s="8">
        <v>3045103.988</v>
      </c>
      <c r="B929" s="8">
        <v>35401268.816</v>
      </c>
      <c r="C929" s="8">
        <v>907.163</v>
      </c>
      <c r="D929" s="13">
        <v>44757</v>
      </c>
      <c r="E929" s="12"/>
    </row>
    <row r="930" ht="16.5" spans="1:5">
      <c r="A930" s="8">
        <v>3045103.988</v>
      </c>
      <c r="B930" s="8">
        <v>35401268.816</v>
      </c>
      <c r="C930" s="8">
        <v>907.163</v>
      </c>
      <c r="D930" s="13">
        <v>44758</v>
      </c>
      <c r="E930" s="12"/>
    </row>
    <row r="931" ht="16.5" spans="1:5">
      <c r="A931" s="8">
        <v>3045103.988</v>
      </c>
      <c r="B931" s="8">
        <v>35401268.816</v>
      </c>
      <c r="C931" s="8">
        <v>907.163</v>
      </c>
      <c r="D931" s="13">
        <v>44759</v>
      </c>
      <c r="E931" s="12"/>
    </row>
    <row r="932" ht="16.5" spans="1:5">
      <c r="A932" s="8">
        <v>3045103.988</v>
      </c>
      <c r="B932" s="8">
        <v>35401268.816</v>
      </c>
      <c r="C932" s="8">
        <v>907.163</v>
      </c>
      <c r="D932" s="13">
        <v>44760</v>
      </c>
      <c r="E932" s="12"/>
    </row>
    <row r="933" ht="16.5" spans="1:5">
      <c r="A933" s="8">
        <v>3045103.988</v>
      </c>
      <c r="B933" s="8">
        <v>35401268.816</v>
      </c>
      <c r="C933" s="8">
        <v>907.163</v>
      </c>
      <c r="D933" s="13">
        <v>44761</v>
      </c>
      <c r="E933" s="10">
        <v>759.373</v>
      </c>
    </row>
    <row r="934" ht="16.5" spans="1:5">
      <c r="A934" s="8">
        <v>3045103.988</v>
      </c>
      <c r="B934" s="8">
        <v>35401268.816</v>
      </c>
      <c r="C934" s="8">
        <v>907.163</v>
      </c>
      <c r="D934" s="13">
        <v>44762</v>
      </c>
      <c r="E934" s="12"/>
    </row>
    <row r="935" ht="16.5" spans="1:5">
      <c r="A935" s="8">
        <v>3045103.988</v>
      </c>
      <c r="B935" s="8">
        <v>35401268.816</v>
      </c>
      <c r="C935" s="8">
        <v>907.163</v>
      </c>
      <c r="D935" s="13">
        <v>44763</v>
      </c>
      <c r="E935" s="12"/>
    </row>
    <row r="936" ht="16.5" spans="1:5">
      <c r="A936" s="8">
        <v>3045103.988</v>
      </c>
      <c r="B936" s="8">
        <v>35401268.816</v>
      </c>
      <c r="C936" s="8">
        <v>907.163</v>
      </c>
      <c r="D936" s="13">
        <v>44764</v>
      </c>
      <c r="E936" s="10">
        <v>760.253</v>
      </c>
    </row>
    <row r="937" ht="16.5" spans="1:5">
      <c r="A937" s="8">
        <v>3045103.988</v>
      </c>
      <c r="B937" s="8">
        <v>35401268.816</v>
      </c>
      <c r="C937" s="8">
        <v>907.163</v>
      </c>
      <c r="D937" s="13">
        <v>44765</v>
      </c>
      <c r="E937" s="10">
        <v>759.343</v>
      </c>
    </row>
    <row r="938" ht="16.5" spans="1:5">
      <c r="A938" s="8">
        <v>3045103.988</v>
      </c>
      <c r="B938" s="8">
        <v>35401268.816</v>
      </c>
      <c r="C938" s="8">
        <v>907.163</v>
      </c>
      <c r="D938" s="13">
        <v>44766</v>
      </c>
      <c r="E938" s="10">
        <v>757.013</v>
      </c>
    </row>
    <row r="939" ht="16.5" spans="1:5">
      <c r="A939" s="8">
        <v>3045103.988</v>
      </c>
      <c r="B939" s="8">
        <v>35401268.816</v>
      </c>
      <c r="C939" s="8">
        <v>907.163</v>
      </c>
      <c r="D939" s="13">
        <v>44767</v>
      </c>
      <c r="E939" s="10">
        <v>756.943</v>
      </c>
    </row>
    <row r="940" ht="16.5" spans="1:5">
      <c r="A940" s="8">
        <v>3045103.988</v>
      </c>
      <c r="B940" s="8">
        <v>35401268.816</v>
      </c>
      <c r="C940" s="8">
        <v>907.163</v>
      </c>
      <c r="D940" s="13">
        <v>44768</v>
      </c>
      <c r="E940" s="10">
        <v>756.363</v>
      </c>
    </row>
    <row r="941" ht="16.5" spans="1:5">
      <c r="A941" s="8">
        <v>3045103.988</v>
      </c>
      <c r="B941" s="8">
        <v>35401268.816</v>
      </c>
      <c r="C941" s="8">
        <v>907.163</v>
      </c>
      <c r="D941" s="13">
        <v>44769</v>
      </c>
      <c r="E941" s="10">
        <v>756.253</v>
      </c>
    </row>
    <row r="942" ht="16.5" spans="1:5">
      <c r="A942" s="8">
        <v>3045103.988</v>
      </c>
      <c r="B942" s="8">
        <v>35401268.816</v>
      </c>
      <c r="C942" s="8">
        <v>907.163</v>
      </c>
      <c r="D942" s="13">
        <v>44770</v>
      </c>
      <c r="E942" s="10">
        <v>756.043</v>
      </c>
    </row>
    <row r="943" ht="16.5" spans="1:5">
      <c r="A943" s="8">
        <v>3045103.988</v>
      </c>
      <c r="B943" s="8">
        <v>35401268.816</v>
      </c>
      <c r="C943" s="8">
        <v>907.163</v>
      </c>
      <c r="D943" s="13">
        <v>44771</v>
      </c>
      <c r="E943" s="10">
        <v>755.863</v>
      </c>
    </row>
    <row r="944" ht="16.5" spans="1:5">
      <c r="A944" s="8">
        <v>3045103.988</v>
      </c>
      <c r="B944" s="8">
        <v>35401268.816</v>
      </c>
      <c r="C944" s="8">
        <v>907.163</v>
      </c>
      <c r="D944" s="13">
        <v>44772</v>
      </c>
      <c r="E944" s="10">
        <v>755.823</v>
      </c>
    </row>
    <row r="945" ht="16.5" spans="1:5">
      <c r="A945" s="8">
        <v>3045103.988</v>
      </c>
      <c r="B945" s="8">
        <v>35401268.816</v>
      </c>
      <c r="C945" s="8">
        <v>907.163</v>
      </c>
      <c r="D945" s="13">
        <v>44773</v>
      </c>
      <c r="E945" s="10">
        <v>755.803</v>
      </c>
    </row>
    <row r="946" ht="16.5" spans="1:5">
      <c r="A946" s="8">
        <v>3045103.988</v>
      </c>
      <c r="B946" s="8">
        <v>35401268.816</v>
      </c>
      <c r="C946" s="8">
        <v>907.163</v>
      </c>
      <c r="D946" s="13">
        <v>44774</v>
      </c>
      <c r="E946" s="10">
        <v>755.903</v>
      </c>
    </row>
    <row r="947" ht="16.5" spans="1:5">
      <c r="A947" s="8">
        <v>3045103.988</v>
      </c>
      <c r="B947" s="8">
        <v>35401268.816</v>
      </c>
      <c r="C947" s="8">
        <v>907.163</v>
      </c>
      <c r="D947" s="13">
        <v>44775</v>
      </c>
      <c r="E947" s="10">
        <v>757.253</v>
      </c>
    </row>
    <row r="948" ht="16.5" spans="1:5">
      <c r="A948" s="8">
        <v>3045103.988</v>
      </c>
      <c r="B948" s="8">
        <v>35401268.816</v>
      </c>
      <c r="C948" s="8">
        <v>907.163</v>
      </c>
      <c r="D948" s="13">
        <v>44776</v>
      </c>
      <c r="E948" s="10">
        <v>756.873</v>
      </c>
    </row>
    <row r="949" ht="16.5" spans="1:5">
      <c r="A949" s="8">
        <v>3045103.988</v>
      </c>
      <c r="B949" s="8">
        <v>35401268.816</v>
      </c>
      <c r="C949" s="8">
        <v>907.163</v>
      </c>
      <c r="D949" s="13">
        <v>44777</v>
      </c>
      <c r="E949" s="10">
        <v>756.723</v>
      </c>
    </row>
    <row r="950" ht="16.5" spans="1:5">
      <c r="A950" s="8">
        <v>3045103.988</v>
      </c>
      <c r="B950" s="8">
        <v>35401268.816</v>
      </c>
      <c r="C950" s="8">
        <v>907.163</v>
      </c>
      <c r="D950" s="13">
        <v>44778</v>
      </c>
      <c r="E950" s="10">
        <v>757.753</v>
      </c>
    </row>
    <row r="951" ht="16.5" spans="1:5">
      <c r="A951" s="8">
        <v>3045103.988</v>
      </c>
      <c r="B951" s="8">
        <v>35401268.816</v>
      </c>
      <c r="C951" s="8">
        <v>907.163</v>
      </c>
      <c r="D951" s="13">
        <v>44779</v>
      </c>
      <c r="E951" s="10">
        <v>756.873</v>
      </c>
    </row>
    <row r="952" ht="16.5" spans="1:5">
      <c r="A952" s="8">
        <v>3045103.988</v>
      </c>
      <c r="B952" s="8">
        <v>35401268.816</v>
      </c>
      <c r="C952" s="8">
        <v>907.163</v>
      </c>
      <c r="D952" s="13">
        <v>44780</v>
      </c>
      <c r="E952" s="10">
        <v>756.653</v>
      </c>
    </row>
    <row r="953" ht="16.5" spans="1:5">
      <c r="A953" s="8">
        <v>3045103.988</v>
      </c>
      <c r="B953" s="8">
        <v>35401268.816</v>
      </c>
      <c r="C953" s="8">
        <v>907.163</v>
      </c>
      <c r="D953" s="13">
        <v>44781</v>
      </c>
      <c r="E953" s="10">
        <v>757.163</v>
      </c>
    </row>
    <row r="954" ht="16.5" spans="1:5">
      <c r="A954" s="8">
        <v>3045103.988</v>
      </c>
      <c r="B954" s="8">
        <v>35401268.816</v>
      </c>
      <c r="C954" s="8">
        <v>907.163</v>
      </c>
      <c r="D954" s="13">
        <v>44782</v>
      </c>
      <c r="E954" s="12"/>
    </row>
    <row r="955" ht="16.5" spans="1:5">
      <c r="A955" s="8">
        <v>3045103.988</v>
      </c>
      <c r="B955" s="8">
        <v>35401268.816</v>
      </c>
      <c r="C955" s="8">
        <v>907.163</v>
      </c>
      <c r="D955" s="13">
        <v>44783</v>
      </c>
      <c r="E955" s="10">
        <v>759.083</v>
      </c>
    </row>
    <row r="956" ht="16.5" spans="1:5">
      <c r="A956" s="8">
        <v>3045103.988</v>
      </c>
      <c r="B956" s="8">
        <v>35401268.816</v>
      </c>
      <c r="C956" s="8">
        <v>907.163</v>
      </c>
      <c r="D956" s="13">
        <v>44784</v>
      </c>
      <c r="E956" s="10">
        <v>758.553</v>
      </c>
    </row>
    <row r="957" ht="16.5" spans="1:5">
      <c r="A957" s="8">
        <v>3045103.988</v>
      </c>
      <c r="B957" s="8">
        <v>35401268.816</v>
      </c>
      <c r="C957" s="8">
        <v>907.163</v>
      </c>
      <c r="D957" s="13">
        <v>44785</v>
      </c>
      <c r="E957" s="10">
        <v>758.313</v>
      </c>
    </row>
    <row r="958" ht="16.5" spans="1:5">
      <c r="A958" s="8">
        <v>3045103.988</v>
      </c>
      <c r="B958" s="8">
        <v>35401268.816</v>
      </c>
      <c r="C958" s="8">
        <v>907.163</v>
      </c>
      <c r="D958" s="13">
        <v>44786</v>
      </c>
      <c r="E958" s="10">
        <v>758.043</v>
      </c>
    </row>
    <row r="959" ht="16.5" spans="1:5">
      <c r="A959" s="8">
        <v>3045103.988</v>
      </c>
      <c r="B959" s="8">
        <v>35401268.816</v>
      </c>
      <c r="C959" s="8">
        <v>907.163</v>
      </c>
      <c r="D959" s="13">
        <v>44787</v>
      </c>
      <c r="E959" s="10">
        <v>757.843</v>
      </c>
    </row>
    <row r="960" ht="16.5" spans="1:5">
      <c r="A960" s="8">
        <v>3045103.988</v>
      </c>
      <c r="B960" s="8">
        <v>35401268.816</v>
      </c>
      <c r="C960" s="8">
        <v>907.163</v>
      </c>
      <c r="D960" s="13">
        <v>44788</v>
      </c>
      <c r="E960" s="10">
        <v>757.763</v>
      </c>
    </row>
    <row r="961" ht="16.5" spans="1:5">
      <c r="A961" s="8">
        <v>3045103.988</v>
      </c>
      <c r="B961" s="8">
        <v>35401268.816</v>
      </c>
      <c r="C961" s="8">
        <v>907.163</v>
      </c>
      <c r="D961" s="13">
        <v>44789</v>
      </c>
      <c r="E961" s="10">
        <v>757.753</v>
      </c>
    </row>
    <row r="962" ht="16.5" spans="1:5">
      <c r="A962" s="8">
        <v>3045103.988</v>
      </c>
      <c r="B962" s="8">
        <v>35401268.816</v>
      </c>
      <c r="C962" s="8">
        <v>907.163</v>
      </c>
      <c r="D962" s="13">
        <v>44790</v>
      </c>
      <c r="E962" s="10">
        <v>757.453</v>
      </c>
    </row>
    <row r="963" ht="16.5" spans="1:5">
      <c r="A963" s="8">
        <v>3045103.988</v>
      </c>
      <c r="B963" s="8">
        <v>35401268.816</v>
      </c>
      <c r="C963" s="8">
        <v>907.163</v>
      </c>
      <c r="D963" s="13">
        <v>44791</v>
      </c>
      <c r="E963" s="10"/>
    </row>
    <row r="964" ht="16.5" spans="1:5">
      <c r="A964" s="8">
        <v>3045103.988</v>
      </c>
      <c r="B964" s="8">
        <v>35401268.816</v>
      </c>
      <c r="C964" s="8">
        <v>907.163</v>
      </c>
      <c r="D964" s="13">
        <v>44792</v>
      </c>
      <c r="E964" s="10">
        <v>757.603</v>
      </c>
    </row>
    <row r="965" ht="16.5" spans="1:5">
      <c r="A965" s="8">
        <v>3045103.988</v>
      </c>
      <c r="B965" s="8">
        <v>35401268.816</v>
      </c>
      <c r="C965" s="8">
        <v>907.163</v>
      </c>
      <c r="D965" s="13">
        <v>44793</v>
      </c>
      <c r="E965" s="10">
        <v>757.603</v>
      </c>
    </row>
    <row r="966" ht="16.5" spans="1:5">
      <c r="A966" s="8">
        <v>3045103.988</v>
      </c>
      <c r="B966" s="8">
        <v>35401268.816</v>
      </c>
      <c r="C966" s="8">
        <v>907.163</v>
      </c>
      <c r="D966" s="13">
        <v>44794</v>
      </c>
      <c r="E966" s="10"/>
    </row>
    <row r="967" ht="16.5" spans="1:5">
      <c r="A967" s="8">
        <v>3045103.988</v>
      </c>
      <c r="B967" s="8">
        <v>35401268.816</v>
      </c>
      <c r="C967" s="8">
        <v>907.163</v>
      </c>
      <c r="D967" s="13">
        <v>44795</v>
      </c>
      <c r="E967" s="10">
        <v>757.743</v>
      </c>
    </row>
    <row r="968" ht="16.5" spans="1:5">
      <c r="A968" s="8">
        <v>3045103.988</v>
      </c>
      <c r="B968" s="8">
        <v>35401268.816</v>
      </c>
      <c r="C968" s="8">
        <v>907.163</v>
      </c>
      <c r="D968" s="13">
        <v>44796</v>
      </c>
      <c r="E968" s="10">
        <v>756.253</v>
      </c>
    </row>
    <row r="969" ht="16.5" spans="1:5">
      <c r="A969" s="8">
        <v>3045103.988</v>
      </c>
      <c r="B969" s="8">
        <v>35401268.816</v>
      </c>
      <c r="C969" s="8">
        <v>907.163</v>
      </c>
      <c r="D969" s="13">
        <v>44797</v>
      </c>
      <c r="E969" s="10">
        <v>756.253</v>
      </c>
    </row>
    <row r="970" ht="16.5" spans="1:5">
      <c r="A970" s="8">
        <v>3045103.988</v>
      </c>
      <c r="B970" s="8">
        <v>35401268.816</v>
      </c>
      <c r="C970" s="8">
        <v>907.163</v>
      </c>
      <c r="D970" s="13">
        <v>44798</v>
      </c>
      <c r="E970" s="10">
        <v>756.283</v>
      </c>
    </row>
    <row r="971" ht="16.5" spans="1:5">
      <c r="A971" s="8">
        <v>3045103.988</v>
      </c>
      <c r="B971" s="8">
        <v>35401268.816</v>
      </c>
      <c r="C971" s="8">
        <v>907.163</v>
      </c>
      <c r="D971" s="13">
        <v>44799</v>
      </c>
      <c r="E971" s="10">
        <v>756.233</v>
      </c>
    </row>
    <row r="972" ht="16.5" spans="1:5">
      <c r="A972" s="8">
        <v>3045103.988</v>
      </c>
      <c r="B972" s="8">
        <v>35401268.816</v>
      </c>
      <c r="C972" s="8">
        <v>907.163</v>
      </c>
      <c r="D972" s="13">
        <v>44800</v>
      </c>
      <c r="E972" s="10">
        <v>756.073</v>
      </c>
    </row>
    <row r="973" ht="16.5" spans="1:5">
      <c r="A973" s="8">
        <v>3045103.988</v>
      </c>
      <c r="B973" s="8">
        <v>35401268.816</v>
      </c>
      <c r="C973" s="8">
        <v>907.163</v>
      </c>
      <c r="D973" s="13">
        <v>44801</v>
      </c>
      <c r="E973" s="10">
        <v>756.043</v>
      </c>
    </row>
    <row r="974" ht="16.5" spans="1:5">
      <c r="A974" s="8">
        <v>3045103.988</v>
      </c>
      <c r="B974" s="8">
        <v>35401268.816</v>
      </c>
      <c r="C974" s="8">
        <v>907.163</v>
      </c>
      <c r="D974" s="13">
        <v>44802</v>
      </c>
      <c r="E974" s="10">
        <v>756.173</v>
      </c>
    </row>
    <row r="975" ht="16.5" spans="1:5">
      <c r="A975" s="8">
        <v>3045103.988</v>
      </c>
      <c r="B975" s="8">
        <v>35401268.816</v>
      </c>
      <c r="C975" s="8">
        <v>907.163</v>
      </c>
      <c r="D975" s="13">
        <v>44803</v>
      </c>
      <c r="E975" s="10">
        <v>756.193</v>
      </c>
    </row>
    <row r="976" ht="16.5" spans="1:5">
      <c r="A976" s="8">
        <v>3045103.988</v>
      </c>
      <c r="B976" s="8">
        <v>35401268.816</v>
      </c>
      <c r="C976" s="8">
        <v>907.163</v>
      </c>
      <c r="D976" s="13">
        <v>44804</v>
      </c>
      <c r="E976" s="10">
        <v>757.703</v>
      </c>
    </row>
    <row r="977" ht="16.5" spans="1:5">
      <c r="A977" s="8">
        <v>3045103.988</v>
      </c>
      <c r="B977" s="8">
        <v>35401268.816</v>
      </c>
      <c r="C977" s="8">
        <v>907.163</v>
      </c>
      <c r="D977" s="13">
        <v>44805</v>
      </c>
      <c r="E977" s="10">
        <v>756.423</v>
      </c>
    </row>
    <row r="978" ht="16.5" spans="1:5">
      <c r="A978" s="8">
        <v>3045103.988</v>
      </c>
      <c r="B978" s="8">
        <v>35401268.816</v>
      </c>
      <c r="C978" s="8">
        <v>907.163</v>
      </c>
      <c r="D978" s="13">
        <v>44806</v>
      </c>
      <c r="E978" s="10">
        <v>756.503</v>
      </c>
    </row>
    <row r="979" ht="16.5" spans="1:5">
      <c r="A979" s="8">
        <v>3045103.988</v>
      </c>
      <c r="B979" s="8">
        <v>35401268.816</v>
      </c>
      <c r="C979" s="8">
        <v>907.163</v>
      </c>
      <c r="D979" s="13">
        <v>44807</v>
      </c>
      <c r="E979" s="10">
        <v>756.283</v>
      </c>
    </row>
    <row r="980" ht="16.5" spans="1:5">
      <c r="A980" s="8">
        <v>3045103.988</v>
      </c>
      <c r="B980" s="8">
        <v>35401268.816</v>
      </c>
      <c r="C980" s="8">
        <v>907.163</v>
      </c>
      <c r="D980" s="13">
        <v>44808</v>
      </c>
      <c r="E980" s="10">
        <v>756.283</v>
      </c>
    </row>
    <row r="981" ht="16.5" spans="1:5">
      <c r="A981" s="8">
        <v>3045103.988</v>
      </c>
      <c r="B981" s="8">
        <v>35401268.816</v>
      </c>
      <c r="C981" s="8">
        <v>907.163</v>
      </c>
      <c r="D981" s="13">
        <v>44809</v>
      </c>
      <c r="E981" s="10">
        <v>756.263</v>
      </c>
    </row>
    <row r="982" ht="16.5" spans="1:5">
      <c r="A982" s="8">
        <v>3045103.988</v>
      </c>
      <c r="B982" s="8">
        <v>35401268.816</v>
      </c>
      <c r="C982" s="8">
        <v>907.163</v>
      </c>
      <c r="D982" s="13">
        <v>44810</v>
      </c>
      <c r="E982" s="10">
        <v>756.633</v>
      </c>
    </row>
    <row r="983" ht="16.5" spans="1:5">
      <c r="A983" s="8">
        <v>3045103.988</v>
      </c>
      <c r="B983" s="8">
        <v>35401268.816</v>
      </c>
      <c r="C983" s="8">
        <v>907.163</v>
      </c>
      <c r="D983" s="13">
        <v>44811</v>
      </c>
      <c r="E983" s="10">
        <v>756.863</v>
      </c>
    </row>
    <row r="984" ht="16.5" spans="1:5">
      <c r="A984" s="8">
        <v>3045103.988</v>
      </c>
      <c r="B984" s="8">
        <v>35401268.816</v>
      </c>
      <c r="C984" s="8">
        <v>907.163</v>
      </c>
      <c r="D984" s="13">
        <v>44812</v>
      </c>
      <c r="E984" s="10">
        <v>756.833</v>
      </c>
    </row>
    <row r="985" ht="16.5" spans="1:5">
      <c r="A985" s="8">
        <v>3045103.988</v>
      </c>
      <c r="B985" s="8">
        <v>35401268.816</v>
      </c>
      <c r="C985" s="8">
        <v>907.163</v>
      </c>
      <c r="D985" s="13">
        <v>44813</v>
      </c>
      <c r="E985" s="10">
        <v>756.383</v>
      </c>
    </row>
    <row r="986" ht="16.5" spans="1:5">
      <c r="A986" s="8">
        <v>3045103.988</v>
      </c>
      <c r="B986" s="8">
        <v>35401268.816</v>
      </c>
      <c r="C986" s="8">
        <v>907.163</v>
      </c>
      <c r="D986" s="13">
        <v>44814</v>
      </c>
      <c r="E986" s="10">
        <v>756.943</v>
      </c>
    </row>
    <row r="987" ht="16.5" spans="1:5">
      <c r="A987" s="8">
        <v>3045103.988</v>
      </c>
      <c r="B987" s="8">
        <v>35401268.816</v>
      </c>
      <c r="C987" s="8">
        <v>907.163</v>
      </c>
      <c r="D987" s="13">
        <v>44815</v>
      </c>
      <c r="E987" s="10">
        <v>757.093</v>
      </c>
    </row>
    <row r="988" ht="16.5" spans="1:5">
      <c r="A988" s="8">
        <v>3045103.988</v>
      </c>
      <c r="B988" s="8">
        <v>35401268.816</v>
      </c>
      <c r="C988" s="8">
        <v>907.163</v>
      </c>
      <c r="D988" s="13">
        <v>44816</v>
      </c>
      <c r="E988" s="10">
        <v>757.163</v>
      </c>
    </row>
    <row r="989" ht="16.5" spans="1:5">
      <c r="A989" s="8">
        <v>3045103.988</v>
      </c>
      <c r="B989" s="8">
        <v>35401268.816</v>
      </c>
      <c r="C989" s="8">
        <v>907.163</v>
      </c>
      <c r="D989" s="13">
        <v>44817</v>
      </c>
      <c r="E989" s="10">
        <v>757.603</v>
      </c>
    </row>
    <row r="990" ht="16.5" spans="1:5">
      <c r="A990" s="8">
        <v>3045103.988</v>
      </c>
      <c r="B990" s="8">
        <v>35401268.816</v>
      </c>
      <c r="C990" s="8">
        <v>907.163</v>
      </c>
      <c r="D990" s="13">
        <v>44818</v>
      </c>
      <c r="E990" s="10">
        <v>757.673</v>
      </c>
    </row>
    <row r="991" ht="16.5" spans="1:5">
      <c r="A991" s="8">
        <v>3045103.988</v>
      </c>
      <c r="B991" s="8">
        <v>35401268.816</v>
      </c>
      <c r="C991" s="8">
        <v>907.163</v>
      </c>
      <c r="D991" s="11">
        <v>44819</v>
      </c>
      <c r="E991" s="10">
        <v>757.873</v>
      </c>
    </row>
    <row r="992" ht="16.5" spans="1:5">
      <c r="A992" s="8">
        <v>3045103.988</v>
      </c>
      <c r="B992" s="8">
        <v>35401268.816</v>
      </c>
      <c r="C992" s="8">
        <v>907.163</v>
      </c>
      <c r="D992" s="11">
        <v>44820</v>
      </c>
      <c r="E992" s="10">
        <v>757.503</v>
      </c>
    </row>
    <row r="993" ht="16.5" spans="1:5">
      <c r="A993" s="8">
        <v>3045103.988</v>
      </c>
      <c r="B993" s="8">
        <v>35401268.816</v>
      </c>
      <c r="C993" s="8">
        <v>907.163</v>
      </c>
      <c r="D993" s="11">
        <v>44821</v>
      </c>
      <c r="E993" s="10">
        <v>755.803</v>
      </c>
    </row>
    <row r="994" ht="16.5" spans="1:5">
      <c r="A994" s="8">
        <v>3045103.988</v>
      </c>
      <c r="B994" s="8">
        <v>35401268.816</v>
      </c>
      <c r="C994" s="8">
        <v>907.163</v>
      </c>
      <c r="D994" s="11">
        <v>44822</v>
      </c>
      <c r="E994" s="10">
        <v>755.743</v>
      </c>
    </row>
    <row r="995" ht="16.5" spans="1:5">
      <c r="A995" s="8">
        <v>3045103.988</v>
      </c>
      <c r="B995" s="8">
        <v>35401268.816</v>
      </c>
      <c r="C995" s="8">
        <v>907.163</v>
      </c>
      <c r="D995" s="11">
        <v>44823</v>
      </c>
      <c r="E995" s="10">
        <v>755.713</v>
      </c>
    </row>
    <row r="996" ht="16.5" spans="1:5">
      <c r="A996" s="8">
        <v>3045103.988</v>
      </c>
      <c r="B996" s="8">
        <v>35401268.816</v>
      </c>
      <c r="C996" s="8">
        <v>907.163</v>
      </c>
      <c r="D996" s="11">
        <v>44824</v>
      </c>
      <c r="E996" s="10">
        <v>756.353</v>
      </c>
    </row>
    <row r="997" ht="16.5" spans="1:5">
      <c r="A997" s="8">
        <v>3045103.988</v>
      </c>
      <c r="B997" s="8">
        <v>35401268.816</v>
      </c>
      <c r="C997" s="8">
        <v>907.163</v>
      </c>
      <c r="D997" s="11">
        <v>44825</v>
      </c>
      <c r="E997" s="10">
        <v>757.283</v>
      </c>
    </row>
    <row r="998" ht="16.5" spans="1:5">
      <c r="A998" s="8">
        <v>3045103.988</v>
      </c>
      <c r="B998" s="8">
        <v>35401268.816</v>
      </c>
      <c r="C998" s="8">
        <v>907.163</v>
      </c>
      <c r="D998" s="11">
        <v>44826</v>
      </c>
      <c r="E998" s="10">
        <v>756.413</v>
      </c>
    </row>
    <row r="999" ht="16.5" spans="1:5">
      <c r="A999" s="8">
        <v>3045103.988</v>
      </c>
      <c r="B999" s="8">
        <v>35401268.816</v>
      </c>
      <c r="C999" s="8">
        <v>907.163</v>
      </c>
      <c r="D999" s="11">
        <v>44827</v>
      </c>
      <c r="E999" s="10">
        <v>756.503</v>
      </c>
    </row>
    <row r="1000" ht="16.5" spans="1:5">
      <c r="A1000" s="8">
        <v>3045103.988</v>
      </c>
      <c r="B1000" s="8">
        <v>35401268.816</v>
      </c>
      <c r="C1000" s="8">
        <v>907.163</v>
      </c>
      <c r="D1000" s="11">
        <v>44828</v>
      </c>
      <c r="E1000" s="10">
        <v>756.653</v>
      </c>
    </row>
    <row r="1001" ht="16.5" spans="1:5">
      <c r="A1001" s="8">
        <v>3045103.988</v>
      </c>
      <c r="B1001" s="8">
        <v>35401268.816</v>
      </c>
      <c r="C1001" s="8">
        <v>907.163</v>
      </c>
      <c r="D1001" s="11">
        <v>44829</v>
      </c>
      <c r="E1001" s="10"/>
    </row>
    <row r="1002" ht="16.5" spans="1:5">
      <c r="A1002" s="8">
        <v>3045103.988</v>
      </c>
      <c r="B1002" s="8">
        <v>35401268.816</v>
      </c>
      <c r="C1002" s="8">
        <v>907.163</v>
      </c>
      <c r="D1002" s="11">
        <v>44830</v>
      </c>
      <c r="E1002" s="10"/>
    </row>
    <row r="1003" ht="16.5" spans="1:5">
      <c r="A1003" s="8">
        <v>3045103.988</v>
      </c>
      <c r="B1003" s="8">
        <v>35401268.816</v>
      </c>
      <c r="C1003" s="8">
        <v>907.163</v>
      </c>
      <c r="D1003" s="11">
        <v>44831</v>
      </c>
      <c r="E1003" s="10">
        <v>751.343</v>
      </c>
    </row>
    <row r="1004" ht="16.5" spans="1:5">
      <c r="A1004" s="8">
        <v>3045103.988</v>
      </c>
      <c r="B1004" s="8">
        <v>35401268.816</v>
      </c>
      <c r="C1004" s="8">
        <v>907.163</v>
      </c>
      <c r="D1004" s="11">
        <v>44832</v>
      </c>
      <c r="E1004" s="10">
        <v>751.213</v>
      </c>
    </row>
    <row r="1005" ht="16.5" spans="1:5">
      <c r="A1005" s="8">
        <v>3045103.988</v>
      </c>
      <c r="B1005" s="8">
        <v>35401268.816</v>
      </c>
      <c r="C1005" s="8">
        <v>907.163</v>
      </c>
      <c r="D1005" s="11">
        <v>44833</v>
      </c>
      <c r="E1005" s="10">
        <v>751.073</v>
      </c>
    </row>
    <row r="1006" ht="16.5" spans="1:5">
      <c r="A1006" s="8">
        <v>3045103.988</v>
      </c>
      <c r="B1006" s="8">
        <v>35401268.816</v>
      </c>
      <c r="C1006" s="8">
        <v>907.163</v>
      </c>
      <c r="D1006" s="11">
        <v>44834</v>
      </c>
      <c r="E1006" s="10">
        <v>750.843</v>
      </c>
    </row>
    <row r="1007" ht="16.5" spans="1:5">
      <c r="A1007" s="8">
        <v>3045103.988</v>
      </c>
      <c r="B1007" s="8">
        <v>35401268.816</v>
      </c>
      <c r="C1007" s="8">
        <v>907.163</v>
      </c>
      <c r="D1007" s="11">
        <v>44835</v>
      </c>
      <c r="E1007" s="10">
        <v>750.863</v>
      </c>
    </row>
    <row r="1008" ht="16.5" spans="1:5">
      <c r="A1008" s="8">
        <v>3045103.988</v>
      </c>
      <c r="B1008" s="8">
        <v>35401268.816</v>
      </c>
      <c r="C1008" s="8">
        <v>907.163</v>
      </c>
      <c r="D1008" s="11">
        <v>44836</v>
      </c>
      <c r="E1008" s="10">
        <v>751.503</v>
      </c>
    </row>
    <row r="1009" ht="16.5" spans="1:5">
      <c r="A1009" s="8">
        <v>3045103.988</v>
      </c>
      <c r="B1009" s="8">
        <v>35401268.816</v>
      </c>
      <c r="C1009" s="8">
        <v>907.163</v>
      </c>
      <c r="D1009" s="11">
        <v>44837</v>
      </c>
      <c r="E1009" s="10"/>
    </row>
    <row r="1010" ht="16.5" spans="1:5">
      <c r="A1010" s="8">
        <v>3045103.988</v>
      </c>
      <c r="B1010" s="8">
        <v>35401268.816</v>
      </c>
      <c r="C1010" s="8">
        <v>907.163</v>
      </c>
      <c r="D1010" s="11">
        <v>44838</v>
      </c>
      <c r="E1010" s="10">
        <v>751.303</v>
      </c>
    </row>
    <row r="1011" ht="16.5" spans="1:5">
      <c r="A1011" s="8">
        <v>3045103.988</v>
      </c>
      <c r="B1011" s="8">
        <v>35401268.816</v>
      </c>
      <c r="C1011" s="8">
        <v>907.163</v>
      </c>
      <c r="D1011" s="11">
        <v>44839</v>
      </c>
      <c r="E1011" s="10">
        <v>751.363</v>
      </c>
    </row>
    <row r="1012" ht="16.5" spans="1:5">
      <c r="A1012" s="8">
        <v>3045103.988</v>
      </c>
      <c r="B1012" s="8">
        <v>35401268.816</v>
      </c>
      <c r="C1012" s="8">
        <v>907.163</v>
      </c>
      <c r="D1012" s="11">
        <v>44840</v>
      </c>
      <c r="E1012" s="10">
        <v>751.253</v>
      </c>
    </row>
    <row r="1013" ht="16.5" spans="1:5">
      <c r="A1013" s="8">
        <v>3045103.988</v>
      </c>
      <c r="B1013" s="8">
        <v>35401268.816</v>
      </c>
      <c r="C1013" s="8">
        <v>907.163</v>
      </c>
      <c r="D1013" s="11">
        <v>44841</v>
      </c>
      <c r="E1013" s="10">
        <v>749.003</v>
      </c>
    </row>
    <row r="1014" ht="16.5" spans="1:5">
      <c r="A1014" s="8">
        <v>3045103.988</v>
      </c>
      <c r="B1014" s="8">
        <v>35401268.816</v>
      </c>
      <c r="C1014" s="8">
        <v>907.163</v>
      </c>
      <c r="D1014" s="11">
        <v>44842</v>
      </c>
      <c r="E1014" s="10">
        <v>748.853</v>
      </c>
    </row>
    <row r="1015" ht="16.5" spans="1:5">
      <c r="A1015" s="8">
        <v>3045103.988</v>
      </c>
      <c r="B1015" s="8">
        <v>35401268.816</v>
      </c>
      <c r="C1015" s="8">
        <v>907.163</v>
      </c>
      <c r="D1015" s="11">
        <v>44843</v>
      </c>
      <c r="E1015" s="10">
        <v>748.723</v>
      </c>
    </row>
    <row r="1016" ht="16.5" spans="1:5">
      <c r="A1016" s="8">
        <v>3045103.988</v>
      </c>
      <c r="B1016" s="8">
        <v>35401268.816</v>
      </c>
      <c r="C1016" s="8">
        <v>907.163</v>
      </c>
      <c r="D1016" s="11">
        <v>44844</v>
      </c>
      <c r="E1016" s="10"/>
    </row>
    <row r="1017" ht="16.5" spans="1:5">
      <c r="A1017" s="8">
        <v>3045103.988</v>
      </c>
      <c r="B1017" s="8">
        <v>35401268.816</v>
      </c>
      <c r="C1017" s="8">
        <v>907.163</v>
      </c>
      <c r="D1017" s="11">
        <v>44845</v>
      </c>
      <c r="E1017" s="10"/>
    </row>
    <row r="1018" ht="16.5" spans="1:5">
      <c r="A1018" s="8">
        <v>3045103.988</v>
      </c>
      <c r="B1018" s="8">
        <v>35401268.816</v>
      </c>
      <c r="C1018" s="8">
        <v>907.163</v>
      </c>
      <c r="D1018" s="11">
        <v>44846</v>
      </c>
      <c r="E1018" s="10">
        <v>745.993</v>
      </c>
    </row>
    <row r="1019" ht="16.5" spans="1:5">
      <c r="A1019" s="8">
        <v>3045103.988</v>
      </c>
      <c r="B1019" s="8">
        <v>35401268.816</v>
      </c>
      <c r="C1019" s="8">
        <v>907.163</v>
      </c>
      <c r="D1019" s="11">
        <v>44847</v>
      </c>
      <c r="E1019" s="10">
        <v>745.853</v>
      </c>
    </row>
    <row r="1020" ht="16.5" spans="1:5">
      <c r="A1020" s="8">
        <v>3045103.988</v>
      </c>
      <c r="B1020" s="8">
        <v>35401268.816</v>
      </c>
      <c r="C1020" s="8">
        <v>907.163</v>
      </c>
      <c r="D1020" s="11">
        <v>44848</v>
      </c>
      <c r="E1020" s="10">
        <v>745.693</v>
      </c>
    </row>
    <row r="1021" ht="16.5" spans="1:5">
      <c r="A1021" s="8">
        <v>3045103.988</v>
      </c>
      <c r="B1021" s="8">
        <v>35401268.816</v>
      </c>
      <c r="C1021" s="8">
        <v>907.163</v>
      </c>
      <c r="D1021" s="11">
        <v>44849</v>
      </c>
      <c r="E1021" s="10">
        <v>745.663</v>
      </c>
    </row>
    <row r="1022" ht="16.5" spans="1:5">
      <c r="A1022" s="8">
        <v>3045103.988</v>
      </c>
      <c r="B1022" s="8">
        <v>35401268.816</v>
      </c>
      <c r="C1022" s="8">
        <v>907.163</v>
      </c>
      <c r="D1022" s="11">
        <v>44850</v>
      </c>
      <c r="E1022" s="10">
        <v>745.563</v>
      </c>
    </row>
    <row r="1023" ht="16.5" spans="1:5">
      <c r="A1023" s="8">
        <v>3045103.988</v>
      </c>
      <c r="B1023" s="8">
        <v>35401268.816</v>
      </c>
      <c r="C1023" s="8">
        <v>907.163</v>
      </c>
      <c r="D1023" s="11">
        <v>44851</v>
      </c>
      <c r="E1023" s="10">
        <v>745.603</v>
      </c>
    </row>
    <row r="1024" ht="16.5" spans="1:5">
      <c r="A1024" s="8">
        <v>3045103.988</v>
      </c>
      <c r="B1024" s="8">
        <v>35401268.816</v>
      </c>
      <c r="C1024" s="8">
        <v>907.163</v>
      </c>
      <c r="D1024" s="11">
        <v>44852</v>
      </c>
      <c r="E1024" s="10">
        <v>745.573</v>
      </c>
    </row>
    <row r="1025" ht="16.5" spans="1:5">
      <c r="A1025" s="8">
        <v>3045103.988</v>
      </c>
      <c r="B1025" s="8">
        <v>35401268.816</v>
      </c>
      <c r="C1025" s="8">
        <v>907.163</v>
      </c>
      <c r="D1025" s="11">
        <v>44853</v>
      </c>
      <c r="E1025" s="10">
        <v>745.543</v>
      </c>
    </row>
    <row r="1026" ht="16.5" spans="1:5">
      <c r="A1026" s="8">
        <v>3045103.988</v>
      </c>
      <c r="B1026" s="8">
        <v>35401268.816</v>
      </c>
      <c r="C1026" s="8">
        <v>907.163</v>
      </c>
      <c r="D1026" s="11">
        <v>44854</v>
      </c>
      <c r="E1026" s="10">
        <v>745.523</v>
      </c>
    </row>
    <row r="1027" ht="16.5" spans="1:5">
      <c r="A1027" s="8">
        <v>3045103.988</v>
      </c>
      <c r="B1027" s="8">
        <v>35401268.816</v>
      </c>
      <c r="C1027" s="8">
        <v>907.163</v>
      </c>
      <c r="D1027" s="11">
        <v>44855</v>
      </c>
      <c r="E1027" s="10">
        <v>745.323</v>
      </c>
    </row>
    <row r="1028" ht="16.5" spans="1:5">
      <c r="A1028" s="8">
        <v>3045103.988</v>
      </c>
      <c r="B1028" s="8">
        <v>35401268.816</v>
      </c>
      <c r="C1028" s="8">
        <v>907.163</v>
      </c>
      <c r="D1028" s="11">
        <v>44856</v>
      </c>
      <c r="E1028" s="10">
        <v>744.863</v>
      </c>
    </row>
    <row r="1029" ht="16.5" spans="1:5">
      <c r="A1029" s="8">
        <v>3045103.988</v>
      </c>
      <c r="B1029" s="8">
        <v>35401268.816</v>
      </c>
      <c r="C1029" s="8">
        <v>907.163</v>
      </c>
      <c r="D1029" s="11">
        <v>44857</v>
      </c>
      <c r="E1029" s="10">
        <v>744.373</v>
      </c>
    </row>
    <row r="1030" ht="16.5" spans="1:5">
      <c r="A1030" s="8">
        <v>3045103.988</v>
      </c>
      <c r="B1030" s="8">
        <v>35401268.816</v>
      </c>
      <c r="C1030" s="8">
        <v>907.163</v>
      </c>
      <c r="D1030" s="11">
        <v>44858</v>
      </c>
      <c r="E1030" s="10">
        <v>744.273</v>
      </c>
    </row>
    <row r="1031" ht="16.5" spans="1:5">
      <c r="A1031" s="8">
        <v>3045103.988</v>
      </c>
      <c r="B1031" s="8">
        <v>35401268.816</v>
      </c>
      <c r="C1031" s="8">
        <v>907.163</v>
      </c>
      <c r="D1031" s="11">
        <v>44859</v>
      </c>
      <c r="E1031" s="10">
        <v>743.973</v>
      </c>
    </row>
    <row r="1032" ht="16.5" spans="1:5">
      <c r="A1032" s="8">
        <v>3045103.988</v>
      </c>
      <c r="B1032" s="8">
        <v>35401268.816</v>
      </c>
      <c r="C1032" s="8">
        <v>907.163</v>
      </c>
      <c r="D1032" s="11">
        <v>44860</v>
      </c>
      <c r="E1032" s="10">
        <v>743.783</v>
      </c>
    </row>
    <row r="1033" ht="16.5" spans="1:5">
      <c r="A1033" s="8">
        <v>3045103.988</v>
      </c>
      <c r="B1033" s="8">
        <v>35401268.816</v>
      </c>
      <c r="C1033" s="8">
        <v>907.163</v>
      </c>
      <c r="D1033" s="11">
        <v>44861</v>
      </c>
      <c r="E1033" s="10">
        <v>743.623</v>
      </c>
    </row>
    <row r="1034" ht="16.5" spans="1:5">
      <c r="A1034" s="8">
        <v>3045103.988</v>
      </c>
      <c r="B1034" s="8">
        <v>35401268.816</v>
      </c>
      <c r="C1034" s="8">
        <v>907.163</v>
      </c>
      <c r="D1034" s="11">
        <v>44862</v>
      </c>
      <c r="E1034" s="10">
        <v>743.523</v>
      </c>
    </row>
    <row r="1035" ht="16.5" spans="1:5">
      <c r="A1035" s="8">
        <v>3045103.988</v>
      </c>
      <c r="B1035" s="8">
        <v>35401268.816</v>
      </c>
      <c r="C1035" s="8">
        <v>907.163</v>
      </c>
      <c r="D1035" s="11">
        <v>44863</v>
      </c>
      <c r="E1035" s="10">
        <v>743.433</v>
      </c>
    </row>
    <row r="1036" ht="16.5" spans="1:5">
      <c r="A1036" s="8">
        <v>3045103.988</v>
      </c>
      <c r="B1036" s="8">
        <v>35401268.816</v>
      </c>
      <c r="C1036" s="8">
        <v>907.163</v>
      </c>
      <c r="D1036" s="11">
        <v>44864</v>
      </c>
      <c r="E1036" s="10">
        <v>743.313</v>
      </c>
    </row>
    <row r="1037" ht="16.5" spans="1:5">
      <c r="A1037" s="8">
        <v>3045103.988</v>
      </c>
      <c r="B1037" s="8">
        <v>35401268.816</v>
      </c>
      <c r="C1037" s="8">
        <v>907.163</v>
      </c>
      <c r="D1037" s="11">
        <v>44865</v>
      </c>
      <c r="E1037" s="10">
        <v>743.213</v>
      </c>
    </row>
    <row r="1038" ht="16.5" spans="1:5">
      <c r="A1038" s="8">
        <v>3045103.988</v>
      </c>
      <c r="B1038" s="8">
        <v>35401268.816</v>
      </c>
      <c r="C1038" s="8">
        <v>907.163</v>
      </c>
      <c r="D1038" s="11">
        <v>44866</v>
      </c>
      <c r="E1038" s="10">
        <v>743.133</v>
      </c>
    </row>
    <row r="1039" ht="16.5" spans="1:5">
      <c r="A1039" s="8">
        <v>3045103.988</v>
      </c>
      <c r="B1039" s="8">
        <v>35401268.816</v>
      </c>
      <c r="C1039" s="8">
        <v>907.163</v>
      </c>
      <c r="D1039" s="11">
        <v>44867</v>
      </c>
      <c r="E1039" s="10">
        <v>743.093</v>
      </c>
    </row>
    <row r="1040" ht="16.5" spans="1:5">
      <c r="A1040" s="8">
        <v>3045103.988</v>
      </c>
      <c r="B1040" s="8">
        <v>35401268.816</v>
      </c>
      <c r="C1040" s="8">
        <v>907.163</v>
      </c>
      <c r="D1040" s="11">
        <v>44868</v>
      </c>
      <c r="E1040" s="12">
        <v>742.853</v>
      </c>
    </row>
    <row r="1041" ht="16.5" spans="1:5">
      <c r="A1041" s="8">
        <v>3045103.988</v>
      </c>
      <c r="B1041" s="8">
        <v>35401268.816</v>
      </c>
      <c r="C1041" s="8">
        <v>907.163</v>
      </c>
      <c r="D1041" s="11">
        <v>44869</v>
      </c>
      <c r="E1041" s="10">
        <v>742.723</v>
      </c>
    </row>
    <row r="1042" ht="16.5" spans="1:5">
      <c r="A1042" s="8">
        <v>3045103.988</v>
      </c>
      <c r="B1042" s="8">
        <v>35401268.816</v>
      </c>
      <c r="C1042" s="8">
        <v>907.163</v>
      </c>
      <c r="D1042" s="11">
        <v>44870</v>
      </c>
      <c r="E1042" s="10">
        <v>742.683</v>
      </c>
    </row>
    <row r="1043" ht="16.5" spans="1:5">
      <c r="A1043" s="8">
        <v>3045103.988</v>
      </c>
      <c r="B1043" s="8">
        <v>35401268.816</v>
      </c>
      <c r="C1043" s="8">
        <v>907.163</v>
      </c>
      <c r="D1043" s="11">
        <v>44871</v>
      </c>
      <c r="E1043" s="10">
        <v>742.593</v>
      </c>
    </row>
    <row r="1044" ht="16.5" spans="1:5">
      <c r="A1044" s="8">
        <v>3045103.988</v>
      </c>
      <c r="B1044" s="8">
        <v>35401268.816</v>
      </c>
      <c r="C1044" s="8">
        <v>907.163</v>
      </c>
      <c r="D1044" s="11">
        <v>44872</v>
      </c>
      <c r="E1044" s="10">
        <v>742.483</v>
      </c>
    </row>
    <row r="1045" ht="16.5" spans="1:5">
      <c r="A1045" s="8">
        <v>3045103.988</v>
      </c>
      <c r="B1045" s="8">
        <v>35401268.816</v>
      </c>
      <c r="C1045" s="8">
        <v>907.163</v>
      </c>
      <c r="D1045" s="11">
        <v>44873</v>
      </c>
      <c r="E1045" s="10">
        <v>742.403</v>
      </c>
    </row>
    <row r="1046" ht="16.5" spans="1:5">
      <c r="A1046" s="8">
        <v>3045103.988</v>
      </c>
      <c r="B1046" s="8">
        <v>35401268.816</v>
      </c>
      <c r="C1046" s="8">
        <v>907.163</v>
      </c>
      <c r="D1046" s="11">
        <v>44874</v>
      </c>
      <c r="E1046" s="10">
        <v>742.643</v>
      </c>
    </row>
    <row r="1047" ht="16.5" spans="1:5">
      <c r="A1047" s="8">
        <v>3045103.988</v>
      </c>
      <c r="B1047" s="8">
        <v>35401268.816</v>
      </c>
      <c r="C1047" s="8">
        <v>907.163</v>
      </c>
      <c r="D1047" s="11">
        <v>44875</v>
      </c>
      <c r="E1047" s="10">
        <v>742.653</v>
      </c>
    </row>
    <row r="1048" ht="16.5" spans="1:5">
      <c r="A1048" s="8">
        <v>3045103.988</v>
      </c>
      <c r="B1048" s="8">
        <v>35401268.816</v>
      </c>
      <c r="C1048" s="8">
        <v>907.163</v>
      </c>
      <c r="D1048" s="11">
        <v>44876</v>
      </c>
      <c r="E1048" s="10">
        <v>742.613</v>
      </c>
    </row>
    <row r="1049" ht="16.5" spans="1:5">
      <c r="A1049" s="8">
        <v>3045103.988</v>
      </c>
      <c r="B1049" s="8">
        <v>35401268.816</v>
      </c>
      <c r="C1049" s="8">
        <v>907.163</v>
      </c>
      <c r="D1049" s="11">
        <v>44877</v>
      </c>
      <c r="E1049" s="10">
        <v>742.583</v>
      </c>
    </row>
    <row r="1050" ht="16.5" spans="1:5">
      <c r="A1050" s="8">
        <v>3045103.988</v>
      </c>
      <c r="B1050" s="8">
        <v>35401268.816</v>
      </c>
      <c r="C1050" s="8">
        <v>907.163</v>
      </c>
      <c r="D1050" s="11">
        <v>44878</v>
      </c>
      <c r="E1050" s="10">
        <v>742.503</v>
      </c>
    </row>
    <row r="1051" ht="16.5" spans="1:5">
      <c r="A1051" s="8">
        <v>3045103.988</v>
      </c>
      <c r="B1051" s="8">
        <v>35401268.816</v>
      </c>
      <c r="C1051" s="8">
        <v>907.163</v>
      </c>
      <c r="D1051" s="11">
        <v>44879</v>
      </c>
      <c r="E1051" s="10">
        <v>742.453</v>
      </c>
    </row>
    <row r="1052" ht="16.5" spans="1:5">
      <c r="A1052" s="8">
        <v>3045103.988</v>
      </c>
      <c r="B1052" s="8">
        <v>35401268.816</v>
      </c>
      <c r="C1052" s="8">
        <v>907.163</v>
      </c>
      <c r="D1052" s="11">
        <v>44880</v>
      </c>
      <c r="E1052" s="10">
        <v>742.483</v>
      </c>
    </row>
    <row r="1053" ht="16.5" spans="1:5">
      <c r="A1053" s="8">
        <v>3045103.988</v>
      </c>
      <c r="B1053" s="8">
        <v>35401268.816</v>
      </c>
      <c r="C1053" s="8">
        <v>907.163</v>
      </c>
      <c r="D1053" s="11">
        <v>44881</v>
      </c>
      <c r="E1053" s="10">
        <v>742.363</v>
      </c>
    </row>
    <row r="1054" ht="16.5" spans="1:5">
      <c r="A1054" s="8">
        <v>3045103.988</v>
      </c>
      <c r="B1054" s="8">
        <v>35401268.816</v>
      </c>
      <c r="C1054" s="8">
        <v>907.163</v>
      </c>
      <c r="D1054" s="11">
        <v>44882</v>
      </c>
      <c r="E1054" s="10">
        <v>742.323</v>
      </c>
    </row>
    <row r="1055" ht="16.5" spans="1:5">
      <c r="A1055" s="8">
        <v>3045103.988</v>
      </c>
      <c r="B1055" s="8">
        <v>35401268.816</v>
      </c>
      <c r="C1055" s="8">
        <v>907.163</v>
      </c>
      <c r="D1055" s="11">
        <v>44883</v>
      </c>
      <c r="E1055" s="10">
        <v>742.193</v>
      </c>
    </row>
    <row r="1056" ht="16.5" spans="1:5">
      <c r="A1056" s="8">
        <v>3045103.988</v>
      </c>
      <c r="B1056" s="8">
        <v>35401268.816</v>
      </c>
      <c r="C1056" s="8">
        <v>907.163</v>
      </c>
      <c r="D1056" s="11">
        <v>44884</v>
      </c>
      <c r="E1056" s="10">
        <v>741.913</v>
      </c>
    </row>
    <row r="1057" ht="16.5" spans="1:5">
      <c r="A1057" s="8">
        <v>3045103.988</v>
      </c>
      <c r="B1057" s="8">
        <v>35401268.816</v>
      </c>
      <c r="C1057" s="8">
        <v>907.163</v>
      </c>
      <c r="D1057" s="11">
        <v>44885</v>
      </c>
      <c r="E1057" s="10">
        <v>741.873</v>
      </c>
    </row>
    <row r="1058" ht="16.5" spans="1:5">
      <c r="A1058" s="8">
        <v>3045103.988</v>
      </c>
      <c r="B1058" s="8">
        <v>35401268.816</v>
      </c>
      <c r="C1058" s="8">
        <v>907.163</v>
      </c>
      <c r="D1058" s="11">
        <v>44886</v>
      </c>
      <c r="E1058" s="10">
        <v>741.713</v>
      </c>
    </row>
    <row r="1059" ht="16.5" spans="1:5">
      <c r="A1059" s="8">
        <v>3045103.988</v>
      </c>
      <c r="B1059" s="8">
        <v>35401268.816</v>
      </c>
      <c r="C1059" s="8">
        <v>907.163</v>
      </c>
      <c r="D1059" s="11">
        <v>44887</v>
      </c>
      <c r="E1059" s="14">
        <v>741.643</v>
      </c>
    </row>
    <row r="1060" ht="16.5" spans="1:5">
      <c r="A1060" s="8">
        <v>3045103.988</v>
      </c>
      <c r="B1060" s="8">
        <v>35401268.816</v>
      </c>
      <c r="C1060" s="8">
        <v>907.163</v>
      </c>
      <c r="D1060" s="11">
        <v>44888</v>
      </c>
      <c r="E1060" s="10">
        <v>741.653</v>
      </c>
    </row>
    <row r="1061" ht="16.5" spans="1:5">
      <c r="A1061" s="8">
        <v>3045103.988</v>
      </c>
      <c r="B1061" s="8">
        <v>35401268.816</v>
      </c>
      <c r="C1061" s="8">
        <v>907.163</v>
      </c>
      <c r="D1061" s="11">
        <v>44889</v>
      </c>
      <c r="E1061" s="10">
        <v>741.613</v>
      </c>
    </row>
    <row r="1062" ht="16.5" spans="1:5">
      <c r="A1062" s="8">
        <v>3045103.988</v>
      </c>
      <c r="B1062" s="8">
        <v>35401268.816</v>
      </c>
      <c r="C1062" s="8">
        <v>907.163</v>
      </c>
      <c r="D1062" s="11">
        <v>44890</v>
      </c>
      <c r="E1062" s="10">
        <v>741.543</v>
      </c>
    </row>
    <row r="1063" ht="16.5" spans="1:5">
      <c r="A1063" s="8">
        <v>3045103.988</v>
      </c>
      <c r="B1063" s="8">
        <v>35401268.816</v>
      </c>
      <c r="C1063" s="8">
        <v>907.163</v>
      </c>
      <c r="D1063" s="11">
        <v>44891</v>
      </c>
      <c r="E1063" s="10">
        <v>741.563</v>
      </c>
    </row>
    <row r="1064" ht="16.5" spans="1:5">
      <c r="A1064" s="8">
        <v>3045103.988</v>
      </c>
      <c r="B1064" s="8">
        <v>35401268.816</v>
      </c>
      <c r="C1064" s="8">
        <v>907.163</v>
      </c>
      <c r="D1064" s="11">
        <v>44892</v>
      </c>
      <c r="E1064" s="10">
        <v>741.393</v>
      </c>
    </row>
    <row r="1065" ht="16.5" spans="1:5">
      <c r="A1065" s="8">
        <v>3045103.988</v>
      </c>
      <c r="B1065" s="8">
        <v>35401268.816</v>
      </c>
      <c r="C1065" s="8">
        <v>907.163</v>
      </c>
      <c r="D1065" s="11">
        <v>44893</v>
      </c>
      <c r="E1065" s="10">
        <v>741.193</v>
      </c>
    </row>
    <row r="1066" ht="16.5" spans="1:5">
      <c r="A1066" s="8">
        <v>3045103.988</v>
      </c>
      <c r="B1066" s="8">
        <v>35401268.816</v>
      </c>
      <c r="C1066" s="8">
        <v>907.163</v>
      </c>
      <c r="D1066" s="11">
        <v>44894</v>
      </c>
      <c r="E1066" s="10">
        <v>741.173</v>
      </c>
    </row>
    <row r="1067" ht="16.5" spans="1:5">
      <c r="A1067" s="8">
        <v>3045103.988</v>
      </c>
      <c r="B1067" s="8">
        <v>35401268.816</v>
      </c>
      <c r="C1067" s="8">
        <v>907.163</v>
      </c>
      <c r="D1067" s="11">
        <v>44895</v>
      </c>
      <c r="E1067" s="12">
        <v>741.073</v>
      </c>
    </row>
    <row r="1068" ht="16.5" spans="1:5">
      <c r="A1068" s="8">
        <v>3045103.988</v>
      </c>
      <c r="B1068" s="8">
        <v>35401268.816</v>
      </c>
      <c r="C1068" s="8">
        <v>907.163</v>
      </c>
      <c r="D1068" s="11">
        <v>44896</v>
      </c>
      <c r="E1068" s="10">
        <v>741.083</v>
      </c>
    </row>
    <row r="1069" ht="16.5" spans="1:5">
      <c r="A1069" s="8">
        <v>3045103.988</v>
      </c>
      <c r="B1069" s="8">
        <v>35401268.816</v>
      </c>
      <c r="C1069" s="8">
        <v>907.163</v>
      </c>
      <c r="D1069" s="11">
        <v>44897</v>
      </c>
      <c r="E1069" s="10">
        <v>741.173</v>
      </c>
    </row>
    <row r="1070" ht="16.5" spans="1:5">
      <c r="A1070" s="8">
        <v>3045103.988</v>
      </c>
      <c r="B1070" s="8">
        <v>35401268.816</v>
      </c>
      <c r="C1070" s="8">
        <v>907.163</v>
      </c>
      <c r="D1070" s="11">
        <v>44898</v>
      </c>
      <c r="E1070" s="10">
        <v>741.173</v>
      </c>
    </row>
    <row r="1071" ht="16.5" spans="1:5">
      <c r="A1071" s="8">
        <v>3045103.988</v>
      </c>
      <c r="B1071" s="8">
        <v>35401268.816</v>
      </c>
      <c r="C1071" s="8">
        <v>907.163</v>
      </c>
      <c r="D1071" s="11">
        <v>44899</v>
      </c>
      <c r="E1071" s="10">
        <v>741.023</v>
      </c>
    </row>
    <row r="1072" ht="16.5" spans="1:5">
      <c r="A1072" s="8">
        <v>3045103.988</v>
      </c>
      <c r="B1072" s="8">
        <v>35401268.816</v>
      </c>
      <c r="C1072" s="8">
        <v>907.163</v>
      </c>
      <c r="D1072" s="11">
        <v>44900</v>
      </c>
      <c r="E1072" s="10">
        <v>740.793</v>
      </c>
    </row>
    <row r="1073" ht="16.5" spans="1:5">
      <c r="A1073" s="8">
        <v>3045103.988</v>
      </c>
      <c r="B1073" s="8">
        <v>35401268.816</v>
      </c>
      <c r="C1073" s="8">
        <v>907.163</v>
      </c>
      <c r="D1073" s="11">
        <v>44901</v>
      </c>
      <c r="E1073" s="10">
        <v>741.063</v>
      </c>
    </row>
    <row r="1074" ht="16.5" spans="1:5">
      <c r="A1074" s="8">
        <v>3045103.988</v>
      </c>
      <c r="B1074" s="8">
        <v>35401268.816</v>
      </c>
      <c r="C1074" s="8">
        <v>907.163</v>
      </c>
      <c r="D1074" s="11">
        <v>44902</v>
      </c>
      <c r="E1074" s="10">
        <v>741.103</v>
      </c>
    </row>
    <row r="1075" ht="16.5" spans="1:5">
      <c r="A1075" s="8">
        <v>3045103.988</v>
      </c>
      <c r="B1075" s="8">
        <v>35401268.816</v>
      </c>
      <c r="C1075" s="8">
        <v>907.163</v>
      </c>
      <c r="D1075" s="11">
        <v>44903</v>
      </c>
      <c r="E1075" s="10">
        <v>741.103</v>
      </c>
    </row>
    <row r="1076" ht="16.5" spans="1:5">
      <c r="A1076" s="8">
        <v>3045103.988</v>
      </c>
      <c r="B1076" s="8">
        <v>35401268.816</v>
      </c>
      <c r="C1076" s="8">
        <v>907.163</v>
      </c>
      <c r="D1076" s="11">
        <v>44904</v>
      </c>
      <c r="E1076" s="10">
        <v>741.153</v>
      </c>
    </row>
    <row r="1077" ht="16.5" spans="1:5">
      <c r="A1077" s="8">
        <v>3045103.988</v>
      </c>
      <c r="B1077" s="8">
        <v>35401268.816</v>
      </c>
      <c r="C1077" s="8">
        <v>907.163</v>
      </c>
      <c r="D1077" s="11">
        <v>44905</v>
      </c>
      <c r="E1077" s="10">
        <v>741.043</v>
      </c>
    </row>
    <row r="1078" ht="16.5" spans="1:5">
      <c r="A1078" s="8">
        <v>3045103.988</v>
      </c>
      <c r="B1078" s="8">
        <v>35401268.816</v>
      </c>
      <c r="C1078" s="8">
        <v>907.163</v>
      </c>
      <c r="D1078" s="11">
        <v>44906</v>
      </c>
      <c r="E1078" s="10">
        <v>741.173</v>
      </c>
    </row>
    <row r="1079" ht="16.5" spans="1:5">
      <c r="A1079" s="8">
        <v>3045103.988</v>
      </c>
      <c r="B1079" s="8">
        <v>35401268.816</v>
      </c>
      <c r="C1079" s="8">
        <v>907.163</v>
      </c>
      <c r="D1079" s="11">
        <v>44907</v>
      </c>
      <c r="E1079" s="10">
        <v>741.073</v>
      </c>
    </row>
    <row r="1080" ht="16.5" spans="1:5">
      <c r="A1080" s="8">
        <v>3045103.988</v>
      </c>
      <c r="B1080" s="8">
        <v>35401268.816</v>
      </c>
      <c r="C1080" s="8">
        <v>907.163</v>
      </c>
      <c r="D1080" s="11">
        <v>44908</v>
      </c>
      <c r="E1080" s="10">
        <v>741.003</v>
      </c>
    </row>
    <row r="1081" ht="16.5" spans="1:5">
      <c r="A1081" s="8">
        <v>3045103.988</v>
      </c>
      <c r="B1081" s="8">
        <v>35401268.816</v>
      </c>
      <c r="C1081" s="8">
        <v>907.163</v>
      </c>
      <c r="D1081" s="11">
        <v>44909</v>
      </c>
      <c r="E1081" s="10">
        <v>740.893</v>
      </c>
    </row>
    <row r="1082" ht="16.5" spans="1:5">
      <c r="A1082" s="8">
        <v>3045103.988</v>
      </c>
      <c r="B1082" s="8">
        <v>35401268.816</v>
      </c>
      <c r="C1082" s="8">
        <v>907.163</v>
      </c>
      <c r="D1082" s="11">
        <v>44910</v>
      </c>
      <c r="E1082" s="16">
        <v>740.883</v>
      </c>
    </row>
    <row r="1083" ht="16.5" spans="1:5">
      <c r="A1083" s="8">
        <v>3045103.988</v>
      </c>
      <c r="B1083" s="8">
        <v>35401268.816</v>
      </c>
      <c r="C1083" s="8">
        <v>907.163</v>
      </c>
      <c r="D1083" s="11">
        <v>44911</v>
      </c>
      <c r="E1083" s="10">
        <v>740.673</v>
      </c>
    </row>
    <row r="1084" ht="16.5" spans="1:5">
      <c r="A1084" s="8">
        <v>3045103.988</v>
      </c>
      <c r="B1084" s="8">
        <v>35401268.816</v>
      </c>
      <c r="C1084" s="8">
        <v>907.163</v>
      </c>
      <c r="D1084" s="11">
        <v>44912</v>
      </c>
      <c r="E1084" s="10">
        <v>740.543</v>
      </c>
    </row>
    <row r="1085" ht="16.5" spans="1:5">
      <c r="A1085" s="8">
        <v>3045103.988</v>
      </c>
      <c r="B1085" s="8">
        <v>35401268.816</v>
      </c>
      <c r="C1085" s="8">
        <v>907.163</v>
      </c>
      <c r="D1085" s="11">
        <v>44913</v>
      </c>
      <c r="E1085" s="10">
        <v>740.643</v>
      </c>
    </row>
    <row r="1086" ht="16.5" spans="1:5">
      <c r="A1086" s="8">
        <v>3045103.988</v>
      </c>
      <c r="B1086" s="8">
        <v>35401268.816</v>
      </c>
      <c r="C1086" s="8">
        <v>907.163</v>
      </c>
      <c r="D1086" s="11">
        <v>44914</v>
      </c>
      <c r="E1086" s="10">
        <v>740.523</v>
      </c>
    </row>
    <row r="1087" ht="16.5" spans="1:5">
      <c r="A1087" s="8">
        <v>3045103.988</v>
      </c>
      <c r="B1087" s="8">
        <v>35401268.816</v>
      </c>
      <c r="C1087" s="8">
        <v>907.163</v>
      </c>
      <c r="D1087" s="11">
        <v>44915</v>
      </c>
      <c r="E1087" s="10">
        <v>740.383</v>
      </c>
    </row>
    <row r="1088" ht="16.5" spans="1:5">
      <c r="A1088" s="8">
        <v>3045103.988</v>
      </c>
      <c r="B1088" s="8">
        <v>35401268.816</v>
      </c>
      <c r="C1088" s="8">
        <v>907.163</v>
      </c>
      <c r="D1088" s="11">
        <v>44916</v>
      </c>
      <c r="E1088" s="10">
        <v>740.373</v>
      </c>
    </row>
    <row r="1089" ht="16.5" spans="1:5">
      <c r="A1089" s="8">
        <v>3045103.988</v>
      </c>
      <c r="B1089" s="8">
        <v>35401268.816</v>
      </c>
      <c r="C1089" s="8">
        <v>907.163</v>
      </c>
      <c r="D1089" s="11">
        <v>44917</v>
      </c>
      <c r="E1089" s="10">
        <v>740.293</v>
      </c>
    </row>
    <row r="1090" ht="16.5" spans="1:5">
      <c r="A1090" s="8">
        <v>3045103.988</v>
      </c>
      <c r="B1090" s="8">
        <v>35401268.816</v>
      </c>
      <c r="C1090" s="8">
        <v>907.163</v>
      </c>
      <c r="D1090" s="11">
        <v>44918</v>
      </c>
      <c r="E1090" s="10">
        <v>740.253</v>
      </c>
    </row>
    <row r="1091" ht="16.5" spans="1:5">
      <c r="A1091" s="8">
        <v>3045103.988</v>
      </c>
      <c r="B1091" s="8">
        <v>35401268.816</v>
      </c>
      <c r="C1091" s="8">
        <v>907.163</v>
      </c>
      <c r="D1091" s="11">
        <v>44919</v>
      </c>
      <c r="E1091" s="10">
        <v>740.203</v>
      </c>
    </row>
    <row r="1092" ht="16.5" spans="1:5">
      <c r="A1092" s="8">
        <v>3045103.988</v>
      </c>
      <c r="B1092" s="8">
        <v>35401268.816</v>
      </c>
      <c r="C1092" s="8">
        <v>907.163</v>
      </c>
      <c r="D1092" s="11">
        <v>44920</v>
      </c>
      <c r="E1092" s="10">
        <v>740.103</v>
      </c>
    </row>
    <row r="1093" ht="16.5" spans="1:5">
      <c r="A1093" s="8">
        <v>3045103.988</v>
      </c>
      <c r="B1093" s="8">
        <v>35401268.816</v>
      </c>
      <c r="C1093" s="8">
        <v>907.163</v>
      </c>
      <c r="D1093" s="11">
        <v>44921</v>
      </c>
      <c r="E1093" s="10">
        <v>740.113</v>
      </c>
    </row>
    <row r="1094" ht="16.5" spans="1:5">
      <c r="A1094" s="8">
        <v>3045103.988</v>
      </c>
      <c r="B1094" s="8">
        <v>35401268.816</v>
      </c>
      <c r="C1094" s="8">
        <v>907.163</v>
      </c>
      <c r="D1094" s="11">
        <v>44922</v>
      </c>
      <c r="E1094" s="10">
        <v>740.063</v>
      </c>
    </row>
    <row r="1095" ht="16.5" spans="1:5">
      <c r="A1095" s="8">
        <v>3045103.988</v>
      </c>
      <c r="B1095" s="8">
        <v>35401268.816</v>
      </c>
      <c r="C1095" s="8">
        <v>907.163</v>
      </c>
      <c r="D1095" s="11">
        <v>44923</v>
      </c>
      <c r="E1095" s="10">
        <v>740.083</v>
      </c>
    </row>
    <row r="1096" ht="16.5" spans="1:5">
      <c r="A1096" s="8">
        <v>3045103.988</v>
      </c>
      <c r="B1096" s="8">
        <v>35401268.816</v>
      </c>
      <c r="C1096" s="8">
        <v>907.163</v>
      </c>
      <c r="D1096" s="11">
        <v>44924</v>
      </c>
      <c r="E1096" s="10">
        <v>740.083</v>
      </c>
    </row>
    <row r="1097" ht="16.5" spans="1:5">
      <c r="A1097" s="8">
        <v>3045103.988</v>
      </c>
      <c r="B1097" s="8">
        <v>35401268.816</v>
      </c>
      <c r="C1097" s="8">
        <v>907.163</v>
      </c>
      <c r="D1097" s="11">
        <v>44925</v>
      </c>
      <c r="E1097" s="10">
        <v>740.063</v>
      </c>
    </row>
    <row r="1098" ht="16.5" spans="1:5">
      <c r="A1098" s="8">
        <v>3045103.988</v>
      </c>
      <c r="B1098" s="8">
        <v>35401268.816</v>
      </c>
      <c r="C1098" s="8">
        <v>907.163</v>
      </c>
      <c r="D1098" s="11">
        <v>44926</v>
      </c>
      <c r="E1098" s="10">
        <v>740.113</v>
      </c>
    </row>
    <row r="1099" ht="16.5" spans="1:5">
      <c r="A1099" s="8">
        <v>3045103.988</v>
      </c>
      <c r="B1099" s="8">
        <v>35401268.816</v>
      </c>
      <c r="C1099" s="8">
        <v>907.163</v>
      </c>
      <c r="D1099" s="11">
        <v>44927</v>
      </c>
      <c r="E1099" s="10">
        <v>740.143</v>
      </c>
    </row>
    <row r="1100" ht="16.5" spans="1:5">
      <c r="A1100" s="8">
        <v>3045103.988</v>
      </c>
      <c r="B1100" s="8">
        <v>35401268.816</v>
      </c>
      <c r="C1100" s="8">
        <v>907.163</v>
      </c>
      <c r="D1100" s="11">
        <v>44928</v>
      </c>
      <c r="E1100" s="10">
        <v>740.043</v>
      </c>
    </row>
    <row r="1101" ht="16.5" spans="1:5">
      <c r="A1101" s="8">
        <v>3045103.988</v>
      </c>
      <c r="B1101" s="8">
        <v>35401268.816</v>
      </c>
      <c r="C1101" s="8">
        <v>907.163</v>
      </c>
      <c r="D1101" s="11">
        <v>44929</v>
      </c>
      <c r="E1101" s="10">
        <v>740.023</v>
      </c>
    </row>
    <row r="1102" ht="16.5" spans="1:5">
      <c r="A1102" s="8">
        <v>3045103.988</v>
      </c>
      <c r="B1102" s="8">
        <v>35401268.816</v>
      </c>
      <c r="C1102" s="8">
        <v>907.163</v>
      </c>
      <c r="D1102" s="11">
        <v>44930</v>
      </c>
      <c r="E1102" s="10">
        <v>739.943</v>
      </c>
    </row>
    <row r="1103" ht="16.5" spans="1:5">
      <c r="A1103" s="8">
        <v>3045103.988</v>
      </c>
      <c r="B1103" s="8">
        <v>35401268.816</v>
      </c>
      <c r="C1103" s="8">
        <v>907.163</v>
      </c>
      <c r="D1103" s="11">
        <v>44931</v>
      </c>
      <c r="E1103" s="14">
        <v>739.553</v>
      </c>
    </row>
    <row r="1104" ht="16.5" spans="1:5">
      <c r="A1104" s="8">
        <v>3045103.988</v>
      </c>
      <c r="B1104" s="8">
        <v>35401268.816</v>
      </c>
      <c r="C1104" s="8">
        <v>907.163</v>
      </c>
      <c r="D1104" s="11">
        <v>44932</v>
      </c>
      <c r="E1104" s="10">
        <v>739.523</v>
      </c>
    </row>
    <row r="1105" ht="16.5" spans="1:5">
      <c r="A1105" s="8">
        <v>3045103.988</v>
      </c>
      <c r="B1105" s="8">
        <v>35401268.816</v>
      </c>
      <c r="C1105" s="8">
        <v>907.163</v>
      </c>
      <c r="D1105" s="11">
        <v>44933</v>
      </c>
      <c r="E1105" s="10">
        <v>739.573</v>
      </c>
    </row>
    <row r="1106" ht="16.5" spans="1:5">
      <c r="A1106" s="8">
        <v>3045103.988</v>
      </c>
      <c r="B1106" s="8">
        <v>35401268.816</v>
      </c>
      <c r="C1106" s="8">
        <v>907.163</v>
      </c>
      <c r="D1106" s="11">
        <v>44934</v>
      </c>
      <c r="E1106" s="10">
        <v>739.573</v>
      </c>
    </row>
    <row r="1107" ht="16.5" spans="1:5">
      <c r="A1107" s="8">
        <v>3045103.988</v>
      </c>
      <c r="B1107" s="8">
        <v>35401268.816</v>
      </c>
      <c r="C1107" s="8">
        <v>907.163</v>
      </c>
      <c r="D1107" s="11">
        <v>44935</v>
      </c>
      <c r="E1107" s="10">
        <v>739.503</v>
      </c>
    </row>
    <row r="1108" ht="16.5" spans="1:5">
      <c r="A1108" s="8">
        <v>3045103.988</v>
      </c>
      <c r="B1108" s="8">
        <v>35401268.816</v>
      </c>
      <c r="C1108" s="8">
        <v>907.163</v>
      </c>
      <c r="D1108" s="11">
        <v>44936</v>
      </c>
      <c r="E1108" s="10">
        <v>739.503</v>
      </c>
    </row>
    <row r="1109" ht="16.5" spans="1:5">
      <c r="A1109" s="8">
        <v>3045103.988</v>
      </c>
      <c r="B1109" s="8">
        <v>35401268.816</v>
      </c>
      <c r="C1109" s="8">
        <v>907.163</v>
      </c>
      <c r="D1109" s="11">
        <v>44937</v>
      </c>
      <c r="E1109" s="10">
        <v>739.523</v>
      </c>
    </row>
    <row r="1110" ht="16.5" spans="1:5">
      <c r="A1110" s="8">
        <v>3045103.988</v>
      </c>
      <c r="B1110" s="8">
        <v>35401268.816</v>
      </c>
      <c r="C1110" s="8">
        <v>907.163</v>
      </c>
      <c r="D1110" s="11">
        <v>44938</v>
      </c>
      <c r="E1110" s="12"/>
    </row>
    <row r="1111" ht="16.5" spans="1:5">
      <c r="A1111" s="8">
        <v>3045103.988</v>
      </c>
      <c r="B1111" s="8">
        <v>35401268.816</v>
      </c>
      <c r="C1111" s="8">
        <v>907.163</v>
      </c>
      <c r="D1111" s="11">
        <v>44939</v>
      </c>
      <c r="E1111" s="12"/>
    </row>
    <row r="1112" ht="16.5" spans="1:5">
      <c r="A1112" s="8">
        <v>3045103.988</v>
      </c>
      <c r="B1112" s="8">
        <v>35401268.816</v>
      </c>
      <c r="C1112" s="8">
        <v>907.163</v>
      </c>
      <c r="D1112" s="11">
        <v>44940</v>
      </c>
      <c r="E1112" s="12"/>
    </row>
    <row r="1113" ht="16.5" spans="1:5">
      <c r="A1113" s="8">
        <v>3045103.988</v>
      </c>
      <c r="B1113" s="8">
        <v>35401268.816</v>
      </c>
      <c r="C1113" s="8">
        <v>907.163</v>
      </c>
      <c r="D1113" s="11">
        <v>44941</v>
      </c>
      <c r="E1113" s="12"/>
    </row>
    <row r="1114" ht="16.5" spans="1:5">
      <c r="A1114" s="8">
        <v>3045103.988</v>
      </c>
      <c r="B1114" s="8">
        <v>35401268.816</v>
      </c>
      <c r="C1114" s="8">
        <v>907.163</v>
      </c>
      <c r="D1114" s="11">
        <v>44942</v>
      </c>
      <c r="E1114" s="10">
        <v>739.243</v>
      </c>
    </row>
    <row r="1115" ht="16.5" spans="1:5">
      <c r="A1115" s="8">
        <v>3045103.988</v>
      </c>
      <c r="B1115" s="8">
        <v>35401268.816</v>
      </c>
      <c r="C1115" s="8">
        <v>907.163</v>
      </c>
      <c r="D1115" s="11">
        <v>44943</v>
      </c>
      <c r="E1115" s="10">
        <v>739.113</v>
      </c>
    </row>
    <row r="1116" ht="16.5" spans="1:5">
      <c r="A1116" s="8">
        <v>3045103.988</v>
      </c>
      <c r="B1116" s="8">
        <v>35401268.816</v>
      </c>
      <c r="C1116" s="8">
        <v>907.163</v>
      </c>
      <c r="D1116" s="11">
        <v>44944</v>
      </c>
      <c r="E1116" s="10">
        <v>739.173</v>
      </c>
    </row>
    <row r="1117" ht="16.5" spans="1:5">
      <c r="A1117" s="8">
        <v>3045103.988</v>
      </c>
      <c r="B1117" s="8">
        <v>35401268.816</v>
      </c>
      <c r="C1117" s="8">
        <v>907.163</v>
      </c>
      <c r="D1117" s="11">
        <v>44945</v>
      </c>
      <c r="E1117" s="10">
        <v>739.093</v>
      </c>
    </row>
    <row r="1118" ht="16.5" spans="1:5">
      <c r="A1118" s="8">
        <v>3045103.988</v>
      </c>
      <c r="B1118" s="8">
        <v>35401268.816</v>
      </c>
      <c r="C1118" s="8">
        <v>907.163</v>
      </c>
      <c r="D1118" s="11">
        <v>44946</v>
      </c>
      <c r="E1118" s="10">
        <v>739.073</v>
      </c>
    </row>
    <row r="1119" ht="16.5" spans="1:5">
      <c r="A1119" s="8">
        <v>3045103.988</v>
      </c>
      <c r="B1119" s="8">
        <v>35401268.816</v>
      </c>
      <c r="C1119" s="8">
        <v>907.163</v>
      </c>
      <c r="D1119" s="11">
        <v>44947</v>
      </c>
      <c r="E1119" s="10">
        <v>739.143</v>
      </c>
    </row>
    <row r="1120" ht="16.5" spans="1:5">
      <c r="A1120" s="8">
        <v>3045103.988</v>
      </c>
      <c r="B1120" s="8">
        <v>35401268.816</v>
      </c>
      <c r="C1120" s="8">
        <v>907.163</v>
      </c>
      <c r="D1120" s="11">
        <v>44948</v>
      </c>
      <c r="E1120" s="10">
        <v>739.053</v>
      </c>
    </row>
    <row r="1121" ht="16.5" spans="1:5">
      <c r="A1121" s="8">
        <v>3045103.988</v>
      </c>
      <c r="B1121" s="8">
        <v>35401268.816</v>
      </c>
      <c r="C1121" s="8">
        <v>907.163</v>
      </c>
      <c r="D1121" s="11">
        <v>44949</v>
      </c>
      <c r="E1121" s="10">
        <v>739.043</v>
      </c>
    </row>
    <row r="1122" ht="16.5" spans="1:5">
      <c r="A1122" s="8">
        <v>3045103.988</v>
      </c>
      <c r="B1122" s="8">
        <v>35401268.816</v>
      </c>
      <c r="C1122" s="8">
        <v>907.163</v>
      </c>
      <c r="D1122" s="11">
        <v>44950</v>
      </c>
      <c r="E1122" s="10">
        <v>738.993</v>
      </c>
    </row>
    <row r="1123" ht="16.5" spans="1:5">
      <c r="A1123" s="8">
        <v>3045103.988</v>
      </c>
      <c r="B1123" s="8">
        <v>35401268.816</v>
      </c>
      <c r="C1123" s="8">
        <v>907.163</v>
      </c>
      <c r="D1123" s="11">
        <v>44951</v>
      </c>
      <c r="E1123" s="10">
        <v>739.053</v>
      </c>
    </row>
    <row r="1124" ht="16.5" spans="1:5">
      <c r="A1124" s="8">
        <v>3045103.988</v>
      </c>
      <c r="B1124" s="8">
        <v>35401268.816</v>
      </c>
      <c r="C1124" s="8">
        <v>907.163</v>
      </c>
      <c r="D1124" s="11">
        <v>44952</v>
      </c>
      <c r="E1124" s="10">
        <v>738.943</v>
      </c>
    </row>
    <row r="1125" ht="16.5" spans="1:5">
      <c r="A1125" s="8">
        <v>3045103.988</v>
      </c>
      <c r="B1125" s="8">
        <v>35401268.816</v>
      </c>
      <c r="C1125" s="8">
        <v>907.163</v>
      </c>
      <c r="D1125" s="11">
        <v>44953</v>
      </c>
      <c r="E1125" s="10">
        <v>739.003</v>
      </c>
    </row>
    <row r="1126" ht="16.5" spans="1:5">
      <c r="A1126" s="8">
        <v>3045103.988</v>
      </c>
      <c r="B1126" s="8">
        <v>35401268.816</v>
      </c>
      <c r="C1126" s="8">
        <v>907.163</v>
      </c>
      <c r="D1126" s="11">
        <v>44954</v>
      </c>
      <c r="E1126" s="10">
        <v>738.983</v>
      </c>
    </row>
    <row r="1127" ht="16.5" spans="1:5">
      <c r="A1127" s="8">
        <v>3045103.988</v>
      </c>
      <c r="B1127" s="8">
        <v>35401268.816</v>
      </c>
      <c r="C1127" s="8">
        <v>907.163</v>
      </c>
      <c r="D1127" s="11">
        <v>44955</v>
      </c>
      <c r="E1127" s="10">
        <v>738.923</v>
      </c>
    </row>
    <row r="1128" ht="16.5" spans="1:5">
      <c r="A1128" s="8">
        <v>3045103.988</v>
      </c>
      <c r="B1128" s="8">
        <v>35401268.816</v>
      </c>
      <c r="C1128" s="8">
        <v>907.163</v>
      </c>
      <c r="D1128" s="11">
        <v>44956</v>
      </c>
      <c r="E1128" s="10">
        <v>738.953</v>
      </c>
    </row>
    <row r="1129" ht="16.5" spans="1:5">
      <c r="A1129" s="8">
        <v>3045103.988</v>
      </c>
      <c r="B1129" s="8">
        <v>35401268.816</v>
      </c>
      <c r="C1129" s="8">
        <v>907.163</v>
      </c>
      <c r="D1129" s="11">
        <v>44957</v>
      </c>
      <c r="E1129" s="10">
        <v>738.863</v>
      </c>
    </row>
    <row r="1130" ht="16.5" spans="1:5">
      <c r="A1130" s="8">
        <v>3045103.988</v>
      </c>
      <c r="B1130" s="8">
        <v>35401268.816</v>
      </c>
      <c r="C1130" s="8">
        <v>907.163</v>
      </c>
      <c r="D1130" s="11">
        <v>44958</v>
      </c>
      <c r="E1130" s="10">
        <v>738.763</v>
      </c>
    </row>
    <row r="1131" ht="16.5" spans="1:5">
      <c r="A1131" s="8">
        <v>3045103.988</v>
      </c>
      <c r="B1131" s="8">
        <v>35401268.816</v>
      </c>
      <c r="C1131" s="8">
        <v>907.163</v>
      </c>
      <c r="D1131" s="11">
        <v>44959</v>
      </c>
      <c r="E1131" s="14">
        <v>738.703</v>
      </c>
    </row>
    <row r="1132" ht="16.5" spans="1:5">
      <c r="A1132" s="8">
        <v>3045103.988</v>
      </c>
      <c r="B1132" s="8">
        <v>35401268.816</v>
      </c>
      <c r="C1132" s="8">
        <v>907.163</v>
      </c>
      <c r="D1132" s="11">
        <v>44960</v>
      </c>
      <c r="E1132" s="10">
        <v>739.013</v>
      </c>
    </row>
    <row r="1133" ht="16.5" spans="1:5">
      <c r="A1133" s="8">
        <v>3045103.988</v>
      </c>
      <c r="B1133" s="8">
        <v>35401268.816</v>
      </c>
      <c r="C1133" s="8">
        <v>907.163</v>
      </c>
      <c r="D1133" s="11">
        <v>44961</v>
      </c>
      <c r="E1133" s="10">
        <v>738.883</v>
      </c>
    </row>
    <row r="1134" ht="16.5" spans="1:5">
      <c r="A1134" s="8">
        <v>3045103.988</v>
      </c>
      <c r="B1134" s="8">
        <v>35401268.816</v>
      </c>
      <c r="C1134" s="8">
        <v>907.163</v>
      </c>
      <c r="D1134" s="11">
        <v>44962</v>
      </c>
      <c r="E1134" s="10">
        <v>738.873</v>
      </c>
    </row>
    <row r="1135" ht="16.5" spans="1:5">
      <c r="A1135" s="8">
        <v>3045103.988</v>
      </c>
      <c r="B1135" s="8">
        <v>35401268.816</v>
      </c>
      <c r="C1135" s="8">
        <v>907.163</v>
      </c>
      <c r="D1135" s="11">
        <v>44963</v>
      </c>
      <c r="E1135" s="10">
        <v>738.823</v>
      </c>
    </row>
    <row r="1136" ht="16.5" spans="1:5">
      <c r="A1136" s="8">
        <v>3045103.988</v>
      </c>
      <c r="B1136" s="8">
        <v>35401268.816</v>
      </c>
      <c r="C1136" s="8">
        <v>907.163</v>
      </c>
      <c r="D1136" s="11">
        <v>44964</v>
      </c>
      <c r="E1136" s="10">
        <v>738.773</v>
      </c>
    </row>
    <row r="1137" ht="16.5" spans="1:5">
      <c r="A1137" s="8">
        <v>3045103.988</v>
      </c>
      <c r="B1137" s="8">
        <v>35401268.816</v>
      </c>
      <c r="C1137" s="8">
        <v>907.163</v>
      </c>
      <c r="D1137" s="11">
        <v>44965</v>
      </c>
      <c r="E1137" s="10">
        <v>738.783</v>
      </c>
    </row>
    <row r="1138" ht="16.5" spans="1:5">
      <c r="A1138" s="8">
        <v>3045103.988</v>
      </c>
      <c r="B1138" s="8">
        <v>35401268.816</v>
      </c>
      <c r="C1138" s="8">
        <v>907.163</v>
      </c>
      <c r="D1138" s="11">
        <v>44966</v>
      </c>
      <c r="E1138" s="10">
        <v>738.743</v>
      </c>
    </row>
    <row r="1139" ht="16.5" spans="1:5">
      <c r="A1139" s="8">
        <v>3045103.988</v>
      </c>
      <c r="B1139" s="8">
        <v>35401268.816</v>
      </c>
      <c r="C1139" s="8">
        <v>907.163</v>
      </c>
      <c r="D1139" s="11">
        <v>44967</v>
      </c>
      <c r="E1139" s="10">
        <v>738.783</v>
      </c>
    </row>
    <row r="1140" ht="16.5" spans="1:5">
      <c r="A1140" s="8">
        <v>3045103.988</v>
      </c>
      <c r="B1140" s="8">
        <v>35401268.816</v>
      </c>
      <c r="C1140" s="8">
        <v>907.163</v>
      </c>
      <c r="D1140" s="11">
        <v>44968</v>
      </c>
      <c r="E1140" s="10">
        <v>738.783</v>
      </c>
    </row>
    <row r="1141" ht="16.5" spans="1:5">
      <c r="A1141" s="8">
        <v>3045103.988</v>
      </c>
      <c r="B1141" s="8">
        <v>35401268.816</v>
      </c>
      <c r="C1141" s="8">
        <v>907.163</v>
      </c>
      <c r="D1141" s="11">
        <v>44969</v>
      </c>
      <c r="E1141" s="10">
        <v>738.723</v>
      </c>
    </row>
    <row r="1142" ht="16.5" spans="1:5">
      <c r="A1142" s="8">
        <v>3045103.988</v>
      </c>
      <c r="B1142" s="8">
        <v>35401268.816</v>
      </c>
      <c r="C1142" s="8">
        <v>907.163</v>
      </c>
      <c r="D1142" s="11">
        <v>44970</v>
      </c>
      <c r="E1142" s="14">
        <v>738.743</v>
      </c>
    </row>
    <row r="1143" ht="16.5" spans="1:5">
      <c r="A1143" s="8">
        <v>3045103.988</v>
      </c>
      <c r="B1143" s="8">
        <v>35401268.816</v>
      </c>
      <c r="C1143" s="8">
        <v>907.163</v>
      </c>
      <c r="D1143" s="11">
        <v>44971</v>
      </c>
      <c r="E1143" s="10">
        <v>738.853</v>
      </c>
    </row>
    <row r="1144" ht="16.5" spans="1:5">
      <c r="A1144" s="8">
        <v>3045103.988</v>
      </c>
      <c r="B1144" s="8">
        <v>35401268.816</v>
      </c>
      <c r="C1144" s="8">
        <v>907.163</v>
      </c>
      <c r="D1144" s="11">
        <v>44972</v>
      </c>
      <c r="E1144" s="10">
        <v>738.963</v>
      </c>
    </row>
    <row r="1145" ht="16.5" spans="1:5">
      <c r="A1145" s="8">
        <v>3045103.988</v>
      </c>
      <c r="B1145" s="8">
        <v>35401268.816</v>
      </c>
      <c r="C1145" s="8">
        <v>907.163</v>
      </c>
      <c r="D1145" s="11">
        <v>44973</v>
      </c>
      <c r="E1145" s="10">
        <v>738.913</v>
      </c>
    </row>
    <row r="1146" ht="16.5" spans="1:5">
      <c r="A1146" s="8">
        <v>3045103.988</v>
      </c>
      <c r="B1146" s="8">
        <v>35401268.816</v>
      </c>
      <c r="C1146" s="8">
        <v>907.163</v>
      </c>
      <c r="D1146" s="11">
        <v>44974</v>
      </c>
      <c r="E1146" s="10">
        <v>738.933</v>
      </c>
    </row>
    <row r="1147" ht="16.5" spans="1:5">
      <c r="A1147" s="8">
        <v>3045103.988</v>
      </c>
      <c r="B1147" s="8">
        <v>35401268.816</v>
      </c>
      <c r="C1147" s="8">
        <v>907.163</v>
      </c>
      <c r="D1147" s="11">
        <v>44975</v>
      </c>
      <c r="E1147" s="10">
        <v>738.953</v>
      </c>
    </row>
    <row r="1148" ht="16.5" spans="1:5">
      <c r="A1148" s="8">
        <v>3045103.988</v>
      </c>
      <c r="B1148" s="8">
        <v>35401268.816</v>
      </c>
      <c r="C1148" s="8">
        <v>907.163</v>
      </c>
      <c r="D1148" s="11">
        <v>44976</v>
      </c>
      <c r="E1148" s="10">
        <v>738.913</v>
      </c>
    </row>
    <row r="1149" ht="16.5" spans="1:5">
      <c r="A1149" s="8">
        <v>3045103.988</v>
      </c>
      <c r="B1149" s="8">
        <v>35401268.816</v>
      </c>
      <c r="C1149" s="8">
        <v>907.163</v>
      </c>
      <c r="D1149" s="11">
        <v>44977</v>
      </c>
      <c r="E1149" s="10">
        <v>738.943</v>
      </c>
    </row>
    <row r="1150" ht="16.5" spans="1:5">
      <c r="A1150" s="8">
        <v>3045103.988</v>
      </c>
      <c r="B1150" s="8">
        <v>35401268.816</v>
      </c>
      <c r="C1150" s="8">
        <v>907.163</v>
      </c>
      <c r="D1150" s="11">
        <v>44978</v>
      </c>
      <c r="E1150" s="10">
        <v>738.933</v>
      </c>
    </row>
    <row r="1151" ht="16.5" spans="1:5">
      <c r="A1151" s="8">
        <v>3045103.988</v>
      </c>
      <c r="B1151" s="8">
        <v>35401268.816</v>
      </c>
      <c r="C1151" s="8">
        <v>907.163</v>
      </c>
      <c r="D1151" s="11">
        <v>44979</v>
      </c>
      <c r="E1151" s="10">
        <v>738.663</v>
      </c>
    </row>
    <row r="1152" ht="16.5" spans="1:5">
      <c r="A1152" s="8">
        <v>3045103.988</v>
      </c>
      <c r="B1152" s="8">
        <v>35401268.816</v>
      </c>
      <c r="C1152" s="8">
        <v>907.163</v>
      </c>
      <c r="D1152" s="11">
        <v>44980</v>
      </c>
      <c r="E1152" s="10">
        <v>738.063</v>
      </c>
    </row>
    <row r="1153" ht="16.5" spans="1:5">
      <c r="A1153" s="8">
        <v>3045103.988</v>
      </c>
      <c r="B1153" s="8">
        <v>35401268.816</v>
      </c>
      <c r="C1153" s="8">
        <v>907.163</v>
      </c>
      <c r="D1153" s="11">
        <v>44981</v>
      </c>
      <c r="E1153" s="10">
        <v>737.953</v>
      </c>
    </row>
    <row r="1154" ht="16.5" spans="1:5">
      <c r="A1154" s="8">
        <v>3045103.988</v>
      </c>
      <c r="B1154" s="8">
        <v>35401268.816</v>
      </c>
      <c r="C1154" s="8">
        <v>907.163</v>
      </c>
      <c r="D1154" s="11">
        <v>44982</v>
      </c>
      <c r="E1154" s="10">
        <v>737.893</v>
      </c>
    </row>
    <row r="1155" ht="16.5" spans="1:5">
      <c r="A1155" s="8">
        <v>3045103.988</v>
      </c>
      <c r="B1155" s="8">
        <v>35401268.816</v>
      </c>
      <c r="C1155" s="8">
        <v>907.163</v>
      </c>
      <c r="D1155" s="11">
        <v>44983</v>
      </c>
      <c r="E1155" s="10">
        <v>737.833</v>
      </c>
    </row>
    <row r="1156" ht="16.5" spans="1:5">
      <c r="A1156" s="8">
        <v>3045103.988</v>
      </c>
      <c r="B1156" s="8">
        <v>35401268.816</v>
      </c>
      <c r="C1156" s="8">
        <v>907.163</v>
      </c>
      <c r="D1156" s="11">
        <v>44984</v>
      </c>
      <c r="E1156" s="10">
        <v>737.753</v>
      </c>
    </row>
    <row r="1157" ht="16.5" spans="1:5">
      <c r="A1157" s="8">
        <v>3045103.988</v>
      </c>
      <c r="B1157" s="8">
        <v>35401268.816</v>
      </c>
      <c r="C1157" s="8">
        <v>907.163</v>
      </c>
      <c r="D1157" s="11">
        <v>44985</v>
      </c>
      <c r="E1157" s="10">
        <v>737.613</v>
      </c>
    </row>
    <row r="1158" ht="16.5" spans="1:5">
      <c r="A1158" s="8">
        <v>3045103.988</v>
      </c>
      <c r="B1158" s="8">
        <v>35401268.816</v>
      </c>
      <c r="C1158" s="8">
        <v>907.163</v>
      </c>
      <c r="D1158" s="11">
        <v>44986</v>
      </c>
      <c r="E1158" s="10">
        <v>737.593</v>
      </c>
    </row>
    <row r="1159" ht="16.5" spans="1:5">
      <c r="A1159" s="8">
        <v>3045103.988</v>
      </c>
      <c r="B1159" s="8">
        <v>35401268.816</v>
      </c>
      <c r="C1159" s="8">
        <v>907.163</v>
      </c>
      <c r="D1159" s="11">
        <v>44987</v>
      </c>
      <c r="E1159" s="10">
        <v>737.603</v>
      </c>
    </row>
    <row r="1160" ht="16.5" spans="1:5">
      <c r="A1160" s="8">
        <v>3045103.988</v>
      </c>
      <c r="B1160" s="8">
        <v>35401268.816</v>
      </c>
      <c r="C1160" s="8">
        <v>907.163</v>
      </c>
      <c r="D1160" s="11">
        <v>44988</v>
      </c>
      <c r="E1160" s="10">
        <v>737.543</v>
      </c>
    </row>
    <row r="1161" ht="16.5" spans="1:5">
      <c r="A1161" s="8">
        <v>3045103.988</v>
      </c>
      <c r="B1161" s="8">
        <v>35401268.816</v>
      </c>
      <c r="C1161" s="8">
        <v>907.163</v>
      </c>
      <c r="D1161" s="11">
        <v>44989</v>
      </c>
      <c r="E1161" s="10">
        <v>737.523</v>
      </c>
    </row>
    <row r="1162" ht="16.5" spans="1:5">
      <c r="A1162" s="8">
        <v>3045103.988</v>
      </c>
      <c r="B1162" s="8">
        <v>35401268.816</v>
      </c>
      <c r="C1162" s="8">
        <v>907.163</v>
      </c>
      <c r="D1162" s="11">
        <v>44990</v>
      </c>
      <c r="E1162" s="10">
        <v>737.483</v>
      </c>
    </row>
    <row r="1163" ht="16.5" spans="1:5">
      <c r="A1163" s="8">
        <v>3045103.988</v>
      </c>
      <c r="B1163" s="8">
        <v>35401268.816</v>
      </c>
      <c r="C1163" s="8">
        <v>907.163</v>
      </c>
      <c r="D1163" s="11">
        <v>44991</v>
      </c>
      <c r="E1163" s="10">
        <v>737.533</v>
      </c>
    </row>
    <row r="1164" ht="16.5" spans="1:5">
      <c r="A1164" s="8">
        <v>3045103.988</v>
      </c>
      <c r="B1164" s="8">
        <v>35401268.816</v>
      </c>
      <c r="C1164" s="8">
        <v>907.163</v>
      </c>
      <c r="D1164" s="11">
        <v>44992</v>
      </c>
      <c r="E1164" s="10">
        <v>737.613</v>
      </c>
    </row>
    <row r="1165" ht="16.5" spans="1:5">
      <c r="A1165" s="8">
        <v>3045103.988</v>
      </c>
      <c r="B1165" s="8">
        <v>35401268.816</v>
      </c>
      <c r="C1165" s="8">
        <v>907.163</v>
      </c>
      <c r="D1165" s="11">
        <v>44993</v>
      </c>
      <c r="E1165" s="10">
        <v>737.553</v>
      </c>
    </row>
    <row r="1166" ht="16.5" spans="1:5">
      <c r="A1166" s="8">
        <v>3045103.988</v>
      </c>
      <c r="B1166" s="8">
        <v>35401268.816</v>
      </c>
      <c r="C1166" s="8">
        <v>907.163</v>
      </c>
      <c r="D1166" s="11">
        <v>44994</v>
      </c>
      <c r="E1166" s="10">
        <v>737.59</v>
      </c>
    </row>
    <row r="1167" ht="16.5" spans="1:5">
      <c r="A1167" s="8">
        <v>3045103.988</v>
      </c>
      <c r="B1167" s="8">
        <v>35401268.816</v>
      </c>
      <c r="C1167" s="8">
        <v>907.163</v>
      </c>
      <c r="D1167" s="11">
        <v>44995</v>
      </c>
      <c r="E1167" s="10">
        <v>737.31</v>
      </c>
    </row>
    <row r="1168" ht="16.5" spans="1:5">
      <c r="A1168" s="8">
        <v>3045103.988</v>
      </c>
      <c r="B1168" s="8">
        <v>35401268.816</v>
      </c>
      <c r="C1168" s="8">
        <v>907.163</v>
      </c>
      <c r="D1168" s="11">
        <v>44996</v>
      </c>
      <c r="E1168" s="10">
        <v>737.19</v>
      </c>
    </row>
    <row r="1169" ht="16.5" spans="1:5">
      <c r="A1169" s="8">
        <v>3045103.988</v>
      </c>
      <c r="B1169" s="8">
        <v>35401268.816</v>
      </c>
      <c r="C1169" s="8">
        <v>907.163</v>
      </c>
      <c r="D1169" s="11">
        <v>44997</v>
      </c>
      <c r="E1169" s="10">
        <v>736.73</v>
      </c>
    </row>
    <row r="1170" ht="16.5" spans="1:5">
      <c r="A1170" s="8">
        <v>3045103.988</v>
      </c>
      <c r="B1170" s="8">
        <v>35401268.816</v>
      </c>
      <c r="C1170" s="8">
        <v>907.163</v>
      </c>
      <c r="D1170" s="11">
        <v>44998</v>
      </c>
      <c r="E1170" s="10">
        <v>736.59</v>
      </c>
    </row>
    <row r="1171" ht="16.5" spans="1:5">
      <c r="A1171" s="8">
        <v>3045103.988</v>
      </c>
      <c r="B1171" s="8">
        <v>35401268.816</v>
      </c>
      <c r="C1171" s="8">
        <v>907.163</v>
      </c>
      <c r="D1171" s="11">
        <v>44999</v>
      </c>
      <c r="E1171" s="10">
        <v>736.75</v>
      </c>
    </row>
    <row r="1172" ht="16.5" spans="1:5">
      <c r="A1172" s="8">
        <v>3045103.988</v>
      </c>
      <c r="B1172" s="8">
        <v>35401268.816</v>
      </c>
      <c r="C1172" s="8">
        <v>907.163</v>
      </c>
      <c r="D1172" s="11">
        <v>45000</v>
      </c>
      <c r="E1172" s="10">
        <v>736.81</v>
      </c>
    </row>
    <row r="1173" ht="16.5" spans="1:5">
      <c r="A1173" s="8">
        <v>3045103.988</v>
      </c>
      <c r="B1173" s="8">
        <v>35401268.816</v>
      </c>
      <c r="C1173" s="8">
        <v>907.163</v>
      </c>
      <c r="D1173" s="11">
        <v>45001</v>
      </c>
      <c r="E1173" s="10">
        <v>736.56</v>
      </c>
    </row>
    <row r="1174" ht="16.5" spans="1:5">
      <c r="A1174" s="8">
        <v>3045103.988</v>
      </c>
      <c r="B1174" s="8">
        <v>35401268.816</v>
      </c>
      <c r="C1174" s="8">
        <v>907.163</v>
      </c>
      <c r="D1174" s="11">
        <v>45002</v>
      </c>
      <c r="E1174" s="16"/>
    </row>
    <row r="1175" ht="16.5" spans="1:5">
      <c r="A1175" s="8">
        <v>3045103.988</v>
      </c>
      <c r="B1175" s="8">
        <v>35401268.816</v>
      </c>
      <c r="C1175" s="8">
        <v>907.163</v>
      </c>
      <c r="D1175" s="11">
        <v>45003</v>
      </c>
      <c r="E1175" s="10"/>
    </row>
    <row r="1176" ht="16.5" spans="1:5">
      <c r="A1176" s="8">
        <v>3045103.988</v>
      </c>
      <c r="B1176" s="8">
        <v>35401268.816</v>
      </c>
      <c r="C1176" s="8">
        <v>907.163</v>
      </c>
      <c r="D1176" s="11">
        <v>45004</v>
      </c>
      <c r="E1176" s="10">
        <v>736.43</v>
      </c>
    </row>
    <row r="1177" ht="16.5" spans="1:5">
      <c r="A1177" s="8">
        <v>3045103.988</v>
      </c>
      <c r="B1177" s="8">
        <v>35401268.816</v>
      </c>
      <c r="C1177" s="8">
        <v>907.163</v>
      </c>
      <c r="D1177" s="11">
        <v>45005</v>
      </c>
      <c r="E1177" s="10">
        <v>736.41</v>
      </c>
    </row>
    <row r="1178" ht="16.5" spans="1:5">
      <c r="A1178" s="8">
        <v>3045103.988</v>
      </c>
      <c r="B1178" s="8">
        <v>35401268.816</v>
      </c>
      <c r="C1178" s="8">
        <v>907.163</v>
      </c>
      <c r="D1178" s="11">
        <v>45006</v>
      </c>
      <c r="E1178" s="10">
        <v>736.36</v>
      </c>
    </row>
    <row r="1179" ht="16.5" spans="1:5">
      <c r="A1179" s="8">
        <v>3045103.988</v>
      </c>
      <c r="B1179" s="8">
        <v>35401268.816</v>
      </c>
      <c r="C1179" s="8">
        <v>907.163</v>
      </c>
      <c r="D1179" s="11">
        <v>45007</v>
      </c>
      <c r="E1179" s="10">
        <v>736.17</v>
      </c>
    </row>
    <row r="1180" ht="16.5" spans="1:5">
      <c r="A1180" s="8">
        <v>3045103.988</v>
      </c>
      <c r="B1180" s="8">
        <v>35401268.816</v>
      </c>
      <c r="C1180" s="8">
        <v>907.163</v>
      </c>
      <c r="D1180" s="11">
        <v>45008</v>
      </c>
      <c r="E1180" s="10">
        <v>736.21</v>
      </c>
    </row>
    <row r="1181" ht="16.5" spans="1:5">
      <c r="A1181" s="8">
        <v>3045103.988</v>
      </c>
      <c r="B1181" s="8">
        <v>35401268.816</v>
      </c>
      <c r="C1181" s="8">
        <v>907.163</v>
      </c>
      <c r="D1181" s="11">
        <v>45009</v>
      </c>
      <c r="E1181" s="10">
        <v>736.15</v>
      </c>
    </row>
    <row r="1182" ht="16.5" spans="1:5">
      <c r="A1182" s="8">
        <v>3045103.988</v>
      </c>
      <c r="B1182" s="8">
        <v>35401268.816</v>
      </c>
      <c r="C1182" s="8">
        <v>907.163</v>
      </c>
      <c r="D1182" s="11">
        <v>45010</v>
      </c>
      <c r="E1182" s="10">
        <v>736.09</v>
      </c>
    </row>
    <row r="1183" ht="16.5" spans="1:5">
      <c r="A1183" s="8">
        <v>3045103.988</v>
      </c>
      <c r="B1183" s="8">
        <v>35401268.816</v>
      </c>
      <c r="C1183" s="8">
        <v>907.163</v>
      </c>
      <c r="D1183" s="11">
        <v>45011</v>
      </c>
      <c r="E1183" s="10">
        <v>736</v>
      </c>
    </row>
    <row r="1184" ht="16.5" spans="1:5">
      <c r="A1184" s="8">
        <v>3045103.988</v>
      </c>
      <c r="B1184" s="8">
        <v>35401268.816</v>
      </c>
      <c r="C1184" s="8">
        <v>907.163</v>
      </c>
      <c r="D1184" s="11">
        <v>45012</v>
      </c>
      <c r="E1184" s="10">
        <v>736</v>
      </c>
    </row>
    <row r="1185" ht="16.5" spans="1:5">
      <c r="A1185" s="8">
        <v>3045103.988</v>
      </c>
      <c r="B1185" s="8">
        <v>35401268.816</v>
      </c>
      <c r="C1185" s="8">
        <v>907.163</v>
      </c>
      <c r="D1185" s="11">
        <v>45013</v>
      </c>
      <c r="E1185" s="12"/>
    </row>
    <row r="1186" ht="16.5" spans="1:5">
      <c r="A1186" s="8">
        <v>3045103.988</v>
      </c>
      <c r="B1186" s="8">
        <v>35401268.816</v>
      </c>
      <c r="C1186" s="8">
        <v>907.163</v>
      </c>
      <c r="D1186" s="11">
        <v>45014</v>
      </c>
      <c r="E1186" s="12"/>
    </row>
    <row r="1187" ht="16.5" spans="1:5">
      <c r="A1187" s="8">
        <v>3045103.988</v>
      </c>
      <c r="B1187" s="8">
        <v>35401268.816</v>
      </c>
      <c r="C1187" s="8">
        <v>907.163</v>
      </c>
      <c r="D1187" s="11">
        <v>45015</v>
      </c>
      <c r="E1187" s="17">
        <v>736.02</v>
      </c>
    </row>
    <row r="1188" ht="16.5" spans="1:5">
      <c r="A1188" s="8">
        <v>3045103.988</v>
      </c>
      <c r="B1188" s="8">
        <v>35401268.816</v>
      </c>
      <c r="C1188" s="8">
        <v>907.163</v>
      </c>
      <c r="D1188" s="11">
        <v>45016</v>
      </c>
      <c r="E1188" s="12"/>
    </row>
    <row r="1189" ht="16.5" spans="1:5">
      <c r="A1189" s="8">
        <v>3045103.988</v>
      </c>
      <c r="B1189" s="8">
        <v>35401268.816</v>
      </c>
      <c r="C1189" s="8">
        <v>907.163</v>
      </c>
      <c r="D1189" s="11">
        <v>45017</v>
      </c>
      <c r="E1189" s="10">
        <v>735.74</v>
      </c>
    </row>
    <row r="1190" ht="16.5" spans="1:5">
      <c r="A1190" s="8">
        <v>3045103.988</v>
      </c>
      <c r="B1190" s="8">
        <v>35401268.816</v>
      </c>
      <c r="C1190" s="8">
        <v>907.163</v>
      </c>
      <c r="D1190" s="11">
        <v>45018</v>
      </c>
      <c r="E1190" s="10">
        <v>736.04</v>
      </c>
    </row>
    <row r="1191" ht="16.5" spans="1:5">
      <c r="A1191" s="8">
        <v>3045103.988</v>
      </c>
      <c r="B1191" s="8">
        <v>35401268.816</v>
      </c>
      <c r="C1191" s="8">
        <v>907.163</v>
      </c>
      <c r="D1191" s="11">
        <v>45019</v>
      </c>
      <c r="E1191" s="10">
        <v>735.76</v>
      </c>
    </row>
    <row r="1192" ht="16.5" spans="1:5">
      <c r="A1192" s="8">
        <v>3045103.988</v>
      </c>
      <c r="B1192" s="8">
        <v>35401268.816</v>
      </c>
      <c r="C1192" s="8">
        <v>907.163</v>
      </c>
      <c r="D1192" s="11">
        <v>45020</v>
      </c>
      <c r="E1192" s="10">
        <v>735.61</v>
      </c>
    </row>
    <row r="1193" ht="16.5" spans="1:5">
      <c r="A1193" s="8">
        <v>3045103.988</v>
      </c>
      <c r="B1193" s="8">
        <v>35401268.816</v>
      </c>
      <c r="C1193" s="8">
        <v>907.163</v>
      </c>
      <c r="D1193" s="11">
        <v>45021</v>
      </c>
      <c r="E1193" s="10">
        <v>735.53</v>
      </c>
    </row>
    <row r="1194" ht="16.5" spans="1:5">
      <c r="A1194" s="8">
        <v>3045103.988</v>
      </c>
      <c r="B1194" s="8">
        <v>35401268.816</v>
      </c>
      <c r="C1194" s="8">
        <v>907.163</v>
      </c>
      <c r="D1194" s="11">
        <v>45022</v>
      </c>
      <c r="E1194" s="10">
        <v>735.11</v>
      </c>
    </row>
    <row r="1195" ht="16.5" spans="1:5">
      <c r="A1195" s="8">
        <v>3045103.988</v>
      </c>
      <c r="B1195" s="8">
        <v>35401268.816</v>
      </c>
      <c r="C1195" s="8">
        <v>907.163</v>
      </c>
      <c r="D1195" s="11">
        <v>45023</v>
      </c>
      <c r="E1195" s="10">
        <v>735.24</v>
      </c>
    </row>
    <row r="1196" ht="16.5" spans="1:5">
      <c r="A1196" s="8">
        <v>3045103.988</v>
      </c>
      <c r="B1196" s="8">
        <v>35401268.816</v>
      </c>
      <c r="C1196" s="8">
        <v>907.163</v>
      </c>
      <c r="D1196" s="11">
        <v>45024</v>
      </c>
      <c r="E1196" s="10">
        <v>735.26</v>
      </c>
    </row>
    <row r="1197" ht="16.5" spans="1:5">
      <c r="A1197" s="8">
        <v>3045103.988</v>
      </c>
      <c r="B1197" s="8">
        <v>35401268.816</v>
      </c>
      <c r="C1197" s="8">
        <v>907.163</v>
      </c>
      <c r="D1197" s="11">
        <v>45025</v>
      </c>
      <c r="E1197" s="10">
        <v>735.08</v>
      </c>
    </row>
    <row r="1198" ht="16.5" spans="1:5">
      <c r="A1198" s="8">
        <v>3045103.988</v>
      </c>
      <c r="B1198" s="8">
        <v>35401268.816</v>
      </c>
      <c r="C1198" s="8">
        <v>907.163</v>
      </c>
      <c r="D1198" s="11">
        <v>45026</v>
      </c>
      <c r="E1198" s="10">
        <v>735.56</v>
      </c>
    </row>
    <row r="1199" ht="16.5" spans="1:5">
      <c r="A1199" s="8">
        <v>3045103.988</v>
      </c>
      <c r="B1199" s="8">
        <v>35401268.816</v>
      </c>
      <c r="C1199" s="8">
        <v>907.163</v>
      </c>
      <c r="D1199" s="11">
        <v>45027</v>
      </c>
      <c r="E1199" s="10"/>
    </row>
    <row r="1200" ht="16.5" spans="1:5">
      <c r="A1200" s="8">
        <v>3045103.988</v>
      </c>
      <c r="B1200" s="8">
        <v>35401268.816</v>
      </c>
      <c r="C1200" s="8">
        <v>907.163</v>
      </c>
      <c r="D1200" s="11">
        <v>45028</v>
      </c>
      <c r="E1200" s="10"/>
    </row>
    <row r="1201" ht="16.5" spans="1:5">
      <c r="A1201" s="8">
        <v>3045103.988</v>
      </c>
      <c r="B1201" s="8">
        <v>35401268.816</v>
      </c>
      <c r="C1201" s="8">
        <v>907.163</v>
      </c>
      <c r="D1201" s="11">
        <v>45029</v>
      </c>
      <c r="E1201" s="10">
        <v>735.63</v>
      </c>
    </row>
    <row r="1202" ht="16.5" spans="1:5">
      <c r="A1202" s="8">
        <v>3045103.988</v>
      </c>
      <c r="B1202" s="8">
        <v>35401268.816</v>
      </c>
      <c r="C1202" s="8">
        <v>907.163</v>
      </c>
      <c r="D1202" s="11">
        <v>45030</v>
      </c>
      <c r="E1202" s="10">
        <v>735.57</v>
      </c>
    </row>
    <row r="1203" ht="16.5" spans="1:5">
      <c r="A1203" s="8">
        <v>3045103.988</v>
      </c>
      <c r="B1203" s="8">
        <v>35401268.816</v>
      </c>
      <c r="C1203" s="8">
        <v>907.163</v>
      </c>
      <c r="D1203" s="11">
        <v>45031</v>
      </c>
      <c r="E1203" s="10"/>
    </row>
    <row r="1204" ht="16.5" spans="1:5">
      <c r="A1204" s="8">
        <v>3045103.988</v>
      </c>
      <c r="B1204" s="8">
        <v>35401268.816</v>
      </c>
      <c r="C1204" s="8">
        <v>907.163</v>
      </c>
      <c r="D1204" s="11">
        <v>45032</v>
      </c>
      <c r="E1204" s="10">
        <v>735.65</v>
      </c>
    </row>
    <row r="1205" ht="16.5" spans="1:5">
      <c r="A1205" s="8">
        <v>3045103.988</v>
      </c>
      <c r="B1205" s="8">
        <v>35401268.816</v>
      </c>
      <c r="C1205" s="8">
        <v>907.163</v>
      </c>
      <c r="D1205" s="11">
        <v>45033</v>
      </c>
      <c r="E1205" s="10">
        <v>735.62</v>
      </c>
    </row>
    <row r="1206" ht="16.5" spans="1:5">
      <c r="A1206" s="8">
        <v>3045103.988</v>
      </c>
      <c r="B1206" s="8">
        <v>35401268.816</v>
      </c>
      <c r="C1206" s="8">
        <v>907.163</v>
      </c>
      <c r="D1206" s="11">
        <v>45034</v>
      </c>
      <c r="E1206" s="10">
        <v>735.54</v>
      </c>
    </row>
    <row r="1207" ht="16.5" spans="1:5">
      <c r="A1207" s="8">
        <v>3045103.988</v>
      </c>
      <c r="B1207" s="8">
        <v>35401268.816</v>
      </c>
      <c r="C1207" s="8">
        <v>907.163</v>
      </c>
      <c r="D1207" s="11">
        <v>45035</v>
      </c>
      <c r="E1207" s="10">
        <v>735.57</v>
      </c>
    </row>
    <row r="1208" ht="16.5" spans="1:5">
      <c r="A1208" s="8">
        <v>3045103.988</v>
      </c>
      <c r="B1208" s="8">
        <v>35401268.816</v>
      </c>
      <c r="C1208" s="8">
        <v>907.163</v>
      </c>
      <c r="D1208" s="11">
        <v>45036</v>
      </c>
      <c r="E1208" s="10"/>
    </row>
    <row r="1209" ht="16.5" spans="1:5">
      <c r="A1209" s="8">
        <v>3045103.988</v>
      </c>
      <c r="B1209" s="8">
        <v>35401268.816</v>
      </c>
      <c r="C1209" s="8">
        <v>907.163</v>
      </c>
      <c r="D1209" s="11">
        <v>45037</v>
      </c>
      <c r="E1209" s="12"/>
    </row>
    <row r="1210" ht="16.5" spans="1:5">
      <c r="A1210" s="8">
        <v>3045103.988</v>
      </c>
      <c r="B1210" s="8">
        <v>35401268.816</v>
      </c>
      <c r="C1210" s="8">
        <v>907.163</v>
      </c>
      <c r="D1210" s="11">
        <v>45038</v>
      </c>
      <c r="E1210" s="12"/>
    </row>
    <row r="1211" ht="16.5" spans="1:5">
      <c r="A1211" s="8">
        <v>3045103.988</v>
      </c>
      <c r="B1211" s="8">
        <v>35401268.816</v>
      </c>
      <c r="C1211" s="8">
        <v>907.163</v>
      </c>
      <c r="D1211" s="11">
        <v>45039</v>
      </c>
      <c r="E1211" s="12"/>
    </row>
    <row r="1212" ht="16.5" spans="1:5">
      <c r="A1212" s="8">
        <v>3045103.988</v>
      </c>
      <c r="B1212" s="8">
        <v>35401268.816</v>
      </c>
      <c r="C1212" s="8">
        <v>907.163</v>
      </c>
      <c r="D1212" s="11">
        <v>45040</v>
      </c>
      <c r="E1212" s="12"/>
    </row>
    <row r="1213" ht="16.5" spans="1:5">
      <c r="A1213" s="8">
        <v>3045103.988</v>
      </c>
      <c r="B1213" s="8">
        <v>35401268.816</v>
      </c>
      <c r="C1213" s="8">
        <v>907.163</v>
      </c>
      <c r="D1213" s="11">
        <v>45041</v>
      </c>
      <c r="E1213" s="12"/>
    </row>
    <row r="1214" ht="16.5" spans="1:5">
      <c r="A1214" s="8">
        <v>3045103.988</v>
      </c>
      <c r="B1214" s="8">
        <v>35401268.816</v>
      </c>
      <c r="C1214" s="8">
        <v>907.163</v>
      </c>
      <c r="D1214" s="11">
        <v>45042</v>
      </c>
      <c r="E1214" s="12"/>
    </row>
    <row r="1215" ht="16.5" spans="1:5">
      <c r="A1215" s="8">
        <v>3045103.988</v>
      </c>
      <c r="B1215" s="8">
        <v>35401268.816</v>
      </c>
      <c r="C1215" s="8">
        <v>907.163</v>
      </c>
      <c r="D1215" s="11">
        <v>45043</v>
      </c>
      <c r="E1215" s="10"/>
    </row>
    <row r="1216" ht="16.5" spans="1:5">
      <c r="A1216" s="8">
        <v>3045103.988</v>
      </c>
      <c r="B1216" s="8">
        <v>35401268.816</v>
      </c>
      <c r="C1216" s="8">
        <v>907.163</v>
      </c>
      <c r="D1216" s="11">
        <v>45044</v>
      </c>
      <c r="E1216" s="12"/>
    </row>
    <row r="1217" ht="16.5" spans="1:5">
      <c r="A1217" s="8">
        <v>3045103.988</v>
      </c>
      <c r="B1217" s="8">
        <v>35401268.816</v>
      </c>
      <c r="C1217" s="8">
        <v>907.163</v>
      </c>
      <c r="D1217" s="11">
        <v>45045</v>
      </c>
      <c r="E1217" s="12"/>
    </row>
    <row r="1218" ht="16.5" spans="1:5">
      <c r="A1218" s="8">
        <v>3045103.988</v>
      </c>
      <c r="B1218" s="8">
        <v>35401268.816</v>
      </c>
      <c r="C1218" s="8">
        <v>907.163</v>
      </c>
      <c r="D1218" s="11">
        <v>45046</v>
      </c>
      <c r="E1218" s="12"/>
    </row>
    <row r="1219" ht="16.5" spans="1:5">
      <c r="A1219" s="8">
        <v>3045103.988</v>
      </c>
      <c r="B1219" s="8">
        <v>35401268.816</v>
      </c>
      <c r="C1219" s="8">
        <v>907.163</v>
      </c>
      <c r="D1219" s="11">
        <v>45047</v>
      </c>
      <c r="E1219" s="12"/>
    </row>
    <row r="1220" ht="16.5" spans="1:5">
      <c r="A1220" s="8">
        <v>3045103.988</v>
      </c>
      <c r="B1220" s="8">
        <v>35401268.816</v>
      </c>
      <c r="C1220" s="8">
        <v>907.163</v>
      </c>
      <c r="D1220" s="11">
        <v>45048</v>
      </c>
      <c r="E1220" s="12"/>
    </row>
    <row r="1221" ht="16.5" spans="1:5">
      <c r="A1221" s="8">
        <v>3045103.988</v>
      </c>
      <c r="B1221" s="8">
        <v>35401268.816</v>
      </c>
      <c r="C1221" s="8">
        <v>907.163</v>
      </c>
      <c r="D1221" s="11">
        <v>45049</v>
      </c>
      <c r="E1221" s="12"/>
    </row>
    <row r="1222" ht="16.5" spans="1:5">
      <c r="A1222" s="8">
        <v>3045103.988</v>
      </c>
      <c r="B1222" s="8">
        <v>35401268.816</v>
      </c>
      <c r="C1222" s="8">
        <v>907.163</v>
      </c>
      <c r="D1222" s="11">
        <v>45050</v>
      </c>
      <c r="E1222" s="12"/>
    </row>
    <row r="1223" ht="16.5" spans="1:5">
      <c r="A1223" s="8">
        <v>3045103.988</v>
      </c>
      <c r="B1223" s="8">
        <v>35401268.816</v>
      </c>
      <c r="C1223" s="8">
        <v>907.163</v>
      </c>
      <c r="D1223" s="11">
        <v>45051</v>
      </c>
      <c r="E1223" s="12"/>
    </row>
    <row r="1224" ht="16.5" spans="1:5">
      <c r="A1224" s="8">
        <v>3045103.988</v>
      </c>
      <c r="B1224" s="8">
        <v>35401268.816</v>
      </c>
      <c r="C1224" s="8">
        <v>907.163</v>
      </c>
      <c r="D1224" s="11">
        <v>45052</v>
      </c>
      <c r="E1224" s="12"/>
    </row>
    <row r="1225" ht="16.5" spans="1:5">
      <c r="A1225" s="8">
        <v>3045103.988</v>
      </c>
      <c r="B1225" s="8">
        <v>35401268.816</v>
      </c>
      <c r="C1225" s="8">
        <v>907.163</v>
      </c>
      <c r="D1225" s="11">
        <v>45053</v>
      </c>
      <c r="E1225" s="12"/>
    </row>
    <row r="1226" ht="16.5" spans="1:5">
      <c r="A1226" s="8">
        <v>3045103.988</v>
      </c>
      <c r="B1226" s="8">
        <v>35401268.816</v>
      </c>
      <c r="C1226" s="8">
        <v>907.163</v>
      </c>
      <c r="D1226" s="11">
        <v>45054</v>
      </c>
      <c r="E1226" s="12"/>
    </row>
    <row r="1227" ht="16.5" spans="1:5">
      <c r="A1227" s="8">
        <v>3045103.988</v>
      </c>
      <c r="B1227" s="8">
        <v>35401268.816</v>
      </c>
      <c r="C1227" s="8">
        <v>907.163</v>
      </c>
      <c r="D1227" s="11">
        <v>45055</v>
      </c>
      <c r="E1227" s="12"/>
    </row>
    <row r="1228" ht="16.5" spans="1:5">
      <c r="A1228" s="8">
        <v>3045103.988</v>
      </c>
      <c r="B1228" s="8">
        <v>35401268.816</v>
      </c>
      <c r="C1228" s="8">
        <v>907.163</v>
      </c>
      <c r="D1228" s="11">
        <v>45056</v>
      </c>
      <c r="E1228" s="12"/>
    </row>
    <row r="1229" ht="16.5" spans="1:5">
      <c r="A1229" s="8">
        <v>3045103.988</v>
      </c>
      <c r="B1229" s="8">
        <v>35401268.816</v>
      </c>
      <c r="C1229" s="8">
        <v>907.163</v>
      </c>
      <c r="D1229" s="11">
        <v>45057</v>
      </c>
      <c r="E1229" s="12"/>
    </row>
    <row r="1230" ht="16.5" spans="1:5">
      <c r="A1230" s="8">
        <v>3045103.988</v>
      </c>
      <c r="B1230" s="8">
        <v>35401268.816</v>
      </c>
      <c r="C1230" s="8">
        <v>907.163</v>
      </c>
      <c r="D1230" s="11">
        <v>45058</v>
      </c>
      <c r="E1230" s="12"/>
    </row>
    <row r="1231" ht="16.5" spans="1:5">
      <c r="A1231" s="8">
        <v>3045103.988</v>
      </c>
      <c r="B1231" s="8">
        <v>35401268.816</v>
      </c>
      <c r="C1231" s="8">
        <v>907.163</v>
      </c>
      <c r="D1231" s="11">
        <v>45059</v>
      </c>
      <c r="E1231" s="12"/>
    </row>
    <row r="1232" ht="16.5" spans="1:5">
      <c r="A1232" s="8">
        <v>3045103.988</v>
      </c>
      <c r="B1232" s="8">
        <v>35401268.816</v>
      </c>
      <c r="C1232" s="8">
        <v>907.163</v>
      </c>
      <c r="D1232" s="11">
        <v>45060</v>
      </c>
      <c r="E1232" s="12"/>
    </row>
    <row r="1233" ht="16.5" spans="1:5">
      <c r="A1233" s="8">
        <v>3045103.988</v>
      </c>
      <c r="B1233" s="8">
        <v>35401268.816</v>
      </c>
      <c r="C1233" s="8">
        <v>907.163</v>
      </c>
      <c r="D1233" s="11">
        <v>45061</v>
      </c>
      <c r="E1233" s="12"/>
    </row>
    <row r="1234" ht="16.5" spans="1:5">
      <c r="A1234" s="8">
        <v>3045103.988</v>
      </c>
      <c r="B1234" s="8">
        <v>35401268.816</v>
      </c>
      <c r="C1234" s="8">
        <v>907.163</v>
      </c>
      <c r="D1234" s="11">
        <v>45062</v>
      </c>
      <c r="E1234" s="12"/>
    </row>
    <row r="1235" ht="16.5" spans="1:5">
      <c r="A1235" s="8">
        <v>3045103.988</v>
      </c>
      <c r="B1235" s="8">
        <v>35401268.816</v>
      </c>
      <c r="C1235" s="8">
        <v>907.163</v>
      </c>
      <c r="D1235" s="11">
        <v>45063</v>
      </c>
      <c r="E1235" s="12"/>
    </row>
    <row r="1236" ht="16.5" spans="1:5">
      <c r="A1236" s="8">
        <v>3045103.988</v>
      </c>
      <c r="B1236" s="8">
        <v>35401268.816</v>
      </c>
      <c r="C1236" s="8">
        <v>907.163</v>
      </c>
      <c r="D1236" s="11">
        <v>45064</v>
      </c>
      <c r="E1236" s="12"/>
    </row>
    <row r="1237" ht="16.5" spans="1:5">
      <c r="A1237" s="8">
        <v>3045103.988</v>
      </c>
      <c r="B1237" s="8">
        <v>35401268.816</v>
      </c>
      <c r="C1237" s="8">
        <v>907.163</v>
      </c>
      <c r="D1237" s="11">
        <v>45065</v>
      </c>
      <c r="E1237" s="12"/>
    </row>
    <row r="1238" ht="16.5" spans="1:5">
      <c r="A1238" s="8">
        <v>3045103.988</v>
      </c>
      <c r="B1238" s="8">
        <v>35401268.816</v>
      </c>
      <c r="C1238" s="8">
        <v>907.163</v>
      </c>
      <c r="D1238" s="11">
        <v>45066</v>
      </c>
      <c r="E1238" s="12"/>
    </row>
    <row r="1239" ht="16.5" spans="1:5">
      <c r="A1239" s="8">
        <v>3045103.988</v>
      </c>
      <c r="B1239" s="8">
        <v>35401268.816</v>
      </c>
      <c r="C1239" s="8">
        <v>907.163</v>
      </c>
      <c r="D1239" s="11">
        <v>45067</v>
      </c>
      <c r="E1239" s="12"/>
    </row>
    <row r="1240" ht="16.5" spans="1:5">
      <c r="A1240" s="8">
        <v>3045103.988</v>
      </c>
      <c r="B1240" s="8">
        <v>35401268.816</v>
      </c>
      <c r="C1240" s="8">
        <v>907.163</v>
      </c>
      <c r="D1240" s="11">
        <v>45068</v>
      </c>
      <c r="E1240" s="12"/>
    </row>
    <row r="1241" ht="16.5" spans="1:5">
      <c r="A1241" s="8">
        <v>3045103.988</v>
      </c>
      <c r="B1241" s="8">
        <v>35401268.816</v>
      </c>
      <c r="C1241" s="8">
        <v>907.163</v>
      </c>
      <c r="D1241" s="11">
        <v>45069</v>
      </c>
      <c r="E1241" s="12"/>
    </row>
    <row r="1242" ht="16.5" spans="1:5">
      <c r="A1242" s="8">
        <v>3045103.988</v>
      </c>
      <c r="B1242" s="8">
        <v>35401268.816</v>
      </c>
      <c r="C1242" s="8">
        <v>907.163</v>
      </c>
      <c r="D1242" s="11">
        <v>45070</v>
      </c>
      <c r="E1242" s="12"/>
    </row>
    <row r="1243" ht="16.5" spans="1:5">
      <c r="A1243" s="8">
        <v>3045103.988</v>
      </c>
      <c r="B1243" s="8">
        <v>35401268.816</v>
      </c>
      <c r="C1243" s="8">
        <v>907.163</v>
      </c>
      <c r="D1243" s="11">
        <v>45071</v>
      </c>
      <c r="E1243" s="12"/>
    </row>
    <row r="1244" ht="16.5" spans="1:5">
      <c r="A1244" s="8">
        <v>3045103.988</v>
      </c>
      <c r="B1244" s="8">
        <v>35401268.816</v>
      </c>
      <c r="C1244" s="8">
        <v>907.163</v>
      </c>
      <c r="D1244" s="11">
        <v>45072</v>
      </c>
      <c r="E1244" s="10"/>
    </row>
    <row r="1245" ht="16.5" spans="1:5">
      <c r="A1245" s="8">
        <v>3045103.988</v>
      </c>
      <c r="B1245" s="8">
        <v>35401268.816</v>
      </c>
      <c r="C1245" s="8">
        <v>907.163</v>
      </c>
      <c r="D1245" s="11">
        <v>45073</v>
      </c>
      <c r="E1245" s="10"/>
    </row>
    <row r="1246" ht="16.5" spans="1:5">
      <c r="A1246" s="8">
        <v>3045103.988</v>
      </c>
      <c r="B1246" s="8">
        <v>35401268.816</v>
      </c>
      <c r="C1246" s="8">
        <v>907.163</v>
      </c>
      <c r="D1246" s="11">
        <v>45074</v>
      </c>
      <c r="E1246" s="10"/>
    </row>
    <row r="1247" ht="16.5" spans="1:5">
      <c r="A1247" s="8">
        <v>3045103.988</v>
      </c>
      <c r="B1247" s="8">
        <v>35401268.816</v>
      </c>
      <c r="C1247" s="8">
        <v>907.163</v>
      </c>
      <c r="D1247" s="11">
        <v>45075</v>
      </c>
      <c r="E1247" s="10"/>
    </row>
    <row r="1248" ht="16.5" spans="1:5">
      <c r="A1248" s="8">
        <v>3045103.988</v>
      </c>
      <c r="B1248" s="8">
        <v>35401268.816</v>
      </c>
      <c r="C1248" s="8">
        <v>907.163</v>
      </c>
      <c r="D1248" s="11">
        <v>45076</v>
      </c>
      <c r="E1248" s="10"/>
    </row>
    <row r="1249" ht="16.5" spans="1:5">
      <c r="A1249" s="8">
        <v>3045103.988</v>
      </c>
      <c r="B1249" s="8">
        <v>35401268.816</v>
      </c>
      <c r="C1249" s="8">
        <v>907.163</v>
      </c>
      <c r="D1249" s="11">
        <v>45077</v>
      </c>
      <c r="E1249" s="10"/>
    </row>
    <row r="1250" ht="16.5" spans="1:5">
      <c r="A1250" s="8">
        <v>3045103.988</v>
      </c>
      <c r="B1250" s="8">
        <v>35401268.816</v>
      </c>
      <c r="C1250" s="8">
        <v>907.163</v>
      </c>
      <c r="D1250" s="11">
        <v>45078</v>
      </c>
      <c r="E1250" s="10">
        <v>716.17</v>
      </c>
    </row>
    <row r="1251" ht="16.5" spans="1:5">
      <c r="A1251" s="8">
        <v>3045103.988</v>
      </c>
      <c r="B1251" s="8">
        <v>35401268.816</v>
      </c>
      <c r="C1251" s="8">
        <v>907.163</v>
      </c>
      <c r="D1251" s="11">
        <v>45079</v>
      </c>
      <c r="E1251" s="10">
        <v>715.44</v>
      </c>
    </row>
    <row r="1252" ht="16.5" spans="1:5">
      <c r="A1252" s="8">
        <v>3045103.988</v>
      </c>
      <c r="B1252" s="8">
        <v>35401268.816</v>
      </c>
      <c r="C1252" s="8">
        <v>907.163</v>
      </c>
      <c r="D1252" s="11">
        <v>45080</v>
      </c>
      <c r="E1252" s="10">
        <v>715.18</v>
      </c>
    </row>
    <row r="1253" ht="16.5" spans="1:5">
      <c r="A1253" s="8">
        <v>3045103.988</v>
      </c>
      <c r="B1253" s="8">
        <v>35401268.816</v>
      </c>
      <c r="C1253" s="8">
        <v>907.163</v>
      </c>
      <c r="D1253" s="11">
        <v>45081</v>
      </c>
      <c r="E1253" s="10">
        <v>714.97</v>
      </c>
    </row>
    <row r="1254" ht="16.5" spans="1:5">
      <c r="A1254" s="8">
        <v>3045103.988</v>
      </c>
      <c r="B1254" s="8">
        <v>35401268.816</v>
      </c>
      <c r="C1254" s="8">
        <v>907.163</v>
      </c>
      <c r="D1254" s="11">
        <v>45082</v>
      </c>
      <c r="E1254" s="10">
        <v>714.79</v>
      </c>
    </row>
    <row r="1255" ht="16.5" spans="1:5">
      <c r="A1255" s="8">
        <v>3045103.988</v>
      </c>
      <c r="B1255" s="8">
        <v>35401268.816</v>
      </c>
      <c r="C1255" s="8">
        <v>907.163</v>
      </c>
      <c r="D1255" s="11">
        <v>45083</v>
      </c>
      <c r="E1255" s="10">
        <v>714.79</v>
      </c>
    </row>
    <row r="1256" ht="16.5" spans="1:5">
      <c r="A1256" s="8">
        <v>3045103.988</v>
      </c>
      <c r="B1256" s="8">
        <v>35401268.816</v>
      </c>
      <c r="C1256" s="8">
        <v>907.163</v>
      </c>
      <c r="D1256" s="11">
        <v>45084</v>
      </c>
      <c r="E1256" s="10">
        <v>714.72</v>
      </c>
    </row>
    <row r="1257" ht="16.5" spans="1:5">
      <c r="A1257" s="8">
        <v>3045103.988</v>
      </c>
      <c r="B1257" s="8">
        <v>35401268.816</v>
      </c>
      <c r="C1257" s="8">
        <v>907.163</v>
      </c>
      <c r="D1257" s="11">
        <v>45085</v>
      </c>
      <c r="E1257" s="10">
        <v>714.65</v>
      </c>
    </row>
    <row r="1258" ht="16.5" spans="1:5">
      <c r="A1258" s="8">
        <v>3045103.988</v>
      </c>
      <c r="B1258" s="8">
        <v>35401268.816</v>
      </c>
      <c r="C1258" s="8">
        <v>907.163</v>
      </c>
      <c r="D1258" s="11">
        <v>45086</v>
      </c>
      <c r="E1258" s="10">
        <v>714.34</v>
      </c>
    </row>
    <row r="1259" ht="16.5" spans="1:5">
      <c r="A1259" s="8">
        <v>3045103.988</v>
      </c>
      <c r="B1259" s="8">
        <v>35401268.816</v>
      </c>
      <c r="C1259" s="8">
        <v>907.163</v>
      </c>
      <c r="D1259" s="11">
        <v>45087</v>
      </c>
      <c r="E1259" s="10">
        <v>714.07</v>
      </c>
    </row>
    <row r="1260" ht="16.5" spans="1:5">
      <c r="A1260" s="8">
        <v>3045103.988</v>
      </c>
      <c r="B1260" s="8">
        <v>35401268.816</v>
      </c>
      <c r="C1260" s="8">
        <v>907.163</v>
      </c>
      <c r="D1260" s="11">
        <v>45088</v>
      </c>
      <c r="E1260" s="10">
        <v>713.38</v>
      </c>
    </row>
    <row r="1261" ht="16.5" spans="1:5">
      <c r="A1261" s="8">
        <v>3045103.988</v>
      </c>
      <c r="B1261" s="8">
        <v>35401268.816</v>
      </c>
      <c r="C1261" s="8">
        <v>907.163</v>
      </c>
      <c r="D1261" s="11">
        <v>45089</v>
      </c>
      <c r="E1261" s="10">
        <v>713.21</v>
      </c>
    </row>
    <row r="1262" ht="16.5" spans="1:5">
      <c r="A1262" s="8">
        <v>3045103.988</v>
      </c>
      <c r="B1262" s="8">
        <v>35401268.816</v>
      </c>
      <c r="C1262" s="8">
        <v>907.163</v>
      </c>
      <c r="D1262" s="11">
        <v>45090</v>
      </c>
      <c r="E1262" s="10">
        <v>712.88</v>
      </c>
    </row>
    <row r="1263" ht="16.5" spans="1:5">
      <c r="A1263" s="8">
        <v>3045103.988</v>
      </c>
      <c r="B1263" s="8">
        <v>35401268.816</v>
      </c>
      <c r="C1263" s="8">
        <v>907.163</v>
      </c>
      <c r="D1263" s="11">
        <v>45091</v>
      </c>
      <c r="E1263" s="10">
        <v>712.66</v>
      </c>
    </row>
    <row r="1264" ht="16.5" spans="1:5">
      <c r="A1264" s="8">
        <v>3045103.988</v>
      </c>
      <c r="B1264" s="8">
        <v>35401268.816</v>
      </c>
      <c r="C1264" s="8">
        <v>907.163</v>
      </c>
      <c r="D1264" s="11">
        <v>45092</v>
      </c>
      <c r="E1264" s="10">
        <v>712.6</v>
      </c>
    </row>
    <row r="1265" ht="16.5" spans="1:5">
      <c r="A1265" s="8">
        <v>3045103.988</v>
      </c>
      <c r="B1265" s="8">
        <v>35401268.816</v>
      </c>
      <c r="C1265" s="8">
        <v>907.163</v>
      </c>
      <c r="D1265" s="11">
        <v>45093</v>
      </c>
      <c r="E1265" s="10">
        <v>712.58</v>
      </c>
    </row>
    <row r="1266" ht="16.5" spans="1:5">
      <c r="A1266" s="8">
        <v>3045103.988</v>
      </c>
      <c r="B1266" s="8">
        <v>35401268.816</v>
      </c>
      <c r="C1266" s="8">
        <v>907.163</v>
      </c>
      <c r="D1266" s="11">
        <v>45094</v>
      </c>
      <c r="E1266" s="10">
        <v>712.35</v>
      </c>
    </row>
    <row r="1267" ht="16.5" spans="1:5">
      <c r="A1267" s="8">
        <v>3045103.988</v>
      </c>
      <c r="B1267" s="8">
        <v>35401268.816</v>
      </c>
      <c r="C1267" s="8">
        <v>907.163</v>
      </c>
      <c r="D1267" s="11">
        <v>45095</v>
      </c>
      <c r="E1267" s="10">
        <v>712.31</v>
      </c>
    </row>
    <row r="1268" ht="16.5" spans="1:5">
      <c r="A1268" s="8">
        <v>3045103.988</v>
      </c>
      <c r="B1268" s="8">
        <v>35401268.816</v>
      </c>
      <c r="C1268" s="8">
        <v>907.163</v>
      </c>
      <c r="D1268" s="11">
        <v>45096</v>
      </c>
      <c r="E1268" s="10">
        <v>712.2</v>
      </c>
    </row>
    <row r="1269" ht="16.5" spans="1:5">
      <c r="A1269" s="8">
        <v>3045103.988</v>
      </c>
      <c r="B1269" s="8">
        <v>35401268.816</v>
      </c>
      <c r="C1269" s="8">
        <v>907.163</v>
      </c>
      <c r="D1269" s="11">
        <v>45097</v>
      </c>
      <c r="E1269" s="10">
        <v>711.81</v>
      </c>
    </row>
    <row r="1270" ht="16.5" spans="1:5">
      <c r="A1270" s="8">
        <v>3045103.988</v>
      </c>
      <c r="B1270" s="8">
        <v>35401268.816</v>
      </c>
      <c r="C1270" s="8">
        <v>907.163</v>
      </c>
      <c r="D1270" s="11">
        <v>45098</v>
      </c>
      <c r="E1270" s="10">
        <v>711.55</v>
      </c>
    </row>
    <row r="1271" ht="16.5" spans="1:5">
      <c r="A1271" s="8">
        <v>3045103.988</v>
      </c>
      <c r="B1271" s="8">
        <v>35401268.816</v>
      </c>
      <c r="C1271" s="8">
        <v>907.163</v>
      </c>
      <c r="D1271" s="11">
        <v>45099</v>
      </c>
      <c r="E1271" s="10">
        <v>712.48</v>
      </c>
    </row>
    <row r="1272" ht="16.5" spans="1:5">
      <c r="A1272" s="8">
        <v>3045103.988</v>
      </c>
      <c r="B1272" s="8">
        <v>35401268.816</v>
      </c>
      <c r="C1272" s="8">
        <v>907.163</v>
      </c>
      <c r="D1272" s="11">
        <v>45100</v>
      </c>
      <c r="E1272" s="10">
        <v>714.04</v>
      </c>
    </row>
    <row r="1273" ht="16.5" spans="1:5">
      <c r="A1273" s="8">
        <v>3045103.988</v>
      </c>
      <c r="B1273" s="8">
        <v>35401268.816</v>
      </c>
      <c r="C1273" s="8">
        <v>907.163</v>
      </c>
      <c r="D1273" s="11">
        <v>45101</v>
      </c>
      <c r="E1273" s="10">
        <v>713.3</v>
      </c>
    </row>
    <row r="1274" ht="16.5" spans="1:5">
      <c r="A1274" s="8">
        <v>3045103.988</v>
      </c>
      <c r="B1274" s="8">
        <v>35401268.816</v>
      </c>
      <c r="C1274" s="8">
        <v>907.163</v>
      </c>
      <c r="D1274" s="11">
        <v>45102</v>
      </c>
      <c r="E1274" s="10">
        <v>712.61</v>
      </c>
    </row>
    <row r="1275" ht="16.5" spans="1:5">
      <c r="A1275" s="8">
        <v>3045103.988</v>
      </c>
      <c r="B1275" s="8">
        <v>35401268.816</v>
      </c>
      <c r="C1275" s="8">
        <v>907.163</v>
      </c>
      <c r="D1275" s="11">
        <v>45103</v>
      </c>
      <c r="E1275" s="10">
        <v>712.44</v>
      </c>
    </row>
    <row r="1276" ht="16.5" spans="1:5">
      <c r="A1276" s="8">
        <v>3045103.988</v>
      </c>
      <c r="B1276" s="8">
        <v>35401268.816</v>
      </c>
      <c r="C1276" s="8">
        <v>907.163</v>
      </c>
      <c r="D1276" s="11">
        <v>45104</v>
      </c>
      <c r="E1276" s="10">
        <v>713.88</v>
      </c>
    </row>
    <row r="1277" ht="16.5" spans="1:5">
      <c r="A1277" s="8">
        <v>3045103.988</v>
      </c>
      <c r="B1277" s="8">
        <v>35401268.816</v>
      </c>
      <c r="C1277" s="8">
        <v>907.163</v>
      </c>
      <c r="D1277" s="11">
        <v>45105</v>
      </c>
      <c r="E1277" s="10">
        <v>715.21</v>
      </c>
    </row>
    <row r="1278" ht="16.5" spans="1:5">
      <c r="A1278" s="8">
        <v>3045103.988</v>
      </c>
      <c r="B1278" s="8">
        <v>35401268.816</v>
      </c>
      <c r="C1278" s="8">
        <v>907.163</v>
      </c>
      <c r="D1278" s="11">
        <v>45106</v>
      </c>
      <c r="E1278" s="10">
        <v>716.25</v>
      </c>
    </row>
    <row r="1279" ht="16.5" spans="1:5">
      <c r="A1279" s="8">
        <v>3045103.988</v>
      </c>
      <c r="B1279" s="8">
        <v>35401268.816</v>
      </c>
      <c r="C1279" s="8">
        <v>907.163</v>
      </c>
      <c r="D1279" s="11">
        <v>45107</v>
      </c>
      <c r="E1279" s="10">
        <v>717.304</v>
      </c>
    </row>
    <row r="1280" ht="16.5" spans="1:5">
      <c r="A1280" s="8">
        <v>3045103.988</v>
      </c>
      <c r="B1280" s="8">
        <v>35401268.816</v>
      </c>
      <c r="C1280" s="8">
        <v>907.163</v>
      </c>
      <c r="D1280" s="11">
        <v>45108</v>
      </c>
      <c r="E1280" s="10">
        <v>718.187</v>
      </c>
    </row>
    <row r="1281" ht="16.5" spans="1:5">
      <c r="A1281" s="8">
        <v>3045103.988</v>
      </c>
      <c r="B1281" s="8">
        <v>35401268.816</v>
      </c>
      <c r="C1281" s="8">
        <v>907.163</v>
      </c>
      <c r="D1281" s="11">
        <v>45109</v>
      </c>
      <c r="E1281" s="10">
        <v>718.926</v>
      </c>
    </row>
    <row r="1282" ht="16.5" spans="1:5">
      <c r="A1282" s="8">
        <v>3045103.988</v>
      </c>
      <c r="B1282" s="8">
        <v>35401268.816</v>
      </c>
      <c r="C1282" s="8">
        <v>907.163</v>
      </c>
      <c r="D1282" s="11">
        <v>45110</v>
      </c>
      <c r="E1282" s="10">
        <v>719.42</v>
      </c>
    </row>
    <row r="1283" ht="16.5" spans="1:5">
      <c r="A1283" s="8">
        <v>3045103.988</v>
      </c>
      <c r="B1283" s="8">
        <v>35401268.816</v>
      </c>
      <c r="C1283" s="8">
        <v>907.163</v>
      </c>
      <c r="D1283" s="11">
        <v>45111</v>
      </c>
      <c r="E1283" s="10">
        <v>719.313</v>
      </c>
    </row>
    <row r="1284" ht="16.5" spans="1:5">
      <c r="A1284" s="8">
        <v>3045103.988</v>
      </c>
      <c r="B1284" s="8">
        <v>35401268.816</v>
      </c>
      <c r="C1284" s="8">
        <v>907.163</v>
      </c>
      <c r="D1284" s="11">
        <v>45112</v>
      </c>
      <c r="E1284" s="10">
        <v>718.016</v>
      </c>
    </row>
    <row r="1285" ht="16.5" spans="1:5">
      <c r="A1285" s="8">
        <v>3045103.988</v>
      </c>
      <c r="B1285" s="8">
        <v>35401268.816</v>
      </c>
      <c r="C1285" s="8">
        <v>907.163</v>
      </c>
      <c r="D1285" s="11">
        <v>45113</v>
      </c>
      <c r="E1285" s="10">
        <v>718.731</v>
      </c>
    </row>
    <row r="1286" ht="16.5" spans="1:5">
      <c r="A1286" s="8">
        <v>3045103.988</v>
      </c>
      <c r="B1286" s="8">
        <v>35401268.816</v>
      </c>
      <c r="C1286" s="8">
        <v>907.163</v>
      </c>
      <c r="D1286" s="11">
        <v>45114</v>
      </c>
      <c r="E1286" s="10">
        <v>719.15</v>
      </c>
    </row>
    <row r="1287" ht="16.5" spans="1:5">
      <c r="A1287" s="8">
        <v>3045103.988</v>
      </c>
      <c r="B1287" s="8">
        <v>35401268.816</v>
      </c>
      <c r="C1287" s="8">
        <v>907.163</v>
      </c>
      <c r="D1287" s="11">
        <v>45115</v>
      </c>
      <c r="E1287" s="10">
        <v>719.27</v>
      </c>
    </row>
    <row r="1288" ht="16.5" spans="1:5">
      <c r="A1288" s="8">
        <v>3045103.988</v>
      </c>
      <c r="B1288" s="8">
        <v>35401268.816</v>
      </c>
      <c r="C1288" s="8">
        <v>907.163</v>
      </c>
      <c r="D1288" s="11">
        <v>45116</v>
      </c>
      <c r="E1288" s="10">
        <v>719.95</v>
      </c>
    </row>
    <row r="1289" ht="16.5" spans="1:5">
      <c r="A1289" s="8">
        <v>3045103.988</v>
      </c>
      <c r="B1289" s="8">
        <v>35401268.816</v>
      </c>
      <c r="C1289" s="8">
        <v>907.163</v>
      </c>
      <c r="D1289" s="11">
        <v>45117</v>
      </c>
      <c r="E1289" s="10">
        <v>720.42</v>
      </c>
    </row>
    <row r="1290" ht="16.5" spans="1:5">
      <c r="A1290" s="8">
        <v>3045103.988</v>
      </c>
      <c r="B1290" s="8">
        <v>35401268.816</v>
      </c>
      <c r="C1290" s="8">
        <v>907.163</v>
      </c>
      <c r="D1290" s="11">
        <v>45118</v>
      </c>
      <c r="E1290" s="10">
        <v>720.89</v>
      </c>
    </row>
    <row r="1291" ht="16.5" spans="1:5">
      <c r="A1291" s="8">
        <v>3045103.988</v>
      </c>
      <c r="B1291" s="8">
        <v>35401268.816</v>
      </c>
      <c r="C1291" s="8">
        <v>907.163</v>
      </c>
      <c r="D1291" s="11">
        <v>45119</v>
      </c>
      <c r="E1291" s="10">
        <v>721.1</v>
      </c>
    </row>
    <row r="1292" ht="16.5" spans="1:5">
      <c r="A1292" s="8">
        <v>3045103.988</v>
      </c>
      <c r="B1292" s="8">
        <v>35401268.816</v>
      </c>
      <c r="C1292" s="8">
        <v>907.163</v>
      </c>
      <c r="D1292" s="11">
        <v>45120</v>
      </c>
      <c r="E1292" s="10">
        <v>720.481</v>
      </c>
    </row>
    <row r="1293" ht="16.5" spans="1:5">
      <c r="A1293" s="8">
        <v>3045103.988</v>
      </c>
      <c r="B1293" s="8">
        <v>35401268.816</v>
      </c>
      <c r="C1293" s="8">
        <v>907.163</v>
      </c>
      <c r="D1293" s="11">
        <v>45121</v>
      </c>
      <c r="E1293" s="10">
        <v>719.944</v>
      </c>
    </row>
    <row r="1294" ht="16.5" spans="1:5">
      <c r="A1294" s="8">
        <v>3045103.988</v>
      </c>
      <c r="B1294" s="8">
        <v>35401268.816</v>
      </c>
      <c r="C1294" s="8">
        <v>907.163</v>
      </c>
      <c r="D1294" s="11">
        <v>45122</v>
      </c>
      <c r="E1294" s="10">
        <v>719.118</v>
      </c>
    </row>
    <row r="1295" ht="16.5" spans="1:5">
      <c r="A1295" s="8">
        <v>3045103.988</v>
      </c>
      <c r="B1295" s="8">
        <v>35401268.816</v>
      </c>
      <c r="C1295" s="8">
        <v>907.163</v>
      </c>
      <c r="D1295" s="11">
        <v>45123</v>
      </c>
      <c r="E1295" s="10">
        <v>719.859</v>
      </c>
    </row>
    <row r="1296" ht="16.5" spans="1:5">
      <c r="A1296" s="8">
        <v>3045103.988</v>
      </c>
      <c r="B1296" s="8">
        <v>35401268.816</v>
      </c>
      <c r="C1296" s="8">
        <v>907.163</v>
      </c>
      <c r="D1296" s="11">
        <v>45124</v>
      </c>
      <c r="E1296" s="10">
        <v>718.833</v>
      </c>
    </row>
    <row r="1297" ht="16.5" spans="1:5">
      <c r="A1297" s="8">
        <v>3045103.988</v>
      </c>
      <c r="B1297" s="8">
        <v>35401268.816</v>
      </c>
      <c r="C1297" s="8">
        <v>907.163</v>
      </c>
      <c r="D1297" s="11">
        <v>45125</v>
      </c>
      <c r="E1297" s="10">
        <v>718.361</v>
      </c>
    </row>
    <row r="1298" ht="16.5" spans="1:5">
      <c r="A1298" s="8">
        <v>3045103.988</v>
      </c>
      <c r="B1298" s="8">
        <v>35401268.816</v>
      </c>
      <c r="C1298" s="8">
        <v>907.163</v>
      </c>
      <c r="D1298" s="11">
        <v>45126</v>
      </c>
      <c r="E1298" s="10">
        <v>717.886</v>
      </c>
    </row>
    <row r="1299" ht="16.5" spans="1:5">
      <c r="A1299" s="8">
        <v>3045103.988</v>
      </c>
      <c r="B1299" s="8">
        <v>35401268.816</v>
      </c>
      <c r="C1299" s="8">
        <v>907.163</v>
      </c>
      <c r="D1299" s="11">
        <v>45127</v>
      </c>
      <c r="E1299" s="10">
        <v>718.2</v>
      </c>
    </row>
    <row r="1300" ht="16.5" spans="1:5">
      <c r="A1300" s="8">
        <v>3045103.988</v>
      </c>
      <c r="B1300" s="8">
        <v>35401268.816</v>
      </c>
      <c r="C1300" s="8">
        <v>907.163</v>
      </c>
      <c r="D1300" s="11">
        <v>45128</v>
      </c>
      <c r="E1300" s="10">
        <v>717.03</v>
      </c>
    </row>
    <row r="1301" ht="16.5" spans="1:5">
      <c r="A1301" s="8">
        <v>3045103.988</v>
      </c>
      <c r="B1301" s="8">
        <v>35401268.816</v>
      </c>
      <c r="C1301" s="8">
        <v>907.163</v>
      </c>
      <c r="D1301" s="11">
        <v>45129</v>
      </c>
      <c r="E1301" s="10">
        <v>717.39</v>
      </c>
    </row>
    <row r="1302" ht="16.5" spans="1:5">
      <c r="A1302" s="8">
        <v>3045103.988</v>
      </c>
      <c r="B1302" s="8">
        <v>35401268.816</v>
      </c>
      <c r="C1302" s="8">
        <v>907.163</v>
      </c>
      <c r="D1302" s="11">
        <v>45130</v>
      </c>
      <c r="E1302" s="10">
        <v>718.16</v>
      </c>
    </row>
    <row r="1303" ht="16.5" spans="1:5">
      <c r="A1303" s="8">
        <v>3045103.988</v>
      </c>
      <c r="B1303" s="8">
        <v>35401268.816</v>
      </c>
      <c r="C1303" s="8">
        <v>907.163</v>
      </c>
      <c r="D1303" s="11">
        <v>45131</v>
      </c>
      <c r="E1303" s="10">
        <v>718.3</v>
      </c>
    </row>
    <row r="1304" ht="16.5" spans="1:5">
      <c r="A1304" s="8">
        <v>3045103.988</v>
      </c>
      <c r="B1304" s="8">
        <v>35401268.816</v>
      </c>
      <c r="C1304" s="8">
        <v>907.163</v>
      </c>
      <c r="D1304" s="11">
        <v>45132</v>
      </c>
      <c r="E1304" s="10">
        <v>718.57</v>
      </c>
    </row>
    <row r="1305" ht="16.5" spans="1:5">
      <c r="A1305" s="8">
        <v>3045103.988</v>
      </c>
      <c r="B1305" s="8">
        <v>35401268.816</v>
      </c>
      <c r="C1305" s="8">
        <v>907.163</v>
      </c>
      <c r="D1305" s="11">
        <v>45133</v>
      </c>
      <c r="E1305" s="10">
        <v>718.76</v>
      </c>
    </row>
    <row r="1306" ht="16.5" spans="1:5">
      <c r="A1306" s="8">
        <v>3045103.988</v>
      </c>
      <c r="B1306" s="8">
        <v>35401268.816</v>
      </c>
      <c r="C1306" s="8">
        <v>907.163</v>
      </c>
      <c r="D1306" s="11">
        <v>45134</v>
      </c>
      <c r="E1306" s="10">
        <v>719.188</v>
      </c>
    </row>
    <row r="1307" ht="16.5" spans="1:5">
      <c r="A1307" s="8">
        <v>3045103.988</v>
      </c>
      <c r="B1307" s="8">
        <v>35401268.816</v>
      </c>
      <c r="C1307" s="8">
        <v>907.163</v>
      </c>
      <c r="D1307" s="11">
        <v>45135</v>
      </c>
      <c r="E1307" s="10">
        <v>719.461</v>
      </c>
    </row>
    <row r="1308" ht="16.5" spans="1:5">
      <c r="A1308" s="8">
        <v>3045103.988</v>
      </c>
      <c r="B1308" s="8">
        <v>35401268.816</v>
      </c>
      <c r="C1308" s="8">
        <v>907.163</v>
      </c>
      <c r="D1308" s="11">
        <v>45136</v>
      </c>
      <c r="E1308" s="10">
        <v>719.281</v>
      </c>
    </row>
    <row r="1309" ht="16.5" spans="1:5">
      <c r="A1309" s="8">
        <v>3045103.988</v>
      </c>
      <c r="B1309" s="8">
        <v>35401268.816</v>
      </c>
      <c r="C1309" s="8">
        <v>907.163</v>
      </c>
      <c r="D1309" s="11">
        <v>45137</v>
      </c>
      <c r="E1309" s="10">
        <v>719.587</v>
      </c>
    </row>
    <row r="1310" ht="16.5" spans="1:5">
      <c r="A1310" s="8">
        <v>3045103.988</v>
      </c>
      <c r="B1310" s="8">
        <v>35401268.816</v>
      </c>
      <c r="C1310" s="8">
        <v>907.163</v>
      </c>
      <c r="D1310" s="11">
        <v>45138</v>
      </c>
      <c r="E1310" s="10">
        <v>719.803</v>
      </c>
    </row>
    <row r="1311" ht="16.5" spans="1:5">
      <c r="A1311" s="8">
        <v>3045103.988</v>
      </c>
      <c r="B1311" s="8">
        <v>35401268.816</v>
      </c>
      <c r="C1311" s="8">
        <v>907.163</v>
      </c>
      <c r="D1311" s="11">
        <v>45139</v>
      </c>
      <c r="E1311" s="10">
        <v>719.981</v>
      </c>
    </row>
    <row r="1312" ht="16.5" spans="1:5">
      <c r="A1312" s="8">
        <v>3045103.988</v>
      </c>
      <c r="B1312" s="8">
        <v>35401268.816</v>
      </c>
      <c r="C1312" s="8">
        <v>907.163</v>
      </c>
      <c r="D1312" s="11">
        <v>45140</v>
      </c>
      <c r="E1312" s="10">
        <v>720.174</v>
      </c>
    </row>
    <row r="1313" ht="16.5" spans="1:5">
      <c r="A1313" s="8">
        <v>3045103.988</v>
      </c>
      <c r="B1313" s="8">
        <v>35401268.816</v>
      </c>
      <c r="C1313" s="8">
        <v>907.163</v>
      </c>
      <c r="D1313" s="11">
        <v>45141</v>
      </c>
      <c r="E1313" s="14">
        <v>720.363</v>
      </c>
    </row>
    <row r="1314" ht="16.5" spans="1:5">
      <c r="A1314" s="8">
        <v>3045103.988</v>
      </c>
      <c r="B1314" s="8">
        <v>35401268.816</v>
      </c>
      <c r="C1314" s="8">
        <v>907.163</v>
      </c>
      <c r="D1314" s="11">
        <v>45142</v>
      </c>
      <c r="E1314" s="10">
        <v>720.54</v>
      </c>
    </row>
    <row r="1315" ht="16.5" spans="1:5">
      <c r="A1315" s="8">
        <v>3045103.988</v>
      </c>
      <c r="B1315" s="8">
        <v>35401268.816</v>
      </c>
      <c r="C1315" s="8">
        <v>907.163</v>
      </c>
      <c r="D1315" s="11">
        <v>45143</v>
      </c>
      <c r="E1315" s="10">
        <v>720.046</v>
      </c>
    </row>
    <row r="1316" ht="16.5" spans="1:5">
      <c r="A1316" s="8">
        <v>3045103.988</v>
      </c>
      <c r="B1316" s="8">
        <v>35401268.816</v>
      </c>
      <c r="C1316" s="8">
        <v>907.163</v>
      </c>
      <c r="D1316" s="11">
        <v>45144</v>
      </c>
      <c r="E1316" s="10">
        <v>720.209</v>
      </c>
    </row>
    <row r="1317" ht="16.5" spans="1:5">
      <c r="A1317" s="8">
        <v>3045103.988</v>
      </c>
      <c r="B1317" s="8">
        <v>35401268.816</v>
      </c>
      <c r="C1317" s="8">
        <v>907.163</v>
      </c>
      <c r="D1317" s="11">
        <v>45145</v>
      </c>
      <c r="E1317" s="10">
        <v>719.696</v>
      </c>
    </row>
    <row r="1318" ht="16.5" spans="1:5">
      <c r="A1318" s="8">
        <v>3045103.988</v>
      </c>
      <c r="B1318" s="8">
        <v>35401268.816</v>
      </c>
      <c r="C1318" s="8">
        <v>907.163</v>
      </c>
      <c r="D1318" s="11">
        <v>45146</v>
      </c>
      <c r="E1318" s="10">
        <v>716.914</v>
      </c>
    </row>
    <row r="1319" ht="16.5" spans="1:5">
      <c r="A1319" s="8">
        <v>3045103.988</v>
      </c>
      <c r="B1319" s="8">
        <v>35401268.816</v>
      </c>
      <c r="C1319" s="8">
        <v>907.163</v>
      </c>
      <c r="D1319" s="11">
        <v>45147</v>
      </c>
      <c r="E1319" s="10">
        <v>717.523</v>
      </c>
    </row>
    <row r="1320" ht="16.5" spans="1:5">
      <c r="A1320" s="8">
        <v>3045103.988</v>
      </c>
      <c r="B1320" s="8">
        <v>35401268.816</v>
      </c>
      <c r="C1320" s="8">
        <v>907.163</v>
      </c>
      <c r="D1320" s="11">
        <v>45148</v>
      </c>
      <c r="E1320" s="12"/>
    </row>
    <row r="1321" ht="16.5" spans="1:5">
      <c r="A1321" s="8">
        <v>3045103.988</v>
      </c>
      <c r="B1321" s="8">
        <v>35401268.816</v>
      </c>
      <c r="C1321" s="8">
        <v>907.163</v>
      </c>
      <c r="D1321" s="11">
        <v>45149</v>
      </c>
      <c r="E1321" s="10">
        <v>718.766</v>
      </c>
    </row>
    <row r="1322" ht="16.5" spans="1:5">
      <c r="A1322" s="8">
        <v>3045103.988</v>
      </c>
      <c r="B1322" s="8">
        <v>35401268.816</v>
      </c>
      <c r="C1322" s="8">
        <v>907.163</v>
      </c>
      <c r="D1322" s="11">
        <v>45150</v>
      </c>
      <c r="E1322" s="10">
        <v>719.025</v>
      </c>
    </row>
    <row r="1323" ht="16.5" spans="1:5">
      <c r="A1323" s="8">
        <v>3045103.988</v>
      </c>
      <c r="B1323" s="8">
        <v>35401268.816</v>
      </c>
      <c r="C1323" s="8">
        <v>907.163</v>
      </c>
      <c r="D1323" s="11">
        <v>45151</v>
      </c>
      <c r="E1323" s="10">
        <v>719.343</v>
      </c>
    </row>
    <row r="1324" ht="16.5" spans="1:5">
      <c r="A1324" s="8">
        <v>3045103.988</v>
      </c>
      <c r="B1324" s="8">
        <v>35401268.816</v>
      </c>
      <c r="C1324" s="8">
        <v>907.163</v>
      </c>
      <c r="D1324" s="11">
        <v>45152</v>
      </c>
      <c r="E1324" s="10">
        <v>719.355</v>
      </c>
    </row>
    <row r="1325" ht="16.5" spans="1:5">
      <c r="A1325" s="8">
        <v>3045103.988</v>
      </c>
      <c r="B1325" s="8">
        <v>35401268.816</v>
      </c>
      <c r="C1325" s="8">
        <v>907.163</v>
      </c>
      <c r="D1325" s="11">
        <v>45153</v>
      </c>
      <c r="E1325" s="17">
        <v>719.771</v>
      </c>
    </row>
    <row r="1326" ht="16.5" spans="1:5">
      <c r="A1326" s="8">
        <v>3045103.988</v>
      </c>
      <c r="B1326" s="8">
        <v>35401268.816</v>
      </c>
      <c r="C1326" s="8">
        <v>907.163</v>
      </c>
      <c r="D1326" s="11">
        <v>45154</v>
      </c>
      <c r="E1326" s="10">
        <v>719.99</v>
      </c>
    </row>
    <row r="1327" ht="16.5" spans="1:5">
      <c r="A1327" s="8">
        <v>3045103.988</v>
      </c>
      <c r="B1327" s="8">
        <v>35401268.816</v>
      </c>
      <c r="C1327" s="8">
        <v>907.163</v>
      </c>
      <c r="D1327" s="11">
        <v>45155</v>
      </c>
      <c r="E1327" s="10">
        <v>720.195</v>
      </c>
    </row>
    <row r="1328" ht="16.5" spans="1:5">
      <c r="A1328" s="8">
        <v>3045103.988</v>
      </c>
      <c r="B1328" s="8">
        <v>35401268.816</v>
      </c>
      <c r="C1328" s="8">
        <v>907.163</v>
      </c>
      <c r="D1328" s="11">
        <v>45156</v>
      </c>
      <c r="E1328" s="10">
        <v>720.347</v>
      </c>
    </row>
    <row r="1329" ht="16.5" spans="1:5">
      <c r="A1329" s="8">
        <v>3045103.988</v>
      </c>
      <c r="B1329" s="8">
        <v>35401268.816</v>
      </c>
      <c r="C1329" s="8">
        <v>907.163</v>
      </c>
      <c r="D1329" s="11">
        <v>45157</v>
      </c>
      <c r="E1329" s="10">
        <v>719.903</v>
      </c>
    </row>
    <row r="1330" ht="16.5" spans="1:5">
      <c r="A1330" s="8">
        <v>3045103.988</v>
      </c>
      <c r="B1330" s="8">
        <v>35401268.816</v>
      </c>
      <c r="C1330" s="8">
        <v>907.163</v>
      </c>
      <c r="D1330" s="11">
        <v>45158</v>
      </c>
      <c r="E1330" s="10">
        <v>719.439</v>
      </c>
    </row>
    <row r="1331" ht="16.5" spans="1:5">
      <c r="A1331" s="8">
        <v>3045103.988</v>
      </c>
      <c r="B1331" s="8">
        <v>35401268.816</v>
      </c>
      <c r="C1331" s="8">
        <v>907.163</v>
      </c>
      <c r="D1331" s="11">
        <v>45159</v>
      </c>
      <c r="E1331" s="10">
        <v>719.075</v>
      </c>
    </row>
    <row r="1332" ht="16.5" spans="1:5">
      <c r="A1332" s="8">
        <v>3045103.988</v>
      </c>
      <c r="B1332" s="8">
        <v>35401268.816</v>
      </c>
      <c r="C1332" s="8">
        <v>907.163</v>
      </c>
      <c r="D1332" s="11">
        <v>45160</v>
      </c>
      <c r="E1332" s="10">
        <v>718.846</v>
      </c>
    </row>
    <row r="1333" ht="16.5" spans="1:5">
      <c r="A1333" s="8">
        <v>3045103.988</v>
      </c>
      <c r="B1333" s="8">
        <v>35401268.816</v>
      </c>
      <c r="C1333" s="8">
        <v>907.163</v>
      </c>
      <c r="D1333" s="11">
        <v>45161</v>
      </c>
      <c r="E1333" s="10">
        <v>717.762</v>
      </c>
    </row>
    <row r="1334" ht="16.5" spans="1:5">
      <c r="A1334" s="8">
        <v>3045103.988</v>
      </c>
      <c r="B1334" s="8">
        <v>35401268.816</v>
      </c>
      <c r="C1334" s="8">
        <v>907.163</v>
      </c>
      <c r="D1334" s="11">
        <v>45162</v>
      </c>
      <c r="E1334" s="10">
        <v>717.135</v>
      </c>
    </row>
    <row r="1335" ht="16.5" spans="1:5">
      <c r="A1335" s="8">
        <v>3045103.988</v>
      </c>
      <c r="B1335" s="8">
        <v>35401268.816</v>
      </c>
      <c r="C1335" s="8">
        <v>907.163</v>
      </c>
      <c r="D1335" s="11">
        <v>45163</v>
      </c>
      <c r="E1335" s="10">
        <v>716.199</v>
      </c>
    </row>
    <row r="1336" ht="16.5" spans="1:5">
      <c r="A1336" s="8">
        <v>3045103.988</v>
      </c>
      <c r="B1336" s="8">
        <v>35401268.816</v>
      </c>
      <c r="C1336" s="8">
        <v>907.163</v>
      </c>
      <c r="D1336" s="11">
        <v>45164</v>
      </c>
      <c r="E1336" s="10">
        <v>715.302</v>
      </c>
    </row>
    <row r="1337" ht="16.5" spans="1:5">
      <c r="A1337" s="8">
        <v>3045103.988</v>
      </c>
      <c r="B1337" s="8">
        <v>35401268.816</v>
      </c>
      <c r="C1337" s="8">
        <v>907.163</v>
      </c>
      <c r="D1337" s="11">
        <v>45165</v>
      </c>
      <c r="E1337" s="10">
        <v>714.668</v>
      </c>
    </row>
    <row r="1338" ht="16.5" spans="1:5">
      <c r="A1338" s="8">
        <v>3045103.988</v>
      </c>
      <c r="B1338" s="8">
        <v>35401268.816</v>
      </c>
      <c r="C1338" s="8">
        <v>907.163</v>
      </c>
      <c r="D1338" s="11">
        <v>45166</v>
      </c>
      <c r="E1338" s="10">
        <v>714.132</v>
      </c>
    </row>
    <row r="1339" ht="16.5" spans="1:5">
      <c r="A1339" s="8">
        <v>3045103.988</v>
      </c>
      <c r="B1339" s="8">
        <v>35401268.816</v>
      </c>
      <c r="C1339" s="8">
        <v>907.163</v>
      </c>
      <c r="D1339" s="11">
        <v>45167</v>
      </c>
      <c r="E1339" s="10">
        <v>713.654</v>
      </c>
    </row>
    <row r="1340" ht="16.5" spans="1:5">
      <c r="A1340" s="8">
        <v>3045103.988</v>
      </c>
      <c r="B1340" s="8">
        <v>35401268.816</v>
      </c>
      <c r="C1340" s="8">
        <v>907.163</v>
      </c>
      <c r="D1340" s="11">
        <v>45168</v>
      </c>
      <c r="E1340" s="10">
        <v>713.194</v>
      </c>
    </row>
    <row r="1341" ht="16.5" spans="1:5">
      <c r="A1341" s="8">
        <v>3045103.988</v>
      </c>
      <c r="B1341" s="8">
        <v>35401268.816</v>
      </c>
      <c r="C1341" s="8">
        <v>907.163</v>
      </c>
      <c r="D1341" s="11">
        <v>45169</v>
      </c>
      <c r="E1341" s="12"/>
    </row>
    <row r="1342" ht="16.5" spans="1:5">
      <c r="A1342" s="8">
        <v>3045103.988</v>
      </c>
      <c r="B1342" s="8">
        <v>35401268.816</v>
      </c>
      <c r="C1342" s="8">
        <v>907.163</v>
      </c>
      <c r="D1342" s="11">
        <v>45170</v>
      </c>
      <c r="E1342" s="10">
        <v>712.508</v>
      </c>
    </row>
    <row r="1343" ht="16.5" spans="1:5">
      <c r="A1343" s="8">
        <v>3045103.988</v>
      </c>
      <c r="B1343" s="8">
        <v>35401268.816</v>
      </c>
      <c r="C1343" s="8">
        <v>907.163</v>
      </c>
      <c r="D1343" s="11">
        <v>45171</v>
      </c>
      <c r="E1343" s="10">
        <v>712.094</v>
      </c>
    </row>
    <row r="1344" ht="16.5" spans="1:5">
      <c r="A1344" s="8">
        <v>3045103.988</v>
      </c>
      <c r="B1344" s="8">
        <v>35401268.816</v>
      </c>
      <c r="C1344" s="8">
        <v>907.163</v>
      </c>
      <c r="D1344" s="11">
        <v>45172</v>
      </c>
      <c r="E1344" s="10">
        <v>711.305</v>
      </c>
    </row>
    <row r="1345" ht="16.5" spans="1:5">
      <c r="A1345" s="8">
        <v>3045103.988</v>
      </c>
      <c r="B1345" s="8">
        <v>35401268.816</v>
      </c>
      <c r="C1345" s="8">
        <v>907.163</v>
      </c>
      <c r="D1345" s="11">
        <v>45173</v>
      </c>
      <c r="E1345" s="10">
        <v>710.983</v>
      </c>
    </row>
    <row r="1346" ht="16.5" spans="1:5">
      <c r="A1346" s="8">
        <v>3045103.988</v>
      </c>
      <c r="B1346" s="8">
        <v>35401268.816</v>
      </c>
      <c r="C1346" s="8">
        <v>907.163</v>
      </c>
      <c r="D1346" s="11">
        <v>45174</v>
      </c>
      <c r="E1346" s="12"/>
    </row>
    <row r="1347" ht="16.5" spans="1:5">
      <c r="A1347" s="8">
        <v>3045103.988</v>
      </c>
      <c r="B1347" s="8">
        <v>35401268.816</v>
      </c>
      <c r="C1347" s="8">
        <v>907.163</v>
      </c>
      <c r="D1347" s="11">
        <v>45175</v>
      </c>
      <c r="E1347" s="12"/>
    </row>
    <row r="1348" ht="16.5" spans="1:5">
      <c r="A1348" s="8">
        <v>3045103.988</v>
      </c>
      <c r="B1348" s="8">
        <v>35401268.816</v>
      </c>
      <c r="C1348" s="8">
        <v>907.163</v>
      </c>
      <c r="D1348" s="11">
        <v>45176</v>
      </c>
      <c r="E1348" s="12"/>
    </row>
    <row r="1349" ht="16.5" spans="1:5">
      <c r="A1349" s="8">
        <v>3045103.988</v>
      </c>
      <c r="B1349" s="8">
        <v>35401268.816</v>
      </c>
      <c r="C1349" s="8">
        <v>907.163</v>
      </c>
      <c r="D1349" s="11">
        <v>45177</v>
      </c>
      <c r="E1349" s="10">
        <v>710.202</v>
      </c>
    </row>
    <row r="1350" ht="16.5" spans="1:5">
      <c r="A1350" s="8">
        <v>3045103.988</v>
      </c>
      <c r="B1350" s="8">
        <v>35401268.816</v>
      </c>
      <c r="C1350" s="8">
        <v>907.163</v>
      </c>
      <c r="D1350" s="11">
        <v>45178</v>
      </c>
      <c r="E1350" s="10">
        <v>710.098</v>
      </c>
    </row>
    <row r="1351" ht="16.5" spans="1:5">
      <c r="A1351" s="8">
        <v>3045103.988</v>
      </c>
      <c r="B1351" s="8">
        <v>35401268.816</v>
      </c>
      <c r="C1351" s="8">
        <v>907.163</v>
      </c>
      <c r="D1351" s="11">
        <v>45179</v>
      </c>
      <c r="E1351" s="10">
        <v>709.981</v>
      </c>
    </row>
    <row r="1352" ht="16.5" spans="1:5">
      <c r="A1352" s="8">
        <v>3045103.988</v>
      </c>
      <c r="B1352" s="8">
        <v>35401268.816</v>
      </c>
      <c r="C1352" s="8">
        <v>907.163</v>
      </c>
      <c r="D1352" s="11">
        <v>45180</v>
      </c>
      <c r="E1352" s="10">
        <v>709.911</v>
      </c>
    </row>
    <row r="1353" ht="16.5" spans="1:5">
      <c r="A1353" s="8">
        <v>3045103.988</v>
      </c>
      <c r="B1353" s="8">
        <v>35401268.816</v>
      </c>
      <c r="C1353" s="8">
        <v>907.163</v>
      </c>
      <c r="D1353" s="11">
        <v>45181</v>
      </c>
      <c r="E1353" s="10">
        <v>709.751</v>
      </c>
    </row>
    <row r="1354" ht="16.5" spans="1:5">
      <c r="A1354" s="8">
        <v>3045103.988</v>
      </c>
      <c r="B1354" s="8">
        <v>35401268.816</v>
      </c>
      <c r="C1354" s="8">
        <v>907.163</v>
      </c>
      <c r="D1354" s="11">
        <v>45182</v>
      </c>
      <c r="E1354" s="10"/>
    </row>
    <row r="1355" ht="16.5" spans="1:5">
      <c r="A1355" s="8">
        <v>3045103.988</v>
      </c>
      <c r="B1355" s="8">
        <v>35401268.816</v>
      </c>
      <c r="C1355" s="8">
        <v>907.163</v>
      </c>
      <c r="D1355" s="11">
        <v>45183</v>
      </c>
      <c r="E1355" s="10">
        <v>709.823</v>
      </c>
    </row>
    <row r="1356" ht="16.5" spans="1:5">
      <c r="A1356" s="8">
        <v>3045103.988</v>
      </c>
      <c r="B1356" s="8">
        <v>35401268.816</v>
      </c>
      <c r="C1356" s="8">
        <v>907.163</v>
      </c>
      <c r="D1356" s="11">
        <v>45184</v>
      </c>
      <c r="E1356" s="12"/>
    </row>
    <row r="1357" ht="16.5" spans="1:5">
      <c r="A1357" s="8">
        <v>3045103.988</v>
      </c>
      <c r="B1357" s="8">
        <v>35401268.816</v>
      </c>
      <c r="C1357" s="8">
        <v>907.163</v>
      </c>
      <c r="D1357" s="11">
        <v>45185</v>
      </c>
      <c r="E1357" s="12"/>
    </row>
    <row r="1358" ht="16.5" spans="1:5">
      <c r="A1358" s="8">
        <v>3045103.988</v>
      </c>
      <c r="B1358" s="8">
        <v>35401268.816</v>
      </c>
      <c r="C1358" s="8">
        <v>907.163</v>
      </c>
      <c r="D1358" s="11">
        <v>45186</v>
      </c>
      <c r="E1358" s="12"/>
    </row>
    <row r="1359" ht="16.5" spans="1:5">
      <c r="A1359" s="8">
        <v>3045103.988</v>
      </c>
      <c r="B1359" s="8">
        <v>35401268.816</v>
      </c>
      <c r="C1359" s="8">
        <v>907.163</v>
      </c>
      <c r="D1359" s="11">
        <v>45187</v>
      </c>
      <c r="E1359" s="12"/>
    </row>
    <row r="1360" ht="16.5" spans="1:5">
      <c r="A1360" s="8">
        <v>3045103.988</v>
      </c>
      <c r="B1360" s="8">
        <v>35401268.816</v>
      </c>
      <c r="C1360" s="8">
        <v>907.163</v>
      </c>
      <c r="D1360" s="11">
        <v>45188</v>
      </c>
      <c r="E1360" s="12"/>
    </row>
    <row r="1361" ht="16.5" spans="1:5">
      <c r="A1361" s="8">
        <v>3045103.988</v>
      </c>
      <c r="B1361" s="8">
        <v>35401268.816</v>
      </c>
      <c r="C1361" s="8">
        <v>907.163</v>
      </c>
      <c r="D1361" s="11">
        <v>45189</v>
      </c>
      <c r="E1361" s="10">
        <v>708.763</v>
      </c>
    </row>
    <row r="1362" ht="16.5" spans="1:5">
      <c r="A1362" s="8">
        <v>3045103.988</v>
      </c>
      <c r="B1362" s="8">
        <v>35401268.816</v>
      </c>
      <c r="C1362" s="8">
        <v>907.163</v>
      </c>
      <c r="D1362" s="11">
        <v>45190</v>
      </c>
      <c r="E1362" s="10">
        <v>708.511</v>
      </c>
    </row>
    <row r="1363" ht="16.5" spans="1:5">
      <c r="A1363" s="8">
        <v>3045103.988</v>
      </c>
      <c r="B1363" s="8">
        <v>35401268.816</v>
      </c>
      <c r="C1363" s="8">
        <v>907.163</v>
      </c>
      <c r="D1363" s="11">
        <v>45191</v>
      </c>
      <c r="E1363" s="10">
        <v>708.37</v>
      </c>
    </row>
    <row r="1364" ht="16.5" spans="1:5">
      <c r="A1364" s="8">
        <v>3045103.988</v>
      </c>
      <c r="B1364" s="8">
        <v>35401268.816</v>
      </c>
      <c r="C1364" s="8">
        <v>907.163</v>
      </c>
      <c r="D1364" s="11">
        <v>45192</v>
      </c>
      <c r="E1364" s="10">
        <v>708.625</v>
      </c>
    </row>
    <row r="1365" ht="16.5" spans="1:5">
      <c r="A1365" s="8">
        <v>3045103.988</v>
      </c>
      <c r="B1365" s="8">
        <v>35401268.816</v>
      </c>
      <c r="C1365" s="8">
        <v>907.163</v>
      </c>
      <c r="D1365" s="11">
        <v>45193</v>
      </c>
      <c r="E1365" s="10">
        <v>708.624</v>
      </c>
    </row>
    <row r="1366" ht="16.5" spans="1:5">
      <c r="A1366" s="8">
        <v>3045103.988</v>
      </c>
      <c r="B1366" s="8">
        <v>35401268.816</v>
      </c>
      <c r="C1366" s="8">
        <v>907.163</v>
      </c>
      <c r="D1366" s="11">
        <v>45194</v>
      </c>
      <c r="E1366" s="10">
        <v>708.592</v>
      </c>
    </row>
    <row r="1367" ht="16.5" spans="1:5">
      <c r="A1367" s="8">
        <v>3045103.988</v>
      </c>
      <c r="B1367" s="8">
        <v>35401268.816</v>
      </c>
      <c r="C1367" s="8">
        <v>907.163</v>
      </c>
      <c r="D1367" s="11">
        <v>45195</v>
      </c>
      <c r="E1367" s="10">
        <v>708.416</v>
      </c>
    </row>
    <row r="1368" ht="16.5" spans="1:5">
      <c r="A1368" s="8">
        <v>3045103.988</v>
      </c>
      <c r="B1368" s="8">
        <v>35401268.816</v>
      </c>
      <c r="C1368" s="8">
        <v>907.163</v>
      </c>
      <c r="D1368" s="11">
        <v>45196</v>
      </c>
      <c r="E1368" s="10">
        <v>707.813</v>
      </c>
    </row>
    <row r="1369" ht="16.5" spans="1:5">
      <c r="A1369" s="8">
        <v>3045103.988</v>
      </c>
      <c r="B1369" s="8">
        <v>35401268.816</v>
      </c>
      <c r="C1369" s="8">
        <v>907.163</v>
      </c>
      <c r="D1369" s="11">
        <v>45197</v>
      </c>
      <c r="E1369" s="10">
        <v>707.243</v>
      </c>
    </row>
    <row r="1370" ht="16.5" spans="1:5">
      <c r="A1370" s="8">
        <v>3045103.988</v>
      </c>
      <c r="B1370" s="8">
        <v>35401268.816</v>
      </c>
      <c r="C1370" s="8">
        <v>907.163</v>
      </c>
      <c r="D1370" s="11">
        <v>45198</v>
      </c>
      <c r="E1370" s="10">
        <v>707.213</v>
      </c>
    </row>
    <row r="1371" ht="16.5" spans="1:5">
      <c r="A1371" s="8">
        <v>3045103.988</v>
      </c>
      <c r="B1371" s="8">
        <v>35401268.816</v>
      </c>
      <c r="C1371" s="8">
        <v>907.163</v>
      </c>
      <c r="D1371" s="11">
        <v>45199</v>
      </c>
      <c r="E1371" s="10">
        <v>707.213</v>
      </c>
    </row>
    <row r="1372" ht="16.5" spans="1:5">
      <c r="A1372" s="8">
        <v>3045103.988</v>
      </c>
      <c r="B1372" s="8">
        <v>35401268.816</v>
      </c>
      <c r="C1372" s="8">
        <v>907.163</v>
      </c>
      <c r="D1372" s="11">
        <v>45200</v>
      </c>
      <c r="E1372" s="10">
        <v>707.213</v>
      </c>
    </row>
    <row r="1373" ht="16.5" spans="1:5">
      <c r="A1373" s="8">
        <v>3045103.988</v>
      </c>
      <c r="B1373" s="8">
        <v>35401268.816</v>
      </c>
      <c r="C1373" s="8">
        <v>907.163</v>
      </c>
      <c r="D1373" s="11">
        <v>45201</v>
      </c>
      <c r="E1373" s="10">
        <v>707.213</v>
      </c>
    </row>
    <row r="1374" ht="16.5" spans="1:5">
      <c r="A1374" s="8">
        <v>3045103.988</v>
      </c>
      <c r="B1374" s="8">
        <v>35401268.816</v>
      </c>
      <c r="C1374" s="8">
        <v>907.163</v>
      </c>
      <c r="D1374" s="11">
        <v>45202</v>
      </c>
      <c r="E1374" s="10">
        <v>707.334</v>
      </c>
    </row>
    <row r="1375" ht="16.5" spans="1:5">
      <c r="A1375" s="8">
        <v>3045103.988</v>
      </c>
      <c r="B1375" s="8">
        <v>35401268.816</v>
      </c>
      <c r="C1375" s="8">
        <v>907.163</v>
      </c>
      <c r="D1375" s="11">
        <v>45203</v>
      </c>
      <c r="E1375" s="10">
        <v>707.38</v>
      </c>
    </row>
    <row r="1376" ht="16.5" spans="1:5">
      <c r="A1376" s="8">
        <v>3045103.988</v>
      </c>
      <c r="B1376" s="8">
        <v>35401268.816</v>
      </c>
      <c r="C1376" s="8">
        <v>907.163</v>
      </c>
      <c r="D1376" s="11">
        <v>45204</v>
      </c>
      <c r="E1376" s="10">
        <v>707.213</v>
      </c>
    </row>
    <row r="1377" ht="16.5" spans="1:5">
      <c r="A1377" s="8">
        <v>3045103.988</v>
      </c>
      <c r="B1377" s="8">
        <v>35401268.816</v>
      </c>
      <c r="C1377" s="8">
        <v>907.163</v>
      </c>
      <c r="D1377" s="11">
        <v>45205</v>
      </c>
      <c r="E1377" s="10">
        <v>707.213</v>
      </c>
    </row>
    <row r="1378" ht="16.5" spans="1:5">
      <c r="A1378" s="8">
        <v>3045103.988</v>
      </c>
      <c r="B1378" s="8">
        <v>35401268.816</v>
      </c>
      <c r="C1378" s="8">
        <v>907.163</v>
      </c>
      <c r="D1378" s="11">
        <v>45206</v>
      </c>
      <c r="E1378" s="10">
        <v>707.213</v>
      </c>
    </row>
    <row r="1379" ht="16.5" spans="1:5">
      <c r="A1379" s="8">
        <v>3045103.988</v>
      </c>
      <c r="B1379" s="8">
        <v>35401268.816</v>
      </c>
      <c r="C1379" s="8">
        <v>907.163</v>
      </c>
      <c r="D1379" s="11">
        <v>45207</v>
      </c>
      <c r="E1379" s="10">
        <v>707.163</v>
      </c>
    </row>
    <row r="1380" ht="16.5" spans="1:5">
      <c r="A1380" s="8">
        <v>3045103.988</v>
      </c>
      <c r="B1380" s="8">
        <v>35401268.816</v>
      </c>
      <c r="C1380" s="8">
        <v>907.163</v>
      </c>
      <c r="D1380" s="11">
        <v>45208</v>
      </c>
      <c r="E1380" s="10">
        <v>707.213</v>
      </c>
    </row>
    <row r="1381" ht="16.5" spans="1:5">
      <c r="A1381" s="8">
        <v>3045103.988</v>
      </c>
      <c r="B1381" s="8">
        <v>35401268.816</v>
      </c>
      <c r="C1381" s="8">
        <v>907.163</v>
      </c>
      <c r="D1381" s="11">
        <v>45209</v>
      </c>
      <c r="E1381" s="10">
        <v>707.213</v>
      </c>
    </row>
    <row r="1382" ht="16.5" spans="1:5">
      <c r="A1382" s="8">
        <v>3045103.988</v>
      </c>
      <c r="B1382" s="8">
        <v>35401268.816</v>
      </c>
      <c r="C1382" s="8">
        <v>907.163</v>
      </c>
      <c r="D1382" s="11">
        <v>45210</v>
      </c>
      <c r="E1382" s="10">
        <v>707.213</v>
      </c>
    </row>
    <row r="1383" ht="16.5" spans="1:5">
      <c r="A1383" s="8">
        <v>3045103.988</v>
      </c>
      <c r="B1383" s="8">
        <v>35401268.816</v>
      </c>
      <c r="C1383" s="8">
        <v>907.163</v>
      </c>
      <c r="D1383" s="11">
        <v>45211</v>
      </c>
      <c r="E1383" s="10">
        <v>707.213</v>
      </c>
    </row>
    <row r="1384" ht="16.5" spans="1:5">
      <c r="A1384" s="8">
        <v>3045103.988</v>
      </c>
      <c r="B1384" s="8">
        <v>35401268.816</v>
      </c>
      <c r="C1384" s="8">
        <v>907.163</v>
      </c>
      <c r="D1384" s="11">
        <v>45212</v>
      </c>
      <c r="E1384" s="10">
        <v>707.213</v>
      </c>
    </row>
    <row r="1385" ht="16.5" spans="1:5">
      <c r="A1385" s="8">
        <v>3045103.988</v>
      </c>
      <c r="B1385" s="8">
        <v>35401268.816</v>
      </c>
      <c r="C1385" s="8">
        <v>907.163</v>
      </c>
      <c r="D1385" s="11">
        <v>45213</v>
      </c>
      <c r="E1385" s="10">
        <v>707.213</v>
      </c>
    </row>
    <row r="1386" ht="16.5" spans="1:5">
      <c r="A1386" s="8">
        <v>3045103.988</v>
      </c>
      <c r="B1386" s="8">
        <v>35401268.816</v>
      </c>
      <c r="C1386" s="8">
        <v>907.163</v>
      </c>
      <c r="D1386" s="11">
        <v>45214</v>
      </c>
      <c r="E1386" s="10">
        <v>707.213</v>
      </c>
    </row>
    <row r="1387" ht="16.5" spans="1:5">
      <c r="A1387" s="8">
        <v>3045103.988</v>
      </c>
      <c r="B1387" s="8">
        <v>35401268.816</v>
      </c>
      <c r="C1387" s="8">
        <v>907.163</v>
      </c>
      <c r="D1387" s="11">
        <v>45215</v>
      </c>
      <c r="E1387" s="10">
        <v>707.213</v>
      </c>
    </row>
    <row r="1388" ht="16.5" spans="1:5">
      <c r="A1388" s="8">
        <v>3045103.988</v>
      </c>
      <c r="B1388" s="8">
        <v>35401268.816</v>
      </c>
      <c r="C1388" s="8">
        <v>907.163</v>
      </c>
      <c r="D1388" s="11">
        <v>45216</v>
      </c>
      <c r="E1388" s="10">
        <v>707.213</v>
      </c>
    </row>
    <row r="1389" ht="16.5" spans="1:5">
      <c r="A1389" s="8">
        <v>3045103.988</v>
      </c>
      <c r="B1389" s="8">
        <v>35401268.816</v>
      </c>
      <c r="C1389" s="8">
        <v>907.163</v>
      </c>
      <c r="D1389" s="11">
        <v>45217</v>
      </c>
      <c r="E1389" s="10">
        <v>707.213</v>
      </c>
    </row>
    <row r="1390" ht="16.5" spans="1:5">
      <c r="A1390" s="8">
        <v>3045103.988</v>
      </c>
      <c r="B1390" s="8">
        <v>35401268.816</v>
      </c>
      <c r="C1390" s="8">
        <v>907.163</v>
      </c>
      <c r="D1390" s="11">
        <v>45218</v>
      </c>
      <c r="E1390" s="10"/>
    </row>
    <row r="1391" ht="16.5" spans="1:5">
      <c r="A1391" s="8">
        <v>3045103.988</v>
      </c>
      <c r="B1391" s="8">
        <v>35401268.816</v>
      </c>
      <c r="C1391" s="8">
        <v>907.163</v>
      </c>
      <c r="D1391" s="11">
        <v>45219</v>
      </c>
      <c r="E1391" s="10">
        <v>707.213</v>
      </c>
    </row>
    <row r="1392" ht="16.5" spans="1:5">
      <c r="A1392" s="8">
        <v>3045103.988</v>
      </c>
      <c r="B1392" s="8">
        <v>35401268.816</v>
      </c>
      <c r="C1392" s="8">
        <v>907.163</v>
      </c>
      <c r="D1392" s="11">
        <v>45220</v>
      </c>
      <c r="E1392" s="10">
        <v>707.213</v>
      </c>
    </row>
    <row r="1393" ht="16.5" spans="1:5">
      <c r="A1393" s="8">
        <v>3045103.988</v>
      </c>
      <c r="B1393" s="8">
        <v>35401268.816</v>
      </c>
      <c r="C1393" s="8">
        <v>907.163</v>
      </c>
      <c r="D1393" s="11">
        <v>45221</v>
      </c>
      <c r="E1393" s="10">
        <v>707.213</v>
      </c>
    </row>
    <row r="1394" ht="16.5" spans="1:5">
      <c r="A1394" s="8">
        <v>3045103.988</v>
      </c>
      <c r="B1394" s="8">
        <v>35401268.816</v>
      </c>
      <c r="C1394" s="8">
        <v>907.163</v>
      </c>
      <c r="D1394" s="11">
        <v>45222</v>
      </c>
      <c r="E1394" s="10">
        <v>707.213</v>
      </c>
    </row>
    <row r="1395" ht="16.5" spans="1:5">
      <c r="A1395" s="8">
        <v>3045103.988</v>
      </c>
      <c r="B1395" s="8">
        <v>35401268.816</v>
      </c>
      <c r="C1395" s="8">
        <v>907.163</v>
      </c>
      <c r="D1395" s="11">
        <v>45223</v>
      </c>
      <c r="E1395" s="10">
        <v>707.213</v>
      </c>
    </row>
    <row r="1396" ht="16.5" spans="1:5">
      <c r="A1396" s="8">
        <v>3045103.988</v>
      </c>
      <c r="B1396" s="8">
        <v>35401268.816</v>
      </c>
      <c r="C1396" s="8">
        <v>907.163</v>
      </c>
      <c r="D1396" s="11">
        <v>45224</v>
      </c>
      <c r="E1396" s="10">
        <v>707.258</v>
      </c>
    </row>
    <row r="1397" ht="16.5" spans="1:5">
      <c r="A1397" s="8">
        <v>3045103.988</v>
      </c>
      <c r="B1397" s="8">
        <v>35401268.816</v>
      </c>
      <c r="C1397" s="8">
        <v>907.163</v>
      </c>
      <c r="D1397" s="11">
        <v>45225</v>
      </c>
      <c r="E1397" s="10">
        <v>707.213</v>
      </c>
    </row>
    <row r="1398" ht="16.5" spans="1:5">
      <c r="A1398" s="8">
        <v>3045103.988</v>
      </c>
      <c r="B1398" s="8">
        <v>35401268.816</v>
      </c>
      <c r="C1398" s="8">
        <v>907.163</v>
      </c>
      <c r="D1398" s="11">
        <v>45226</v>
      </c>
      <c r="E1398" s="10">
        <v>707.21</v>
      </c>
    </row>
    <row r="1399" ht="16.5" spans="1:5">
      <c r="A1399" s="8">
        <v>3045103.988</v>
      </c>
      <c r="B1399" s="8">
        <v>35401268.816</v>
      </c>
      <c r="C1399" s="8">
        <v>907.163</v>
      </c>
      <c r="D1399" s="11">
        <v>45227</v>
      </c>
      <c r="E1399" s="10">
        <v>707.21</v>
      </c>
    </row>
    <row r="1400" ht="16.5" spans="1:5">
      <c r="A1400" s="8">
        <v>3045103.988</v>
      </c>
      <c r="B1400" s="8">
        <v>35401268.816</v>
      </c>
      <c r="C1400" s="8">
        <v>907.163</v>
      </c>
      <c r="D1400" s="11">
        <v>45228</v>
      </c>
      <c r="E1400" s="10">
        <v>707.21</v>
      </c>
    </row>
    <row r="1401" ht="16.5" spans="1:5">
      <c r="A1401" s="8">
        <v>3045103.988</v>
      </c>
      <c r="B1401" s="8">
        <v>35401268.816</v>
      </c>
      <c r="C1401" s="8">
        <v>907.163</v>
      </c>
      <c r="D1401" s="11">
        <v>45229</v>
      </c>
      <c r="E1401" s="10">
        <v>707.21</v>
      </c>
    </row>
    <row r="1402" ht="16.5" spans="1:5">
      <c r="A1402" s="8">
        <v>3045103.988</v>
      </c>
      <c r="B1402" s="8">
        <v>35401268.816</v>
      </c>
      <c r="C1402" s="8">
        <v>907.163</v>
      </c>
      <c r="D1402" s="11">
        <v>45230</v>
      </c>
      <c r="E1402" s="10">
        <v>707.21</v>
      </c>
    </row>
    <row r="1403" ht="16.5" spans="1:5">
      <c r="A1403" s="8">
        <v>3045103.988</v>
      </c>
      <c r="B1403" s="8">
        <v>35401268.816</v>
      </c>
      <c r="C1403" s="8">
        <v>907.163</v>
      </c>
      <c r="D1403" s="11">
        <v>45231</v>
      </c>
      <c r="E1403" s="10">
        <v>707.21</v>
      </c>
    </row>
    <row r="1404" ht="16.5" spans="1:5">
      <c r="A1404" s="8">
        <v>3045103.988</v>
      </c>
      <c r="B1404" s="8">
        <v>35401268.816</v>
      </c>
      <c r="C1404" s="8">
        <v>907.163</v>
      </c>
      <c r="D1404" s="11">
        <v>45232</v>
      </c>
      <c r="E1404" s="10">
        <v>707.475</v>
      </c>
    </row>
    <row r="1405" ht="16.5" spans="1:5">
      <c r="A1405" s="8">
        <v>3045103.988</v>
      </c>
      <c r="B1405" s="8">
        <v>35401268.816</v>
      </c>
      <c r="C1405" s="8">
        <v>907.163</v>
      </c>
      <c r="D1405" s="11">
        <v>45233</v>
      </c>
      <c r="E1405" s="10">
        <v>707.61</v>
      </c>
    </row>
    <row r="1406" ht="16.5" spans="1:5">
      <c r="A1406" s="8">
        <v>3045103.988</v>
      </c>
      <c r="B1406" s="8">
        <v>35401268.816</v>
      </c>
      <c r="C1406" s="8">
        <v>907.163</v>
      </c>
      <c r="D1406" s="11">
        <v>45234</v>
      </c>
      <c r="E1406" s="10">
        <v>707.73</v>
      </c>
    </row>
    <row r="1407" ht="16.5" spans="1:5">
      <c r="A1407" s="8">
        <v>3045103.988</v>
      </c>
      <c r="B1407" s="8">
        <v>35401268.816</v>
      </c>
      <c r="C1407" s="8">
        <v>907.163</v>
      </c>
      <c r="D1407" s="11">
        <v>45235</v>
      </c>
      <c r="E1407" s="10">
        <v>707.74</v>
      </c>
    </row>
    <row r="1408" ht="16.5" spans="1:5">
      <c r="A1408" s="8">
        <v>3045103.988</v>
      </c>
      <c r="B1408" s="8">
        <v>35401268.816</v>
      </c>
      <c r="C1408" s="8">
        <v>907.163</v>
      </c>
      <c r="D1408" s="11">
        <v>45236</v>
      </c>
      <c r="E1408" s="10">
        <v>707.8</v>
      </c>
    </row>
    <row r="1409" ht="16.5" spans="1:5">
      <c r="A1409" s="8">
        <v>3045103.988</v>
      </c>
      <c r="B1409" s="8">
        <v>35401268.816</v>
      </c>
      <c r="C1409" s="8">
        <v>907.163</v>
      </c>
      <c r="D1409" s="11">
        <v>45237</v>
      </c>
      <c r="E1409" s="10">
        <v>707.9</v>
      </c>
    </row>
    <row r="1410" ht="16.5" spans="1:5">
      <c r="A1410" s="8">
        <v>3045103.988</v>
      </c>
      <c r="B1410" s="8">
        <v>35401268.816</v>
      </c>
      <c r="C1410" s="8">
        <v>907.163</v>
      </c>
      <c r="D1410" s="11">
        <v>45238</v>
      </c>
      <c r="E1410" s="10">
        <v>707.96</v>
      </c>
    </row>
    <row r="1411" ht="16.5" spans="1:5">
      <c r="A1411" s="8">
        <v>3045103.988</v>
      </c>
      <c r="B1411" s="8">
        <v>35401268.816</v>
      </c>
      <c r="C1411" s="8">
        <v>907.163</v>
      </c>
      <c r="D1411" s="11">
        <v>45239</v>
      </c>
      <c r="E1411" s="10">
        <v>707.95</v>
      </c>
    </row>
    <row r="1412" ht="16.5" spans="1:5">
      <c r="A1412" s="8">
        <v>3045103.988</v>
      </c>
      <c r="B1412" s="8">
        <v>35401268.816</v>
      </c>
      <c r="C1412" s="8">
        <v>907.163</v>
      </c>
      <c r="D1412" s="11">
        <v>45240</v>
      </c>
      <c r="E1412" s="10">
        <v>708.029</v>
      </c>
    </row>
    <row r="1413" ht="16.5" spans="1:5">
      <c r="A1413" s="8">
        <v>3045103.988</v>
      </c>
      <c r="B1413" s="8">
        <v>35401268.816</v>
      </c>
      <c r="C1413" s="8">
        <v>907.163</v>
      </c>
      <c r="D1413" s="11">
        <v>45241</v>
      </c>
      <c r="E1413" s="10">
        <v>707.98</v>
      </c>
    </row>
    <row r="1414" ht="16.5" spans="1:5">
      <c r="A1414" s="8">
        <v>3045103.988</v>
      </c>
      <c r="B1414" s="8">
        <v>35401268.816</v>
      </c>
      <c r="C1414" s="8">
        <v>907.163</v>
      </c>
      <c r="D1414" s="11">
        <v>45242</v>
      </c>
      <c r="E1414" s="10">
        <v>707.97</v>
      </c>
    </row>
    <row r="1415" ht="16.5" spans="1:5">
      <c r="A1415" s="8">
        <v>3045103.988</v>
      </c>
      <c r="B1415" s="8">
        <v>35401268.816</v>
      </c>
      <c r="C1415" s="8">
        <v>907.163</v>
      </c>
      <c r="D1415" s="11">
        <v>45243</v>
      </c>
      <c r="E1415" s="10">
        <v>707.99</v>
      </c>
    </row>
    <row r="1416" ht="16.5" spans="1:5">
      <c r="A1416" s="8">
        <v>3045103.988</v>
      </c>
      <c r="B1416" s="8">
        <v>35401268.816</v>
      </c>
      <c r="C1416" s="8">
        <v>907.163</v>
      </c>
      <c r="D1416" s="11">
        <v>45244</v>
      </c>
      <c r="E1416" s="10">
        <v>708.05</v>
      </c>
    </row>
    <row r="1417" ht="16.5" spans="1:5">
      <c r="A1417" s="8">
        <v>3045103.988</v>
      </c>
      <c r="B1417" s="8">
        <v>35401268.816</v>
      </c>
      <c r="C1417" s="8">
        <v>907.163</v>
      </c>
      <c r="D1417" s="11">
        <v>45245</v>
      </c>
      <c r="E1417" s="10">
        <v>708.07</v>
      </c>
    </row>
    <row r="1418" ht="16.5" spans="1:5">
      <c r="A1418" s="8">
        <v>3045103.988</v>
      </c>
      <c r="B1418" s="8">
        <v>35401268.816</v>
      </c>
      <c r="C1418" s="8">
        <v>907.163</v>
      </c>
      <c r="D1418" s="11">
        <v>45246</v>
      </c>
      <c r="E1418" s="10">
        <v>708.03</v>
      </c>
    </row>
    <row r="1419" ht="16.5" spans="1:5">
      <c r="A1419" s="8">
        <v>3045103.988</v>
      </c>
      <c r="B1419" s="8">
        <v>35401268.816</v>
      </c>
      <c r="C1419" s="8">
        <v>907.163</v>
      </c>
      <c r="D1419" s="11">
        <v>45247</v>
      </c>
      <c r="E1419" s="10">
        <v>708.13</v>
      </c>
    </row>
    <row r="1420" ht="16.5" spans="1:5">
      <c r="A1420" s="8">
        <v>3045103.988</v>
      </c>
      <c r="B1420" s="8">
        <v>35401268.816</v>
      </c>
      <c r="C1420" s="8">
        <v>907.163</v>
      </c>
      <c r="D1420" s="11">
        <v>45248</v>
      </c>
      <c r="E1420" s="10">
        <v>708.17</v>
      </c>
    </row>
    <row r="1421" ht="16.5" spans="1:5">
      <c r="A1421" s="8">
        <v>3045103.988</v>
      </c>
      <c r="B1421" s="8">
        <v>35401268.816</v>
      </c>
      <c r="C1421" s="8">
        <v>907.163</v>
      </c>
      <c r="D1421" s="11">
        <v>45249</v>
      </c>
      <c r="E1421" s="10">
        <v>708.19</v>
      </c>
    </row>
    <row r="1422" ht="16.5" spans="1:5">
      <c r="A1422" s="8">
        <v>3045103.988</v>
      </c>
      <c r="B1422" s="8">
        <v>35401268.816</v>
      </c>
      <c r="C1422" s="8">
        <v>907.163</v>
      </c>
      <c r="D1422" s="11">
        <v>45250</v>
      </c>
      <c r="E1422" s="10">
        <v>708.21</v>
      </c>
    </row>
    <row r="1423" ht="16.5" spans="1:5">
      <c r="A1423" s="8">
        <v>3045103.988</v>
      </c>
      <c r="B1423" s="8">
        <v>35401268.816</v>
      </c>
      <c r="C1423" s="8">
        <v>907.163</v>
      </c>
      <c r="D1423" s="11">
        <v>45251</v>
      </c>
      <c r="E1423" s="10">
        <v>708.22</v>
      </c>
    </row>
    <row r="1424" ht="16.5" spans="1:5">
      <c r="A1424" s="8">
        <v>3045103.988</v>
      </c>
      <c r="B1424" s="8">
        <v>35401268.816</v>
      </c>
      <c r="C1424" s="8">
        <v>907.163</v>
      </c>
      <c r="D1424" s="11">
        <v>45252</v>
      </c>
      <c r="E1424" s="10">
        <v>708.19</v>
      </c>
    </row>
    <row r="1425" ht="16.5" spans="1:5">
      <c r="A1425" s="8">
        <v>3045103.988</v>
      </c>
      <c r="B1425" s="8">
        <v>35401268.816</v>
      </c>
      <c r="C1425" s="8">
        <v>907.163</v>
      </c>
      <c r="D1425" s="11">
        <v>45253</v>
      </c>
      <c r="E1425" s="10">
        <v>708.19</v>
      </c>
    </row>
    <row r="1426" ht="16.5" spans="1:5">
      <c r="A1426" s="8">
        <v>3045103.988</v>
      </c>
      <c r="B1426" s="8">
        <v>35401268.816</v>
      </c>
      <c r="C1426" s="8">
        <v>907.163</v>
      </c>
      <c r="D1426" s="11">
        <v>45254</v>
      </c>
      <c r="E1426" s="10">
        <v>708.2</v>
      </c>
    </row>
    <row r="1427" ht="16.5" spans="1:5">
      <c r="A1427" s="8">
        <v>3045103.988</v>
      </c>
      <c r="B1427" s="8">
        <v>35401268.816</v>
      </c>
      <c r="C1427" s="8">
        <v>907.163</v>
      </c>
      <c r="D1427" s="11">
        <v>45255</v>
      </c>
      <c r="E1427" s="10"/>
    </row>
    <row r="1428" ht="16.5" spans="1:5">
      <c r="A1428" s="8">
        <v>3045103.988</v>
      </c>
      <c r="B1428" s="8">
        <v>35401268.816</v>
      </c>
      <c r="C1428" s="8">
        <v>907.163</v>
      </c>
      <c r="D1428" s="11">
        <v>45256</v>
      </c>
      <c r="E1428" s="10"/>
    </row>
    <row r="1429" ht="16.5" spans="1:5">
      <c r="A1429" s="8">
        <v>3045103.988</v>
      </c>
      <c r="B1429" s="8">
        <v>35401268.816</v>
      </c>
      <c r="C1429" s="8">
        <v>907.163</v>
      </c>
      <c r="D1429" s="11">
        <v>45257</v>
      </c>
      <c r="E1429" s="10"/>
    </row>
    <row r="1430" ht="16.5" spans="1:5">
      <c r="A1430" s="8">
        <v>3045103.988</v>
      </c>
      <c r="B1430" s="8">
        <v>35401268.816</v>
      </c>
      <c r="C1430" s="8">
        <v>907.163</v>
      </c>
      <c r="D1430" s="11">
        <v>45258</v>
      </c>
      <c r="E1430" s="10">
        <v>707.97</v>
      </c>
    </row>
    <row r="1431" ht="16.5" spans="1:5">
      <c r="A1431" s="8">
        <v>3045103.988</v>
      </c>
      <c r="B1431" s="8">
        <v>35401268.816</v>
      </c>
      <c r="C1431" s="8">
        <v>907.163</v>
      </c>
      <c r="D1431" s="11">
        <v>45259</v>
      </c>
      <c r="E1431" s="10">
        <v>707.9</v>
      </c>
    </row>
    <row r="1432" ht="16.5" spans="1:5">
      <c r="A1432" s="8">
        <v>3045103.988</v>
      </c>
      <c r="B1432" s="8">
        <v>35401268.816</v>
      </c>
      <c r="C1432" s="8">
        <v>907.163</v>
      </c>
      <c r="D1432" s="11">
        <v>45260</v>
      </c>
      <c r="E1432" s="10">
        <v>707.84</v>
      </c>
    </row>
    <row r="1433" ht="16.5" spans="1:5">
      <c r="A1433" s="8">
        <v>3045103.988</v>
      </c>
      <c r="B1433" s="8">
        <v>35401268.816</v>
      </c>
      <c r="C1433" s="8">
        <v>907.163</v>
      </c>
      <c r="D1433" s="11">
        <v>45261</v>
      </c>
      <c r="E1433" s="10">
        <v>707.76</v>
      </c>
    </row>
    <row r="1434" ht="16.5" spans="1:5">
      <c r="A1434" s="8">
        <v>3045103.988</v>
      </c>
      <c r="B1434" s="8">
        <v>35401268.816</v>
      </c>
      <c r="C1434" s="8">
        <v>907.163</v>
      </c>
      <c r="D1434" s="11">
        <v>45262</v>
      </c>
      <c r="E1434" s="10">
        <v>707.69</v>
      </c>
    </row>
    <row r="1435" ht="16.5" spans="1:5">
      <c r="A1435" s="8">
        <v>3045103.988</v>
      </c>
      <c r="B1435" s="8">
        <v>35401268.816</v>
      </c>
      <c r="C1435" s="8">
        <v>907.163</v>
      </c>
      <c r="D1435" s="11">
        <v>45263</v>
      </c>
      <c r="E1435" s="10">
        <v>707.64</v>
      </c>
    </row>
    <row r="1436" ht="16.5" spans="1:5">
      <c r="A1436" s="8">
        <v>3045103.988</v>
      </c>
      <c r="B1436" s="8">
        <v>35401268.816</v>
      </c>
      <c r="C1436" s="8">
        <v>907.163</v>
      </c>
      <c r="D1436" s="11">
        <v>45264</v>
      </c>
      <c r="E1436" s="10">
        <v>707.65</v>
      </c>
    </row>
    <row r="1437" ht="16.5" spans="1:5">
      <c r="A1437" s="8">
        <v>3045103.988</v>
      </c>
      <c r="B1437" s="8">
        <v>35401268.816</v>
      </c>
      <c r="C1437" s="8">
        <v>907.163</v>
      </c>
      <c r="D1437" s="11">
        <v>45265</v>
      </c>
      <c r="E1437" s="10">
        <v>707.69</v>
      </c>
    </row>
    <row r="1438" ht="16.5" spans="1:5">
      <c r="A1438" s="8">
        <v>3045103.988</v>
      </c>
      <c r="B1438" s="8">
        <v>35401268.816</v>
      </c>
      <c r="C1438" s="8">
        <v>907.163</v>
      </c>
      <c r="D1438" s="11">
        <v>45266</v>
      </c>
      <c r="E1438" s="10">
        <v>707.57</v>
      </c>
    </row>
    <row r="1439" ht="16.5" spans="1:5">
      <c r="A1439" s="8">
        <v>3045103.988</v>
      </c>
      <c r="B1439" s="8">
        <v>35401268.816</v>
      </c>
      <c r="C1439" s="8">
        <v>907.163</v>
      </c>
      <c r="D1439" s="11">
        <v>45267</v>
      </c>
      <c r="E1439" s="10">
        <v>707.59</v>
      </c>
    </row>
    <row r="1440" ht="16.5" spans="1:5">
      <c r="A1440" s="8">
        <v>3045103.988</v>
      </c>
      <c r="B1440" s="8">
        <v>35401268.816</v>
      </c>
      <c r="C1440" s="8">
        <v>907.163</v>
      </c>
      <c r="D1440" s="11">
        <v>45268</v>
      </c>
      <c r="E1440" s="10">
        <v>707.601</v>
      </c>
    </row>
    <row r="1441" ht="16.5" spans="1:5">
      <c r="A1441" s="8">
        <v>3045103.988</v>
      </c>
      <c r="B1441" s="8">
        <v>35401268.816</v>
      </c>
      <c r="C1441" s="8">
        <v>907.163</v>
      </c>
      <c r="D1441" s="11">
        <v>45269</v>
      </c>
      <c r="E1441" s="10"/>
    </row>
    <row r="1442" ht="16.5" spans="1:5">
      <c r="A1442" s="8">
        <v>3045103.988</v>
      </c>
      <c r="B1442" s="8">
        <v>35401268.816</v>
      </c>
      <c r="C1442" s="8">
        <v>907.163</v>
      </c>
      <c r="D1442" s="11">
        <v>45270</v>
      </c>
      <c r="E1442" s="10"/>
    </row>
    <row r="1443" ht="16.5" spans="1:5">
      <c r="A1443" s="8">
        <v>3045103.988</v>
      </c>
      <c r="B1443" s="8">
        <v>35401268.816</v>
      </c>
      <c r="C1443" s="8">
        <v>907.163</v>
      </c>
      <c r="D1443" s="11">
        <v>45271</v>
      </c>
      <c r="E1443" s="10"/>
    </row>
    <row r="1444" ht="16.5" spans="1:5">
      <c r="A1444" s="8">
        <v>3045103.988</v>
      </c>
      <c r="B1444" s="8">
        <v>35401268.816</v>
      </c>
      <c r="C1444" s="8">
        <v>907.163</v>
      </c>
      <c r="D1444" s="11">
        <v>45272</v>
      </c>
      <c r="E1444" s="10"/>
    </row>
    <row r="1445" ht="16.5" spans="1:5">
      <c r="A1445" s="8">
        <v>3045103.988</v>
      </c>
      <c r="B1445" s="8">
        <v>35401268.816</v>
      </c>
      <c r="C1445" s="8">
        <v>907.163</v>
      </c>
      <c r="D1445" s="11">
        <v>45273</v>
      </c>
      <c r="E1445" s="10">
        <v>705.736</v>
      </c>
    </row>
    <row r="1446" ht="16.5" spans="1:5">
      <c r="A1446" s="8">
        <v>3045103.988</v>
      </c>
      <c r="B1446" s="8">
        <v>35401268.816</v>
      </c>
      <c r="C1446" s="8">
        <v>907.163</v>
      </c>
      <c r="D1446" s="11">
        <v>45274</v>
      </c>
      <c r="E1446" s="10">
        <v>705.707</v>
      </c>
    </row>
    <row r="1447" ht="16.5" spans="1:5">
      <c r="A1447" s="8">
        <v>3045103.988</v>
      </c>
      <c r="B1447" s="8">
        <v>35401268.816</v>
      </c>
      <c r="C1447" s="8">
        <v>907.163</v>
      </c>
      <c r="D1447" s="11">
        <v>45275</v>
      </c>
      <c r="E1447" s="10">
        <v>705.248</v>
      </c>
    </row>
    <row r="1448" ht="16.5" spans="1:5">
      <c r="A1448" s="8">
        <v>3045103.988</v>
      </c>
      <c r="B1448" s="8">
        <v>35401268.816</v>
      </c>
      <c r="C1448" s="8">
        <v>907.163</v>
      </c>
      <c r="D1448" s="11">
        <v>45276</v>
      </c>
      <c r="E1448" s="10">
        <v>705.032</v>
      </c>
    </row>
    <row r="1449" ht="16.5" spans="1:5">
      <c r="A1449" s="8">
        <v>3045103.988</v>
      </c>
      <c r="B1449" s="8">
        <v>35401268.816</v>
      </c>
      <c r="C1449" s="8">
        <v>907.163</v>
      </c>
      <c r="D1449" s="11">
        <v>45277</v>
      </c>
      <c r="E1449" s="10">
        <v>705.064</v>
      </c>
    </row>
    <row r="1450" ht="16.5" spans="1:5">
      <c r="A1450" s="8">
        <v>3045103.988</v>
      </c>
      <c r="B1450" s="8">
        <v>35401268.816</v>
      </c>
      <c r="C1450" s="8">
        <v>907.163</v>
      </c>
      <c r="D1450" s="11">
        <v>45278</v>
      </c>
      <c r="E1450" s="10">
        <v>705.019</v>
      </c>
    </row>
    <row r="1451" ht="16.5" spans="1:5">
      <c r="A1451" s="8">
        <v>3045103.988</v>
      </c>
      <c r="B1451" s="8">
        <v>35401268.816</v>
      </c>
      <c r="C1451" s="8">
        <v>907.163</v>
      </c>
      <c r="D1451" s="11">
        <v>45279</v>
      </c>
      <c r="E1451" s="10">
        <v>704.98</v>
      </c>
    </row>
    <row r="1452" ht="16.5" spans="1:5">
      <c r="A1452" s="8">
        <v>3045103.988</v>
      </c>
      <c r="B1452" s="8">
        <v>35401268.816</v>
      </c>
      <c r="C1452" s="8">
        <v>907.163</v>
      </c>
      <c r="D1452" s="11">
        <v>45280</v>
      </c>
      <c r="E1452" s="10">
        <v>704.944</v>
      </c>
    </row>
    <row r="1453" ht="16.5" spans="1:5">
      <c r="A1453" s="8">
        <v>3045103.988</v>
      </c>
      <c r="B1453" s="8">
        <v>35401268.816</v>
      </c>
      <c r="C1453" s="8">
        <v>907.163</v>
      </c>
      <c r="D1453" s="11">
        <v>45281</v>
      </c>
      <c r="E1453" s="10">
        <v>704.933</v>
      </c>
    </row>
    <row r="1454" ht="16.5" spans="1:5">
      <c r="A1454" s="8">
        <v>3045103.988</v>
      </c>
      <c r="B1454" s="8">
        <v>35401268.816</v>
      </c>
      <c r="C1454" s="8">
        <v>907.163</v>
      </c>
      <c r="D1454" s="11">
        <v>45282</v>
      </c>
      <c r="E1454" s="10">
        <v>704.947</v>
      </c>
    </row>
    <row r="1455" ht="16.5" spans="1:5">
      <c r="A1455" s="8">
        <v>3045103.988</v>
      </c>
      <c r="B1455" s="8">
        <v>35401268.816</v>
      </c>
      <c r="C1455" s="8">
        <v>907.163</v>
      </c>
      <c r="D1455" s="11">
        <v>45283</v>
      </c>
      <c r="E1455" s="10">
        <v>705.135</v>
      </c>
    </row>
    <row r="1456" ht="16.5" spans="1:5">
      <c r="A1456" s="8">
        <v>3045103.988</v>
      </c>
      <c r="B1456" s="8">
        <v>35401268.816</v>
      </c>
      <c r="C1456" s="8">
        <v>907.163</v>
      </c>
      <c r="D1456" s="11">
        <v>45284</v>
      </c>
      <c r="E1456" s="10">
        <v>705.482</v>
      </c>
    </row>
    <row r="1457" ht="16.5" spans="1:5">
      <c r="A1457" s="8">
        <v>3045103.988</v>
      </c>
      <c r="B1457" s="8">
        <v>35401268.816</v>
      </c>
      <c r="C1457" s="8">
        <v>907.163</v>
      </c>
      <c r="D1457" s="11">
        <v>45285</v>
      </c>
      <c r="E1457" s="10">
        <v>705.683</v>
      </c>
    </row>
    <row r="1458" ht="16.5" spans="1:5">
      <c r="A1458" s="8">
        <v>3045103.988</v>
      </c>
      <c r="B1458" s="8">
        <v>35401268.816</v>
      </c>
      <c r="C1458" s="8">
        <v>907.163</v>
      </c>
      <c r="D1458" s="11">
        <v>45286</v>
      </c>
      <c r="E1458" s="10">
        <v>705.203</v>
      </c>
    </row>
    <row r="1459" ht="16.5" spans="1:5">
      <c r="A1459" s="8">
        <v>3045103.988</v>
      </c>
      <c r="B1459" s="8">
        <v>35401268.816</v>
      </c>
      <c r="C1459" s="8">
        <v>907.163</v>
      </c>
      <c r="D1459" s="11">
        <v>45287</v>
      </c>
      <c r="E1459" s="10">
        <v>705.108</v>
      </c>
    </row>
    <row r="1460" ht="16.5" spans="1:5">
      <c r="A1460" s="8">
        <v>3045103.988</v>
      </c>
      <c r="B1460" s="8">
        <v>35401268.816</v>
      </c>
      <c r="C1460" s="8">
        <v>907.163</v>
      </c>
      <c r="D1460" s="11">
        <v>45288</v>
      </c>
      <c r="E1460" s="10">
        <v>705.143</v>
      </c>
    </row>
    <row r="1461" ht="16.5" spans="1:5">
      <c r="A1461" s="8">
        <v>3045103.988</v>
      </c>
      <c r="B1461" s="8">
        <v>35401268.816</v>
      </c>
      <c r="C1461" s="8">
        <v>907.163</v>
      </c>
      <c r="D1461" s="11">
        <v>45289</v>
      </c>
      <c r="E1461" s="10">
        <v>705.123</v>
      </c>
    </row>
    <row r="1462" ht="16.5" spans="1:5">
      <c r="A1462" s="8">
        <v>3045103.988</v>
      </c>
      <c r="B1462" s="8">
        <v>35401268.816</v>
      </c>
      <c r="C1462" s="8">
        <v>907.163</v>
      </c>
      <c r="D1462" s="11">
        <v>45290</v>
      </c>
      <c r="E1462" s="10">
        <v>705.721</v>
      </c>
    </row>
    <row r="1463" ht="16.5" spans="1:5">
      <c r="A1463" s="8">
        <v>3045103.988</v>
      </c>
      <c r="B1463" s="8">
        <v>35401268.816</v>
      </c>
      <c r="C1463" s="8">
        <v>907.163</v>
      </c>
      <c r="D1463" s="11">
        <v>45291</v>
      </c>
      <c r="E1463" s="10">
        <v>705.79</v>
      </c>
    </row>
    <row r="1464" ht="16.5" spans="1:5">
      <c r="A1464" s="8">
        <v>3045103.988</v>
      </c>
      <c r="B1464" s="8">
        <v>35401268.816</v>
      </c>
      <c r="C1464" s="8">
        <v>907.163</v>
      </c>
      <c r="D1464" s="11">
        <v>45292</v>
      </c>
      <c r="E1464" s="10">
        <v>705.834</v>
      </c>
    </row>
    <row r="1465" ht="16.5" spans="1:5">
      <c r="A1465" s="8">
        <v>3045103.988</v>
      </c>
      <c r="B1465" s="8">
        <v>35401268.816</v>
      </c>
      <c r="C1465" s="8">
        <v>907.163</v>
      </c>
      <c r="D1465" s="11">
        <v>45293</v>
      </c>
      <c r="E1465" s="10">
        <v>705.91</v>
      </c>
    </row>
    <row r="1466" ht="16.5" spans="1:5">
      <c r="A1466" s="8">
        <v>3045103.988</v>
      </c>
      <c r="B1466" s="8">
        <v>35401268.816</v>
      </c>
      <c r="C1466" s="8">
        <v>907.163</v>
      </c>
      <c r="D1466" s="11">
        <v>45294</v>
      </c>
      <c r="E1466" s="10">
        <v>705.894</v>
      </c>
    </row>
    <row r="1467" ht="16.5" spans="1:5">
      <c r="A1467" s="8">
        <v>3045103.988</v>
      </c>
      <c r="B1467" s="8">
        <v>35401268.816</v>
      </c>
      <c r="C1467" s="8">
        <v>907.163</v>
      </c>
      <c r="D1467" s="11">
        <v>45295</v>
      </c>
      <c r="E1467" s="10"/>
    </row>
    <row r="1468" ht="16.5" spans="1:5">
      <c r="A1468" s="8">
        <v>3045103.988</v>
      </c>
      <c r="B1468" s="8">
        <v>35401268.816</v>
      </c>
      <c r="C1468" s="8">
        <v>907.163</v>
      </c>
      <c r="D1468" s="11">
        <v>45296</v>
      </c>
      <c r="E1468" s="18">
        <v>705.828</v>
      </c>
    </row>
    <row r="1469" ht="16.5" spans="1:5">
      <c r="A1469" s="8">
        <v>3045103.988</v>
      </c>
      <c r="B1469" s="8">
        <v>35401268.816</v>
      </c>
      <c r="C1469" s="8">
        <v>907.163</v>
      </c>
      <c r="D1469" s="11">
        <v>45297</v>
      </c>
      <c r="E1469" s="18">
        <v>705.866</v>
      </c>
    </row>
    <row r="1470" ht="16.5" spans="1:5">
      <c r="A1470" s="8">
        <v>3045103.988</v>
      </c>
      <c r="B1470" s="8">
        <v>35401268.816</v>
      </c>
      <c r="C1470" s="8">
        <v>907.163</v>
      </c>
      <c r="D1470" s="11">
        <v>45298</v>
      </c>
      <c r="E1470" s="19">
        <v>705.819</v>
      </c>
    </row>
    <row r="1471" ht="16.5" spans="1:5">
      <c r="A1471" s="8">
        <v>3045103.988</v>
      </c>
      <c r="B1471" s="8">
        <v>35401268.816</v>
      </c>
      <c r="C1471" s="8">
        <v>907.163</v>
      </c>
      <c r="D1471" s="11">
        <v>45299</v>
      </c>
      <c r="E1471" s="19">
        <v>704.744</v>
      </c>
    </row>
    <row r="1472" ht="16.5" spans="1:5">
      <c r="A1472" s="8">
        <v>3045103.988</v>
      </c>
      <c r="B1472" s="8">
        <v>35401268.816</v>
      </c>
      <c r="C1472" s="8">
        <v>907.163</v>
      </c>
      <c r="D1472" s="11">
        <v>45300</v>
      </c>
      <c r="E1472" s="19">
        <v>704.364</v>
      </c>
    </row>
    <row r="1473" ht="16.5" spans="1:5">
      <c r="A1473" s="8">
        <v>3045103.988</v>
      </c>
      <c r="B1473" s="8">
        <v>35401268.816</v>
      </c>
      <c r="C1473" s="8">
        <v>907.163</v>
      </c>
      <c r="D1473" s="11">
        <v>45301</v>
      </c>
      <c r="E1473" s="18">
        <v>703.891</v>
      </c>
    </row>
    <row r="1474" ht="16.5" spans="1:5">
      <c r="A1474" s="8">
        <v>3045103.988</v>
      </c>
      <c r="B1474" s="8">
        <v>35401268.816</v>
      </c>
      <c r="C1474" s="8">
        <v>907.163</v>
      </c>
      <c r="D1474" s="11">
        <v>45302</v>
      </c>
      <c r="E1474" s="18">
        <v>703.855</v>
      </c>
    </row>
    <row r="1475" ht="16.5" spans="1:5">
      <c r="A1475" s="8">
        <v>3045103.988</v>
      </c>
      <c r="B1475" s="8">
        <v>35401268.816</v>
      </c>
      <c r="C1475" s="8">
        <v>907.163</v>
      </c>
      <c r="D1475" s="11">
        <v>45303</v>
      </c>
      <c r="E1475" s="18">
        <v>703.8</v>
      </c>
    </row>
    <row r="1476" ht="16.5" spans="1:5">
      <c r="A1476" s="8">
        <v>3045103.988</v>
      </c>
      <c r="B1476" s="8">
        <v>35401268.816</v>
      </c>
      <c r="C1476" s="8">
        <v>907.163</v>
      </c>
      <c r="D1476" s="11">
        <v>45304</v>
      </c>
      <c r="E1476" s="18">
        <v>703.748</v>
      </c>
    </row>
    <row r="1477" ht="16.5" spans="1:5">
      <c r="A1477" s="8">
        <v>3045103.988</v>
      </c>
      <c r="B1477" s="8">
        <v>35401268.816</v>
      </c>
      <c r="C1477" s="8">
        <v>907.163</v>
      </c>
      <c r="D1477" s="11">
        <v>45305</v>
      </c>
      <c r="E1477" s="18">
        <v>703.676</v>
      </c>
    </row>
    <row r="1478" ht="16.5" spans="1:5">
      <c r="A1478" s="8">
        <v>3045103.988</v>
      </c>
      <c r="B1478" s="8">
        <v>35401268.816</v>
      </c>
      <c r="C1478" s="8">
        <v>907.163</v>
      </c>
      <c r="D1478" s="11">
        <v>45306</v>
      </c>
      <c r="E1478" s="18">
        <v>703.648</v>
      </c>
    </row>
    <row r="1479" ht="16.5" spans="1:5">
      <c r="A1479" s="8">
        <v>3045103.988</v>
      </c>
      <c r="B1479" s="8">
        <v>35401268.816</v>
      </c>
      <c r="C1479" s="8">
        <v>907.163</v>
      </c>
      <c r="D1479" s="11">
        <v>45307</v>
      </c>
      <c r="E1479" s="18">
        <v>703.572</v>
      </c>
    </row>
    <row r="1480" ht="16.5" spans="1:5">
      <c r="A1480" s="8">
        <v>3045103.988</v>
      </c>
      <c r="B1480" s="8">
        <v>35401268.816</v>
      </c>
      <c r="C1480" s="8">
        <v>907.163</v>
      </c>
      <c r="D1480" s="11">
        <v>45308</v>
      </c>
      <c r="E1480" s="18">
        <v>703.474</v>
      </c>
    </row>
    <row r="1481" ht="16.5" spans="1:5">
      <c r="A1481" s="8">
        <v>3045103.988</v>
      </c>
      <c r="B1481" s="8">
        <v>35401268.816</v>
      </c>
      <c r="C1481" s="8">
        <v>907.163</v>
      </c>
      <c r="D1481" s="11">
        <v>45309</v>
      </c>
      <c r="E1481" s="18">
        <v>703.452</v>
      </c>
    </row>
    <row r="1482" ht="16.5" spans="1:5">
      <c r="A1482" s="8">
        <v>3045103.988</v>
      </c>
      <c r="B1482" s="8">
        <v>35401268.816</v>
      </c>
      <c r="C1482" s="8">
        <v>907.163</v>
      </c>
      <c r="D1482" s="11">
        <v>45310</v>
      </c>
      <c r="E1482" s="18">
        <v>703.354</v>
      </c>
    </row>
    <row r="1483" ht="16.5" spans="1:5">
      <c r="A1483" s="8">
        <v>3045103.988</v>
      </c>
      <c r="B1483" s="8">
        <v>35401268.816</v>
      </c>
      <c r="C1483" s="8">
        <v>907.163</v>
      </c>
      <c r="D1483" s="11">
        <v>45311</v>
      </c>
      <c r="E1483" s="18">
        <v>703.267</v>
      </c>
    </row>
    <row r="1484" ht="16.5" spans="1:5">
      <c r="A1484" s="8">
        <v>3045103.988</v>
      </c>
      <c r="B1484" s="8">
        <v>35401268.816</v>
      </c>
      <c r="C1484" s="8">
        <v>907.163</v>
      </c>
      <c r="D1484" s="11">
        <v>45312</v>
      </c>
      <c r="E1484" s="18">
        <v>703.296</v>
      </c>
    </row>
    <row r="1485" ht="16.5" spans="1:5">
      <c r="A1485" s="8">
        <v>3045103.988</v>
      </c>
      <c r="B1485" s="8">
        <v>35401268.816</v>
      </c>
      <c r="C1485" s="8">
        <v>907.163</v>
      </c>
      <c r="D1485" s="11">
        <v>45313</v>
      </c>
      <c r="E1485" s="18">
        <v>703.236</v>
      </c>
    </row>
    <row r="1486" ht="16.5" spans="1:5">
      <c r="A1486" s="8">
        <v>3045103.988</v>
      </c>
      <c r="B1486" s="8">
        <v>35401268.816</v>
      </c>
      <c r="C1486" s="8">
        <v>907.163</v>
      </c>
      <c r="D1486" s="11">
        <v>45314</v>
      </c>
      <c r="E1486" s="18">
        <v>702.812</v>
      </c>
    </row>
    <row r="1487" ht="16.5" spans="1:5">
      <c r="A1487" s="8">
        <v>3045103.988</v>
      </c>
      <c r="B1487" s="8">
        <v>35401268.816</v>
      </c>
      <c r="C1487" s="8">
        <v>907.163</v>
      </c>
      <c r="D1487" s="11">
        <v>45315</v>
      </c>
      <c r="E1487" s="18">
        <v>701.498</v>
      </c>
    </row>
    <row r="1488" ht="16.5" spans="1:5">
      <c r="A1488" s="8">
        <v>3045103.988</v>
      </c>
      <c r="B1488" s="8">
        <v>35401268.816</v>
      </c>
      <c r="C1488" s="8">
        <v>907.163</v>
      </c>
      <c r="D1488" s="11">
        <v>45316</v>
      </c>
      <c r="E1488" s="18">
        <v>701.298</v>
      </c>
    </row>
    <row r="1489" ht="16.5" spans="1:5">
      <c r="A1489" s="8">
        <v>3045103.988</v>
      </c>
      <c r="B1489" s="8">
        <v>35401268.816</v>
      </c>
      <c r="C1489" s="8">
        <v>907.163</v>
      </c>
      <c r="D1489" s="11">
        <v>45317</v>
      </c>
      <c r="E1489" s="18">
        <v>702.011</v>
      </c>
    </row>
    <row r="1490" ht="16.5" spans="1:5">
      <c r="A1490" s="8">
        <v>3045103.988</v>
      </c>
      <c r="B1490" s="8">
        <v>35401268.816</v>
      </c>
      <c r="C1490" s="8">
        <v>907.163</v>
      </c>
      <c r="D1490" s="11">
        <v>45318</v>
      </c>
      <c r="E1490" s="18">
        <v>702.377</v>
      </c>
    </row>
    <row r="1491" ht="16.5" spans="1:5">
      <c r="A1491" s="8">
        <v>3045103.988</v>
      </c>
      <c r="B1491" s="8">
        <v>35401268.816</v>
      </c>
      <c r="C1491" s="8">
        <v>907.163</v>
      </c>
      <c r="D1491" s="11">
        <v>45319</v>
      </c>
      <c r="E1491" s="18">
        <v>702.343</v>
      </c>
    </row>
    <row r="1492" ht="16.5" spans="1:5">
      <c r="A1492" s="8">
        <v>3045103.988</v>
      </c>
      <c r="B1492" s="8">
        <v>35401268.816</v>
      </c>
      <c r="C1492" s="8">
        <v>907.163</v>
      </c>
      <c r="D1492" s="11">
        <v>45320</v>
      </c>
      <c r="E1492" s="18">
        <v>702.343</v>
      </c>
    </row>
    <row r="1493" ht="16.5" spans="1:5">
      <c r="A1493" s="8">
        <v>3045103.988</v>
      </c>
      <c r="B1493" s="8">
        <v>35401268.816</v>
      </c>
      <c r="C1493" s="8">
        <v>907.163</v>
      </c>
      <c r="D1493" s="11">
        <v>45321</v>
      </c>
      <c r="E1493" s="18">
        <v>702.146</v>
      </c>
    </row>
    <row r="1494" ht="16.5" spans="1:5">
      <c r="A1494" s="8">
        <v>3045103.988</v>
      </c>
      <c r="B1494" s="8">
        <v>35401268.816</v>
      </c>
      <c r="C1494" s="8">
        <v>907.163</v>
      </c>
      <c r="D1494" s="11">
        <v>45322</v>
      </c>
      <c r="E1494" s="18">
        <v>701.992</v>
      </c>
    </row>
    <row r="1495" ht="16.5" spans="1:5">
      <c r="A1495" s="8">
        <v>3045103.988</v>
      </c>
      <c r="B1495" s="8">
        <v>35401268.816</v>
      </c>
      <c r="C1495" s="8">
        <v>907.163</v>
      </c>
      <c r="D1495" s="11">
        <v>45323</v>
      </c>
      <c r="E1495" s="18">
        <v>701.793</v>
      </c>
    </row>
    <row r="1496" ht="16.5" spans="1:5">
      <c r="A1496" s="8">
        <v>3045103.988</v>
      </c>
      <c r="B1496" s="8">
        <v>35401268.816</v>
      </c>
      <c r="C1496" s="8">
        <v>907.163</v>
      </c>
      <c r="D1496" s="11">
        <v>45324</v>
      </c>
      <c r="E1496" s="18">
        <v>701.593</v>
      </c>
    </row>
    <row r="1497" ht="16.5" spans="1:5">
      <c r="A1497" s="8">
        <v>3045103.988</v>
      </c>
      <c r="B1497" s="8">
        <v>35401268.816</v>
      </c>
      <c r="C1497" s="8">
        <v>907.163</v>
      </c>
      <c r="D1497" s="11">
        <v>45325</v>
      </c>
      <c r="E1497" s="18">
        <v>701.524</v>
      </c>
    </row>
    <row r="1498" ht="16.5" spans="1:5">
      <c r="A1498" s="8">
        <v>3045103.988</v>
      </c>
      <c r="B1498" s="8">
        <v>35401268.816</v>
      </c>
      <c r="C1498" s="8">
        <v>907.163</v>
      </c>
      <c r="D1498" s="11">
        <v>45326</v>
      </c>
      <c r="E1498" s="18">
        <v>701.448</v>
      </c>
    </row>
    <row r="1499" ht="16.5" spans="1:5">
      <c r="A1499" s="8">
        <v>3045103.988</v>
      </c>
      <c r="B1499" s="8">
        <v>35401268.816</v>
      </c>
      <c r="C1499" s="8">
        <v>907.163</v>
      </c>
      <c r="D1499" s="11">
        <v>45327</v>
      </c>
      <c r="E1499" s="18">
        <v>701.426</v>
      </c>
    </row>
    <row r="1500" ht="16.5" spans="1:5">
      <c r="A1500" s="8">
        <v>3045103.988</v>
      </c>
      <c r="B1500" s="8">
        <v>35401268.816</v>
      </c>
      <c r="C1500" s="8">
        <v>907.163</v>
      </c>
      <c r="D1500" s="11">
        <v>45328</v>
      </c>
      <c r="E1500" s="18">
        <v>701.37</v>
      </c>
    </row>
    <row r="1501" ht="16.5" spans="1:5">
      <c r="A1501" s="8">
        <v>3045103.988</v>
      </c>
      <c r="B1501" s="8">
        <v>35401268.816</v>
      </c>
      <c r="C1501" s="8">
        <v>907.163</v>
      </c>
      <c r="D1501" s="11">
        <v>45329</v>
      </c>
      <c r="E1501" s="18">
        <v>701.306</v>
      </c>
    </row>
    <row r="1502" ht="16.5" spans="1:5">
      <c r="A1502" s="8">
        <v>3045103.988</v>
      </c>
      <c r="B1502" s="8">
        <v>35401268.816</v>
      </c>
      <c r="C1502" s="8">
        <v>907.163</v>
      </c>
      <c r="D1502" s="11">
        <v>45330</v>
      </c>
      <c r="E1502" s="18">
        <v>701.255</v>
      </c>
    </row>
    <row r="1503" ht="16.5" spans="1:5">
      <c r="A1503" s="8">
        <v>3045103.988</v>
      </c>
      <c r="B1503" s="8">
        <v>35401268.816</v>
      </c>
      <c r="C1503" s="8">
        <v>907.163</v>
      </c>
      <c r="D1503" s="11">
        <v>45331</v>
      </c>
      <c r="E1503" s="18">
        <v>701.118</v>
      </c>
    </row>
    <row r="1504" ht="16.5" spans="1:5">
      <c r="A1504" s="8">
        <v>3045103.988</v>
      </c>
      <c r="B1504" s="8">
        <v>35401268.816</v>
      </c>
      <c r="C1504" s="8">
        <v>907.163</v>
      </c>
      <c r="D1504" s="11">
        <v>45332</v>
      </c>
      <c r="E1504" s="18">
        <v>701.048</v>
      </c>
    </row>
    <row r="1505" ht="16.5" spans="1:5">
      <c r="A1505" s="8">
        <v>3045103.988</v>
      </c>
      <c r="B1505" s="8">
        <v>35401268.816</v>
      </c>
      <c r="C1505" s="8">
        <v>907.163</v>
      </c>
      <c r="D1505" s="11">
        <v>45333</v>
      </c>
      <c r="E1505" s="18">
        <v>701.107</v>
      </c>
    </row>
    <row r="1506" ht="16.5" spans="1:5">
      <c r="A1506" s="8">
        <v>3045103.988</v>
      </c>
      <c r="B1506" s="8">
        <v>35401268.816</v>
      </c>
      <c r="C1506" s="8">
        <v>907.163</v>
      </c>
      <c r="D1506" s="11">
        <v>45334</v>
      </c>
      <c r="E1506" s="18">
        <v>701.093</v>
      </c>
    </row>
    <row r="1507" ht="16.5" spans="1:5">
      <c r="A1507" s="8">
        <v>3045103.988</v>
      </c>
      <c r="B1507" s="8">
        <v>35401268.816</v>
      </c>
      <c r="C1507" s="8">
        <v>907.163</v>
      </c>
      <c r="D1507" s="11">
        <v>45335</v>
      </c>
      <c r="E1507" s="18">
        <v>700.952</v>
      </c>
    </row>
    <row r="1508" ht="16.5" spans="1:5">
      <c r="A1508" s="8">
        <v>3045103.988</v>
      </c>
      <c r="B1508" s="8">
        <v>35401268.816</v>
      </c>
      <c r="C1508" s="8">
        <v>907.163</v>
      </c>
      <c r="D1508" s="11">
        <v>45336</v>
      </c>
      <c r="E1508" s="20">
        <v>700.877</v>
      </c>
    </row>
    <row r="1509" ht="16.5" spans="1:5">
      <c r="A1509" s="8">
        <v>3045103.988</v>
      </c>
      <c r="B1509" s="8">
        <v>35401268.816</v>
      </c>
      <c r="C1509" s="8">
        <v>907.163</v>
      </c>
      <c r="D1509" s="11">
        <v>45337</v>
      </c>
      <c r="E1509" s="12"/>
    </row>
    <row r="1510" ht="16.5" spans="1:5">
      <c r="A1510" s="8">
        <v>3045103.988</v>
      </c>
      <c r="B1510" s="8">
        <v>35401268.816</v>
      </c>
      <c r="C1510" s="8">
        <v>907.163</v>
      </c>
      <c r="D1510" s="11">
        <v>45338</v>
      </c>
      <c r="E1510" s="12"/>
    </row>
    <row r="1511" ht="16.5" spans="1:5">
      <c r="A1511" s="8">
        <v>3045103.988</v>
      </c>
      <c r="B1511" s="8">
        <v>35401268.816</v>
      </c>
      <c r="C1511" s="8">
        <v>907.163</v>
      </c>
      <c r="D1511" s="11">
        <v>45339</v>
      </c>
      <c r="E1511" s="12"/>
    </row>
    <row r="1512" ht="16.5" spans="1:5">
      <c r="A1512" s="8">
        <v>3045103.988</v>
      </c>
      <c r="B1512" s="8">
        <v>35401268.816</v>
      </c>
      <c r="C1512" s="8">
        <v>907.163</v>
      </c>
      <c r="D1512" s="11">
        <v>45340</v>
      </c>
      <c r="E1512" s="12"/>
    </row>
    <row r="1513" ht="16.5" spans="1:5">
      <c r="A1513" s="8">
        <v>3045103.988</v>
      </c>
      <c r="B1513" s="8">
        <v>35401268.816</v>
      </c>
      <c r="C1513" s="8">
        <v>907.163</v>
      </c>
      <c r="D1513" s="11">
        <v>45341</v>
      </c>
      <c r="E1513" s="18">
        <v>700.684</v>
      </c>
    </row>
    <row r="1514" ht="16.5" spans="1:5">
      <c r="A1514" s="8">
        <v>3045103.988</v>
      </c>
      <c r="B1514" s="8">
        <v>35401268.816</v>
      </c>
      <c r="C1514" s="8">
        <v>907.163</v>
      </c>
      <c r="D1514" s="11">
        <v>45342</v>
      </c>
      <c r="E1514" s="18">
        <v>700.396</v>
      </c>
    </row>
    <row r="1515" ht="16.5" spans="1:5">
      <c r="A1515" s="8">
        <v>3045103.988</v>
      </c>
      <c r="B1515" s="8">
        <v>35401268.816</v>
      </c>
      <c r="C1515" s="8">
        <v>907.163</v>
      </c>
      <c r="D1515" s="11">
        <v>45343</v>
      </c>
      <c r="E1515" s="18">
        <v>700.227</v>
      </c>
    </row>
    <row r="1516" ht="16.5" spans="1:5">
      <c r="A1516" s="8">
        <v>3045103.988</v>
      </c>
      <c r="B1516" s="8">
        <v>35401268.816</v>
      </c>
      <c r="C1516" s="8">
        <v>907.163</v>
      </c>
      <c r="D1516" s="11">
        <v>45344</v>
      </c>
      <c r="E1516" s="18">
        <v>700.075</v>
      </c>
    </row>
    <row r="1517" ht="16.5" spans="1:5">
      <c r="A1517" s="8">
        <v>3045103.988</v>
      </c>
      <c r="B1517" s="8">
        <v>35401268.816</v>
      </c>
      <c r="C1517" s="8">
        <v>907.163</v>
      </c>
      <c r="D1517" s="11">
        <v>45345</v>
      </c>
      <c r="E1517" s="18">
        <v>699.985</v>
      </c>
    </row>
    <row r="1518" ht="16.5" spans="1:5">
      <c r="A1518" s="8">
        <v>3045103.988</v>
      </c>
      <c r="B1518" s="8">
        <v>35401268.816</v>
      </c>
      <c r="C1518" s="8">
        <v>907.163</v>
      </c>
      <c r="D1518" s="11">
        <v>45346</v>
      </c>
      <c r="E1518" s="18">
        <v>699.957</v>
      </c>
    </row>
    <row r="1519" ht="16.5" spans="1:5">
      <c r="A1519" s="8">
        <v>3045103.988</v>
      </c>
      <c r="B1519" s="8">
        <v>35401268.816</v>
      </c>
      <c r="C1519" s="8">
        <v>907.163</v>
      </c>
      <c r="D1519" s="11">
        <v>45347</v>
      </c>
      <c r="E1519" s="18">
        <v>699.883</v>
      </c>
    </row>
    <row r="1520" ht="16.5" spans="1:5">
      <c r="A1520" s="8">
        <v>3045103.988</v>
      </c>
      <c r="B1520" s="8">
        <v>35401268.816</v>
      </c>
      <c r="C1520" s="8">
        <v>907.163</v>
      </c>
      <c r="D1520" s="11">
        <v>45348</v>
      </c>
      <c r="E1520" s="18">
        <v>699.863</v>
      </c>
    </row>
    <row r="1521" ht="16.5" spans="1:5">
      <c r="A1521" s="8">
        <v>3045103.988</v>
      </c>
      <c r="B1521" s="8">
        <v>35401268.816</v>
      </c>
      <c r="C1521" s="8">
        <v>907.163</v>
      </c>
      <c r="D1521" s="11">
        <v>45349</v>
      </c>
      <c r="E1521" s="18">
        <v>699.742</v>
      </c>
    </row>
    <row r="1522" ht="16.5" spans="1:5">
      <c r="A1522" s="8">
        <v>3045103.988</v>
      </c>
      <c r="B1522" s="8">
        <v>35401268.816</v>
      </c>
      <c r="C1522" s="8">
        <v>907.163</v>
      </c>
      <c r="D1522" s="11">
        <v>45350</v>
      </c>
      <c r="E1522" s="18">
        <v>699.75</v>
      </c>
    </row>
    <row r="1523" ht="16.5" spans="1:5">
      <c r="A1523" s="8">
        <v>3045103.988</v>
      </c>
      <c r="B1523" s="8">
        <v>35401268.816</v>
      </c>
      <c r="C1523" s="8">
        <v>907.163</v>
      </c>
      <c r="D1523" s="11">
        <v>45351</v>
      </c>
      <c r="E1523" s="18">
        <v>699.773</v>
      </c>
    </row>
    <row r="1524" ht="16.5" spans="1:5">
      <c r="A1524" s="8">
        <v>3045103.988</v>
      </c>
      <c r="B1524" s="8">
        <v>35401268.816</v>
      </c>
      <c r="C1524" s="8">
        <v>907.163</v>
      </c>
      <c r="D1524" s="11">
        <v>45352</v>
      </c>
      <c r="E1524" s="18">
        <v>699.808</v>
      </c>
    </row>
    <row r="1525" ht="16.5" spans="1:5">
      <c r="A1525" s="8">
        <v>3045103.988</v>
      </c>
      <c r="B1525" s="8">
        <v>35401268.816</v>
      </c>
      <c r="C1525" s="8">
        <v>907.163</v>
      </c>
      <c r="D1525" s="11">
        <v>45353</v>
      </c>
      <c r="E1525" s="18">
        <v>699.773</v>
      </c>
    </row>
    <row r="1526" ht="16.5" spans="1:5">
      <c r="A1526" s="8">
        <v>3045103.988</v>
      </c>
      <c r="B1526" s="8">
        <v>35401268.816</v>
      </c>
      <c r="C1526" s="8">
        <v>907.163</v>
      </c>
      <c r="D1526" s="11">
        <v>45354</v>
      </c>
      <c r="E1526" s="18">
        <v>699.808</v>
      </c>
    </row>
    <row r="1527" ht="16.5" spans="1:5">
      <c r="A1527" s="8">
        <v>3045103.988</v>
      </c>
      <c r="B1527" s="8">
        <v>35401268.816</v>
      </c>
      <c r="C1527" s="8">
        <v>907.163</v>
      </c>
      <c r="D1527" s="11">
        <v>45355</v>
      </c>
      <c r="E1527" s="18">
        <v>699.675</v>
      </c>
    </row>
    <row r="1528" ht="16.5" spans="1:5">
      <c r="A1528" s="8">
        <v>3045103.988</v>
      </c>
      <c r="B1528" s="8">
        <v>35401268.816</v>
      </c>
      <c r="C1528" s="8">
        <v>907.163</v>
      </c>
      <c r="D1528" s="11">
        <v>45356</v>
      </c>
      <c r="E1528" s="18">
        <v>699.486</v>
      </c>
    </row>
    <row r="1529" ht="16.5" spans="1:5">
      <c r="A1529" s="8">
        <v>3045103.988</v>
      </c>
      <c r="B1529" s="8">
        <v>35401268.816</v>
      </c>
      <c r="C1529" s="8">
        <v>907.163</v>
      </c>
      <c r="D1529" s="11">
        <v>45357</v>
      </c>
      <c r="E1529" s="18">
        <v>699.446</v>
      </c>
    </row>
    <row r="1530" ht="16.5" spans="1:5">
      <c r="A1530" s="8">
        <v>3045103.988</v>
      </c>
      <c r="B1530" s="8">
        <v>35401268.816</v>
      </c>
      <c r="C1530" s="8">
        <v>907.163</v>
      </c>
      <c r="D1530" s="11">
        <v>45358</v>
      </c>
      <c r="E1530" s="18">
        <v>699.523</v>
      </c>
    </row>
    <row r="1531" ht="16.5" spans="1:5">
      <c r="A1531" s="8">
        <v>3045103.988</v>
      </c>
      <c r="B1531" s="8">
        <v>35401268.816</v>
      </c>
      <c r="C1531" s="8">
        <v>907.163</v>
      </c>
      <c r="D1531" s="11">
        <v>45359</v>
      </c>
      <c r="E1531" s="18">
        <v>699.642</v>
      </c>
    </row>
    <row r="1532" ht="16.5" spans="1:5">
      <c r="A1532" s="8">
        <v>3045103.988</v>
      </c>
      <c r="B1532" s="8">
        <v>35401268.816</v>
      </c>
      <c r="C1532" s="8">
        <v>907.163</v>
      </c>
      <c r="D1532" s="11">
        <v>45360</v>
      </c>
      <c r="E1532" s="18">
        <v>699.654</v>
      </c>
    </row>
    <row r="1533" ht="16.5" spans="1:5">
      <c r="A1533" s="8">
        <v>3045103.988</v>
      </c>
      <c r="B1533" s="8">
        <v>35401268.816</v>
      </c>
      <c r="C1533" s="8">
        <v>907.163</v>
      </c>
      <c r="D1533" s="11">
        <v>45361</v>
      </c>
      <c r="E1533" s="18">
        <v>699.651</v>
      </c>
    </row>
    <row r="1534" ht="16.5" spans="1:5">
      <c r="A1534" s="8">
        <v>3045103.988</v>
      </c>
      <c r="B1534" s="8">
        <v>35401268.816</v>
      </c>
      <c r="C1534" s="8">
        <v>907.163</v>
      </c>
      <c r="D1534" s="11">
        <v>45362</v>
      </c>
      <c r="E1534" s="18">
        <v>699.608</v>
      </c>
    </row>
    <row r="1535" ht="16.5" spans="1:5">
      <c r="A1535" s="8">
        <v>3045103.988</v>
      </c>
      <c r="B1535" s="8">
        <v>35401268.816</v>
      </c>
      <c r="C1535" s="8">
        <v>907.163</v>
      </c>
      <c r="D1535" s="11">
        <v>45363</v>
      </c>
      <c r="E1535" s="18">
        <v>699.634</v>
      </c>
    </row>
    <row r="1536" ht="16.5" spans="1:5">
      <c r="A1536" s="8">
        <v>3045103.988</v>
      </c>
      <c r="B1536" s="8">
        <v>35401268.816</v>
      </c>
      <c r="C1536" s="8">
        <v>907.163</v>
      </c>
      <c r="D1536" s="11">
        <v>45364</v>
      </c>
      <c r="E1536" s="18">
        <v>699.557</v>
      </c>
    </row>
    <row r="1537" ht="16.5" spans="1:5">
      <c r="A1537" s="8">
        <v>3045103.988</v>
      </c>
      <c r="B1537" s="8">
        <v>35401268.816</v>
      </c>
      <c r="C1537" s="8">
        <v>907.163</v>
      </c>
      <c r="D1537" s="11">
        <v>45365</v>
      </c>
      <c r="E1537" s="18">
        <v>699.569</v>
      </c>
    </row>
    <row r="1538" ht="16.5" spans="1:5">
      <c r="A1538" s="8">
        <v>3045103.988</v>
      </c>
      <c r="B1538" s="8">
        <v>35401268.816</v>
      </c>
      <c r="C1538" s="8">
        <v>907.163</v>
      </c>
      <c r="D1538" s="11">
        <v>45366</v>
      </c>
      <c r="E1538" s="18">
        <v>699.513</v>
      </c>
    </row>
    <row r="1539" ht="16.5" spans="1:5">
      <c r="A1539" s="8">
        <v>3045103.988</v>
      </c>
      <c r="B1539" s="8">
        <v>35401268.816</v>
      </c>
      <c r="C1539" s="8">
        <v>907.163</v>
      </c>
      <c r="D1539" s="11">
        <v>45367</v>
      </c>
      <c r="E1539" s="18">
        <v>699.417</v>
      </c>
    </row>
    <row r="1540" ht="16.5" spans="1:5">
      <c r="A1540" s="8">
        <v>3045103.988</v>
      </c>
      <c r="B1540" s="8">
        <v>35401268.816</v>
      </c>
      <c r="C1540" s="8">
        <v>907.163</v>
      </c>
      <c r="D1540" s="11">
        <v>45368</v>
      </c>
      <c r="E1540" s="18">
        <v>699.246</v>
      </c>
    </row>
    <row r="1541" ht="16.5" spans="1:5">
      <c r="A1541" s="8">
        <v>3045103.988</v>
      </c>
      <c r="B1541" s="8">
        <v>35401268.816</v>
      </c>
      <c r="C1541" s="8">
        <v>907.163</v>
      </c>
      <c r="D1541" s="11">
        <v>45369</v>
      </c>
      <c r="E1541" s="18">
        <v>699.197</v>
      </c>
    </row>
    <row r="1542" ht="16.5" spans="1:5">
      <c r="A1542" s="8">
        <v>3045103.988</v>
      </c>
      <c r="B1542" s="8">
        <v>35401268.816</v>
      </c>
      <c r="C1542" s="8">
        <v>907.163</v>
      </c>
      <c r="D1542" s="11">
        <v>45370</v>
      </c>
      <c r="E1542" s="18">
        <v>699.157</v>
      </c>
    </row>
    <row r="1543" ht="16.5" spans="1:5">
      <c r="A1543" s="8">
        <v>3045103.988</v>
      </c>
      <c r="B1543" s="8">
        <v>35401268.816</v>
      </c>
      <c r="C1543" s="8">
        <v>907.163</v>
      </c>
      <c r="D1543" s="11">
        <v>45371</v>
      </c>
      <c r="E1543" s="18">
        <v>699.274</v>
      </c>
    </row>
    <row r="1544" ht="16.5" spans="1:5">
      <c r="A1544" s="8">
        <v>3045103.988</v>
      </c>
      <c r="B1544" s="8">
        <v>35401268.816</v>
      </c>
      <c r="C1544" s="8">
        <v>907.163</v>
      </c>
      <c r="D1544" s="11">
        <v>45372</v>
      </c>
      <c r="E1544" s="18">
        <v>699.3</v>
      </c>
    </row>
    <row r="1545" ht="16.5" spans="1:5">
      <c r="A1545" s="8">
        <v>3045103.988</v>
      </c>
      <c r="B1545" s="8">
        <v>35401268.816</v>
      </c>
      <c r="C1545" s="8">
        <v>907.163</v>
      </c>
      <c r="D1545" s="11">
        <v>45373</v>
      </c>
      <c r="E1545" s="18">
        <v>699.216</v>
      </c>
    </row>
    <row r="1546" ht="16.5" spans="1:5">
      <c r="A1546" s="8">
        <v>3045103.988</v>
      </c>
      <c r="B1546" s="8">
        <v>35401268.816</v>
      </c>
      <c r="C1546" s="8">
        <v>907.163</v>
      </c>
      <c r="D1546" s="11">
        <v>45374</v>
      </c>
      <c r="E1546" s="18">
        <v>699.02</v>
      </c>
    </row>
    <row r="1547" ht="16.5" spans="1:5">
      <c r="A1547" s="8">
        <v>3045103.988</v>
      </c>
      <c r="B1547" s="8">
        <v>35401268.816</v>
      </c>
      <c r="C1547" s="8">
        <v>907.163</v>
      </c>
      <c r="D1547" s="11">
        <v>45375</v>
      </c>
      <c r="E1547" s="18">
        <v>698.813</v>
      </c>
    </row>
    <row r="1548" ht="16.5" spans="1:5">
      <c r="A1548" s="8">
        <v>3045103.988</v>
      </c>
      <c r="B1548" s="8">
        <v>35401268.816</v>
      </c>
      <c r="C1548" s="8">
        <v>907.163</v>
      </c>
      <c r="D1548" s="11">
        <v>45376</v>
      </c>
      <c r="E1548" s="18">
        <v>698.589</v>
      </c>
    </row>
    <row r="1549" ht="16.5" spans="1:5">
      <c r="A1549" s="8">
        <v>3045103.988</v>
      </c>
      <c r="B1549" s="8">
        <v>35401268.816</v>
      </c>
      <c r="C1549" s="8">
        <v>907.163</v>
      </c>
      <c r="D1549" s="11">
        <v>45377</v>
      </c>
      <c r="E1549" s="18">
        <v>698.619</v>
      </c>
    </row>
    <row r="1550" ht="16.5" spans="1:5">
      <c r="A1550" s="8">
        <v>3045103.988</v>
      </c>
      <c r="B1550" s="8">
        <v>35401268.816</v>
      </c>
      <c r="C1550" s="8">
        <v>907.163</v>
      </c>
      <c r="D1550" s="11">
        <v>45378</v>
      </c>
      <c r="E1550" s="18">
        <v>698.602</v>
      </c>
    </row>
    <row r="1551" ht="16.5" spans="1:5">
      <c r="A1551" s="8">
        <v>3045103.988</v>
      </c>
      <c r="B1551" s="8">
        <v>35401268.816</v>
      </c>
      <c r="C1551" s="8">
        <v>907.163</v>
      </c>
      <c r="D1551" s="11">
        <v>45379</v>
      </c>
      <c r="E1551" s="18">
        <v>698.473</v>
      </c>
    </row>
    <row r="1552" ht="16.5" spans="1:5">
      <c r="A1552" s="8">
        <v>3045103.988</v>
      </c>
      <c r="B1552" s="8">
        <v>35401268.816</v>
      </c>
      <c r="C1552" s="8">
        <v>907.163</v>
      </c>
      <c r="D1552" s="11">
        <v>45380</v>
      </c>
      <c r="E1552" s="18">
        <v>698.374</v>
      </c>
    </row>
    <row r="1553" ht="16.5" spans="1:5">
      <c r="A1553" s="8">
        <v>3045103.988</v>
      </c>
      <c r="B1553" s="8">
        <v>35401268.816</v>
      </c>
      <c r="C1553" s="8">
        <v>907.163</v>
      </c>
      <c r="D1553" s="11">
        <v>45381</v>
      </c>
      <c r="E1553" s="18">
        <v>698.156</v>
      </c>
    </row>
    <row r="1554" ht="16.5" spans="1:5">
      <c r="A1554" s="8">
        <v>3045103.988</v>
      </c>
      <c r="B1554" s="8">
        <v>35401268.816</v>
      </c>
      <c r="C1554" s="8">
        <v>907.163</v>
      </c>
      <c r="D1554" s="11">
        <v>45382</v>
      </c>
      <c r="E1554" s="18">
        <v>697.909</v>
      </c>
    </row>
    <row r="1555" ht="16.5" spans="1:5">
      <c r="A1555" s="8">
        <v>3045103.988</v>
      </c>
      <c r="B1555" s="8">
        <v>35401268.816</v>
      </c>
      <c r="C1555" s="8">
        <v>907.163</v>
      </c>
      <c r="D1555" s="11">
        <v>45383</v>
      </c>
      <c r="E1555" s="18">
        <v>697.664</v>
      </c>
    </row>
    <row r="1556" ht="16.5" spans="1:5">
      <c r="A1556" s="8">
        <v>3045103.988</v>
      </c>
      <c r="B1556" s="8">
        <v>35401268.816</v>
      </c>
      <c r="C1556" s="8">
        <v>907.163</v>
      </c>
      <c r="D1556" s="11">
        <v>45384</v>
      </c>
      <c r="E1556" s="18">
        <v>697.324</v>
      </c>
    </row>
    <row r="1557" ht="16.5" spans="1:5">
      <c r="A1557" s="8">
        <v>3045103.988</v>
      </c>
      <c r="B1557" s="8">
        <v>35401268.816</v>
      </c>
      <c r="C1557" s="8">
        <v>907.163</v>
      </c>
      <c r="D1557" s="11">
        <v>45385</v>
      </c>
      <c r="E1557" s="18">
        <v>696.972</v>
      </c>
    </row>
    <row r="1558" ht="16.5" spans="1:5">
      <c r="A1558" s="8">
        <v>3045103.988</v>
      </c>
      <c r="B1558" s="8">
        <v>35401268.816</v>
      </c>
      <c r="C1558" s="8">
        <v>907.163</v>
      </c>
      <c r="D1558" s="11">
        <v>45386</v>
      </c>
      <c r="E1558" s="18">
        <v>696.577</v>
      </c>
    </row>
    <row r="1559" ht="16.5" spans="1:5">
      <c r="A1559" s="8">
        <v>3045103.988</v>
      </c>
      <c r="B1559" s="8">
        <v>35401268.816</v>
      </c>
      <c r="C1559" s="8">
        <v>907.163</v>
      </c>
      <c r="D1559" s="11">
        <v>45387</v>
      </c>
      <c r="E1559" s="18">
        <v>696.524</v>
      </c>
    </row>
    <row r="1560" ht="16.5" spans="1:5">
      <c r="A1560" s="8">
        <v>3045103.988</v>
      </c>
      <c r="B1560" s="8">
        <v>35401268.816</v>
      </c>
      <c r="C1560" s="8">
        <v>907.163</v>
      </c>
      <c r="D1560" s="11">
        <v>45388</v>
      </c>
      <c r="E1560" s="18">
        <v>696.442</v>
      </c>
    </row>
    <row r="1561" ht="16.5" spans="1:5">
      <c r="A1561" s="8">
        <v>3045103.988</v>
      </c>
      <c r="B1561" s="8">
        <v>35401268.816</v>
      </c>
      <c r="C1561" s="8">
        <v>907.163</v>
      </c>
      <c r="D1561" s="11">
        <v>45389</v>
      </c>
      <c r="E1561" s="18">
        <v>696.408</v>
      </c>
    </row>
    <row r="1562" ht="16.5" spans="1:5">
      <c r="A1562" s="8">
        <v>3045103.988</v>
      </c>
      <c r="B1562" s="8">
        <v>35401268.816</v>
      </c>
      <c r="C1562" s="8">
        <v>907.163</v>
      </c>
      <c r="D1562" s="11">
        <v>45390</v>
      </c>
      <c r="E1562" s="18">
        <v>696.144</v>
      </c>
    </row>
    <row r="1563" ht="16.5" spans="1:5">
      <c r="A1563" s="8">
        <v>3045103.988</v>
      </c>
      <c r="B1563" s="8">
        <v>35401268.816</v>
      </c>
      <c r="C1563" s="8">
        <v>907.163</v>
      </c>
      <c r="D1563" s="11">
        <v>45391</v>
      </c>
      <c r="E1563" s="18"/>
    </row>
    <row r="1564" ht="16.5" spans="1:5">
      <c r="A1564" s="8">
        <v>3045103.988</v>
      </c>
      <c r="B1564" s="8">
        <v>35401268.816</v>
      </c>
      <c r="C1564" s="8">
        <v>907.163</v>
      </c>
      <c r="D1564" s="11">
        <v>45392</v>
      </c>
      <c r="E1564" s="18"/>
    </row>
    <row r="1565" ht="16.5" spans="1:5">
      <c r="A1565" s="8">
        <v>3045103.988</v>
      </c>
      <c r="B1565" s="8">
        <v>35401268.816</v>
      </c>
      <c r="C1565" s="8">
        <v>907.163</v>
      </c>
      <c r="D1565" s="11">
        <v>45393</v>
      </c>
      <c r="E1565" s="18"/>
    </row>
    <row r="1566" ht="16.5" spans="1:5">
      <c r="A1566" s="8">
        <v>3045103.988</v>
      </c>
      <c r="B1566" s="8">
        <v>35401268.816</v>
      </c>
      <c r="C1566" s="8">
        <v>907.163</v>
      </c>
      <c r="D1566" s="11">
        <v>45394</v>
      </c>
      <c r="E1566" s="18"/>
    </row>
    <row r="1567" ht="16.5" spans="1:5">
      <c r="A1567" s="8">
        <v>3045103.988</v>
      </c>
      <c r="B1567" s="8">
        <v>35401268.816</v>
      </c>
      <c r="C1567" s="8">
        <v>907.163</v>
      </c>
      <c r="D1567" s="11">
        <v>45395</v>
      </c>
      <c r="E1567" s="18">
        <v>695.538</v>
      </c>
    </row>
    <row r="1568" ht="16.5" spans="1:5">
      <c r="A1568" s="8">
        <v>3045103.988</v>
      </c>
      <c r="B1568" s="8">
        <v>35401268.816</v>
      </c>
      <c r="C1568" s="8">
        <v>907.163</v>
      </c>
      <c r="D1568" s="11">
        <v>45396</v>
      </c>
      <c r="E1568" s="18">
        <v>695.526</v>
      </c>
    </row>
    <row r="1569" ht="16.5" spans="1:5">
      <c r="A1569" s="8">
        <v>3045103.988</v>
      </c>
      <c r="B1569" s="8">
        <v>35401268.816</v>
      </c>
      <c r="C1569" s="8">
        <v>907.163</v>
      </c>
      <c r="D1569" s="11">
        <v>45397</v>
      </c>
      <c r="E1569" s="18">
        <v>695.491</v>
      </c>
    </row>
    <row r="1570" ht="16.5" spans="1:5">
      <c r="A1570" s="8">
        <v>3045103.988</v>
      </c>
      <c r="B1570" s="8">
        <v>35401268.816</v>
      </c>
      <c r="C1570" s="8">
        <v>907.163</v>
      </c>
      <c r="D1570" s="11">
        <v>45398</v>
      </c>
      <c r="E1570" s="18">
        <v>695.525</v>
      </c>
    </row>
    <row r="1571" ht="16.5" spans="1:5">
      <c r="A1571" s="8">
        <v>3045103.988</v>
      </c>
      <c r="B1571" s="8">
        <v>35401268.816</v>
      </c>
      <c r="C1571" s="8">
        <v>907.163</v>
      </c>
      <c r="D1571" s="11">
        <v>45399</v>
      </c>
      <c r="E1571" s="18">
        <v>695.37</v>
      </c>
    </row>
    <row r="1572" ht="16.5" spans="1:5">
      <c r="A1572" s="8">
        <v>3045103.988</v>
      </c>
      <c r="B1572" s="8">
        <v>35401268.816</v>
      </c>
      <c r="C1572" s="8">
        <v>907.163</v>
      </c>
      <c r="D1572" s="11">
        <v>45400</v>
      </c>
      <c r="E1572" s="18">
        <v>695.227</v>
      </c>
    </row>
    <row r="1573" ht="16.5" spans="1:5">
      <c r="A1573" s="8">
        <v>3045103.988</v>
      </c>
      <c r="B1573" s="8">
        <v>35401268.816</v>
      </c>
      <c r="C1573" s="8">
        <v>907.163</v>
      </c>
      <c r="D1573" s="11">
        <v>45401</v>
      </c>
      <c r="E1573" s="18">
        <v>695.001</v>
      </c>
    </row>
    <row r="1574" ht="16.5" spans="1:5">
      <c r="A1574" s="8">
        <v>3045103.988</v>
      </c>
      <c r="B1574" s="8">
        <v>35401268.816</v>
      </c>
      <c r="C1574" s="8">
        <v>907.163</v>
      </c>
      <c r="D1574" s="11">
        <v>45402</v>
      </c>
      <c r="E1574" s="18">
        <v>694.862</v>
      </c>
    </row>
    <row r="1575" ht="16.5" spans="1:5">
      <c r="A1575" s="8">
        <v>3045103.988</v>
      </c>
      <c r="B1575" s="8">
        <v>35401268.816</v>
      </c>
      <c r="C1575" s="8">
        <v>907.163</v>
      </c>
      <c r="D1575" s="11">
        <v>45403</v>
      </c>
      <c r="E1575" s="18">
        <v>694.717</v>
      </c>
    </row>
    <row r="1576" ht="16.5" spans="1:5">
      <c r="A1576" s="8">
        <v>3045103.988</v>
      </c>
      <c r="B1576" s="8">
        <v>35401268.816</v>
      </c>
      <c r="C1576" s="8">
        <v>907.163</v>
      </c>
      <c r="D1576" s="11">
        <v>45404</v>
      </c>
      <c r="E1576" s="18">
        <v>694.621</v>
      </c>
    </row>
    <row r="1577" ht="16.5" spans="1:5">
      <c r="A1577" s="8">
        <v>3045103.988</v>
      </c>
      <c r="B1577" s="8">
        <v>35401268.816</v>
      </c>
      <c r="C1577" s="8">
        <v>907.163</v>
      </c>
      <c r="D1577" s="11">
        <v>45405</v>
      </c>
      <c r="E1577" s="18">
        <v>694.503</v>
      </c>
    </row>
    <row r="1578" ht="16.5" spans="1:5">
      <c r="A1578" s="8">
        <v>3045103.988</v>
      </c>
      <c r="B1578" s="8">
        <v>35401268.816</v>
      </c>
      <c r="C1578" s="8">
        <v>907.163</v>
      </c>
      <c r="D1578" s="11">
        <v>45406</v>
      </c>
      <c r="E1578" s="18">
        <v>694.404</v>
      </c>
    </row>
    <row r="1579" ht="16.5" spans="1:5">
      <c r="A1579" s="8">
        <v>3045103.988</v>
      </c>
      <c r="B1579" s="8">
        <v>35401268.816</v>
      </c>
      <c r="C1579" s="8">
        <v>907.163</v>
      </c>
      <c r="D1579" s="11">
        <v>45407</v>
      </c>
      <c r="E1579" s="18">
        <v>694.292</v>
      </c>
    </row>
    <row r="1580" ht="16.5" spans="1:5">
      <c r="A1580" s="8">
        <v>3045103.988</v>
      </c>
      <c r="B1580" s="8">
        <v>35401268.816</v>
      </c>
      <c r="C1580" s="8">
        <v>907.163</v>
      </c>
      <c r="D1580" s="11">
        <v>45408</v>
      </c>
      <c r="E1580" s="18">
        <v>694.252</v>
      </c>
    </row>
    <row r="1581" ht="16.5" spans="1:5">
      <c r="A1581" s="8">
        <v>3045103.988</v>
      </c>
      <c r="B1581" s="8">
        <v>35401268.816</v>
      </c>
      <c r="C1581" s="8">
        <v>907.163</v>
      </c>
      <c r="D1581" s="11">
        <v>45409</v>
      </c>
      <c r="E1581" s="18">
        <v>694.163</v>
      </c>
    </row>
    <row r="1582" ht="16.5" spans="1:5">
      <c r="A1582" s="8">
        <v>3045103.988</v>
      </c>
      <c r="B1582" s="8">
        <v>35401268.816</v>
      </c>
      <c r="C1582" s="8">
        <v>907.163</v>
      </c>
      <c r="D1582" s="11">
        <v>45410</v>
      </c>
      <c r="E1582" s="18">
        <v>694.03</v>
      </c>
    </row>
    <row r="1583" ht="16.5" spans="1:5">
      <c r="A1583" s="8">
        <v>3045103.988</v>
      </c>
      <c r="B1583" s="8">
        <v>35401268.816</v>
      </c>
      <c r="C1583" s="8">
        <v>907.163</v>
      </c>
      <c r="D1583" s="11">
        <v>45411</v>
      </c>
      <c r="E1583" s="18">
        <v>694.01</v>
      </c>
    </row>
    <row r="1584" ht="16.5" spans="1:5">
      <c r="A1584" s="8">
        <v>3045103.988</v>
      </c>
      <c r="B1584" s="8">
        <v>35401268.816</v>
      </c>
      <c r="C1584" s="8">
        <v>907.163</v>
      </c>
      <c r="D1584" s="11">
        <v>45412</v>
      </c>
      <c r="E1584" s="18">
        <v>693.833</v>
      </c>
    </row>
    <row r="1585" ht="16.5" spans="1:5">
      <c r="A1585" s="8">
        <v>3045103.988</v>
      </c>
      <c r="B1585" s="8">
        <v>35401268.816</v>
      </c>
      <c r="C1585" s="8">
        <v>907.163</v>
      </c>
      <c r="D1585" s="11">
        <v>45413</v>
      </c>
      <c r="E1585" s="18">
        <v>693.824</v>
      </c>
    </row>
    <row r="1586" ht="16.5" spans="1:5">
      <c r="A1586" s="8">
        <v>3045103.988</v>
      </c>
      <c r="B1586" s="8">
        <v>35401268.816</v>
      </c>
      <c r="C1586" s="8">
        <v>907.163</v>
      </c>
      <c r="D1586" s="11">
        <v>45414</v>
      </c>
      <c r="E1586" s="18">
        <v>693.822</v>
      </c>
    </row>
    <row r="1587" ht="16.5" spans="1:5">
      <c r="A1587" s="8">
        <v>3045103.988</v>
      </c>
      <c r="B1587" s="8">
        <v>35401268.816</v>
      </c>
      <c r="C1587" s="8">
        <v>907.163</v>
      </c>
      <c r="D1587" s="11">
        <v>45415</v>
      </c>
      <c r="E1587" s="18">
        <v>693.794</v>
      </c>
    </row>
    <row r="1588" ht="16.5" spans="1:5">
      <c r="A1588" s="8">
        <v>3045103.988</v>
      </c>
      <c r="B1588" s="8">
        <v>35401268.816</v>
      </c>
      <c r="C1588" s="8">
        <v>907.163</v>
      </c>
      <c r="D1588" s="11">
        <v>45416</v>
      </c>
      <c r="E1588" s="18">
        <v>693.671</v>
      </c>
    </row>
    <row r="1589" ht="16.5" spans="1:5">
      <c r="A1589" s="8">
        <v>3045103.988</v>
      </c>
      <c r="B1589" s="8">
        <v>35401268.816</v>
      </c>
      <c r="C1589" s="8">
        <v>907.163</v>
      </c>
      <c r="D1589" s="11">
        <v>45417</v>
      </c>
      <c r="E1589" s="18">
        <v>693.472</v>
      </c>
    </row>
    <row r="1590" ht="16.5" spans="1:5">
      <c r="A1590" s="8">
        <v>3045103.988</v>
      </c>
      <c r="B1590" s="8">
        <v>35401268.816</v>
      </c>
      <c r="C1590" s="8">
        <v>907.163</v>
      </c>
      <c r="D1590" s="11">
        <v>45418</v>
      </c>
      <c r="E1590" s="18">
        <v>693.31</v>
      </c>
    </row>
    <row r="1591" ht="16.5" spans="1:5">
      <c r="A1591" s="8">
        <v>3045103.988</v>
      </c>
      <c r="B1591" s="8">
        <v>35401268.816</v>
      </c>
      <c r="C1591" s="8">
        <v>907.163</v>
      </c>
      <c r="D1591" s="11">
        <v>45419</v>
      </c>
      <c r="E1591" s="18">
        <v>693.221</v>
      </c>
    </row>
    <row r="1592" ht="16.5" spans="1:5">
      <c r="A1592" s="8">
        <v>3045103.988</v>
      </c>
      <c r="B1592" s="8">
        <v>35401268.816</v>
      </c>
      <c r="C1592" s="8">
        <v>907.163</v>
      </c>
      <c r="D1592" s="11">
        <v>45420</v>
      </c>
      <c r="E1592" s="18">
        <v>693.087</v>
      </c>
    </row>
    <row r="1593" ht="16.5" spans="1:5">
      <c r="A1593" s="8">
        <v>3045103.988</v>
      </c>
      <c r="B1593" s="8">
        <v>35401268.816</v>
      </c>
      <c r="C1593" s="8">
        <v>907.163</v>
      </c>
      <c r="D1593" s="11">
        <v>45421</v>
      </c>
      <c r="E1593" s="18">
        <v>692.922</v>
      </c>
    </row>
    <row r="1594" ht="16.5" spans="1:5">
      <c r="A1594" s="8">
        <v>3045103.988</v>
      </c>
      <c r="B1594" s="8">
        <v>35401268.816</v>
      </c>
      <c r="C1594" s="8">
        <v>907.163</v>
      </c>
      <c r="D1594" s="11">
        <v>45422</v>
      </c>
      <c r="E1594" s="18">
        <v>692.788</v>
      </c>
    </row>
    <row r="1595" ht="16.5" spans="1:5">
      <c r="A1595" s="8">
        <v>3045103.988</v>
      </c>
      <c r="B1595" s="8">
        <v>35401268.816</v>
      </c>
      <c r="C1595" s="8">
        <v>907.163</v>
      </c>
      <c r="D1595" s="11">
        <v>45423</v>
      </c>
      <c r="E1595" s="18">
        <v>692.111</v>
      </c>
    </row>
  </sheetData>
  <mergeCells count="1">
    <mergeCell ref="A1:C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topLeftCell="A52" workbookViewId="0">
      <selection activeCell="A2" sqref="A2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30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 t="s">
        <v>496</v>
      </c>
      <c r="B3" s="33">
        <v>400271.422</v>
      </c>
      <c r="C3" s="33">
        <v>670.16</v>
      </c>
      <c r="D3" s="34">
        <v>44927</v>
      </c>
      <c r="E3" s="85"/>
      <c r="F3" t="s">
        <v>497</v>
      </c>
    </row>
    <row r="4" ht="15.75" spans="1:5">
      <c r="A4" s="33" t="s">
        <v>498</v>
      </c>
      <c r="B4" s="33">
        <v>400271.422</v>
      </c>
      <c r="C4" s="33">
        <v>670.16</v>
      </c>
      <c r="D4" s="11">
        <v>44928</v>
      </c>
      <c r="E4" s="85"/>
    </row>
    <row r="5" ht="15.75" spans="1:5">
      <c r="A5" s="33" t="s">
        <v>499</v>
      </c>
      <c r="B5" s="33">
        <v>400271.422</v>
      </c>
      <c r="C5" s="33">
        <v>670.16</v>
      </c>
      <c r="D5" s="11">
        <v>44929</v>
      </c>
      <c r="E5" s="86"/>
    </row>
    <row r="6" ht="15.75" spans="1:5">
      <c r="A6" s="33" t="s">
        <v>500</v>
      </c>
      <c r="B6" s="33">
        <v>400271.422</v>
      </c>
      <c r="C6" s="33">
        <v>670.16</v>
      </c>
      <c r="D6" s="11">
        <v>44930</v>
      </c>
      <c r="E6" s="85"/>
    </row>
    <row r="7" ht="15.75" spans="1:5">
      <c r="A7" s="33" t="s">
        <v>501</v>
      </c>
      <c r="B7" s="33">
        <v>400271.422</v>
      </c>
      <c r="C7" s="33">
        <v>670.16</v>
      </c>
      <c r="D7" s="11">
        <v>44931</v>
      </c>
      <c r="E7" s="92"/>
    </row>
    <row r="8" ht="15.75" spans="1:5">
      <c r="A8" s="33" t="s">
        <v>502</v>
      </c>
      <c r="B8" s="33">
        <v>400271.422</v>
      </c>
      <c r="C8" s="33">
        <v>670.16</v>
      </c>
      <c r="D8" s="11">
        <v>44932</v>
      </c>
      <c r="E8" s="86"/>
    </row>
    <row r="9" ht="15.75" spans="1:5">
      <c r="A9" s="33" t="s">
        <v>503</v>
      </c>
      <c r="B9" s="33">
        <v>400271.422</v>
      </c>
      <c r="C9" s="33">
        <v>670.16</v>
      </c>
      <c r="D9" s="11">
        <v>44933</v>
      </c>
      <c r="E9" s="86"/>
    </row>
    <row r="10" ht="15.75" spans="1:5">
      <c r="A10" s="33" t="s">
        <v>504</v>
      </c>
      <c r="B10" s="33">
        <v>400271.422</v>
      </c>
      <c r="C10" s="33">
        <v>670.16</v>
      </c>
      <c r="D10" s="11">
        <v>44934</v>
      </c>
      <c r="E10" s="86"/>
    </row>
    <row r="11" ht="15.75" spans="1:5">
      <c r="A11" s="33" t="s">
        <v>505</v>
      </c>
      <c r="B11" s="33">
        <v>400271.422</v>
      </c>
      <c r="C11" s="33">
        <v>670.16</v>
      </c>
      <c r="D11" s="11">
        <v>44935</v>
      </c>
      <c r="E11" s="86"/>
    </row>
    <row r="12" ht="15.75" spans="1:5">
      <c r="A12" s="33" t="s">
        <v>506</v>
      </c>
      <c r="B12" s="33">
        <v>400271.422</v>
      </c>
      <c r="C12" s="33">
        <v>670.16</v>
      </c>
      <c r="D12" s="11">
        <v>44936</v>
      </c>
      <c r="E12" s="86"/>
    </row>
    <row r="13" ht="15.75" spans="1:5">
      <c r="A13" s="33" t="s">
        <v>507</v>
      </c>
      <c r="B13" s="33">
        <v>400271.422</v>
      </c>
      <c r="C13" s="33">
        <v>670.16</v>
      </c>
      <c r="D13" s="11">
        <v>44937</v>
      </c>
      <c r="E13" s="86"/>
    </row>
    <row r="14" ht="15.75" spans="1:5">
      <c r="A14" s="33" t="s">
        <v>508</v>
      </c>
      <c r="B14" s="33">
        <v>400271.422</v>
      </c>
      <c r="C14" s="33">
        <v>670.16</v>
      </c>
      <c r="D14" s="11">
        <v>44938</v>
      </c>
      <c r="E14" s="85"/>
    </row>
    <row r="15" ht="15.75" spans="1:5">
      <c r="A15" s="33" t="s">
        <v>509</v>
      </c>
      <c r="B15" s="33">
        <v>400271.422</v>
      </c>
      <c r="C15" s="33">
        <v>670.16</v>
      </c>
      <c r="D15" s="11">
        <v>44939</v>
      </c>
      <c r="E15" s="85"/>
    </row>
    <row r="16" ht="15.75" spans="1:5">
      <c r="A16" s="33" t="s">
        <v>510</v>
      </c>
      <c r="B16" s="33">
        <v>400271.422</v>
      </c>
      <c r="C16" s="33">
        <v>670.16</v>
      </c>
      <c r="D16" s="11">
        <v>44940</v>
      </c>
      <c r="E16" s="85"/>
    </row>
    <row r="17" ht="15.75" spans="1:5">
      <c r="A17" s="33" t="s">
        <v>511</v>
      </c>
      <c r="B17" s="33">
        <v>400271.422</v>
      </c>
      <c r="C17" s="33">
        <v>670.16</v>
      </c>
      <c r="D17" s="11">
        <v>44941</v>
      </c>
      <c r="E17" s="85"/>
    </row>
    <row r="18" ht="15.75" spans="1:5">
      <c r="A18" s="33" t="s">
        <v>512</v>
      </c>
      <c r="B18" s="33">
        <v>400271.422</v>
      </c>
      <c r="C18" s="33">
        <v>670.16</v>
      </c>
      <c r="D18" s="11">
        <v>44942</v>
      </c>
      <c r="E18" s="85"/>
    </row>
    <row r="19" ht="15.75" spans="1:5">
      <c r="A19" s="33" t="s">
        <v>513</v>
      </c>
      <c r="B19" s="33">
        <v>400271.422</v>
      </c>
      <c r="C19" s="33">
        <v>670.16</v>
      </c>
      <c r="D19" s="11">
        <v>44943</v>
      </c>
      <c r="E19" s="85"/>
    </row>
    <row r="20" ht="15.75" spans="1:5">
      <c r="A20" s="33" t="s">
        <v>514</v>
      </c>
      <c r="B20" s="33">
        <v>400271.422</v>
      </c>
      <c r="C20" s="33">
        <v>670.16</v>
      </c>
      <c r="D20" s="11">
        <v>44944</v>
      </c>
      <c r="E20" s="86"/>
    </row>
    <row r="21" ht="15.75" spans="1:5">
      <c r="A21" s="33" t="s">
        <v>515</v>
      </c>
      <c r="B21" s="33">
        <v>400271.422</v>
      </c>
      <c r="C21" s="33">
        <v>670.16</v>
      </c>
      <c r="D21" s="11">
        <v>44945</v>
      </c>
      <c r="E21" s="85"/>
    </row>
    <row r="22" ht="15.75" spans="1:5">
      <c r="A22" s="33" t="s">
        <v>516</v>
      </c>
      <c r="B22" s="33">
        <v>400271.422</v>
      </c>
      <c r="C22" s="33">
        <v>670.16</v>
      </c>
      <c r="D22" s="11">
        <v>44946</v>
      </c>
      <c r="E22" s="85"/>
    </row>
    <row r="23" ht="15.75" spans="1:5">
      <c r="A23" s="33" t="s">
        <v>517</v>
      </c>
      <c r="B23" s="33">
        <v>400271.422</v>
      </c>
      <c r="C23" s="33">
        <v>670.16</v>
      </c>
      <c r="D23" s="11">
        <v>44947</v>
      </c>
      <c r="E23" s="85"/>
    </row>
    <row r="24" ht="15.75" spans="1:5">
      <c r="A24" s="33" t="s">
        <v>518</v>
      </c>
      <c r="B24" s="33">
        <v>400271.422</v>
      </c>
      <c r="C24" s="33">
        <v>670.16</v>
      </c>
      <c r="D24" s="11">
        <v>44948</v>
      </c>
      <c r="E24" s="85"/>
    </row>
    <row r="25" ht="15.75" spans="1:5">
      <c r="A25" s="33" t="s">
        <v>519</v>
      </c>
      <c r="B25" s="33">
        <v>400271.422</v>
      </c>
      <c r="C25" s="33">
        <v>670.16</v>
      </c>
      <c r="D25" s="11">
        <v>44949</v>
      </c>
      <c r="E25" s="85"/>
    </row>
    <row r="26" ht="15.75" spans="1:5">
      <c r="A26" s="33" t="s">
        <v>520</v>
      </c>
      <c r="B26" s="33">
        <v>400271.422</v>
      </c>
      <c r="C26" s="33">
        <v>670.16</v>
      </c>
      <c r="D26" s="11">
        <v>44950</v>
      </c>
      <c r="E26" s="85"/>
    </row>
    <row r="27" ht="15.75" spans="1:5">
      <c r="A27" s="33" t="s">
        <v>521</v>
      </c>
      <c r="B27" s="33">
        <v>400271.422</v>
      </c>
      <c r="C27" s="33">
        <v>670.16</v>
      </c>
      <c r="D27" s="11">
        <v>44951</v>
      </c>
      <c r="E27" s="85"/>
    </row>
    <row r="28" ht="15.75" spans="1:5">
      <c r="A28" s="33" t="s">
        <v>522</v>
      </c>
      <c r="B28" s="33">
        <v>400271.422</v>
      </c>
      <c r="C28" s="33">
        <v>670.16</v>
      </c>
      <c r="D28" s="11">
        <v>44952</v>
      </c>
      <c r="E28" s="85"/>
    </row>
    <row r="29" ht="15.75" spans="1:5">
      <c r="A29" s="33" t="s">
        <v>523</v>
      </c>
      <c r="B29" s="33">
        <v>400271.422</v>
      </c>
      <c r="C29" s="33">
        <v>670.16</v>
      </c>
      <c r="D29" s="11">
        <v>44953</v>
      </c>
      <c r="E29" s="85"/>
    </row>
    <row r="30" ht="15.75" spans="1:5">
      <c r="A30" s="33" t="s">
        <v>524</v>
      </c>
      <c r="B30" s="33">
        <v>400271.422</v>
      </c>
      <c r="C30" s="33">
        <v>670.16</v>
      </c>
      <c r="D30" s="11">
        <v>44954</v>
      </c>
      <c r="E30" s="86"/>
    </row>
    <row r="31" ht="15.75" spans="1:5">
      <c r="A31" s="33" t="s">
        <v>525</v>
      </c>
      <c r="B31" s="33">
        <v>400271.422</v>
      </c>
      <c r="C31" s="33">
        <v>670.16</v>
      </c>
      <c r="D31" s="11">
        <v>44955</v>
      </c>
      <c r="E31" s="85"/>
    </row>
    <row r="32" ht="15.75" spans="1:5">
      <c r="A32" s="33" t="s">
        <v>526</v>
      </c>
      <c r="B32" s="33">
        <v>400271.422</v>
      </c>
      <c r="C32" s="33">
        <v>670.16</v>
      </c>
      <c r="D32" s="11">
        <v>44956</v>
      </c>
      <c r="E32" s="85"/>
    </row>
    <row r="33" ht="15.75" spans="1:5">
      <c r="A33" s="33" t="s">
        <v>527</v>
      </c>
      <c r="B33" s="33">
        <v>400271.422</v>
      </c>
      <c r="C33" s="33">
        <v>670.16</v>
      </c>
      <c r="D33" s="11">
        <v>44957</v>
      </c>
      <c r="E33" s="85"/>
    </row>
    <row r="34" ht="15.75" spans="1:5">
      <c r="A34" s="33" t="s">
        <v>528</v>
      </c>
      <c r="B34" s="33">
        <v>400271.422</v>
      </c>
      <c r="C34" s="33">
        <v>670.16</v>
      </c>
      <c r="D34" s="11">
        <v>44958</v>
      </c>
      <c r="E34" s="85"/>
    </row>
    <row r="35" ht="15.75" spans="1:5">
      <c r="A35" s="33" t="s">
        <v>529</v>
      </c>
      <c r="B35" s="33">
        <v>400271.422</v>
      </c>
      <c r="C35" s="33">
        <v>670.16</v>
      </c>
      <c r="D35" s="11">
        <v>44959</v>
      </c>
      <c r="E35" s="93"/>
    </row>
    <row r="36" ht="15.75" spans="1:5">
      <c r="A36" s="33" t="s">
        <v>530</v>
      </c>
      <c r="B36" s="33">
        <v>400271.422</v>
      </c>
      <c r="C36" s="33">
        <v>670.16</v>
      </c>
      <c r="D36" s="11">
        <v>44960</v>
      </c>
      <c r="E36" s="85"/>
    </row>
    <row r="37" ht="15.75" spans="1:5">
      <c r="A37" s="33" t="s">
        <v>531</v>
      </c>
      <c r="B37" s="33">
        <v>400271.422</v>
      </c>
      <c r="C37" s="33">
        <v>670.16</v>
      </c>
      <c r="D37" s="11">
        <v>44961</v>
      </c>
      <c r="E37" s="85"/>
    </row>
    <row r="38" ht="15.75" spans="1:5">
      <c r="A38" s="33" t="s">
        <v>532</v>
      </c>
      <c r="B38" s="33">
        <v>400271.422</v>
      </c>
      <c r="C38" s="33">
        <v>670.16</v>
      </c>
      <c r="D38" s="11">
        <v>44962</v>
      </c>
      <c r="E38" s="85"/>
    </row>
    <row r="39" ht="15.75" spans="1:5">
      <c r="A39" s="33" t="s">
        <v>533</v>
      </c>
      <c r="B39" s="33">
        <v>400271.422</v>
      </c>
      <c r="C39" s="33">
        <v>670.16</v>
      </c>
      <c r="D39" s="11">
        <v>44963</v>
      </c>
      <c r="E39" s="85"/>
    </row>
    <row r="40" ht="15.75" spans="1:5">
      <c r="A40" s="33" t="s">
        <v>534</v>
      </c>
      <c r="B40" s="33">
        <v>400271.422</v>
      </c>
      <c r="C40" s="33">
        <v>670.16</v>
      </c>
      <c r="D40" s="11">
        <v>44964</v>
      </c>
      <c r="E40" s="85"/>
    </row>
    <row r="41" ht="15.75" spans="1:5">
      <c r="A41" s="33" t="s">
        <v>535</v>
      </c>
      <c r="B41" s="33">
        <v>400271.422</v>
      </c>
      <c r="C41" s="33">
        <v>670.16</v>
      </c>
      <c r="D41" s="11">
        <v>44965</v>
      </c>
      <c r="E41" s="86"/>
    </row>
    <row r="42" ht="15.75" spans="1:5">
      <c r="A42" s="33" t="s">
        <v>536</v>
      </c>
      <c r="B42" s="33">
        <v>400271.422</v>
      </c>
      <c r="C42" s="33">
        <v>670.16</v>
      </c>
      <c r="D42" s="11">
        <v>44966</v>
      </c>
      <c r="E42" s="85"/>
    </row>
    <row r="43" ht="15.75" spans="1:5">
      <c r="A43" s="33" t="s">
        <v>537</v>
      </c>
      <c r="B43" s="33">
        <v>400271.422</v>
      </c>
      <c r="C43" s="33">
        <v>670.16</v>
      </c>
      <c r="D43" s="11">
        <v>44967</v>
      </c>
      <c r="E43" s="85"/>
    </row>
    <row r="44" ht="15.75" spans="1:5">
      <c r="A44" s="33" t="s">
        <v>538</v>
      </c>
      <c r="B44" s="33">
        <v>400271.422</v>
      </c>
      <c r="C44" s="33">
        <v>670.16</v>
      </c>
      <c r="D44" s="11">
        <v>44968</v>
      </c>
      <c r="E44" s="85"/>
    </row>
    <row r="45" ht="15.75" spans="1:5">
      <c r="A45" s="33" t="s">
        <v>539</v>
      </c>
      <c r="B45" s="33">
        <v>400271.422</v>
      </c>
      <c r="C45" s="33">
        <v>670.16</v>
      </c>
      <c r="D45" s="11">
        <v>44969</v>
      </c>
      <c r="E45" s="85"/>
    </row>
    <row r="46" ht="15.75" spans="1:5">
      <c r="A46" s="33" t="s">
        <v>540</v>
      </c>
      <c r="B46" s="33">
        <v>400271.422</v>
      </c>
      <c r="C46" s="33">
        <v>670.16</v>
      </c>
      <c r="D46" s="11">
        <v>44970</v>
      </c>
      <c r="E46" s="92"/>
    </row>
    <row r="47" ht="15.75" spans="1:5">
      <c r="A47" s="33" t="s">
        <v>541</v>
      </c>
      <c r="B47" s="33">
        <v>400271.422</v>
      </c>
      <c r="C47" s="33">
        <v>670.16</v>
      </c>
      <c r="D47" s="11">
        <v>44971</v>
      </c>
      <c r="E47" s="85"/>
    </row>
    <row r="48" ht="15.75" spans="1:5">
      <c r="A48" s="33" t="s">
        <v>542</v>
      </c>
      <c r="B48" s="33">
        <v>400271.422</v>
      </c>
      <c r="C48" s="33">
        <v>670.16</v>
      </c>
      <c r="D48" s="11">
        <v>44972</v>
      </c>
      <c r="E48" s="86"/>
    </row>
    <row r="49" ht="15.75" spans="1:5">
      <c r="A49" s="33" t="s">
        <v>543</v>
      </c>
      <c r="B49" s="33">
        <v>400271.422</v>
      </c>
      <c r="C49" s="33">
        <v>670.16</v>
      </c>
      <c r="D49" s="11">
        <v>44973</v>
      </c>
      <c r="E49" s="86"/>
    </row>
    <row r="50" ht="15.75" spans="1:5">
      <c r="A50" s="33" t="s">
        <v>544</v>
      </c>
      <c r="B50" s="33">
        <v>400271.422</v>
      </c>
      <c r="C50" s="33">
        <v>670.16</v>
      </c>
      <c r="D50" s="11">
        <v>44974</v>
      </c>
      <c r="E50" s="86"/>
    </row>
    <row r="51" ht="15.75" spans="1:5">
      <c r="A51" s="33" t="s">
        <v>545</v>
      </c>
      <c r="B51" s="33">
        <v>400271.422</v>
      </c>
      <c r="C51" s="33">
        <v>670.16</v>
      </c>
      <c r="D51" s="11">
        <v>44975</v>
      </c>
      <c r="E51" s="86"/>
    </row>
    <row r="52" ht="15.75" spans="1:5">
      <c r="A52" s="33" t="s">
        <v>546</v>
      </c>
      <c r="B52" s="33">
        <v>400271.422</v>
      </c>
      <c r="C52" s="33">
        <v>670.16</v>
      </c>
      <c r="D52" s="11">
        <v>44976</v>
      </c>
      <c r="E52" s="86"/>
    </row>
    <row r="53" ht="15.75" spans="1:5">
      <c r="A53" s="33" t="s">
        <v>547</v>
      </c>
      <c r="B53" s="33">
        <v>400271.422</v>
      </c>
      <c r="C53" s="33">
        <v>670.16</v>
      </c>
      <c r="D53" s="11">
        <v>44977</v>
      </c>
      <c r="E53" s="86"/>
    </row>
    <row r="54" ht="15.75" spans="1:5">
      <c r="A54" s="33" t="s">
        <v>548</v>
      </c>
      <c r="B54" s="33">
        <v>400271.422</v>
      </c>
      <c r="C54" s="33">
        <v>670.16</v>
      </c>
      <c r="D54" s="11">
        <v>44978</v>
      </c>
      <c r="E54" s="86"/>
    </row>
    <row r="55" ht="15.75" spans="1:5">
      <c r="A55" s="33" t="s">
        <v>549</v>
      </c>
      <c r="B55" s="33">
        <v>400271.422</v>
      </c>
      <c r="C55" s="33">
        <v>670.16</v>
      </c>
      <c r="D55" s="11">
        <v>44979</v>
      </c>
      <c r="E55" s="86"/>
    </row>
    <row r="56" ht="15.75" spans="1:5">
      <c r="A56" s="33" t="s">
        <v>550</v>
      </c>
      <c r="B56" s="33">
        <v>400271.422</v>
      </c>
      <c r="C56" s="33">
        <v>670.16</v>
      </c>
      <c r="D56" s="11">
        <v>44980</v>
      </c>
      <c r="E56" s="86"/>
    </row>
    <row r="57" ht="15.75" spans="1:5">
      <c r="A57" s="33" t="s">
        <v>551</v>
      </c>
      <c r="B57" s="33">
        <v>400271.422</v>
      </c>
      <c r="C57" s="33">
        <v>670.16</v>
      </c>
      <c r="D57" s="11">
        <v>44981</v>
      </c>
      <c r="E57" s="86"/>
    </row>
    <row r="58" ht="15.75" spans="1:5">
      <c r="A58" s="33" t="s">
        <v>552</v>
      </c>
      <c r="B58" s="33">
        <v>400271.422</v>
      </c>
      <c r="C58" s="33">
        <v>670.16</v>
      </c>
      <c r="D58" s="11">
        <v>44982</v>
      </c>
      <c r="E58" s="86"/>
    </row>
    <row r="59" ht="15.75" spans="1:5">
      <c r="A59" s="33" t="s">
        <v>553</v>
      </c>
      <c r="B59" s="33">
        <v>400271.422</v>
      </c>
      <c r="C59" s="33">
        <v>670.16</v>
      </c>
      <c r="D59" s="11">
        <v>44983</v>
      </c>
      <c r="E59" s="86"/>
    </row>
    <row r="60" ht="15.75" spans="1:5">
      <c r="A60" s="33" t="s">
        <v>554</v>
      </c>
      <c r="B60" s="33">
        <v>400271.422</v>
      </c>
      <c r="C60" s="33">
        <v>670.16</v>
      </c>
      <c r="D60" s="11">
        <v>44984</v>
      </c>
      <c r="E60" s="86"/>
    </row>
    <row r="61" ht="15.75" spans="1:5">
      <c r="A61" s="33" t="s">
        <v>555</v>
      </c>
      <c r="B61" s="33">
        <v>400271.422</v>
      </c>
      <c r="C61" s="33">
        <v>670.16</v>
      </c>
      <c r="D61" s="11">
        <v>44985</v>
      </c>
      <c r="E61" s="86"/>
    </row>
    <row r="62" ht="15.75" spans="1:5">
      <c r="A62" s="33" t="s">
        <v>556</v>
      </c>
      <c r="B62" s="33">
        <v>400271.422</v>
      </c>
      <c r="C62" s="33">
        <v>670.16</v>
      </c>
      <c r="D62" s="11">
        <v>44986</v>
      </c>
      <c r="E62" s="86"/>
    </row>
    <row r="63" ht="15.75" spans="1:5">
      <c r="A63" s="33" t="s">
        <v>557</v>
      </c>
      <c r="B63" s="33">
        <v>400271.422</v>
      </c>
      <c r="C63" s="33">
        <v>670.16</v>
      </c>
      <c r="D63" s="11">
        <v>44987</v>
      </c>
      <c r="E63" s="86"/>
    </row>
    <row r="64" ht="15.75" spans="1:5">
      <c r="A64" s="33" t="s">
        <v>558</v>
      </c>
      <c r="B64" s="33">
        <v>400271.422</v>
      </c>
      <c r="C64" s="33">
        <v>670.16</v>
      </c>
      <c r="D64" s="11">
        <v>44988</v>
      </c>
      <c r="E64" s="86"/>
    </row>
    <row r="65" ht="15.75" spans="1:5">
      <c r="A65" s="33" t="s">
        <v>559</v>
      </c>
      <c r="B65" s="33">
        <v>400271.422</v>
      </c>
      <c r="C65" s="33">
        <v>670.16</v>
      </c>
      <c r="D65" s="11">
        <v>44989</v>
      </c>
      <c r="E65" s="86"/>
    </row>
    <row r="66" ht="15.75" spans="1:5">
      <c r="A66" s="33" t="s">
        <v>560</v>
      </c>
      <c r="B66" s="33">
        <v>400271.422</v>
      </c>
      <c r="C66" s="33">
        <v>670.16</v>
      </c>
      <c r="D66" s="11">
        <v>44990</v>
      </c>
      <c r="E66" s="86"/>
    </row>
    <row r="67" ht="15.75" spans="1:5">
      <c r="A67" s="33" t="s">
        <v>561</v>
      </c>
      <c r="B67" s="33">
        <v>400271.422</v>
      </c>
      <c r="C67" s="33">
        <v>670.16</v>
      </c>
      <c r="D67" s="11">
        <v>44991</v>
      </c>
      <c r="E67" s="86"/>
    </row>
    <row r="68" ht="15.75" spans="1:5">
      <c r="A68" s="33" t="s">
        <v>562</v>
      </c>
      <c r="B68" s="33">
        <v>400271.422</v>
      </c>
      <c r="C68" s="33">
        <v>670.16</v>
      </c>
      <c r="D68" s="11">
        <v>44992</v>
      </c>
      <c r="E68" s="86"/>
    </row>
    <row r="69" ht="15.75" spans="1:5">
      <c r="A69" s="33" t="s">
        <v>563</v>
      </c>
      <c r="B69" s="33">
        <v>400271.422</v>
      </c>
      <c r="C69" s="33">
        <v>670.16</v>
      </c>
      <c r="D69" s="11">
        <v>44993</v>
      </c>
      <c r="E69" s="86"/>
    </row>
    <row r="70" ht="15.75" spans="1:5">
      <c r="A70" s="33" t="s">
        <v>564</v>
      </c>
      <c r="B70" s="33">
        <v>400271.422</v>
      </c>
      <c r="C70" s="33">
        <v>670.16</v>
      </c>
      <c r="D70" s="11">
        <v>44994</v>
      </c>
      <c r="E70" s="86"/>
    </row>
    <row r="71" ht="15.75" spans="1:5">
      <c r="A71" s="33" t="s">
        <v>565</v>
      </c>
      <c r="B71" s="33">
        <v>400271.422</v>
      </c>
      <c r="C71" s="33">
        <v>670.16</v>
      </c>
      <c r="D71" s="11">
        <v>44995</v>
      </c>
      <c r="E71" s="86"/>
    </row>
    <row r="72" ht="15.75" spans="1:5">
      <c r="A72" s="33" t="s">
        <v>566</v>
      </c>
      <c r="B72" s="33">
        <v>400271.422</v>
      </c>
      <c r="C72" s="33">
        <v>670.16</v>
      </c>
      <c r="D72" s="11">
        <v>44996</v>
      </c>
      <c r="E72" s="86"/>
    </row>
    <row r="73" ht="15.75" spans="1:5">
      <c r="A73" s="33" t="s">
        <v>567</v>
      </c>
      <c r="B73" s="33">
        <v>400271.422</v>
      </c>
      <c r="C73" s="33">
        <v>670.16</v>
      </c>
      <c r="D73" s="11">
        <v>44997</v>
      </c>
      <c r="E73" s="86"/>
    </row>
    <row r="74" ht="15.75" spans="1:5">
      <c r="A74" s="33" t="s">
        <v>568</v>
      </c>
      <c r="B74" s="33">
        <v>400271.422</v>
      </c>
      <c r="C74" s="33">
        <v>670.16</v>
      </c>
      <c r="D74" s="11">
        <v>44998</v>
      </c>
      <c r="E74" s="86"/>
    </row>
    <row r="75" ht="15.75" spans="1:5">
      <c r="A75" s="33" t="s">
        <v>569</v>
      </c>
      <c r="B75" s="33">
        <v>400271.422</v>
      </c>
      <c r="C75" s="33">
        <v>670.16</v>
      </c>
      <c r="D75" s="11">
        <v>44999</v>
      </c>
      <c r="E75" s="86"/>
    </row>
    <row r="76" ht="15.75" spans="1:5">
      <c r="A76" s="33" t="s">
        <v>570</v>
      </c>
      <c r="B76" s="33">
        <v>400271.422</v>
      </c>
      <c r="C76" s="33">
        <v>670.16</v>
      </c>
      <c r="D76" s="11">
        <v>45000</v>
      </c>
      <c r="E76" s="85"/>
    </row>
    <row r="77" ht="15.75" spans="1:5">
      <c r="A77" s="33" t="s">
        <v>571</v>
      </c>
      <c r="B77" s="33">
        <v>400271.422</v>
      </c>
      <c r="C77" s="33">
        <v>670.16</v>
      </c>
      <c r="D77" s="11">
        <v>45001</v>
      </c>
      <c r="E77" s="85"/>
    </row>
    <row r="78" ht="15.75" spans="1:5">
      <c r="A78" s="33" t="s">
        <v>572</v>
      </c>
      <c r="B78" s="33">
        <v>400271.422</v>
      </c>
      <c r="C78" s="33">
        <v>670.16</v>
      </c>
      <c r="D78" s="11">
        <v>45002</v>
      </c>
      <c r="E78" s="90"/>
    </row>
    <row r="79" ht="15.75" spans="1:5">
      <c r="A79" s="33" t="s">
        <v>573</v>
      </c>
      <c r="B79" s="33">
        <v>400271.422</v>
      </c>
      <c r="C79" s="33">
        <v>670.16</v>
      </c>
      <c r="D79" s="11">
        <v>45003</v>
      </c>
      <c r="E79" s="86"/>
    </row>
    <row r="80" ht="15.75" spans="1:5">
      <c r="A80" s="33" t="s">
        <v>574</v>
      </c>
      <c r="B80" s="33">
        <v>400271.422</v>
      </c>
      <c r="C80" s="33">
        <v>670.16</v>
      </c>
      <c r="D80" s="11">
        <v>45004</v>
      </c>
      <c r="E80" s="86"/>
    </row>
    <row r="81" ht="15.75" spans="1:5">
      <c r="A81" s="33" t="s">
        <v>575</v>
      </c>
      <c r="B81" s="33">
        <v>400271.422</v>
      </c>
      <c r="C81" s="33">
        <v>670.16</v>
      </c>
      <c r="D81" s="11">
        <v>45005</v>
      </c>
      <c r="E81" s="86"/>
    </row>
    <row r="82" ht="15.75" spans="1:5">
      <c r="A82" s="33" t="s">
        <v>576</v>
      </c>
      <c r="B82" s="33">
        <v>400271.422</v>
      </c>
      <c r="C82" s="33">
        <v>670.16</v>
      </c>
      <c r="D82" s="11">
        <v>45006</v>
      </c>
      <c r="E82" s="86"/>
    </row>
    <row r="83" ht="15.75" spans="1:5">
      <c r="A83" s="33" t="s">
        <v>577</v>
      </c>
      <c r="B83" s="33">
        <v>400271.422</v>
      </c>
      <c r="C83" s="33">
        <v>670.16</v>
      </c>
      <c r="D83" s="11">
        <v>45007</v>
      </c>
      <c r="E83" s="86"/>
    </row>
    <row r="84" ht="15.75" spans="1:5">
      <c r="A84" s="33" t="s">
        <v>578</v>
      </c>
      <c r="B84" s="33">
        <v>400271.422</v>
      </c>
      <c r="C84" s="33">
        <v>670.16</v>
      </c>
      <c r="D84" s="11">
        <v>45008</v>
      </c>
      <c r="E84" s="86"/>
    </row>
    <row r="85" ht="15.75" spans="1:5">
      <c r="A85" s="33" t="s">
        <v>579</v>
      </c>
      <c r="B85" s="33">
        <v>400271.422</v>
      </c>
      <c r="C85" s="33">
        <v>670.16</v>
      </c>
      <c r="D85" s="11">
        <v>45009</v>
      </c>
      <c r="E85" s="85"/>
    </row>
    <row r="86" ht="15.75" spans="1:5">
      <c r="A86" s="33" t="s">
        <v>580</v>
      </c>
      <c r="B86" s="33">
        <v>400271.422</v>
      </c>
      <c r="C86" s="33">
        <v>670.16</v>
      </c>
      <c r="D86" s="11">
        <v>45010</v>
      </c>
      <c r="E86" s="85"/>
    </row>
    <row r="87" ht="15.75" spans="1:5">
      <c r="A87" s="33" t="s">
        <v>581</v>
      </c>
      <c r="B87" s="33">
        <v>400271.422</v>
      </c>
      <c r="C87" s="33">
        <v>670.16</v>
      </c>
      <c r="D87" s="11">
        <v>45011</v>
      </c>
      <c r="E87" s="85"/>
    </row>
    <row r="88" ht="15.75" spans="1:5">
      <c r="A88" s="33" t="s">
        <v>582</v>
      </c>
      <c r="B88" s="33">
        <v>400271.422</v>
      </c>
      <c r="C88" s="33">
        <v>670.16</v>
      </c>
      <c r="D88" s="11">
        <v>45012</v>
      </c>
      <c r="E88" s="85"/>
    </row>
    <row r="89" ht="15.75" spans="1:5">
      <c r="A89" s="33" t="s">
        <v>583</v>
      </c>
      <c r="B89" s="33">
        <v>400271.422</v>
      </c>
      <c r="C89" s="33">
        <v>670.16</v>
      </c>
      <c r="D89" s="11">
        <v>45013</v>
      </c>
      <c r="E89" s="85"/>
    </row>
    <row r="90" ht="15.75" spans="1:5">
      <c r="A90" s="33" t="s">
        <v>584</v>
      </c>
      <c r="B90" s="33">
        <v>400271.422</v>
      </c>
      <c r="C90" s="33">
        <v>670.16</v>
      </c>
      <c r="D90" s="11">
        <v>45014</v>
      </c>
      <c r="E90" s="85"/>
    </row>
    <row r="91" ht="15.75" spans="1:5">
      <c r="A91" s="33" t="s">
        <v>585</v>
      </c>
      <c r="B91" s="33">
        <v>400271.422</v>
      </c>
      <c r="C91" s="33">
        <v>670.16</v>
      </c>
      <c r="D91" s="11">
        <v>45015</v>
      </c>
      <c r="E91" s="87"/>
    </row>
    <row r="92" ht="15.75" spans="1:5">
      <c r="A92" s="33" t="s">
        <v>586</v>
      </c>
      <c r="B92" s="33">
        <v>400271.422</v>
      </c>
      <c r="C92" s="33">
        <v>670.16</v>
      </c>
      <c r="D92" s="11">
        <v>45016</v>
      </c>
      <c r="E92" s="85"/>
    </row>
    <row r="93" ht="15.75" spans="1:5">
      <c r="A93" s="33" t="s">
        <v>587</v>
      </c>
      <c r="B93" s="33">
        <v>400271.422</v>
      </c>
      <c r="C93" s="33">
        <v>670.16</v>
      </c>
      <c r="D93" s="11">
        <v>45017</v>
      </c>
      <c r="E93" s="85"/>
    </row>
    <row r="94" ht="15.75" spans="1:5">
      <c r="A94" s="33" t="s">
        <v>588</v>
      </c>
      <c r="B94" s="33">
        <v>400271.422</v>
      </c>
      <c r="C94" s="33">
        <v>670.16</v>
      </c>
      <c r="D94" s="11">
        <v>45018</v>
      </c>
      <c r="E94" s="85"/>
    </row>
    <row r="95" ht="15.75" spans="1:5">
      <c r="A95" s="33" t="s">
        <v>589</v>
      </c>
      <c r="B95" s="33">
        <v>400271.422</v>
      </c>
      <c r="C95" s="33">
        <v>670.16</v>
      </c>
      <c r="D95" s="11">
        <v>45019</v>
      </c>
      <c r="E95" s="85"/>
    </row>
    <row r="96" ht="15.75" spans="1:5">
      <c r="A96" s="33" t="s">
        <v>590</v>
      </c>
      <c r="B96" s="33">
        <v>400271.422</v>
      </c>
      <c r="C96" s="33">
        <v>670.16</v>
      </c>
      <c r="D96" s="11">
        <v>45020</v>
      </c>
      <c r="E96" s="90"/>
    </row>
    <row r="97" ht="15.75" spans="1:5">
      <c r="A97" s="33" t="s">
        <v>591</v>
      </c>
      <c r="B97" s="33">
        <v>400271.422</v>
      </c>
      <c r="C97" s="33">
        <v>670.16</v>
      </c>
      <c r="D97" s="11">
        <v>45021</v>
      </c>
      <c r="E97" s="85"/>
    </row>
    <row r="98" ht="15.75" spans="1:5">
      <c r="A98" s="33" t="s">
        <v>592</v>
      </c>
      <c r="B98" s="33">
        <v>400271.422</v>
      </c>
      <c r="C98" s="33">
        <v>670.16</v>
      </c>
      <c r="D98" s="11">
        <v>45022</v>
      </c>
      <c r="E98" s="86"/>
    </row>
    <row r="99" ht="15.75" spans="1:5">
      <c r="A99" s="33" t="s">
        <v>593</v>
      </c>
      <c r="B99" s="33">
        <v>400271.422</v>
      </c>
      <c r="C99" s="33">
        <v>670.16</v>
      </c>
      <c r="D99" s="11">
        <v>45023</v>
      </c>
      <c r="E99" s="86"/>
    </row>
    <row r="100" ht="15.75" spans="1:5">
      <c r="A100" s="33" t="s">
        <v>594</v>
      </c>
      <c r="B100" s="33">
        <v>400271.422</v>
      </c>
      <c r="C100" s="33">
        <v>670.16</v>
      </c>
      <c r="D100" s="11">
        <v>45024</v>
      </c>
      <c r="E100" s="86"/>
    </row>
    <row r="101" ht="15.75" spans="1:5">
      <c r="A101" s="33" t="s">
        <v>595</v>
      </c>
      <c r="B101" s="33">
        <v>400271.422</v>
      </c>
      <c r="C101" s="33">
        <v>670.16</v>
      </c>
      <c r="D101" s="11">
        <v>45025</v>
      </c>
      <c r="E101" s="86"/>
    </row>
    <row r="102" ht="15.75" spans="1:5">
      <c r="A102" s="33" t="s">
        <v>596</v>
      </c>
      <c r="B102" s="33">
        <v>400271.422</v>
      </c>
      <c r="C102" s="33">
        <v>670.16</v>
      </c>
      <c r="D102" s="11">
        <v>45026</v>
      </c>
      <c r="E102" s="86"/>
    </row>
    <row r="103" ht="15.75" spans="1:5">
      <c r="A103" s="33" t="s">
        <v>597</v>
      </c>
      <c r="B103" s="33">
        <v>400271.422</v>
      </c>
      <c r="C103" s="33">
        <v>670.16</v>
      </c>
      <c r="D103" s="11">
        <v>45027</v>
      </c>
      <c r="E103" s="86"/>
    </row>
    <row r="104" ht="15.75" spans="1:5">
      <c r="A104" s="33" t="s">
        <v>598</v>
      </c>
      <c r="B104" s="33">
        <v>400271.422</v>
      </c>
      <c r="C104" s="33">
        <v>670.16</v>
      </c>
      <c r="D104" s="11">
        <v>45028</v>
      </c>
      <c r="E104" s="90"/>
    </row>
    <row r="105" ht="15.75" spans="1:5">
      <c r="A105" s="33" t="s">
        <v>599</v>
      </c>
      <c r="B105" s="33">
        <v>400271.422</v>
      </c>
      <c r="C105" s="33">
        <v>670.16</v>
      </c>
      <c r="D105" s="11">
        <v>45029</v>
      </c>
      <c r="E105" s="86"/>
    </row>
    <row r="106" ht="15.75" spans="1:5">
      <c r="A106" s="33" t="s">
        <v>600</v>
      </c>
      <c r="B106" s="33">
        <v>400271.422</v>
      </c>
      <c r="C106" s="33">
        <v>670.16</v>
      </c>
      <c r="D106" s="11">
        <v>45030</v>
      </c>
      <c r="E106" s="86"/>
    </row>
    <row r="107" ht="15.75" spans="1:5">
      <c r="A107" s="33" t="s">
        <v>601</v>
      </c>
      <c r="B107" s="33">
        <v>400271.422</v>
      </c>
      <c r="C107" s="33">
        <v>670.16</v>
      </c>
      <c r="D107" s="11">
        <v>45031</v>
      </c>
      <c r="E107" s="86"/>
    </row>
    <row r="108" ht="15.75" spans="1:5">
      <c r="A108" s="33" t="s">
        <v>602</v>
      </c>
      <c r="B108" s="33">
        <v>400271.422</v>
      </c>
      <c r="C108" s="33">
        <v>670.16</v>
      </c>
      <c r="D108" s="11">
        <v>45032</v>
      </c>
      <c r="E108" s="86"/>
    </row>
    <row r="109" ht="15.75" spans="1:5">
      <c r="A109" s="33" t="s">
        <v>603</v>
      </c>
      <c r="B109" s="33">
        <v>400271.422</v>
      </c>
      <c r="C109" s="33">
        <v>670.16</v>
      </c>
      <c r="D109" s="11">
        <v>45033</v>
      </c>
      <c r="E109" s="86"/>
    </row>
    <row r="110" ht="15.75" spans="1:5">
      <c r="A110" s="33" t="s">
        <v>604</v>
      </c>
      <c r="B110" s="33">
        <v>400271.422</v>
      </c>
      <c r="C110" s="33">
        <v>670.16</v>
      </c>
      <c r="D110" s="11">
        <v>45034</v>
      </c>
      <c r="E110" s="86"/>
    </row>
    <row r="111" ht="15.75" spans="1:5">
      <c r="A111" s="33" t="s">
        <v>605</v>
      </c>
      <c r="B111" s="33">
        <v>400271.422</v>
      </c>
      <c r="C111" s="33">
        <v>670.16</v>
      </c>
      <c r="D111" s="11">
        <v>45035</v>
      </c>
      <c r="E111" s="86"/>
    </row>
    <row r="112" ht="15.75" spans="1:5">
      <c r="A112" s="33" t="s">
        <v>606</v>
      </c>
      <c r="B112" s="33">
        <v>400271.422</v>
      </c>
      <c r="C112" s="33">
        <v>670.16</v>
      </c>
      <c r="D112" s="11">
        <v>45036</v>
      </c>
      <c r="E112" s="86"/>
    </row>
    <row r="113" ht="15.75" spans="1:5">
      <c r="A113" s="33" t="s">
        <v>607</v>
      </c>
      <c r="B113" s="33">
        <v>400271.422</v>
      </c>
      <c r="C113" s="33">
        <v>670.16</v>
      </c>
      <c r="D113" s="11">
        <v>45037</v>
      </c>
      <c r="E113" s="86"/>
    </row>
    <row r="114" ht="15.75" spans="1:5">
      <c r="A114" s="33" t="s">
        <v>608</v>
      </c>
      <c r="B114" s="33">
        <v>400271.422</v>
      </c>
      <c r="C114" s="33">
        <v>670.16</v>
      </c>
      <c r="D114" s="11">
        <v>45038</v>
      </c>
      <c r="E114" s="86"/>
    </row>
    <row r="115" ht="15.75" spans="1:5">
      <c r="A115" s="33" t="s">
        <v>609</v>
      </c>
      <c r="B115" s="33">
        <v>400271.422</v>
      </c>
      <c r="C115" s="33">
        <v>670.16</v>
      </c>
      <c r="D115" s="11">
        <v>45039</v>
      </c>
      <c r="E115" s="86"/>
    </row>
    <row r="116" ht="15.75" spans="1:5">
      <c r="A116" s="33" t="s">
        <v>610</v>
      </c>
      <c r="B116" s="33">
        <v>400271.422</v>
      </c>
      <c r="C116" s="33">
        <v>670.16</v>
      </c>
      <c r="D116" s="11">
        <v>45040</v>
      </c>
      <c r="E116" s="86"/>
    </row>
    <row r="117" ht="15.75" spans="1:5">
      <c r="A117" s="33" t="s">
        <v>611</v>
      </c>
      <c r="B117" s="33">
        <v>400271.422</v>
      </c>
      <c r="C117" s="33">
        <v>670.16</v>
      </c>
      <c r="D117" s="11">
        <v>45041</v>
      </c>
      <c r="E117" s="86"/>
    </row>
    <row r="118" ht="15.75" spans="1:5">
      <c r="A118" s="33" t="s">
        <v>612</v>
      </c>
      <c r="B118" s="33">
        <v>400271.422</v>
      </c>
      <c r="C118" s="33">
        <v>670.16</v>
      </c>
      <c r="D118" s="11">
        <v>45042</v>
      </c>
      <c r="E118" s="86"/>
    </row>
    <row r="119" ht="15.75" spans="1:5">
      <c r="A119" s="33" t="s">
        <v>613</v>
      </c>
      <c r="B119" s="33">
        <v>400271.422</v>
      </c>
      <c r="C119" s="33">
        <v>670.16</v>
      </c>
      <c r="D119" s="11">
        <v>45043</v>
      </c>
      <c r="E119" s="86"/>
    </row>
    <row r="120" ht="15.75" spans="1:5">
      <c r="A120" s="33" t="s">
        <v>614</v>
      </c>
      <c r="B120" s="33">
        <v>400271.422</v>
      </c>
      <c r="C120" s="33">
        <v>670.16</v>
      </c>
      <c r="D120" s="11">
        <v>45044</v>
      </c>
      <c r="E120" s="86"/>
    </row>
    <row r="121" ht="15.75" spans="1:5">
      <c r="A121" s="33" t="s">
        <v>615</v>
      </c>
      <c r="B121" s="33">
        <v>400271.422</v>
      </c>
      <c r="C121" s="33">
        <v>670.16</v>
      </c>
      <c r="D121" s="11">
        <v>45045</v>
      </c>
      <c r="E121" s="86"/>
    </row>
    <row r="122" ht="15.75" spans="1:5">
      <c r="A122" s="33" t="s">
        <v>616</v>
      </c>
      <c r="B122" s="33">
        <v>400271.422</v>
      </c>
      <c r="C122" s="33">
        <v>670.16</v>
      </c>
      <c r="D122" s="11">
        <v>45046</v>
      </c>
      <c r="E122" s="86"/>
    </row>
    <row r="123" ht="15.75" spans="1:5">
      <c r="A123" s="33" t="s">
        <v>617</v>
      </c>
      <c r="B123" s="33">
        <v>400271.422</v>
      </c>
      <c r="C123" s="33">
        <v>670.16</v>
      </c>
      <c r="D123" s="11">
        <v>45047</v>
      </c>
      <c r="E123" s="86"/>
    </row>
    <row r="124" ht="15.75" spans="1:5">
      <c r="A124" s="33" t="s">
        <v>618</v>
      </c>
      <c r="B124" s="33">
        <v>400271.422</v>
      </c>
      <c r="C124" s="33">
        <v>670.16</v>
      </c>
      <c r="D124" s="11">
        <v>45048</v>
      </c>
      <c r="E124" s="86"/>
    </row>
    <row r="125" ht="15.75" spans="1:5">
      <c r="A125" s="33" t="s">
        <v>619</v>
      </c>
      <c r="B125" s="33">
        <v>400271.422</v>
      </c>
      <c r="C125" s="33">
        <v>670.16</v>
      </c>
      <c r="D125" s="11">
        <v>45049</v>
      </c>
      <c r="E125" s="86"/>
    </row>
    <row r="126" ht="15.75" spans="1:5">
      <c r="A126" s="33" t="s">
        <v>620</v>
      </c>
      <c r="B126" s="33">
        <v>400271.422</v>
      </c>
      <c r="C126" s="33">
        <v>670.16</v>
      </c>
      <c r="D126" s="11">
        <v>45050</v>
      </c>
      <c r="E126" s="86"/>
    </row>
    <row r="127" ht="15.75" spans="1:5">
      <c r="A127" s="33" t="s">
        <v>621</v>
      </c>
      <c r="B127" s="33">
        <v>400271.422</v>
      </c>
      <c r="C127" s="33">
        <v>670.16</v>
      </c>
      <c r="D127" s="11">
        <v>45051</v>
      </c>
      <c r="E127" s="86"/>
    </row>
    <row r="128" ht="15.75" spans="1:5">
      <c r="A128" s="33" t="s">
        <v>622</v>
      </c>
      <c r="B128" s="33">
        <v>400271.422</v>
      </c>
      <c r="C128" s="33">
        <v>670.16</v>
      </c>
      <c r="D128" s="11">
        <v>45052</v>
      </c>
      <c r="E128" s="86"/>
    </row>
    <row r="129" ht="15.75" spans="1:5">
      <c r="A129" s="33" t="s">
        <v>623</v>
      </c>
      <c r="B129" s="33">
        <v>400271.422</v>
      </c>
      <c r="C129" s="33">
        <v>670.16</v>
      </c>
      <c r="D129" s="11">
        <v>45053</v>
      </c>
      <c r="E129" s="86"/>
    </row>
    <row r="130" ht="15.75" spans="1:5">
      <c r="A130" s="33" t="s">
        <v>624</v>
      </c>
      <c r="B130" s="33">
        <v>400271.422</v>
      </c>
      <c r="C130" s="33">
        <v>670.16</v>
      </c>
      <c r="D130" s="11">
        <v>45054</v>
      </c>
      <c r="E130" s="86"/>
    </row>
    <row r="131" ht="15.75" spans="1:5">
      <c r="A131" s="33" t="s">
        <v>625</v>
      </c>
      <c r="B131" s="33">
        <v>400271.422</v>
      </c>
      <c r="C131" s="33">
        <v>670.16</v>
      </c>
      <c r="D131" s="11">
        <v>45055</v>
      </c>
      <c r="E131" s="86"/>
    </row>
    <row r="132" ht="15.75" spans="1:5">
      <c r="A132" s="33" t="s">
        <v>626</v>
      </c>
      <c r="B132" s="33">
        <v>400271.422</v>
      </c>
      <c r="C132" s="33">
        <v>670.16</v>
      </c>
      <c r="D132" s="11">
        <v>45056</v>
      </c>
      <c r="E132" s="86"/>
    </row>
    <row r="133" ht="15.75" spans="1:5">
      <c r="A133" s="33" t="s">
        <v>627</v>
      </c>
      <c r="B133" s="33">
        <v>400271.422</v>
      </c>
      <c r="C133" s="33">
        <v>670.16</v>
      </c>
      <c r="D133" s="11">
        <v>45057</v>
      </c>
      <c r="E133" s="86"/>
    </row>
    <row r="134" ht="15.75" spans="1:5">
      <c r="A134" s="33" t="s">
        <v>628</v>
      </c>
      <c r="B134" s="33">
        <v>400271.422</v>
      </c>
      <c r="C134" s="33">
        <v>670.16</v>
      </c>
      <c r="D134" s="11">
        <v>45058</v>
      </c>
      <c r="E134" s="86"/>
    </row>
    <row r="135" ht="15.75" spans="1:5">
      <c r="A135" s="33" t="s">
        <v>629</v>
      </c>
      <c r="B135" s="33">
        <v>400271.422</v>
      </c>
      <c r="C135" s="33">
        <v>670.16</v>
      </c>
      <c r="D135" s="11">
        <v>45059</v>
      </c>
      <c r="E135" s="86"/>
    </row>
    <row r="136" ht="15.75" spans="1:5">
      <c r="A136" s="33" t="s">
        <v>630</v>
      </c>
      <c r="B136" s="33">
        <v>400271.422</v>
      </c>
      <c r="C136" s="33">
        <v>670.16</v>
      </c>
      <c r="D136" s="11">
        <v>45060</v>
      </c>
      <c r="E136" s="86"/>
    </row>
    <row r="137" ht="15.75" spans="1:5">
      <c r="A137" s="33" t="s">
        <v>631</v>
      </c>
      <c r="B137" s="33">
        <v>400271.422</v>
      </c>
      <c r="C137" s="33">
        <v>670.16</v>
      </c>
      <c r="D137" s="11">
        <v>45061</v>
      </c>
      <c r="E137" s="86"/>
    </row>
    <row r="138" ht="15.75" spans="1:5">
      <c r="A138" s="33" t="s">
        <v>632</v>
      </c>
      <c r="B138" s="33">
        <v>400271.422</v>
      </c>
      <c r="C138" s="33">
        <v>670.16</v>
      </c>
      <c r="D138" s="11">
        <v>45062</v>
      </c>
      <c r="E138" s="86"/>
    </row>
    <row r="139" ht="15.75" spans="1:5">
      <c r="A139" s="33" t="s">
        <v>633</v>
      </c>
      <c r="B139" s="33">
        <v>400271.422</v>
      </c>
      <c r="C139" s="33">
        <v>670.16</v>
      </c>
      <c r="D139" s="11">
        <v>45063</v>
      </c>
      <c r="E139" s="86"/>
    </row>
    <row r="140" ht="15.75" spans="1:5">
      <c r="A140" s="33" t="s">
        <v>634</v>
      </c>
      <c r="B140" s="33">
        <v>400271.422</v>
      </c>
      <c r="C140" s="33">
        <v>670.16</v>
      </c>
      <c r="D140" s="11">
        <v>45064</v>
      </c>
      <c r="E140" s="86"/>
    </row>
    <row r="141" ht="15.75" spans="1:5">
      <c r="A141" s="33" t="s">
        <v>635</v>
      </c>
      <c r="B141" s="33">
        <v>400271.422</v>
      </c>
      <c r="C141" s="33">
        <v>670.16</v>
      </c>
      <c r="D141" s="11">
        <v>45065</v>
      </c>
      <c r="E141" s="86"/>
    </row>
    <row r="142" ht="15.75" spans="1:5">
      <c r="A142" s="33" t="s">
        <v>636</v>
      </c>
      <c r="B142" s="33">
        <v>400271.422</v>
      </c>
      <c r="C142" s="33">
        <v>670.16</v>
      </c>
      <c r="D142" s="11">
        <v>45066</v>
      </c>
      <c r="E142" s="86"/>
    </row>
    <row r="143" ht="15.75" spans="1:5">
      <c r="A143" s="33" t="s">
        <v>637</v>
      </c>
      <c r="B143" s="33">
        <v>400271.422</v>
      </c>
      <c r="C143" s="33">
        <v>670.16</v>
      </c>
      <c r="D143" s="11">
        <v>45067</v>
      </c>
      <c r="E143" s="86"/>
    </row>
    <row r="144" ht="15.75" spans="1:5">
      <c r="A144" s="33" t="s">
        <v>638</v>
      </c>
      <c r="B144" s="33">
        <v>400271.422</v>
      </c>
      <c r="C144" s="33">
        <v>670.16</v>
      </c>
      <c r="D144" s="11">
        <v>45068</v>
      </c>
      <c r="E144" s="86"/>
    </row>
    <row r="145" ht="15.75" spans="1:5">
      <c r="A145" s="33" t="s">
        <v>639</v>
      </c>
      <c r="B145" s="33">
        <v>400271.422</v>
      </c>
      <c r="C145" s="33">
        <v>670.16</v>
      </c>
      <c r="D145" s="11">
        <v>45069</v>
      </c>
      <c r="E145" s="86"/>
    </row>
    <row r="146" ht="15.75" spans="1:5">
      <c r="A146" s="33" t="s">
        <v>640</v>
      </c>
      <c r="B146" s="33">
        <v>400271.422</v>
      </c>
      <c r="C146" s="33">
        <v>670.16</v>
      </c>
      <c r="D146" s="11">
        <v>45070</v>
      </c>
      <c r="E146" s="86"/>
    </row>
    <row r="147" ht="15.75" spans="1:5">
      <c r="A147" s="33" t="s">
        <v>641</v>
      </c>
      <c r="B147" s="33">
        <v>400271.422</v>
      </c>
      <c r="C147" s="33">
        <v>670.16</v>
      </c>
      <c r="D147" s="11">
        <v>45071</v>
      </c>
      <c r="E147" s="86"/>
    </row>
    <row r="148" ht="15.75" spans="1:5">
      <c r="A148" s="33" t="s">
        <v>642</v>
      </c>
      <c r="B148" s="33">
        <v>400271.422</v>
      </c>
      <c r="C148" s="33">
        <v>670.16</v>
      </c>
      <c r="D148" s="11">
        <v>45072</v>
      </c>
      <c r="E148" s="86"/>
    </row>
    <row r="149" ht="15.75" spans="1:5">
      <c r="A149" s="33" t="s">
        <v>643</v>
      </c>
      <c r="B149" s="33">
        <v>400271.422</v>
      </c>
      <c r="C149" s="33">
        <v>670.16</v>
      </c>
      <c r="D149" s="11">
        <v>45073</v>
      </c>
      <c r="E149" s="86"/>
    </row>
    <row r="150" ht="15.75" spans="1:5">
      <c r="A150" s="33" t="s">
        <v>644</v>
      </c>
      <c r="B150" s="33">
        <v>400271.422</v>
      </c>
      <c r="C150" s="33">
        <v>670.16</v>
      </c>
      <c r="D150" s="11">
        <v>45074</v>
      </c>
      <c r="E150" s="86"/>
    </row>
    <row r="151" ht="15.75" spans="1:5">
      <c r="A151" s="33" t="s">
        <v>645</v>
      </c>
      <c r="B151" s="33">
        <v>400271.422</v>
      </c>
      <c r="C151" s="33">
        <v>670.16</v>
      </c>
      <c r="D151" s="11">
        <v>45075</v>
      </c>
      <c r="E151" s="86"/>
    </row>
    <row r="152" ht="15.75" spans="1:5">
      <c r="A152" s="33" t="s">
        <v>646</v>
      </c>
      <c r="B152" s="33">
        <v>400271.422</v>
      </c>
      <c r="C152" s="33">
        <v>670.16</v>
      </c>
      <c r="D152" s="11">
        <v>45076</v>
      </c>
      <c r="E152" s="86"/>
    </row>
    <row r="153" ht="15.75" spans="1:5">
      <c r="A153" s="33" t="s">
        <v>647</v>
      </c>
      <c r="B153" s="33">
        <v>400271.422</v>
      </c>
      <c r="C153" s="33">
        <v>670.16</v>
      </c>
      <c r="D153" s="11">
        <v>45077</v>
      </c>
      <c r="E153" s="86"/>
    </row>
    <row r="154" ht="15.75" spans="1:5">
      <c r="A154" s="33" t="s">
        <v>648</v>
      </c>
      <c r="B154" s="33">
        <v>400271.422</v>
      </c>
      <c r="C154" s="33">
        <v>670.16</v>
      </c>
      <c r="D154" s="11">
        <v>45078</v>
      </c>
      <c r="E154" s="86"/>
    </row>
    <row r="155" ht="15.75" spans="1:5">
      <c r="A155" s="33" t="s">
        <v>649</v>
      </c>
      <c r="B155" s="33">
        <v>400271.422</v>
      </c>
      <c r="C155" s="33">
        <v>670.16</v>
      </c>
      <c r="D155" s="11">
        <v>45079</v>
      </c>
      <c r="E155" s="86"/>
    </row>
    <row r="156" ht="15.75" spans="1:5">
      <c r="A156" s="33" t="s">
        <v>650</v>
      </c>
      <c r="B156" s="33">
        <v>400271.422</v>
      </c>
      <c r="C156" s="33">
        <v>670.16</v>
      </c>
      <c r="D156" s="11">
        <v>45080</v>
      </c>
      <c r="E156" s="86"/>
    </row>
    <row r="157" ht="15.75" spans="1:5">
      <c r="A157" s="33" t="s">
        <v>651</v>
      </c>
      <c r="B157" s="33">
        <v>400271.422</v>
      </c>
      <c r="C157" s="33">
        <v>670.16</v>
      </c>
      <c r="D157" s="11">
        <v>45081</v>
      </c>
      <c r="E157" s="86"/>
    </row>
    <row r="158" ht="15.75" spans="1:5">
      <c r="A158" s="33" t="s">
        <v>652</v>
      </c>
      <c r="B158" s="33">
        <v>400271.422</v>
      </c>
      <c r="C158" s="33">
        <v>670.16</v>
      </c>
      <c r="D158" s="11">
        <v>45082</v>
      </c>
      <c r="E158" s="86"/>
    </row>
    <row r="159" ht="15.75" spans="1:5">
      <c r="A159" s="33" t="s">
        <v>653</v>
      </c>
      <c r="B159" s="33">
        <v>400271.422</v>
      </c>
      <c r="C159" s="33">
        <v>670.16</v>
      </c>
      <c r="D159" s="11">
        <v>45083</v>
      </c>
      <c r="E159" s="86"/>
    </row>
    <row r="160" ht="15.75" spans="1:5">
      <c r="A160" s="33" t="s">
        <v>654</v>
      </c>
      <c r="B160" s="33">
        <v>400271.422</v>
      </c>
      <c r="C160" s="33">
        <v>670.16</v>
      </c>
      <c r="D160" s="11">
        <v>45084</v>
      </c>
      <c r="E160" s="86"/>
    </row>
    <row r="161" ht="15.75" spans="1:5">
      <c r="A161" s="33" t="s">
        <v>655</v>
      </c>
      <c r="B161" s="33">
        <v>400271.422</v>
      </c>
      <c r="C161" s="33">
        <v>670.16</v>
      </c>
      <c r="D161" s="11">
        <v>45085</v>
      </c>
      <c r="E161" s="86"/>
    </row>
    <row r="162" ht="15.75" spans="1:5">
      <c r="A162" s="33" t="s">
        <v>656</v>
      </c>
      <c r="B162" s="33">
        <v>400271.422</v>
      </c>
      <c r="C162" s="33">
        <v>670.16</v>
      </c>
      <c r="D162" s="11">
        <v>45086</v>
      </c>
      <c r="E162" s="86"/>
    </row>
    <row r="163" ht="15.75" spans="1:5">
      <c r="A163" s="33" t="s">
        <v>657</v>
      </c>
      <c r="B163" s="33">
        <v>400271.422</v>
      </c>
      <c r="C163" s="33">
        <v>670.16</v>
      </c>
      <c r="D163" s="11">
        <v>45087</v>
      </c>
      <c r="E163" s="86"/>
    </row>
    <row r="164" ht="15.75" spans="1:5">
      <c r="A164" s="33" t="s">
        <v>658</v>
      </c>
      <c r="B164" s="33">
        <v>400271.422</v>
      </c>
      <c r="C164" s="33">
        <v>670.16</v>
      </c>
      <c r="D164" s="11">
        <v>45088</v>
      </c>
      <c r="E164" s="86"/>
    </row>
    <row r="165" ht="15.75" spans="1:5">
      <c r="A165" s="33" t="s">
        <v>659</v>
      </c>
      <c r="B165" s="33">
        <v>400271.422</v>
      </c>
      <c r="C165" s="33">
        <v>670.16</v>
      </c>
      <c r="D165" s="11">
        <v>45089</v>
      </c>
      <c r="E165" s="86"/>
    </row>
    <row r="166" ht="15.75" spans="1:5">
      <c r="A166" s="33" t="s">
        <v>660</v>
      </c>
      <c r="B166" s="33">
        <v>400271.422</v>
      </c>
      <c r="C166" s="33">
        <v>670.16</v>
      </c>
      <c r="D166" s="11">
        <v>45090</v>
      </c>
      <c r="E166" s="86"/>
    </row>
    <row r="167" ht="15.75" spans="1:5">
      <c r="A167" s="33" t="s">
        <v>661</v>
      </c>
      <c r="B167" s="33">
        <v>400271.422</v>
      </c>
      <c r="C167" s="33">
        <v>670.16</v>
      </c>
      <c r="D167" s="11">
        <v>45091</v>
      </c>
      <c r="E167" s="86"/>
    </row>
    <row r="168" ht="15.75" spans="1:5">
      <c r="A168" s="33" t="s">
        <v>662</v>
      </c>
      <c r="B168" s="33">
        <v>400271.422</v>
      </c>
      <c r="C168" s="33">
        <v>670.16</v>
      </c>
      <c r="D168" s="11">
        <v>45092</v>
      </c>
      <c r="E168" s="86"/>
    </row>
    <row r="169" ht="15.75" spans="1:5">
      <c r="A169" s="33" t="s">
        <v>663</v>
      </c>
      <c r="B169" s="33">
        <v>400271.422</v>
      </c>
      <c r="C169" s="33">
        <v>670.16</v>
      </c>
      <c r="D169" s="11">
        <v>45093</v>
      </c>
      <c r="E169" s="86"/>
    </row>
    <row r="170" ht="15.75" spans="1:5">
      <c r="A170" s="33" t="s">
        <v>664</v>
      </c>
      <c r="B170" s="33">
        <v>400271.422</v>
      </c>
      <c r="C170" s="33">
        <v>670.16</v>
      </c>
      <c r="D170" s="11">
        <v>45094</v>
      </c>
      <c r="E170" s="86"/>
    </row>
    <row r="171" ht="15.75" spans="1:5">
      <c r="A171" s="33" t="s">
        <v>665</v>
      </c>
      <c r="B171" s="33">
        <v>400271.422</v>
      </c>
      <c r="C171" s="33">
        <v>670.16</v>
      </c>
      <c r="D171" s="11">
        <v>45095</v>
      </c>
      <c r="E171" s="86"/>
    </row>
    <row r="172" ht="15.75" spans="1:5">
      <c r="A172" s="33" t="s">
        <v>666</v>
      </c>
      <c r="B172" s="33">
        <v>400271.422</v>
      </c>
      <c r="C172" s="33">
        <v>670.16</v>
      </c>
      <c r="D172" s="11">
        <v>45096</v>
      </c>
      <c r="E172" s="86"/>
    </row>
    <row r="173" ht="15.75" spans="1:5">
      <c r="A173" s="33" t="s">
        <v>667</v>
      </c>
      <c r="B173" s="33">
        <v>400271.422</v>
      </c>
      <c r="C173" s="33">
        <v>670.16</v>
      </c>
      <c r="D173" s="11">
        <v>45097</v>
      </c>
      <c r="E173" s="86"/>
    </row>
    <row r="174" ht="15.75" spans="1:5">
      <c r="A174" s="33" t="s">
        <v>668</v>
      </c>
      <c r="B174" s="33">
        <v>400271.422</v>
      </c>
      <c r="C174" s="33">
        <v>670.16</v>
      </c>
      <c r="D174" s="11">
        <v>45098</v>
      </c>
      <c r="E174" s="86"/>
    </row>
    <row r="175" ht="15.75" spans="1:5">
      <c r="A175" s="33" t="s">
        <v>669</v>
      </c>
      <c r="B175" s="33">
        <v>400271.422</v>
      </c>
      <c r="C175" s="33">
        <v>670.16</v>
      </c>
      <c r="D175" s="11">
        <v>45099</v>
      </c>
      <c r="E175" s="86"/>
    </row>
    <row r="176" ht="15.75" spans="1:5">
      <c r="A176" s="33" t="s">
        <v>670</v>
      </c>
      <c r="B176" s="33">
        <v>400271.422</v>
      </c>
      <c r="C176" s="33">
        <v>670.16</v>
      </c>
      <c r="D176" s="11">
        <v>45100</v>
      </c>
      <c r="E176" s="86"/>
    </row>
    <row r="177" ht="15.75" spans="1:5">
      <c r="A177" s="33" t="s">
        <v>671</v>
      </c>
      <c r="B177" s="33">
        <v>400271.422</v>
      </c>
      <c r="C177" s="33">
        <v>670.16</v>
      </c>
      <c r="D177" s="11">
        <v>45101</v>
      </c>
      <c r="E177" s="86"/>
    </row>
    <row r="178" ht="15.75" spans="1:5">
      <c r="A178" s="33" t="s">
        <v>672</v>
      </c>
      <c r="B178" s="33">
        <v>400271.422</v>
      </c>
      <c r="C178" s="33">
        <v>670.16</v>
      </c>
      <c r="D178" s="11">
        <v>45102</v>
      </c>
      <c r="E178" s="86"/>
    </row>
    <row r="179" ht="15.75" spans="1:5">
      <c r="A179" s="33" t="s">
        <v>673</v>
      </c>
      <c r="B179" s="33">
        <v>400271.422</v>
      </c>
      <c r="C179" s="33">
        <v>670.16</v>
      </c>
      <c r="D179" s="11">
        <v>45103</v>
      </c>
      <c r="E179" s="86"/>
    </row>
    <row r="180" ht="15.75" spans="1:5">
      <c r="A180" s="33" t="s">
        <v>674</v>
      </c>
      <c r="B180" s="33">
        <v>400271.422</v>
      </c>
      <c r="C180" s="33">
        <v>670.16</v>
      </c>
      <c r="D180" s="11">
        <v>45104</v>
      </c>
      <c r="E180" s="86"/>
    </row>
    <row r="181" ht="15.75" spans="1:5">
      <c r="A181" s="33" t="s">
        <v>675</v>
      </c>
      <c r="B181" s="33">
        <v>400271.422</v>
      </c>
      <c r="C181" s="33">
        <v>670.16</v>
      </c>
      <c r="D181" s="11">
        <v>45105</v>
      </c>
      <c r="E181" s="86"/>
    </row>
    <row r="182" ht="15.75" spans="1:5">
      <c r="A182" s="33" t="s">
        <v>676</v>
      </c>
      <c r="B182" s="33">
        <v>400271.422</v>
      </c>
      <c r="C182" s="33">
        <v>670.16</v>
      </c>
      <c r="D182" s="11">
        <v>45106</v>
      </c>
      <c r="E182" s="86"/>
    </row>
    <row r="183" ht="15.75" spans="1:5">
      <c r="A183" s="33" t="s">
        <v>677</v>
      </c>
      <c r="B183" s="33">
        <v>400271.422</v>
      </c>
      <c r="C183" s="33">
        <v>670.16</v>
      </c>
      <c r="D183" s="11">
        <v>45107</v>
      </c>
      <c r="E183" s="86"/>
    </row>
    <row r="184" ht="15.75" spans="1:5">
      <c r="A184" s="33" t="s">
        <v>678</v>
      </c>
      <c r="B184" s="33">
        <v>400271.422</v>
      </c>
      <c r="C184" s="33">
        <v>670.16</v>
      </c>
      <c r="D184" s="11">
        <v>45108</v>
      </c>
      <c r="E184" s="86"/>
    </row>
    <row r="185" ht="15.75" spans="1:5">
      <c r="A185" s="33" t="s">
        <v>679</v>
      </c>
      <c r="B185" s="33">
        <v>400271.422</v>
      </c>
      <c r="C185" s="33">
        <v>670.16</v>
      </c>
      <c r="D185" s="11">
        <v>45109</v>
      </c>
      <c r="E185" s="86"/>
    </row>
    <row r="186" ht="15.75" spans="1:5">
      <c r="A186" s="33" t="s">
        <v>680</v>
      </c>
      <c r="B186" s="33">
        <v>400271.422</v>
      </c>
      <c r="C186" s="33">
        <v>670.16</v>
      </c>
      <c r="D186" s="11">
        <v>45110</v>
      </c>
      <c r="E186" s="86"/>
    </row>
    <row r="187" ht="15.75" spans="1:5">
      <c r="A187" s="33" t="s">
        <v>681</v>
      </c>
      <c r="B187" s="33">
        <v>400271.422</v>
      </c>
      <c r="C187" s="33">
        <v>670.16</v>
      </c>
      <c r="D187" s="11">
        <v>45111</v>
      </c>
      <c r="E187" s="86"/>
    </row>
    <row r="188" ht="15.75" spans="1:5">
      <c r="A188" s="33" t="s">
        <v>682</v>
      </c>
      <c r="B188" s="33">
        <v>400271.422</v>
      </c>
      <c r="C188" s="33">
        <v>670.16</v>
      </c>
      <c r="D188" s="11">
        <v>45112</v>
      </c>
      <c r="E188" s="86"/>
    </row>
    <row r="189" ht="15.75" spans="1:5">
      <c r="A189" s="33" t="s">
        <v>683</v>
      </c>
      <c r="B189" s="33">
        <v>400271.422</v>
      </c>
      <c r="C189" s="33">
        <v>670.16</v>
      </c>
      <c r="D189" s="11">
        <v>45113</v>
      </c>
      <c r="E189" s="86"/>
    </row>
    <row r="190" ht="15.75" spans="1:5">
      <c r="A190" s="33" t="s">
        <v>684</v>
      </c>
      <c r="B190" s="33">
        <v>400271.422</v>
      </c>
      <c r="C190" s="33">
        <v>670.16</v>
      </c>
      <c r="D190" s="11">
        <v>45114</v>
      </c>
      <c r="E190" s="86"/>
    </row>
    <row r="191" ht="15.75" spans="1:5">
      <c r="A191" s="33" t="s">
        <v>685</v>
      </c>
      <c r="B191" s="33">
        <v>400271.422</v>
      </c>
      <c r="C191" s="33">
        <v>670.16</v>
      </c>
      <c r="D191" s="11">
        <v>45115</v>
      </c>
      <c r="E191" s="86"/>
    </row>
    <row r="192" ht="15.75" spans="1:5">
      <c r="A192" s="33" t="s">
        <v>686</v>
      </c>
      <c r="B192" s="33">
        <v>400271.422</v>
      </c>
      <c r="C192" s="33">
        <v>670.16</v>
      </c>
      <c r="D192" s="11">
        <v>45116</v>
      </c>
      <c r="E192" s="86"/>
    </row>
    <row r="193" ht="15.75" spans="1:5">
      <c r="A193" s="33" t="s">
        <v>687</v>
      </c>
      <c r="B193" s="33">
        <v>400271.422</v>
      </c>
      <c r="C193" s="33">
        <v>670.16</v>
      </c>
      <c r="D193" s="11">
        <v>45117</v>
      </c>
      <c r="E193" s="86"/>
    </row>
    <row r="194" ht="15.75" spans="1:5">
      <c r="A194" s="33" t="s">
        <v>688</v>
      </c>
      <c r="B194" s="33">
        <v>400271.422</v>
      </c>
      <c r="C194" s="33">
        <v>670.16</v>
      </c>
      <c r="D194" s="11">
        <v>45118</v>
      </c>
      <c r="E194" s="86"/>
    </row>
    <row r="195" ht="15.75" spans="1:5">
      <c r="A195" s="33" t="s">
        <v>689</v>
      </c>
      <c r="B195" s="33">
        <v>400271.422</v>
      </c>
      <c r="C195" s="33">
        <v>670.16</v>
      </c>
      <c r="D195" s="11">
        <v>45119</v>
      </c>
      <c r="E195" s="86"/>
    </row>
    <row r="196" ht="15.75" spans="1:5">
      <c r="A196" s="33" t="s">
        <v>690</v>
      </c>
      <c r="B196" s="33">
        <v>400271.422</v>
      </c>
      <c r="C196" s="33">
        <v>670.16</v>
      </c>
      <c r="D196" s="11">
        <v>45120</v>
      </c>
      <c r="E196" s="86"/>
    </row>
    <row r="197" ht="15.75" spans="1:5">
      <c r="A197" s="33" t="s">
        <v>691</v>
      </c>
      <c r="B197" s="33">
        <v>400271.422</v>
      </c>
      <c r="C197" s="33">
        <v>670.16</v>
      </c>
      <c r="D197" s="11">
        <v>45121</v>
      </c>
      <c r="E197" s="86"/>
    </row>
    <row r="198" ht="15.75" spans="1:5">
      <c r="A198" s="33" t="s">
        <v>692</v>
      </c>
      <c r="B198" s="33">
        <v>400271.422</v>
      </c>
      <c r="C198" s="33">
        <v>670.16</v>
      </c>
      <c r="D198" s="11">
        <v>45122</v>
      </c>
      <c r="E198" s="86"/>
    </row>
    <row r="199" ht="15.75" spans="1:5">
      <c r="A199" s="33" t="s">
        <v>693</v>
      </c>
      <c r="B199" s="33">
        <v>400271.422</v>
      </c>
      <c r="C199" s="33">
        <v>670.16</v>
      </c>
      <c r="D199" s="11">
        <v>45123</v>
      </c>
      <c r="E199" s="86"/>
    </row>
    <row r="200" ht="15.75" spans="1:5">
      <c r="A200" s="33" t="s">
        <v>694</v>
      </c>
      <c r="B200" s="33">
        <v>400271.422</v>
      </c>
      <c r="C200" s="33">
        <v>670.16</v>
      </c>
      <c r="D200" s="11">
        <v>45124</v>
      </c>
      <c r="E200" s="86"/>
    </row>
    <row r="201" ht="15.75" spans="1:5">
      <c r="A201" s="33" t="s">
        <v>695</v>
      </c>
      <c r="B201" s="33">
        <v>400271.422</v>
      </c>
      <c r="C201" s="33">
        <v>670.16</v>
      </c>
      <c r="D201" s="11">
        <v>45125</v>
      </c>
      <c r="E201" s="86"/>
    </row>
    <row r="202" ht="15.75" spans="1:5">
      <c r="A202" s="33" t="s">
        <v>696</v>
      </c>
      <c r="B202" s="33">
        <v>400271.422</v>
      </c>
      <c r="C202" s="33">
        <v>670.16</v>
      </c>
      <c r="D202" s="11">
        <v>45126</v>
      </c>
      <c r="E202" s="86"/>
    </row>
    <row r="203" ht="15.75" spans="1:5">
      <c r="A203" s="33" t="s">
        <v>697</v>
      </c>
      <c r="B203" s="33">
        <v>400271.422</v>
      </c>
      <c r="C203" s="33">
        <v>670.16</v>
      </c>
      <c r="D203" s="11">
        <v>45127</v>
      </c>
      <c r="E203" s="86"/>
    </row>
    <row r="204" ht="15.75" spans="1:5">
      <c r="A204" s="33" t="s">
        <v>698</v>
      </c>
      <c r="B204" s="33">
        <v>400271.422</v>
      </c>
      <c r="C204" s="33">
        <v>670.16</v>
      </c>
      <c r="D204" s="11">
        <v>45128</v>
      </c>
      <c r="E204" s="86"/>
    </row>
    <row r="205" ht="15.75" spans="1:5">
      <c r="A205" s="33" t="s">
        <v>699</v>
      </c>
      <c r="B205" s="33">
        <v>400271.422</v>
      </c>
      <c r="C205" s="33">
        <v>670.16</v>
      </c>
      <c r="D205" s="11">
        <v>45129</v>
      </c>
      <c r="E205" s="86"/>
    </row>
    <row r="206" ht="15.75" spans="1:5">
      <c r="A206" s="33" t="s">
        <v>700</v>
      </c>
      <c r="B206" s="33">
        <v>400271.422</v>
      </c>
      <c r="C206" s="33">
        <v>670.16</v>
      </c>
      <c r="D206" s="11">
        <v>45130</v>
      </c>
      <c r="E206" s="86"/>
    </row>
    <row r="207" ht="15.75" spans="1:5">
      <c r="A207" s="33" t="s">
        <v>701</v>
      </c>
      <c r="B207" s="33">
        <v>400271.422</v>
      </c>
      <c r="C207" s="33">
        <v>670.16</v>
      </c>
      <c r="D207" s="11">
        <v>45131</v>
      </c>
      <c r="E207" s="86"/>
    </row>
    <row r="208" ht="15.75" spans="1:5">
      <c r="A208" s="33" t="s">
        <v>702</v>
      </c>
      <c r="B208" s="33">
        <v>400271.422</v>
      </c>
      <c r="C208" s="33">
        <v>670.16</v>
      </c>
      <c r="D208" s="11">
        <v>45132</v>
      </c>
      <c r="E208" s="86"/>
    </row>
    <row r="209" ht="15.75" spans="1:5">
      <c r="A209" s="33" t="s">
        <v>703</v>
      </c>
      <c r="B209" s="33">
        <v>400271.422</v>
      </c>
      <c r="C209" s="33">
        <v>670.16</v>
      </c>
      <c r="D209" s="11">
        <v>45133</v>
      </c>
      <c r="E209" s="86"/>
    </row>
    <row r="210" ht="15.75" spans="1:5">
      <c r="A210" s="33" t="s">
        <v>704</v>
      </c>
      <c r="B210" s="33">
        <v>400271.422</v>
      </c>
      <c r="C210" s="33">
        <v>670.16</v>
      </c>
      <c r="D210" s="11">
        <v>45134</v>
      </c>
      <c r="E210" s="85"/>
    </row>
    <row r="211" ht="15.75" spans="1:5">
      <c r="A211" s="33" t="s">
        <v>705</v>
      </c>
      <c r="B211" s="33">
        <v>400271.422</v>
      </c>
      <c r="C211" s="33">
        <v>670.16</v>
      </c>
      <c r="D211" s="11">
        <v>45135</v>
      </c>
      <c r="E211" s="85"/>
    </row>
    <row r="212" ht="15.75" spans="1:5">
      <c r="A212" s="33" t="s">
        <v>706</v>
      </c>
      <c r="B212" s="33">
        <v>400271.422</v>
      </c>
      <c r="C212" s="33">
        <v>670.16</v>
      </c>
      <c r="D212" s="11">
        <v>45136</v>
      </c>
      <c r="E212" s="85"/>
    </row>
    <row r="213" ht="15.75" spans="1:5">
      <c r="A213" s="33" t="s">
        <v>707</v>
      </c>
      <c r="B213" s="33">
        <v>400271.422</v>
      </c>
      <c r="C213" s="33">
        <v>670.16</v>
      </c>
      <c r="D213" s="11">
        <v>45137</v>
      </c>
      <c r="E213" s="85"/>
    </row>
    <row r="214" ht="15.75" spans="1:5">
      <c r="A214" s="33" t="s">
        <v>708</v>
      </c>
      <c r="B214" s="33">
        <v>400271.422</v>
      </c>
      <c r="C214" s="33">
        <v>670.16</v>
      </c>
      <c r="D214" s="11">
        <v>45138</v>
      </c>
      <c r="E214" s="85"/>
    </row>
    <row r="215" ht="15.75" spans="1:5">
      <c r="A215" s="33" t="s">
        <v>709</v>
      </c>
      <c r="B215" s="33">
        <v>400271.422</v>
      </c>
      <c r="C215" s="33">
        <v>670.16</v>
      </c>
      <c r="D215" s="11">
        <v>45139</v>
      </c>
      <c r="E215" s="85"/>
    </row>
    <row r="216" ht="15.75" spans="1:5">
      <c r="A216" s="33" t="s">
        <v>710</v>
      </c>
      <c r="B216" s="33">
        <v>400271.422</v>
      </c>
      <c r="C216" s="33">
        <v>670.16</v>
      </c>
      <c r="D216" s="11">
        <v>45140</v>
      </c>
      <c r="E216" s="85"/>
    </row>
    <row r="217" ht="15.75" spans="1:5">
      <c r="A217" s="33" t="s">
        <v>711</v>
      </c>
      <c r="B217" s="33">
        <v>400271.422</v>
      </c>
      <c r="C217" s="33">
        <v>670.16</v>
      </c>
      <c r="D217" s="11">
        <v>45141</v>
      </c>
      <c r="E217" s="90"/>
    </row>
    <row r="218" ht="15.75" spans="1:5">
      <c r="A218" s="33" t="s">
        <v>712</v>
      </c>
      <c r="B218" s="33">
        <v>400271.422</v>
      </c>
      <c r="C218" s="33">
        <v>670.16</v>
      </c>
      <c r="D218" s="11">
        <v>45142</v>
      </c>
      <c r="E218" s="85"/>
    </row>
    <row r="219" ht="15.75" spans="1:5">
      <c r="A219" s="33" t="s">
        <v>713</v>
      </c>
      <c r="B219" s="33">
        <v>400271.422</v>
      </c>
      <c r="C219" s="33">
        <v>670.16</v>
      </c>
      <c r="D219" s="11">
        <v>45143</v>
      </c>
      <c r="E219" s="85"/>
    </row>
    <row r="220" ht="15.75" spans="1:5">
      <c r="A220" s="33" t="s">
        <v>714</v>
      </c>
      <c r="B220" s="33">
        <v>400271.422</v>
      </c>
      <c r="C220" s="33">
        <v>670.16</v>
      </c>
      <c r="D220" s="11">
        <v>45144</v>
      </c>
      <c r="E220" s="85"/>
    </row>
    <row r="221" ht="15.75" spans="1:5">
      <c r="A221" s="33" t="s">
        <v>715</v>
      </c>
      <c r="B221" s="33">
        <v>400271.422</v>
      </c>
      <c r="C221" s="33">
        <v>670.16</v>
      </c>
      <c r="D221" s="11">
        <v>45145</v>
      </c>
      <c r="E221" s="85"/>
    </row>
    <row r="222" ht="15.75" spans="1:5">
      <c r="A222" s="33" t="s">
        <v>716</v>
      </c>
      <c r="B222" s="33">
        <v>400271.422</v>
      </c>
      <c r="C222" s="33">
        <v>670.16</v>
      </c>
      <c r="D222" s="11">
        <v>45146</v>
      </c>
      <c r="E222" s="85"/>
    </row>
    <row r="223" ht="15.75" spans="1:5">
      <c r="A223" s="33" t="s">
        <v>717</v>
      </c>
      <c r="B223" s="33">
        <v>400271.422</v>
      </c>
      <c r="C223" s="33">
        <v>670.16</v>
      </c>
      <c r="D223" s="11">
        <v>45147</v>
      </c>
      <c r="E223" s="85"/>
    </row>
    <row r="224" ht="15.75" spans="1:5">
      <c r="A224" s="33" t="s">
        <v>718</v>
      </c>
      <c r="B224" s="33">
        <v>400271.422</v>
      </c>
      <c r="C224" s="33">
        <v>670.16</v>
      </c>
      <c r="D224" s="11">
        <v>45148</v>
      </c>
      <c r="E224" s="85"/>
    </row>
    <row r="225" ht="15.75" spans="1:5">
      <c r="A225" s="33" t="s">
        <v>719</v>
      </c>
      <c r="B225" s="33">
        <v>400271.422</v>
      </c>
      <c r="C225" s="33">
        <v>670.16</v>
      </c>
      <c r="D225" s="11">
        <v>45149</v>
      </c>
      <c r="E225" s="85"/>
    </row>
    <row r="226" ht="15.75" spans="1:5">
      <c r="A226" s="33" t="s">
        <v>720</v>
      </c>
      <c r="B226" s="33">
        <v>400271.422</v>
      </c>
      <c r="C226" s="33">
        <v>670.16</v>
      </c>
      <c r="D226" s="11">
        <v>45150</v>
      </c>
      <c r="E226" s="85"/>
    </row>
    <row r="227" ht="15.75" spans="1:5">
      <c r="A227" s="33" t="s">
        <v>721</v>
      </c>
      <c r="B227" s="33">
        <v>400271.422</v>
      </c>
      <c r="C227" s="33">
        <v>670.16</v>
      </c>
      <c r="D227" s="11">
        <v>45151</v>
      </c>
      <c r="E227" s="85"/>
    </row>
    <row r="228" ht="15.75" spans="1:5">
      <c r="A228" s="33" t="s">
        <v>722</v>
      </c>
      <c r="B228" s="33">
        <v>400271.422</v>
      </c>
      <c r="C228" s="33">
        <v>670.16</v>
      </c>
      <c r="D228" s="11">
        <v>45152</v>
      </c>
      <c r="E228" s="85"/>
    </row>
    <row r="229" ht="15.75" spans="1:5">
      <c r="A229" s="33" t="s">
        <v>723</v>
      </c>
      <c r="B229" s="33">
        <v>400271.422</v>
      </c>
      <c r="C229" s="33">
        <v>670.16</v>
      </c>
      <c r="D229" s="11">
        <v>45153</v>
      </c>
      <c r="E229" s="90"/>
    </row>
    <row r="230" ht="15.75" spans="1:5">
      <c r="A230" s="33" t="s">
        <v>724</v>
      </c>
      <c r="B230" s="33">
        <v>400271.422</v>
      </c>
      <c r="C230" s="33">
        <v>670.16</v>
      </c>
      <c r="D230" s="11">
        <v>45154</v>
      </c>
      <c r="E230" s="86"/>
    </row>
    <row r="231" ht="15.75" spans="1:5">
      <c r="A231" s="33" t="s">
        <v>725</v>
      </c>
      <c r="B231" s="33">
        <v>400271.422</v>
      </c>
      <c r="C231" s="33">
        <v>670.16</v>
      </c>
      <c r="D231" s="11">
        <v>45155</v>
      </c>
      <c r="E231" s="86"/>
    </row>
    <row r="232" ht="15.75" spans="1:5">
      <c r="A232" s="33" t="s">
        <v>726</v>
      </c>
      <c r="B232" s="33">
        <v>400271.422</v>
      </c>
      <c r="C232" s="33">
        <v>670.16</v>
      </c>
      <c r="D232" s="11">
        <v>45156</v>
      </c>
      <c r="E232" s="86"/>
    </row>
    <row r="233" ht="15.75" spans="1:5">
      <c r="A233" s="33" t="s">
        <v>727</v>
      </c>
      <c r="B233" s="33">
        <v>400271.422</v>
      </c>
      <c r="C233" s="33">
        <v>670.16</v>
      </c>
      <c r="D233" s="11">
        <v>45157</v>
      </c>
      <c r="E233" s="86"/>
    </row>
    <row r="234" ht="15.75" spans="1:5">
      <c r="A234" s="33" t="s">
        <v>728</v>
      </c>
      <c r="B234" s="33">
        <v>400271.422</v>
      </c>
      <c r="C234" s="33">
        <v>670.16</v>
      </c>
      <c r="D234" s="11">
        <v>45158</v>
      </c>
      <c r="E234" s="86"/>
    </row>
    <row r="235" ht="15.75" spans="1:5">
      <c r="A235" s="33" t="s">
        <v>729</v>
      </c>
      <c r="B235" s="33">
        <v>400271.422</v>
      </c>
      <c r="C235" s="33">
        <v>670.16</v>
      </c>
      <c r="D235" s="11">
        <v>45159</v>
      </c>
      <c r="E235" s="86"/>
    </row>
    <row r="236" ht="15.75" spans="1:5">
      <c r="A236" s="33" t="s">
        <v>730</v>
      </c>
      <c r="B236" s="33">
        <v>400271.422</v>
      </c>
      <c r="C236" s="33">
        <v>670.16</v>
      </c>
      <c r="D236" s="11">
        <v>45160</v>
      </c>
      <c r="E236" s="86"/>
    </row>
    <row r="237" ht="15.75" spans="1:5">
      <c r="A237" s="33" t="s">
        <v>731</v>
      </c>
      <c r="B237" s="33">
        <v>400271.422</v>
      </c>
      <c r="C237" s="33">
        <v>670.16</v>
      </c>
      <c r="D237" s="11">
        <v>45161</v>
      </c>
      <c r="E237" s="86"/>
    </row>
    <row r="238" ht="15.75" spans="1:5">
      <c r="A238" s="33" t="s">
        <v>732</v>
      </c>
      <c r="B238" s="33">
        <v>400271.422</v>
      </c>
      <c r="C238" s="33">
        <v>670.16</v>
      </c>
      <c r="D238" s="11">
        <v>45162</v>
      </c>
      <c r="E238" s="86"/>
    </row>
    <row r="239" ht="15.75" spans="1:5">
      <c r="A239" s="33" t="s">
        <v>733</v>
      </c>
      <c r="B239" s="33">
        <v>400271.422</v>
      </c>
      <c r="C239" s="33">
        <v>670.16</v>
      </c>
      <c r="D239" s="11">
        <v>45163</v>
      </c>
      <c r="E239" s="86"/>
    </row>
    <row r="240" ht="15.75" spans="1:5">
      <c r="A240" s="33" t="s">
        <v>734</v>
      </c>
      <c r="B240" s="33">
        <v>400271.422</v>
      </c>
      <c r="C240" s="33">
        <v>670.16</v>
      </c>
      <c r="D240" s="11">
        <v>45164</v>
      </c>
      <c r="E240" s="86"/>
    </row>
    <row r="241" ht="15.75" spans="1:5">
      <c r="A241" s="33" t="s">
        <v>735</v>
      </c>
      <c r="B241" s="33">
        <v>400271.422</v>
      </c>
      <c r="C241" s="33">
        <v>670.16</v>
      </c>
      <c r="D241" s="11">
        <v>45165</v>
      </c>
      <c r="E241" s="86"/>
    </row>
    <row r="242" ht="15.75" spans="1:5">
      <c r="A242" s="33" t="s">
        <v>736</v>
      </c>
      <c r="B242" s="33">
        <v>400271.422</v>
      </c>
      <c r="C242" s="33">
        <v>670.16</v>
      </c>
      <c r="D242" s="11">
        <v>45166</v>
      </c>
      <c r="E242" s="86"/>
    </row>
    <row r="243" ht="15.75" spans="1:5">
      <c r="A243" s="33" t="s">
        <v>737</v>
      </c>
      <c r="B243" s="33">
        <v>400271.422</v>
      </c>
      <c r="C243" s="33">
        <v>670.16</v>
      </c>
      <c r="D243" s="11">
        <v>45167</v>
      </c>
      <c r="E243" s="86"/>
    </row>
    <row r="244" ht="15.75" spans="1:5">
      <c r="A244" s="33" t="s">
        <v>738</v>
      </c>
      <c r="B244" s="33">
        <v>400271.422</v>
      </c>
      <c r="C244" s="33">
        <v>670.16</v>
      </c>
      <c r="D244" s="11">
        <v>45168</v>
      </c>
      <c r="E244" s="86"/>
    </row>
    <row r="245" ht="15.75" spans="1:5">
      <c r="A245" s="33" t="s">
        <v>739</v>
      </c>
      <c r="B245" s="33">
        <v>400271.422</v>
      </c>
      <c r="C245" s="33">
        <v>670.16</v>
      </c>
      <c r="D245" s="11">
        <v>45169</v>
      </c>
      <c r="E245" s="86"/>
    </row>
    <row r="246" ht="15.75" spans="1:5">
      <c r="A246" s="33" t="s">
        <v>740</v>
      </c>
      <c r="B246" s="33">
        <v>400271.422</v>
      </c>
      <c r="C246" s="33">
        <v>670.16</v>
      </c>
      <c r="D246" s="11">
        <v>45170</v>
      </c>
      <c r="E246" s="86"/>
    </row>
    <row r="247" ht="15.75" spans="1:5">
      <c r="A247" s="33" t="s">
        <v>741</v>
      </c>
      <c r="B247" s="33">
        <v>400271.422</v>
      </c>
      <c r="C247" s="33">
        <v>670.16</v>
      </c>
      <c r="D247" s="11">
        <v>45171</v>
      </c>
      <c r="E247" s="86"/>
    </row>
    <row r="248" ht="15.75" spans="1:5">
      <c r="A248" s="33" t="s">
        <v>742</v>
      </c>
      <c r="B248" s="33">
        <v>400271.422</v>
      </c>
      <c r="C248" s="33">
        <v>670.16</v>
      </c>
      <c r="D248" s="11">
        <v>45172</v>
      </c>
      <c r="E248" s="86"/>
    </row>
    <row r="249" ht="15.75" spans="1:5">
      <c r="A249" s="33" t="s">
        <v>743</v>
      </c>
      <c r="B249" s="33">
        <v>400271.422</v>
      </c>
      <c r="C249" s="33">
        <v>670.16</v>
      </c>
      <c r="D249" s="11">
        <v>45173</v>
      </c>
      <c r="E249" s="86"/>
    </row>
    <row r="250" ht="15.75" spans="1:5">
      <c r="A250" s="33" t="s">
        <v>744</v>
      </c>
      <c r="B250" s="33">
        <v>400271.422</v>
      </c>
      <c r="C250" s="33">
        <v>670.16</v>
      </c>
      <c r="D250" s="11">
        <v>45174</v>
      </c>
      <c r="E250" s="86"/>
    </row>
    <row r="251" ht="15.75" spans="1:5">
      <c r="A251" s="33" t="s">
        <v>745</v>
      </c>
      <c r="B251" s="33">
        <v>400271.422</v>
      </c>
      <c r="C251" s="33">
        <v>670.16</v>
      </c>
      <c r="D251" s="11">
        <v>45175</v>
      </c>
      <c r="E251" s="86"/>
    </row>
    <row r="252" ht="15.75" spans="1:5">
      <c r="A252" s="33" t="s">
        <v>746</v>
      </c>
      <c r="B252" s="33">
        <v>400271.422</v>
      </c>
      <c r="C252" s="33">
        <v>670.16</v>
      </c>
      <c r="D252" s="11">
        <v>45176</v>
      </c>
      <c r="E252" s="86"/>
    </row>
    <row r="253" ht="15.75" spans="1:5">
      <c r="A253" s="33" t="s">
        <v>747</v>
      </c>
      <c r="B253" s="33">
        <v>400271.422</v>
      </c>
      <c r="C253" s="33">
        <v>670.16</v>
      </c>
      <c r="D253" s="11">
        <v>45177</v>
      </c>
      <c r="E253" s="86"/>
    </row>
    <row r="254" ht="15.75" spans="1:5">
      <c r="A254" s="33" t="s">
        <v>748</v>
      </c>
      <c r="B254" s="33">
        <v>400271.422</v>
      </c>
      <c r="C254" s="33">
        <v>670.16</v>
      </c>
      <c r="D254" s="11">
        <v>45178</v>
      </c>
      <c r="E254" s="86"/>
    </row>
    <row r="255" ht="15.75" spans="1:5">
      <c r="A255" s="33" t="s">
        <v>749</v>
      </c>
      <c r="B255" s="33">
        <v>400271.422</v>
      </c>
      <c r="C255" s="33">
        <v>670.16</v>
      </c>
      <c r="D255" s="11">
        <v>45179</v>
      </c>
      <c r="E255" s="86"/>
    </row>
    <row r="256" ht="15.75" spans="1:5">
      <c r="A256" s="33" t="s">
        <v>750</v>
      </c>
      <c r="B256" s="33">
        <v>400271.422</v>
      </c>
      <c r="C256" s="33">
        <v>670.16</v>
      </c>
      <c r="D256" s="11">
        <v>45180</v>
      </c>
      <c r="E256" s="86"/>
    </row>
    <row r="257" ht="15.75" spans="1:5">
      <c r="A257" s="33" t="s">
        <v>751</v>
      </c>
      <c r="B257" s="33">
        <v>400271.422</v>
      </c>
      <c r="C257" s="33">
        <v>670.16</v>
      </c>
      <c r="D257" s="11">
        <v>45181</v>
      </c>
      <c r="E257" s="86"/>
    </row>
    <row r="258" ht="15.75" spans="1:5">
      <c r="A258" s="33" t="s">
        <v>752</v>
      </c>
      <c r="B258" s="33">
        <v>400271.422</v>
      </c>
      <c r="C258" s="33">
        <v>670.16</v>
      </c>
      <c r="D258" s="11">
        <v>45182</v>
      </c>
      <c r="E258" s="86"/>
    </row>
    <row r="259" ht="15.75" spans="1:5">
      <c r="A259" s="33" t="s">
        <v>753</v>
      </c>
      <c r="B259" s="33">
        <v>400271.422</v>
      </c>
      <c r="C259" s="33">
        <v>670.16</v>
      </c>
      <c r="D259" s="11">
        <v>45183</v>
      </c>
      <c r="E259" s="86"/>
    </row>
    <row r="260" ht="15.75" spans="1:5">
      <c r="A260" s="33" t="s">
        <v>754</v>
      </c>
      <c r="B260" s="33">
        <v>400271.422</v>
      </c>
      <c r="C260" s="33">
        <v>670.16</v>
      </c>
      <c r="D260" s="11">
        <v>45184</v>
      </c>
      <c r="E260" s="85"/>
    </row>
    <row r="261" ht="15.75" spans="1:5">
      <c r="A261" s="33" t="s">
        <v>755</v>
      </c>
      <c r="B261" s="33">
        <v>400271.422</v>
      </c>
      <c r="C261" s="33">
        <v>670.16</v>
      </c>
      <c r="D261" s="11">
        <v>45185</v>
      </c>
      <c r="E261" s="85"/>
    </row>
    <row r="262" ht="15.75" spans="1:5">
      <c r="A262" s="33" t="s">
        <v>756</v>
      </c>
      <c r="B262" s="33">
        <v>400271.422</v>
      </c>
      <c r="C262" s="33">
        <v>670.16</v>
      </c>
      <c r="D262" s="11">
        <v>45186</v>
      </c>
      <c r="E262" s="85"/>
    </row>
    <row r="263" ht="15.75" spans="1:5">
      <c r="A263" s="33" t="s">
        <v>757</v>
      </c>
      <c r="B263" s="33">
        <v>400271.422</v>
      </c>
      <c r="C263" s="33">
        <v>670.16</v>
      </c>
      <c r="D263" s="11">
        <v>45187</v>
      </c>
      <c r="E263" s="85"/>
    </row>
    <row r="264" ht="15.75" spans="1:5">
      <c r="A264" s="33" t="s">
        <v>758</v>
      </c>
      <c r="B264" s="33">
        <v>400271.422</v>
      </c>
      <c r="C264" s="33">
        <v>670.16</v>
      </c>
      <c r="D264" s="11">
        <v>45188</v>
      </c>
      <c r="E264" s="85"/>
    </row>
    <row r="265" ht="15.75" spans="1:5">
      <c r="A265" s="33" t="s">
        <v>759</v>
      </c>
      <c r="B265" s="33">
        <v>400271.422</v>
      </c>
      <c r="C265" s="33">
        <v>670.16</v>
      </c>
      <c r="D265" s="11">
        <v>45189</v>
      </c>
      <c r="E265" s="86"/>
    </row>
    <row r="266" ht="15.75" spans="1:5">
      <c r="A266" s="33" t="s">
        <v>760</v>
      </c>
      <c r="B266" s="33">
        <v>400271.422</v>
      </c>
      <c r="C266" s="33">
        <v>670.16</v>
      </c>
      <c r="D266" s="11">
        <v>45190</v>
      </c>
      <c r="E266" s="86"/>
    </row>
    <row r="267" ht="15.75" spans="1:5">
      <c r="A267" s="33" t="s">
        <v>761</v>
      </c>
      <c r="B267" s="33">
        <v>400271.422</v>
      </c>
      <c r="C267" s="33">
        <v>670.16</v>
      </c>
      <c r="D267" s="11">
        <v>45191</v>
      </c>
      <c r="E267" s="86"/>
    </row>
    <row r="268" ht="15.75" spans="1:5">
      <c r="A268" s="33" t="s">
        <v>762</v>
      </c>
      <c r="B268" s="33">
        <v>400271.422</v>
      </c>
      <c r="C268" s="33">
        <v>670.16</v>
      </c>
      <c r="D268" s="11">
        <v>45192</v>
      </c>
      <c r="E268" s="86"/>
    </row>
    <row r="269" ht="15.75" spans="1:5">
      <c r="A269" s="33" t="s">
        <v>763</v>
      </c>
      <c r="B269" s="33">
        <v>400271.422</v>
      </c>
      <c r="C269" s="33">
        <v>670.16</v>
      </c>
      <c r="D269" s="11">
        <v>45193</v>
      </c>
      <c r="E269" s="86"/>
    </row>
    <row r="270" ht="15.75" spans="1:5">
      <c r="A270" s="33" t="s">
        <v>764</v>
      </c>
      <c r="B270" s="33">
        <v>400271.422</v>
      </c>
      <c r="C270" s="33">
        <v>670.16</v>
      </c>
      <c r="D270" s="11">
        <v>45194</v>
      </c>
      <c r="E270" s="86"/>
    </row>
    <row r="271" ht="15.75" spans="1:5">
      <c r="A271" s="33" t="s">
        <v>765</v>
      </c>
      <c r="B271" s="33">
        <v>400271.422</v>
      </c>
      <c r="C271" s="33">
        <v>670.16</v>
      </c>
      <c r="D271" s="11">
        <v>45195</v>
      </c>
      <c r="E271" s="86"/>
    </row>
    <row r="272" ht="15.75" spans="1:5">
      <c r="A272" s="33" t="s">
        <v>766</v>
      </c>
      <c r="B272" s="33">
        <v>400271.422</v>
      </c>
      <c r="C272" s="33">
        <v>670.16</v>
      </c>
      <c r="D272" s="11">
        <v>45196</v>
      </c>
      <c r="E272" s="86"/>
    </row>
    <row r="273" ht="15.75" spans="1:5">
      <c r="A273" s="33" t="s">
        <v>767</v>
      </c>
      <c r="B273" s="33">
        <v>400271.422</v>
      </c>
      <c r="C273" s="33">
        <v>670.16</v>
      </c>
      <c r="D273" s="11">
        <v>45197</v>
      </c>
      <c r="E273" s="86"/>
    </row>
    <row r="274" ht="15.75" spans="1:5">
      <c r="A274" s="33" t="s">
        <v>768</v>
      </c>
      <c r="B274" s="33">
        <v>400271.422</v>
      </c>
      <c r="C274" s="33">
        <v>670.16</v>
      </c>
      <c r="D274" s="11">
        <v>45198</v>
      </c>
      <c r="E274" s="86"/>
    </row>
    <row r="275" ht="15.75" spans="1:5">
      <c r="A275" s="33" t="s">
        <v>769</v>
      </c>
      <c r="B275" s="33">
        <v>400271.422</v>
      </c>
      <c r="C275" s="33">
        <v>670.16</v>
      </c>
      <c r="D275" s="11">
        <v>45199</v>
      </c>
      <c r="E275" s="86"/>
    </row>
    <row r="276" ht="15.75" spans="1:5">
      <c r="A276" s="33" t="s">
        <v>770</v>
      </c>
      <c r="B276" s="33">
        <v>400271.422</v>
      </c>
      <c r="C276" s="33">
        <v>670.16</v>
      </c>
      <c r="D276" s="11">
        <v>45200</v>
      </c>
      <c r="E276" s="86"/>
    </row>
    <row r="277" ht="15.75" spans="1:5">
      <c r="A277" s="33" t="s">
        <v>771</v>
      </c>
      <c r="B277" s="33">
        <v>400271.422</v>
      </c>
      <c r="C277" s="33">
        <v>670.16</v>
      </c>
      <c r="D277" s="11">
        <v>45201</v>
      </c>
      <c r="E277" s="86"/>
    </row>
    <row r="278" ht="15.75" spans="1:5">
      <c r="A278" s="33" t="s">
        <v>772</v>
      </c>
      <c r="B278" s="33">
        <v>400271.422</v>
      </c>
      <c r="C278" s="33">
        <v>670.16</v>
      </c>
      <c r="D278" s="11">
        <v>45202</v>
      </c>
      <c r="E278" s="86"/>
    </row>
    <row r="279" ht="15.75" spans="1:5">
      <c r="A279" s="33" t="s">
        <v>773</v>
      </c>
      <c r="B279" s="33">
        <v>400271.422</v>
      </c>
      <c r="C279" s="33">
        <v>670.16</v>
      </c>
      <c r="D279" s="11">
        <v>45203</v>
      </c>
      <c r="E279" s="86"/>
    </row>
    <row r="280" ht="15.75" spans="1:5">
      <c r="A280" s="33" t="s">
        <v>774</v>
      </c>
      <c r="B280" s="33">
        <v>400271.422</v>
      </c>
      <c r="C280" s="33">
        <v>670.16</v>
      </c>
      <c r="D280" s="11">
        <v>45204</v>
      </c>
      <c r="E280" s="86"/>
    </row>
    <row r="281" ht="15.75" spans="1:5">
      <c r="A281" s="33" t="s">
        <v>775</v>
      </c>
      <c r="B281" s="33">
        <v>400271.422</v>
      </c>
      <c r="C281" s="33">
        <v>670.16</v>
      </c>
      <c r="D281" s="11">
        <v>45205</v>
      </c>
      <c r="E281" s="86"/>
    </row>
    <row r="282" ht="15.75" spans="1:5">
      <c r="A282" s="33" t="s">
        <v>776</v>
      </c>
      <c r="B282" s="33">
        <v>400271.422</v>
      </c>
      <c r="C282" s="33">
        <v>670.16</v>
      </c>
      <c r="D282" s="11">
        <v>45206</v>
      </c>
      <c r="E282" s="86"/>
    </row>
    <row r="283" ht="15.75" spans="1:5">
      <c r="A283" s="33" t="s">
        <v>777</v>
      </c>
      <c r="B283" s="33">
        <v>400271.422</v>
      </c>
      <c r="C283" s="33">
        <v>670.16</v>
      </c>
      <c r="D283" s="11">
        <v>45207</v>
      </c>
      <c r="E283" s="86"/>
    </row>
    <row r="284" ht="15.75" spans="1:5">
      <c r="A284" s="33" t="s">
        <v>778</v>
      </c>
      <c r="B284" s="33">
        <v>400271.422</v>
      </c>
      <c r="C284" s="33">
        <v>670.16</v>
      </c>
      <c r="D284" s="11">
        <v>45208</v>
      </c>
      <c r="E284" s="86"/>
    </row>
    <row r="285" ht="15.75" spans="1:5">
      <c r="A285" s="33" t="s">
        <v>779</v>
      </c>
      <c r="B285" s="33">
        <v>400271.422</v>
      </c>
      <c r="C285" s="33">
        <v>670.16</v>
      </c>
      <c r="D285" s="11">
        <v>45209</v>
      </c>
      <c r="E285" s="86"/>
    </row>
    <row r="286" ht="15.75" spans="1:5">
      <c r="A286" s="33" t="s">
        <v>780</v>
      </c>
      <c r="B286" s="33">
        <v>400271.422</v>
      </c>
      <c r="C286" s="33">
        <v>670.16</v>
      </c>
      <c r="D286" s="11">
        <v>45210</v>
      </c>
      <c r="E286" s="86"/>
    </row>
    <row r="287" ht="15.75" spans="1:5">
      <c r="A287" s="33" t="s">
        <v>781</v>
      </c>
      <c r="B287" s="33">
        <v>400271.422</v>
      </c>
      <c r="C287" s="33">
        <v>670.16</v>
      </c>
      <c r="D287" s="11">
        <v>45211</v>
      </c>
      <c r="E287" s="86"/>
    </row>
    <row r="288" ht="15.75" spans="1:5">
      <c r="A288" s="33" t="s">
        <v>782</v>
      </c>
      <c r="B288" s="33">
        <v>400271.422</v>
      </c>
      <c r="C288" s="33">
        <v>670.16</v>
      </c>
      <c r="D288" s="11">
        <v>45212</v>
      </c>
      <c r="E288" s="86"/>
    </row>
    <row r="289" ht="15.75" spans="1:5">
      <c r="A289" s="33" t="s">
        <v>783</v>
      </c>
      <c r="B289" s="33">
        <v>400271.422</v>
      </c>
      <c r="C289" s="33">
        <v>670.16</v>
      </c>
      <c r="D289" s="11">
        <v>45213</v>
      </c>
      <c r="E289" s="86"/>
    </row>
    <row r="290" ht="15.75" spans="1:5">
      <c r="A290" s="33" t="s">
        <v>784</v>
      </c>
      <c r="B290" s="33">
        <v>400271.422</v>
      </c>
      <c r="C290" s="33">
        <v>670.16</v>
      </c>
      <c r="D290" s="11">
        <v>45214</v>
      </c>
      <c r="E290" s="86"/>
    </row>
    <row r="291" ht="15.75" spans="1:5">
      <c r="A291" s="33" t="s">
        <v>785</v>
      </c>
      <c r="B291" s="33">
        <v>400271.422</v>
      </c>
      <c r="C291" s="33">
        <v>670.16</v>
      </c>
      <c r="D291" s="11">
        <v>45215</v>
      </c>
      <c r="E291" s="86">
        <v>670.942</v>
      </c>
    </row>
    <row r="292" ht="15.75" spans="1:5">
      <c r="A292" s="33" t="s">
        <v>786</v>
      </c>
      <c r="B292" s="33">
        <v>400271.422</v>
      </c>
      <c r="C292" s="33">
        <v>670.16</v>
      </c>
      <c r="D292" s="11">
        <v>45216</v>
      </c>
      <c r="E292" s="86">
        <v>670.942</v>
      </c>
    </row>
    <row r="293" ht="15.75" spans="1:5">
      <c r="A293" s="33" t="s">
        <v>787</v>
      </c>
      <c r="B293" s="33">
        <v>400271.422</v>
      </c>
      <c r="C293" s="33">
        <v>670.16</v>
      </c>
      <c r="D293" s="11">
        <v>45217</v>
      </c>
      <c r="E293" s="86">
        <v>670.942</v>
      </c>
    </row>
    <row r="294" ht="15.75" spans="1:5">
      <c r="A294" s="33" t="s">
        <v>788</v>
      </c>
      <c r="B294" s="33">
        <v>400271.422</v>
      </c>
      <c r="C294" s="33">
        <v>670.16</v>
      </c>
      <c r="D294" s="11">
        <v>45218</v>
      </c>
      <c r="E294" s="86"/>
    </row>
    <row r="295" ht="15.75" spans="1:5">
      <c r="A295" s="33" t="s">
        <v>789</v>
      </c>
      <c r="B295" s="33">
        <v>400271.422</v>
      </c>
      <c r="C295" s="33">
        <v>670.16</v>
      </c>
      <c r="D295" s="11">
        <v>45219</v>
      </c>
      <c r="E295" s="86">
        <v>670.938</v>
      </c>
    </row>
    <row r="296" ht="15.75" spans="1:5">
      <c r="A296" s="33" t="s">
        <v>790</v>
      </c>
      <c r="B296" s="33">
        <v>400271.422</v>
      </c>
      <c r="C296" s="33">
        <v>670.16</v>
      </c>
      <c r="D296" s="11">
        <v>45220</v>
      </c>
      <c r="E296" s="86">
        <v>670.958</v>
      </c>
    </row>
    <row r="297" ht="15.75" spans="1:5">
      <c r="A297" s="33" t="s">
        <v>791</v>
      </c>
      <c r="B297" s="33">
        <v>400271.422</v>
      </c>
      <c r="C297" s="33">
        <v>670.16</v>
      </c>
      <c r="D297" s="11">
        <v>45221</v>
      </c>
      <c r="E297" s="86">
        <v>670.958</v>
      </c>
    </row>
    <row r="298" ht="15.75" spans="1:5">
      <c r="A298" s="33" t="s">
        <v>792</v>
      </c>
      <c r="B298" s="33">
        <v>400271.422</v>
      </c>
      <c r="C298" s="33">
        <v>670.16</v>
      </c>
      <c r="D298" s="11">
        <v>45222</v>
      </c>
      <c r="E298" s="86">
        <v>670.946</v>
      </c>
    </row>
    <row r="299" ht="15.75" spans="1:5">
      <c r="A299" s="33" t="s">
        <v>793</v>
      </c>
      <c r="B299" s="33">
        <v>400271.422</v>
      </c>
      <c r="C299" s="33">
        <v>670.16</v>
      </c>
      <c r="D299" s="11">
        <v>45223</v>
      </c>
      <c r="E299" s="86">
        <v>670.946</v>
      </c>
    </row>
    <row r="300" ht="15.75" spans="1:5">
      <c r="A300" s="33" t="s">
        <v>794</v>
      </c>
      <c r="B300" s="33">
        <v>400271.422</v>
      </c>
      <c r="C300" s="33">
        <v>670.16</v>
      </c>
      <c r="D300" s="11">
        <v>45224</v>
      </c>
      <c r="E300" s="86">
        <v>670.946</v>
      </c>
    </row>
    <row r="301" ht="15.75" spans="1:5">
      <c r="A301" s="33" t="s">
        <v>795</v>
      </c>
      <c r="B301" s="33">
        <v>400271.422</v>
      </c>
      <c r="C301" s="33">
        <v>670.16</v>
      </c>
      <c r="D301" s="11">
        <v>45225</v>
      </c>
      <c r="E301" s="86">
        <v>670.946</v>
      </c>
    </row>
    <row r="302" ht="15.75" spans="1:5">
      <c r="A302" s="33" t="s">
        <v>796</v>
      </c>
      <c r="B302" s="33">
        <v>400271.422</v>
      </c>
      <c r="C302" s="33">
        <v>670.16</v>
      </c>
      <c r="D302" s="11">
        <v>45226</v>
      </c>
      <c r="E302" s="86">
        <v>670.93</v>
      </c>
    </row>
    <row r="303" ht="15.75" spans="1:5">
      <c r="A303" s="33" t="s">
        <v>797</v>
      </c>
      <c r="B303" s="33">
        <v>400271.422</v>
      </c>
      <c r="C303" s="33">
        <v>670.16</v>
      </c>
      <c r="D303" s="11">
        <v>45227</v>
      </c>
      <c r="E303" s="86">
        <v>670.93</v>
      </c>
    </row>
    <row r="304" ht="15.75" spans="1:5">
      <c r="A304" s="33" t="s">
        <v>798</v>
      </c>
      <c r="B304" s="33">
        <v>400271.422</v>
      </c>
      <c r="C304" s="33">
        <v>670.16</v>
      </c>
      <c r="D304" s="11">
        <v>45228</v>
      </c>
      <c r="E304" s="86">
        <v>670.93</v>
      </c>
    </row>
    <row r="305" ht="15.75" spans="1:5">
      <c r="A305" s="33" t="s">
        <v>799</v>
      </c>
      <c r="B305" s="33">
        <v>400271.422</v>
      </c>
      <c r="C305" s="33">
        <v>670.16</v>
      </c>
      <c r="D305" s="11">
        <v>45229</v>
      </c>
      <c r="E305" s="86">
        <v>670.93</v>
      </c>
    </row>
    <row r="306" ht="15.75" spans="1:5">
      <c r="A306" s="33" t="s">
        <v>800</v>
      </c>
      <c r="B306" s="33">
        <v>400271.422</v>
      </c>
      <c r="C306" s="33">
        <v>670.16</v>
      </c>
      <c r="D306" s="11">
        <v>45230</v>
      </c>
      <c r="E306" s="86">
        <v>670.93</v>
      </c>
    </row>
    <row r="307" ht="15.75" spans="1:5">
      <c r="A307" s="33" t="s">
        <v>801</v>
      </c>
      <c r="B307" s="33">
        <v>400271.422</v>
      </c>
      <c r="C307" s="33">
        <v>670.16</v>
      </c>
      <c r="D307" s="11">
        <v>45231</v>
      </c>
      <c r="E307" s="86">
        <v>670.93</v>
      </c>
    </row>
    <row r="308" ht="15.75" spans="1:5">
      <c r="A308" s="33" t="s">
        <v>802</v>
      </c>
      <c r="B308" s="33">
        <v>400271.422</v>
      </c>
      <c r="C308" s="33">
        <v>670.16</v>
      </c>
      <c r="D308" s="11">
        <v>45232</v>
      </c>
      <c r="E308" s="86">
        <v>670.942</v>
      </c>
    </row>
    <row r="309" ht="15.75" spans="1:5">
      <c r="A309" s="33" t="s">
        <v>803</v>
      </c>
      <c r="B309" s="33">
        <v>400271.422</v>
      </c>
      <c r="C309" s="33">
        <v>670.16</v>
      </c>
      <c r="D309" s="11">
        <v>45233</v>
      </c>
      <c r="E309" s="86">
        <v>670.93</v>
      </c>
    </row>
    <row r="310" ht="15.75" spans="1:5">
      <c r="A310" s="33" t="s">
        <v>804</v>
      </c>
      <c r="B310" s="33">
        <v>400271.422</v>
      </c>
      <c r="C310" s="33">
        <v>670.16</v>
      </c>
      <c r="D310" s="11">
        <v>45234</v>
      </c>
      <c r="E310" s="86">
        <v>670.93</v>
      </c>
    </row>
    <row r="311" ht="15.75" spans="1:5">
      <c r="A311" s="33" t="s">
        <v>805</v>
      </c>
      <c r="B311" s="33">
        <v>400271.422</v>
      </c>
      <c r="C311" s="33">
        <v>670.16</v>
      </c>
      <c r="D311" s="11">
        <v>45235</v>
      </c>
      <c r="E311" s="86">
        <v>670.93</v>
      </c>
    </row>
    <row r="312" ht="15.75" spans="1:5">
      <c r="A312" s="33" t="s">
        <v>806</v>
      </c>
      <c r="B312" s="33">
        <v>400271.422</v>
      </c>
      <c r="C312" s="33">
        <v>670.16</v>
      </c>
      <c r="D312" s="11">
        <v>45236</v>
      </c>
      <c r="E312" s="86">
        <v>670.93</v>
      </c>
    </row>
    <row r="313" ht="15.75" spans="1:5">
      <c r="A313" s="33" t="s">
        <v>807</v>
      </c>
      <c r="B313" s="33">
        <v>400271.422</v>
      </c>
      <c r="C313" s="33">
        <v>670.16</v>
      </c>
      <c r="D313" s="11">
        <v>45237</v>
      </c>
      <c r="E313" s="86">
        <v>670.93</v>
      </c>
    </row>
    <row r="314" ht="15.75" spans="1:5">
      <c r="A314" s="33" t="s">
        <v>808</v>
      </c>
      <c r="B314" s="33">
        <v>400271.422</v>
      </c>
      <c r="C314" s="33">
        <v>670.16</v>
      </c>
      <c r="D314" s="11">
        <v>45238</v>
      </c>
      <c r="E314" s="86">
        <v>670.93</v>
      </c>
    </row>
    <row r="315" ht="15.75" spans="1:5">
      <c r="A315" s="33" t="s">
        <v>809</v>
      </c>
      <c r="B315" s="33">
        <v>400271.422</v>
      </c>
      <c r="C315" s="33">
        <v>670.16</v>
      </c>
      <c r="D315" s="11">
        <v>45239</v>
      </c>
      <c r="E315" s="86">
        <v>670.93</v>
      </c>
    </row>
    <row r="316" ht="15.75" spans="1:5">
      <c r="A316" s="33" t="s">
        <v>810</v>
      </c>
      <c r="B316" s="33">
        <v>400271.422</v>
      </c>
      <c r="C316" s="33">
        <v>670.16</v>
      </c>
      <c r="D316" s="11">
        <v>45240</v>
      </c>
      <c r="E316" s="86">
        <v>670.93</v>
      </c>
    </row>
    <row r="317" ht="15.75" spans="1:5">
      <c r="A317" s="33" t="s">
        <v>811</v>
      </c>
      <c r="B317" s="33">
        <v>400271.422</v>
      </c>
      <c r="C317" s="33">
        <v>670.16</v>
      </c>
      <c r="D317" s="11">
        <v>45241</v>
      </c>
      <c r="E317" s="86">
        <v>670.93</v>
      </c>
    </row>
    <row r="318" ht="15.75" spans="1:5">
      <c r="A318" s="33" t="s">
        <v>812</v>
      </c>
      <c r="B318" s="33">
        <v>400271.422</v>
      </c>
      <c r="C318" s="33">
        <v>670.16</v>
      </c>
      <c r="D318" s="11">
        <v>45242</v>
      </c>
      <c r="E318" s="86">
        <v>670.93</v>
      </c>
    </row>
    <row r="319" ht="15.75" spans="1:5">
      <c r="A319" s="33" t="s">
        <v>813</v>
      </c>
      <c r="B319" s="33">
        <v>400271.422</v>
      </c>
      <c r="C319" s="33">
        <v>670.16</v>
      </c>
      <c r="D319" s="11">
        <v>45243</v>
      </c>
      <c r="E319" s="86">
        <v>670.93</v>
      </c>
    </row>
    <row r="320" ht="15.75" spans="1:5">
      <c r="A320" s="33" t="s">
        <v>814</v>
      </c>
      <c r="B320" s="33">
        <v>400271.422</v>
      </c>
      <c r="C320" s="33">
        <v>670.16</v>
      </c>
      <c r="D320" s="11">
        <v>45244</v>
      </c>
      <c r="E320" s="86">
        <v>670.93</v>
      </c>
    </row>
    <row r="321" ht="15.75" spans="1:5">
      <c r="A321" s="33" t="s">
        <v>815</v>
      </c>
      <c r="B321" s="33">
        <v>400271.422</v>
      </c>
      <c r="C321" s="33">
        <v>670.16</v>
      </c>
      <c r="D321" s="11">
        <v>45245</v>
      </c>
      <c r="E321" s="86">
        <v>670.93</v>
      </c>
    </row>
    <row r="322" ht="15.75" spans="1:5">
      <c r="A322" s="33" t="s">
        <v>816</v>
      </c>
      <c r="B322" s="33">
        <v>400271.422</v>
      </c>
      <c r="C322" s="33">
        <v>670.16</v>
      </c>
      <c r="D322" s="11">
        <v>45246</v>
      </c>
      <c r="E322" s="86">
        <v>670.93</v>
      </c>
    </row>
    <row r="323" ht="15.75" spans="1:5">
      <c r="A323" s="33" t="s">
        <v>817</v>
      </c>
      <c r="B323" s="33">
        <v>400271.422</v>
      </c>
      <c r="C323" s="33">
        <v>670.16</v>
      </c>
      <c r="D323" s="11">
        <v>45247</v>
      </c>
      <c r="E323" s="86"/>
    </row>
    <row r="324" ht="15.75" spans="1:5">
      <c r="A324" s="33" t="s">
        <v>818</v>
      </c>
      <c r="B324" s="33">
        <v>400271.422</v>
      </c>
      <c r="C324" s="33">
        <v>670.16</v>
      </c>
      <c r="D324" s="11">
        <v>45248</v>
      </c>
      <c r="E324" s="86"/>
    </row>
    <row r="325" ht="15.75" spans="1:5">
      <c r="A325" s="33" t="s">
        <v>819</v>
      </c>
      <c r="B325" s="33">
        <v>400271.422</v>
      </c>
      <c r="C325" s="33">
        <v>670.16</v>
      </c>
      <c r="D325" s="11">
        <v>45249</v>
      </c>
      <c r="E325" s="86"/>
    </row>
    <row r="326" ht="15.75" spans="1:5">
      <c r="A326" s="33" t="s">
        <v>820</v>
      </c>
      <c r="B326" s="33">
        <v>400271.422</v>
      </c>
      <c r="C326" s="33">
        <v>670.16</v>
      </c>
      <c r="D326" s="11">
        <v>45250</v>
      </c>
      <c r="E326" s="86"/>
    </row>
    <row r="327" ht="15.75" spans="1:5">
      <c r="A327" s="33" t="s">
        <v>821</v>
      </c>
      <c r="B327" s="33">
        <v>400271.422</v>
      </c>
      <c r="C327" s="33">
        <v>670.16</v>
      </c>
      <c r="D327" s="11">
        <v>45251</v>
      </c>
      <c r="E327" s="86"/>
    </row>
    <row r="328" ht="15.75" spans="1:5">
      <c r="A328" s="33" t="s">
        <v>822</v>
      </c>
      <c r="B328" s="33">
        <v>400271.422</v>
      </c>
      <c r="C328" s="33">
        <v>670.16</v>
      </c>
      <c r="D328" s="11">
        <v>45252</v>
      </c>
      <c r="E328" s="86"/>
    </row>
    <row r="329" ht="15.75" spans="1:5">
      <c r="A329" s="33" t="s">
        <v>823</v>
      </c>
      <c r="B329" s="33">
        <v>400271.422</v>
      </c>
      <c r="C329" s="33">
        <v>670.16</v>
      </c>
      <c r="D329" s="11">
        <v>45253</v>
      </c>
      <c r="E329" s="86"/>
    </row>
    <row r="330" ht="15.75" spans="1:5">
      <c r="A330" s="33" t="s">
        <v>824</v>
      </c>
      <c r="B330" s="33">
        <v>400271.422</v>
      </c>
      <c r="C330" s="33">
        <v>670.16</v>
      </c>
      <c r="D330" s="11">
        <v>45254</v>
      </c>
      <c r="E330" s="86"/>
    </row>
    <row r="331" ht="15.75" spans="1:5">
      <c r="A331" s="33" t="s">
        <v>825</v>
      </c>
      <c r="B331" s="33">
        <v>400271.422</v>
      </c>
      <c r="C331" s="33">
        <v>670.16</v>
      </c>
      <c r="D331" s="11">
        <v>45255</v>
      </c>
      <c r="E331" s="86"/>
    </row>
    <row r="332" ht="15.75" spans="1:5">
      <c r="A332" s="33" t="s">
        <v>826</v>
      </c>
      <c r="B332" s="33">
        <v>400271.422</v>
      </c>
      <c r="C332" s="33">
        <v>670.16</v>
      </c>
      <c r="D332" s="11">
        <v>45256</v>
      </c>
      <c r="E332" s="86"/>
    </row>
    <row r="333" ht="15.75" spans="1:5">
      <c r="A333" s="33" t="s">
        <v>827</v>
      </c>
      <c r="B333" s="33">
        <v>400271.422</v>
      </c>
      <c r="C333" s="33">
        <v>670.16</v>
      </c>
      <c r="D333" s="11">
        <v>45257</v>
      </c>
      <c r="E333" s="86"/>
    </row>
    <row r="334" ht="15.75" spans="1:5">
      <c r="A334" s="33" t="s">
        <v>828</v>
      </c>
      <c r="B334" s="33">
        <v>400271.422</v>
      </c>
      <c r="C334" s="33">
        <v>670.16</v>
      </c>
      <c r="D334" s="11">
        <v>45258</v>
      </c>
      <c r="E334" s="86"/>
    </row>
    <row r="335" ht="15.75" spans="1:5">
      <c r="A335" s="33" t="s">
        <v>829</v>
      </c>
      <c r="B335" s="33">
        <v>400271.422</v>
      </c>
      <c r="C335" s="33">
        <v>670.16</v>
      </c>
      <c r="D335" s="11">
        <v>45259</v>
      </c>
      <c r="E335" s="86"/>
    </row>
    <row r="336" ht="15.75" spans="1:5">
      <c r="A336" s="33" t="s">
        <v>830</v>
      </c>
      <c r="B336" s="33">
        <v>400271.422</v>
      </c>
      <c r="C336" s="33">
        <v>670.16</v>
      </c>
      <c r="D336" s="11">
        <v>45260</v>
      </c>
      <c r="E336" s="86"/>
    </row>
    <row r="337" ht="15.75" spans="1:5">
      <c r="A337" s="33" t="s">
        <v>831</v>
      </c>
      <c r="B337" s="33">
        <v>400271.422</v>
      </c>
      <c r="C337" s="33">
        <v>670.16</v>
      </c>
      <c r="D337" s="11">
        <v>45261</v>
      </c>
      <c r="E337" s="86"/>
    </row>
    <row r="338" ht="15.75" spans="1:5">
      <c r="A338" s="33" t="s">
        <v>832</v>
      </c>
      <c r="B338" s="33">
        <v>400271.422</v>
      </c>
      <c r="C338" s="33">
        <v>670.16</v>
      </c>
      <c r="D338" s="11">
        <v>45262</v>
      </c>
      <c r="E338" s="86"/>
    </row>
    <row r="339" ht="15.75" spans="1:5">
      <c r="A339" s="33" t="s">
        <v>833</v>
      </c>
      <c r="B339" s="33">
        <v>400271.422</v>
      </c>
      <c r="C339" s="33">
        <v>670.16</v>
      </c>
      <c r="D339" s="11">
        <v>45263</v>
      </c>
      <c r="E339" s="86"/>
    </row>
    <row r="340" ht="15.75" spans="1:5">
      <c r="A340" s="33" t="s">
        <v>834</v>
      </c>
      <c r="B340" s="33">
        <v>400271.422</v>
      </c>
      <c r="C340" s="33">
        <v>670.16</v>
      </c>
      <c r="D340" s="11">
        <v>45264</v>
      </c>
      <c r="E340" s="86"/>
    </row>
    <row r="341" ht="15.75" spans="1:5">
      <c r="A341" s="33" t="s">
        <v>835</v>
      </c>
      <c r="B341" s="33">
        <v>400271.422</v>
      </c>
      <c r="C341" s="33">
        <v>670.16</v>
      </c>
      <c r="D341" s="11">
        <v>45265</v>
      </c>
      <c r="E341" s="86"/>
    </row>
    <row r="342" ht="15.75" spans="1:5">
      <c r="A342" s="33" t="s">
        <v>836</v>
      </c>
      <c r="B342" s="33">
        <v>400271.422</v>
      </c>
      <c r="C342" s="33">
        <v>670.16</v>
      </c>
      <c r="D342" s="11">
        <v>45266</v>
      </c>
      <c r="E342" s="86"/>
    </row>
    <row r="343" ht="15.75" spans="1:5">
      <c r="A343" s="33" t="s">
        <v>837</v>
      </c>
      <c r="B343" s="33">
        <v>400271.422</v>
      </c>
      <c r="C343" s="33">
        <v>670.16</v>
      </c>
      <c r="D343" s="11">
        <v>45267</v>
      </c>
      <c r="E343" s="86"/>
    </row>
    <row r="344" ht="15.75" spans="1:5">
      <c r="A344" s="33" t="s">
        <v>838</v>
      </c>
      <c r="B344" s="33">
        <v>400271.422</v>
      </c>
      <c r="C344" s="33">
        <v>670.16</v>
      </c>
      <c r="D344" s="11">
        <v>45268</v>
      </c>
      <c r="E344" s="86"/>
    </row>
    <row r="345" ht="15.75" spans="1:5">
      <c r="A345" s="33" t="s">
        <v>839</v>
      </c>
      <c r="B345" s="33">
        <v>400271.422</v>
      </c>
      <c r="C345" s="33">
        <v>670.16</v>
      </c>
      <c r="D345" s="11">
        <v>45269</v>
      </c>
      <c r="E345" s="86"/>
    </row>
    <row r="346" ht="15.75" spans="1:5">
      <c r="A346" s="33" t="s">
        <v>840</v>
      </c>
      <c r="B346" s="33">
        <v>400271.422</v>
      </c>
      <c r="C346" s="33">
        <v>670.16</v>
      </c>
      <c r="D346" s="11">
        <v>45270</v>
      </c>
      <c r="E346" s="86"/>
    </row>
    <row r="347" ht="15.75" spans="1:5">
      <c r="A347" s="33" t="s">
        <v>841</v>
      </c>
      <c r="B347" s="33">
        <v>400271.422</v>
      </c>
      <c r="C347" s="33">
        <v>670.16</v>
      </c>
      <c r="D347" s="11">
        <v>45271</v>
      </c>
      <c r="E347" s="86"/>
    </row>
    <row r="348" ht="15.75" spans="1:5">
      <c r="A348" s="33" t="s">
        <v>842</v>
      </c>
      <c r="B348" s="33">
        <v>400271.422</v>
      </c>
      <c r="C348" s="33">
        <v>670.16</v>
      </c>
      <c r="D348" s="11">
        <v>45272</v>
      </c>
      <c r="E348" s="86"/>
    </row>
    <row r="349" ht="15.75" spans="1:5">
      <c r="A349" s="33" t="s">
        <v>843</v>
      </c>
      <c r="B349" s="33">
        <v>400271.422</v>
      </c>
      <c r="C349" s="33">
        <v>670.16</v>
      </c>
      <c r="D349" s="11">
        <v>45273</v>
      </c>
      <c r="E349" s="86">
        <v>668.226</v>
      </c>
    </row>
    <row r="350" ht="15.75" spans="1:5">
      <c r="A350" s="33" t="s">
        <v>844</v>
      </c>
      <c r="B350" s="33">
        <v>400271.422</v>
      </c>
      <c r="C350" s="33">
        <v>670.16</v>
      </c>
      <c r="D350" s="11">
        <v>45274</v>
      </c>
      <c r="E350" s="86">
        <v>668.413</v>
      </c>
    </row>
    <row r="351" ht="15.75" spans="1:5">
      <c r="A351" s="33" t="s">
        <v>845</v>
      </c>
      <c r="B351" s="33">
        <v>400271.422</v>
      </c>
      <c r="C351" s="33">
        <v>670.16</v>
      </c>
      <c r="D351" s="11">
        <v>45275</v>
      </c>
      <c r="E351" s="86">
        <v>668.441</v>
      </c>
    </row>
    <row r="352" ht="15.75" spans="1:5">
      <c r="A352" s="33" t="s">
        <v>846</v>
      </c>
      <c r="B352" s="33">
        <v>400271.422</v>
      </c>
      <c r="C352" s="33">
        <v>670.16</v>
      </c>
      <c r="D352" s="11">
        <v>45276</v>
      </c>
      <c r="E352" s="86">
        <v>668.762</v>
      </c>
    </row>
    <row r="353" ht="15.75" spans="1:5">
      <c r="A353" s="33" t="s">
        <v>847</v>
      </c>
      <c r="B353" s="33">
        <v>400271.422</v>
      </c>
      <c r="C353" s="33">
        <v>670.16</v>
      </c>
      <c r="D353" s="11">
        <v>45277</v>
      </c>
      <c r="E353" s="86">
        <v>667.638</v>
      </c>
    </row>
    <row r="354" ht="15.75" spans="1:5">
      <c r="A354" s="33" t="s">
        <v>848</v>
      </c>
      <c r="B354" s="33">
        <v>400271.422</v>
      </c>
      <c r="C354" s="33">
        <v>670.16</v>
      </c>
      <c r="D354" s="11">
        <v>45278</v>
      </c>
      <c r="E354" s="86">
        <v>667.302</v>
      </c>
    </row>
    <row r="355" ht="15.75" spans="1:5">
      <c r="A355" s="33" t="s">
        <v>849</v>
      </c>
      <c r="B355" s="33">
        <v>400271.422</v>
      </c>
      <c r="C355" s="33">
        <v>670.16</v>
      </c>
      <c r="D355" s="11">
        <v>45279</v>
      </c>
      <c r="E355" s="86">
        <v>667.39</v>
      </c>
    </row>
    <row r="356" ht="15.75" spans="1:5">
      <c r="A356" s="33" t="s">
        <v>850</v>
      </c>
      <c r="B356" s="33">
        <v>400271.422</v>
      </c>
      <c r="C356" s="33">
        <v>670.16</v>
      </c>
      <c r="D356" s="11">
        <v>45280</v>
      </c>
      <c r="E356" s="86">
        <v>666.965</v>
      </c>
    </row>
    <row r="357" ht="15.75" spans="1:5">
      <c r="A357" s="33" t="s">
        <v>851</v>
      </c>
      <c r="B357" s="33">
        <v>400271.422</v>
      </c>
      <c r="C357" s="33">
        <v>670.16</v>
      </c>
      <c r="D357" s="11">
        <v>45281</v>
      </c>
      <c r="E357" s="86">
        <v>666.629</v>
      </c>
    </row>
    <row r="358" ht="15.75" spans="1:5">
      <c r="A358" s="33" t="s">
        <v>852</v>
      </c>
      <c r="B358" s="33">
        <v>400271.422</v>
      </c>
      <c r="C358" s="33">
        <v>670.16</v>
      </c>
      <c r="D358" s="11">
        <v>45282</v>
      </c>
      <c r="E358" s="86">
        <v>667.2</v>
      </c>
    </row>
    <row r="359" ht="15.75" spans="1:5">
      <c r="A359" s="33" t="s">
        <v>853</v>
      </c>
      <c r="B359" s="33">
        <v>400271.422</v>
      </c>
      <c r="C359" s="33">
        <v>670.16</v>
      </c>
      <c r="D359" s="11">
        <v>45283</v>
      </c>
      <c r="E359" s="86">
        <v>663.937</v>
      </c>
    </row>
    <row r="360" ht="15.75" spans="1:5">
      <c r="A360" s="33" t="s">
        <v>854</v>
      </c>
      <c r="B360" s="33">
        <v>400271.422</v>
      </c>
      <c r="C360" s="33">
        <v>670.16</v>
      </c>
      <c r="D360" s="11">
        <v>45284</v>
      </c>
      <c r="E360" s="86">
        <v>663.243</v>
      </c>
    </row>
    <row r="361" ht="15.75" spans="1:5">
      <c r="A361" s="33" t="s">
        <v>855</v>
      </c>
      <c r="B361" s="33">
        <v>400271.422</v>
      </c>
      <c r="C361" s="33">
        <v>670.16</v>
      </c>
      <c r="D361" s="11">
        <v>45285</v>
      </c>
      <c r="E361" s="86">
        <v>663.043</v>
      </c>
    </row>
    <row r="362" ht="15.75" spans="1:5">
      <c r="A362" s="33" t="s">
        <v>856</v>
      </c>
      <c r="B362" s="33">
        <v>400271.422</v>
      </c>
      <c r="C362" s="33">
        <v>670.16</v>
      </c>
      <c r="D362" s="11">
        <v>45286</v>
      </c>
      <c r="E362" s="86">
        <v>668.162</v>
      </c>
    </row>
    <row r="363" ht="15.75" spans="1:5">
      <c r="A363" s="33" t="s">
        <v>857</v>
      </c>
      <c r="B363" s="33">
        <v>400271.422</v>
      </c>
      <c r="C363" s="33">
        <v>670.16</v>
      </c>
      <c r="D363" s="11">
        <v>45287</v>
      </c>
      <c r="E363" s="86">
        <v>668.768</v>
      </c>
    </row>
    <row r="364" ht="15.75" spans="1:5">
      <c r="A364" s="33" t="s">
        <v>858</v>
      </c>
      <c r="B364" s="33">
        <v>400271.422</v>
      </c>
      <c r="C364" s="33">
        <v>670.16</v>
      </c>
      <c r="D364" s="11">
        <v>45288</v>
      </c>
      <c r="E364" s="86">
        <v>668.052</v>
      </c>
    </row>
    <row r="365" ht="15.75" spans="1:5">
      <c r="A365" s="33" t="s">
        <v>859</v>
      </c>
      <c r="B365" s="33">
        <v>400271.422</v>
      </c>
      <c r="C365" s="33">
        <v>670.16</v>
      </c>
      <c r="D365" s="11">
        <v>45289</v>
      </c>
      <c r="E365" s="86">
        <v>667.29</v>
      </c>
    </row>
    <row r="366" ht="15.75" spans="1:5">
      <c r="A366" s="33" t="s">
        <v>860</v>
      </c>
      <c r="B366" s="33">
        <v>400271.422</v>
      </c>
      <c r="C366" s="33">
        <v>670.16</v>
      </c>
      <c r="D366" s="11">
        <v>45290</v>
      </c>
      <c r="E366" s="86">
        <v>666.26</v>
      </c>
    </row>
    <row r="367" ht="15.75" spans="1:5">
      <c r="A367" s="33" t="s">
        <v>861</v>
      </c>
      <c r="B367" s="33">
        <v>400271.422</v>
      </c>
      <c r="C367" s="33">
        <v>670.16</v>
      </c>
      <c r="D367" s="11">
        <v>45291</v>
      </c>
      <c r="E367" s="86">
        <v>666.952</v>
      </c>
    </row>
    <row r="368" ht="15.75" spans="1:5">
      <c r="A368" s="33" t="s">
        <v>862</v>
      </c>
      <c r="B368" s="33">
        <v>400271.422</v>
      </c>
      <c r="C368" s="33">
        <v>670.16</v>
      </c>
      <c r="D368" s="11">
        <v>45292</v>
      </c>
      <c r="E368" s="86">
        <v>663.154</v>
      </c>
    </row>
    <row r="369" ht="15.75" spans="1:5">
      <c r="A369" s="33" t="s">
        <v>863</v>
      </c>
      <c r="B369" s="33">
        <v>400271.422</v>
      </c>
      <c r="C369" s="33">
        <v>670.16</v>
      </c>
      <c r="D369" s="11">
        <v>45293</v>
      </c>
      <c r="E369" s="86">
        <v>658.922</v>
      </c>
    </row>
    <row r="370" ht="15.75" spans="1:5">
      <c r="A370" s="33" t="s">
        <v>864</v>
      </c>
      <c r="B370" s="33">
        <v>400271.422</v>
      </c>
      <c r="C370" s="33">
        <v>670.16</v>
      </c>
      <c r="D370" s="11">
        <v>45294</v>
      </c>
      <c r="E370" s="86">
        <v>656.695</v>
      </c>
    </row>
    <row r="371" ht="15.75" spans="1:5">
      <c r="A371" s="33" t="s">
        <v>865</v>
      </c>
      <c r="B371" s="33">
        <v>400271.422</v>
      </c>
      <c r="C371" s="33">
        <v>670.16</v>
      </c>
      <c r="D371" s="11">
        <v>45295</v>
      </c>
      <c r="E371" s="88">
        <v>655.787</v>
      </c>
    </row>
    <row r="372" ht="15.75" spans="1:5">
      <c r="A372" s="33" t="s">
        <v>866</v>
      </c>
      <c r="B372" s="33">
        <v>400271.422</v>
      </c>
      <c r="C372" s="33">
        <v>670.16</v>
      </c>
      <c r="D372" s="11">
        <v>45296</v>
      </c>
      <c r="E372" s="88">
        <v>654.289</v>
      </c>
    </row>
    <row r="373" ht="15.75" spans="1:5">
      <c r="A373" s="33" t="s">
        <v>867</v>
      </c>
      <c r="B373" s="33">
        <v>400271.422</v>
      </c>
      <c r="C373" s="33">
        <v>670.16</v>
      </c>
      <c r="D373" s="11">
        <v>45297</v>
      </c>
      <c r="E373" s="88">
        <v>653.699</v>
      </c>
    </row>
    <row r="374" ht="15.75" spans="1:5">
      <c r="A374" s="33" t="s">
        <v>868</v>
      </c>
      <c r="B374" s="33">
        <v>400271.422</v>
      </c>
      <c r="C374" s="33">
        <v>670.16</v>
      </c>
      <c r="D374" s="11">
        <v>45298</v>
      </c>
      <c r="E374" s="94">
        <v>652.7</v>
      </c>
    </row>
    <row r="375" ht="15.75" spans="1:5">
      <c r="A375" s="33" t="s">
        <v>869</v>
      </c>
      <c r="B375" s="33">
        <v>400271.422</v>
      </c>
      <c r="C375" s="33">
        <v>670.16</v>
      </c>
      <c r="D375" s="11">
        <v>45299</v>
      </c>
      <c r="E375" s="94">
        <v>651.851</v>
      </c>
    </row>
    <row r="376" ht="15.75" spans="1:5">
      <c r="A376" s="33" t="s">
        <v>870</v>
      </c>
      <c r="B376" s="33">
        <v>400271.422</v>
      </c>
      <c r="C376" s="33">
        <v>670.16</v>
      </c>
      <c r="D376" s="11">
        <v>45300</v>
      </c>
      <c r="E376" s="94">
        <v>643.817</v>
      </c>
    </row>
    <row r="377" ht="15.75" spans="1:5">
      <c r="A377" s="33" t="s">
        <v>871</v>
      </c>
      <c r="B377" s="33">
        <v>400271.422</v>
      </c>
      <c r="C377" s="33">
        <v>670.16</v>
      </c>
      <c r="D377" s="11">
        <v>45301</v>
      </c>
      <c r="E377" s="94">
        <v>643.059</v>
      </c>
    </row>
    <row r="378" ht="15.75" spans="1:5">
      <c r="A378" s="33" t="s">
        <v>872</v>
      </c>
      <c r="B378" s="33">
        <v>400271.422</v>
      </c>
      <c r="C378" s="33">
        <v>670.16</v>
      </c>
      <c r="D378" s="11">
        <v>45302</v>
      </c>
      <c r="E378" s="88">
        <v>642.904</v>
      </c>
    </row>
    <row r="379" ht="15.75" spans="1:5">
      <c r="A379" s="33" t="s">
        <v>873</v>
      </c>
      <c r="B379" s="33">
        <v>400271.422</v>
      </c>
      <c r="C379" s="33">
        <v>670.16</v>
      </c>
      <c r="D379" s="11">
        <v>45303</v>
      </c>
      <c r="E379" s="88">
        <v>642.866</v>
      </c>
    </row>
    <row r="380" ht="15.75" spans="1:5">
      <c r="A380" s="33" t="s">
        <v>874</v>
      </c>
      <c r="B380" s="33">
        <v>400271.422</v>
      </c>
      <c r="C380" s="33">
        <v>670.16</v>
      </c>
      <c r="D380" s="11">
        <v>45304</v>
      </c>
      <c r="E380" s="88">
        <v>642.826</v>
      </c>
    </row>
    <row r="381" ht="15.75" spans="1:5">
      <c r="A381" s="33" t="s">
        <v>875</v>
      </c>
      <c r="B381" s="33">
        <v>400271.422</v>
      </c>
      <c r="C381" s="33">
        <v>670.16</v>
      </c>
      <c r="D381" s="11">
        <v>45305</v>
      </c>
      <c r="E381" s="88">
        <v>642.966</v>
      </c>
    </row>
    <row r="382" ht="15.75" spans="1:5">
      <c r="A382" s="33" t="s">
        <v>876</v>
      </c>
      <c r="B382" s="33">
        <v>400271.422</v>
      </c>
      <c r="C382" s="33">
        <v>670.16</v>
      </c>
      <c r="D382" s="11">
        <v>45306</v>
      </c>
      <c r="E382" s="88">
        <v>642.971</v>
      </c>
    </row>
    <row r="383" ht="15.75" spans="1:5">
      <c r="A383" s="33" t="s">
        <v>877</v>
      </c>
      <c r="B383" s="33">
        <v>400271.422</v>
      </c>
      <c r="C383" s="33">
        <v>670.16</v>
      </c>
      <c r="D383" s="11">
        <v>45307</v>
      </c>
      <c r="E383" s="88">
        <v>642.932</v>
      </c>
    </row>
    <row r="384" ht="15.75" spans="1:5">
      <c r="A384" s="33" t="s">
        <v>878</v>
      </c>
      <c r="B384" s="33">
        <v>400271.422</v>
      </c>
      <c r="C384" s="33">
        <v>670.16</v>
      </c>
      <c r="D384" s="11">
        <v>45308</v>
      </c>
      <c r="E384" s="88">
        <v>642.901</v>
      </c>
    </row>
    <row r="385" ht="15.75" spans="1:5">
      <c r="A385" s="33" t="s">
        <v>879</v>
      </c>
      <c r="B385" s="33">
        <v>400271.422</v>
      </c>
      <c r="C385" s="33">
        <v>670.16</v>
      </c>
      <c r="D385" s="11">
        <v>45309</v>
      </c>
      <c r="E385" s="88">
        <v>642.915</v>
      </c>
    </row>
    <row r="386" ht="15.75" spans="1:5">
      <c r="A386" s="33" t="s">
        <v>880</v>
      </c>
      <c r="B386" s="33">
        <v>400271.422</v>
      </c>
      <c r="C386" s="33">
        <v>670.16</v>
      </c>
      <c r="D386" s="11">
        <v>45310</v>
      </c>
      <c r="E386" s="88">
        <v>642.887</v>
      </c>
    </row>
    <row r="387" ht="15.75" spans="1:5">
      <c r="A387" s="33" t="s">
        <v>881</v>
      </c>
      <c r="B387" s="33">
        <v>400271.422</v>
      </c>
      <c r="C387" s="33">
        <v>670.16</v>
      </c>
      <c r="D387" s="11">
        <v>45311</v>
      </c>
      <c r="E387" s="88">
        <v>642.837</v>
      </c>
    </row>
    <row r="388" ht="15.75" spans="1:5">
      <c r="A388" s="33" t="s">
        <v>882</v>
      </c>
      <c r="B388" s="33">
        <v>400271.422</v>
      </c>
      <c r="C388" s="33">
        <v>670.16</v>
      </c>
      <c r="D388" s="11">
        <v>45312</v>
      </c>
      <c r="E388" s="88">
        <v>642.749</v>
      </c>
    </row>
    <row r="389" ht="15.75" spans="1:5">
      <c r="A389" s="33" t="s">
        <v>883</v>
      </c>
      <c r="B389" s="33">
        <v>400271.422</v>
      </c>
      <c r="C389" s="33">
        <v>670.16</v>
      </c>
      <c r="D389" s="11">
        <v>45313</v>
      </c>
      <c r="E389" s="88">
        <v>642.6</v>
      </c>
    </row>
    <row r="390" ht="15.75" spans="1:5">
      <c r="A390" s="33" t="s">
        <v>884</v>
      </c>
      <c r="B390" s="33">
        <v>400271.422</v>
      </c>
      <c r="C390" s="33">
        <v>670.16</v>
      </c>
      <c r="D390" s="11">
        <v>45314</v>
      </c>
      <c r="E390" s="88">
        <v>642.053</v>
      </c>
    </row>
    <row r="391" ht="15.75" spans="1:5">
      <c r="A391" s="33" t="s">
        <v>885</v>
      </c>
      <c r="B391" s="33">
        <v>400271.422</v>
      </c>
      <c r="C391" s="33">
        <v>670.16</v>
      </c>
      <c r="D391" s="11">
        <v>45315</v>
      </c>
      <c r="E391" s="88">
        <v>642.517</v>
      </c>
    </row>
    <row r="392" ht="15.75" spans="1:5">
      <c r="A392" s="33" t="s">
        <v>886</v>
      </c>
      <c r="B392" s="33">
        <v>400271.422</v>
      </c>
      <c r="C392" s="33">
        <v>670.16</v>
      </c>
      <c r="D392" s="11">
        <v>45316</v>
      </c>
      <c r="E392" s="88">
        <v>645.433</v>
      </c>
    </row>
    <row r="393" ht="15.75" spans="1:5">
      <c r="A393" s="33" t="s">
        <v>887</v>
      </c>
      <c r="B393" s="33">
        <v>400271.422</v>
      </c>
      <c r="C393" s="33">
        <v>670.16</v>
      </c>
      <c r="D393" s="11">
        <v>45317</v>
      </c>
      <c r="E393" s="88">
        <v>642.92</v>
      </c>
    </row>
    <row r="394" ht="15.75" spans="1:5">
      <c r="A394" s="33" t="s">
        <v>888</v>
      </c>
      <c r="B394" s="33">
        <v>400271.422</v>
      </c>
      <c r="C394" s="33">
        <v>670.16</v>
      </c>
      <c r="D394" s="11">
        <v>45318</v>
      </c>
      <c r="E394" s="88">
        <v>648.582</v>
      </c>
    </row>
    <row r="395" ht="15.75" spans="1:5">
      <c r="A395" s="33" t="s">
        <v>889</v>
      </c>
      <c r="B395" s="33">
        <v>400271.422</v>
      </c>
      <c r="C395" s="33">
        <v>670.16</v>
      </c>
      <c r="D395" s="11">
        <v>45319</v>
      </c>
      <c r="E395" s="88">
        <v>650.054</v>
      </c>
    </row>
    <row r="396" ht="15.75" spans="1:5">
      <c r="A396" s="33" t="s">
        <v>890</v>
      </c>
      <c r="B396" s="33">
        <v>400271.422</v>
      </c>
      <c r="C396" s="33">
        <v>670.16</v>
      </c>
      <c r="D396" s="11">
        <v>45320</v>
      </c>
      <c r="E396" s="88">
        <v>650.758</v>
      </c>
    </row>
    <row r="397" ht="15.75" spans="1:5">
      <c r="A397" s="33" t="s">
        <v>891</v>
      </c>
      <c r="B397" s="33">
        <v>400271.422</v>
      </c>
      <c r="C397" s="33">
        <v>670.16</v>
      </c>
      <c r="D397" s="11">
        <v>45321</v>
      </c>
      <c r="E397" s="88">
        <v>651.268</v>
      </c>
    </row>
    <row r="398" ht="15.75" spans="1:5">
      <c r="A398" s="33" t="s">
        <v>892</v>
      </c>
      <c r="B398" s="33">
        <v>400271.422</v>
      </c>
      <c r="C398" s="33">
        <v>670.16</v>
      </c>
      <c r="D398" s="11">
        <v>45322</v>
      </c>
      <c r="E398" s="88">
        <v>651.646</v>
      </c>
    </row>
    <row r="399" ht="15.75" spans="1:5">
      <c r="A399" s="33" t="s">
        <v>893</v>
      </c>
      <c r="B399" s="33">
        <v>400271.422</v>
      </c>
      <c r="C399" s="33">
        <v>670.16</v>
      </c>
      <c r="D399" s="11">
        <v>45323</v>
      </c>
      <c r="E399" s="88">
        <v>651.917</v>
      </c>
    </row>
    <row r="400" ht="15.75" spans="1:5">
      <c r="A400" s="33" t="s">
        <v>894</v>
      </c>
      <c r="B400" s="33">
        <v>400271.422</v>
      </c>
      <c r="C400" s="33">
        <v>670.16</v>
      </c>
      <c r="D400" s="11">
        <v>45324</v>
      </c>
      <c r="E400" s="88">
        <v>652.105</v>
      </c>
    </row>
    <row r="401" ht="15.75" spans="1:5">
      <c r="A401" s="33" t="s">
        <v>895</v>
      </c>
      <c r="B401" s="33">
        <v>400271.422</v>
      </c>
      <c r="C401" s="33">
        <v>670.16</v>
      </c>
      <c r="D401" s="11">
        <v>45325</v>
      </c>
      <c r="E401" s="88">
        <v>644.306</v>
      </c>
    </row>
    <row r="402" ht="15.75" spans="1:5">
      <c r="A402" s="33" t="s">
        <v>896</v>
      </c>
      <c r="B402" s="33">
        <v>400271.422</v>
      </c>
      <c r="C402" s="33">
        <v>670.16</v>
      </c>
      <c r="D402" s="11">
        <v>45326</v>
      </c>
      <c r="E402" s="88">
        <v>644.904</v>
      </c>
    </row>
    <row r="403" ht="15.75" spans="1:5">
      <c r="A403" s="33" t="s">
        <v>897</v>
      </c>
      <c r="B403" s="33">
        <v>400271.422</v>
      </c>
      <c r="C403" s="33">
        <v>670.16</v>
      </c>
      <c r="D403" s="11">
        <v>45327</v>
      </c>
      <c r="E403" s="88">
        <v>639.921</v>
      </c>
    </row>
    <row r="404" ht="15.75" spans="1:5">
      <c r="A404" s="33" t="s">
        <v>898</v>
      </c>
      <c r="B404" s="33">
        <v>400271.422</v>
      </c>
      <c r="C404" s="33">
        <v>670.16</v>
      </c>
      <c r="D404" s="11">
        <v>45328</v>
      </c>
      <c r="E404" s="88">
        <v>639.716</v>
      </c>
    </row>
    <row r="405" ht="15.75" spans="1:5">
      <c r="A405" s="33" t="s">
        <v>899</v>
      </c>
      <c r="B405" s="33">
        <v>400271.422</v>
      </c>
      <c r="C405" s="33">
        <v>670.16</v>
      </c>
      <c r="D405" s="11">
        <v>45329</v>
      </c>
      <c r="E405" s="88">
        <v>639.664</v>
      </c>
    </row>
    <row r="406" ht="15.75" spans="1:5">
      <c r="A406" s="33" t="s">
        <v>900</v>
      </c>
      <c r="B406" s="33">
        <v>400271.422</v>
      </c>
      <c r="C406" s="33">
        <v>670.16</v>
      </c>
      <c r="D406" s="11">
        <v>45330</v>
      </c>
      <c r="E406" s="88">
        <v>639.642</v>
      </c>
    </row>
    <row r="407" ht="15.75" spans="1:5">
      <c r="A407" s="33" t="s">
        <v>901</v>
      </c>
      <c r="B407" s="33">
        <v>400271.422</v>
      </c>
      <c r="C407" s="33">
        <v>670.16</v>
      </c>
      <c r="D407" s="11">
        <v>45331</v>
      </c>
      <c r="E407" s="88">
        <v>639.629</v>
      </c>
    </row>
    <row r="408" ht="15.75" spans="1:5">
      <c r="A408" s="33" t="s">
        <v>902</v>
      </c>
      <c r="B408" s="33">
        <v>400271.422</v>
      </c>
      <c r="C408" s="33">
        <v>670.16</v>
      </c>
      <c r="D408" s="11">
        <v>45332</v>
      </c>
      <c r="E408" s="88">
        <v>639.64</v>
      </c>
    </row>
    <row r="409" ht="15.75" spans="1:5">
      <c r="A409" s="33" t="s">
        <v>903</v>
      </c>
      <c r="B409" s="33">
        <v>400271.422</v>
      </c>
      <c r="C409" s="33">
        <v>670.16</v>
      </c>
      <c r="D409" s="11">
        <v>45333</v>
      </c>
      <c r="E409" s="88">
        <v>643.592</v>
      </c>
    </row>
    <row r="410" ht="15.75" spans="1:5">
      <c r="A410" s="33" t="s">
        <v>904</v>
      </c>
      <c r="B410" s="33">
        <v>400271.422</v>
      </c>
      <c r="C410" s="33">
        <v>670.16</v>
      </c>
      <c r="D410" s="11">
        <v>45334</v>
      </c>
      <c r="E410" s="88">
        <v>644.54</v>
      </c>
    </row>
    <row r="411" ht="15.75" spans="1:5">
      <c r="A411" s="33" t="s">
        <v>905</v>
      </c>
      <c r="B411" s="33">
        <v>400271.422</v>
      </c>
      <c r="C411" s="33">
        <v>670.16</v>
      </c>
      <c r="D411" s="11">
        <v>45335</v>
      </c>
      <c r="E411" s="88">
        <v>644.919</v>
      </c>
    </row>
    <row r="412" ht="15.75" spans="1:5">
      <c r="A412" s="33" t="s">
        <v>906</v>
      </c>
      <c r="B412" s="33">
        <v>400271.422</v>
      </c>
      <c r="C412" s="33">
        <v>670.16</v>
      </c>
      <c r="D412" s="11">
        <v>45336</v>
      </c>
      <c r="E412" s="89">
        <v>645.182</v>
      </c>
    </row>
    <row r="413" ht="15.75" spans="1:5">
      <c r="A413" s="33" t="s">
        <v>907</v>
      </c>
      <c r="B413" s="33">
        <v>400271.422</v>
      </c>
      <c r="C413" s="33">
        <v>670.16</v>
      </c>
      <c r="D413" s="11">
        <v>45337</v>
      </c>
      <c r="E413" s="85"/>
    </row>
    <row r="414" ht="15.75" spans="1:5">
      <c r="A414" s="33" t="s">
        <v>908</v>
      </c>
      <c r="B414" s="33">
        <v>400271.422</v>
      </c>
      <c r="C414" s="33">
        <v>670.16</v>
      </c>
      <c r="D414" s="11">
        <v>45338</v>
      </c>
      <c r="E414" s="85"/>
    </row>
    <row r="415" ht="15.75" spans="1:5">
      <c r="A415" s="33" t="s">
        <v>909</v>
      </c>
      <c r="B415" s="33">
        <v>400271.422</v>
      </c>
      <c r="C415" s="33">
        <v>670.16</v>
      </c>
      <c r="D415" s="11">
        <v>45339</v>
      </c>
      <c r="E415" s="85"/>
    </row>
    <row r="416" ht="15.75" spans="1:5">
      <c r="A416" s="33" t="s">
        <v>910</v>
      </c>
      <c r="B416" s="33">
        <v>400271.422</v>
      </c>
      <c r="C416" s="33">
        <v>670.16</v>
      </c>
      <c r="D416" s="11">
        <v>45340</v>
      </c>
      <c r="E416" s="85"/>
    </row>
    <row r="417" ht="15.75" spans="1:5">
      <c r="A417" s="33" t="s">
        <v>911</v>
      </c>
      <c r="B417" s="33">
        <v>400271.422</v>
      </c>
      <c r="C417" s="33">
        <v>670.16</v>
      </c>
      <c r="D417" s="11">
        <v>45341</v>
      </c>
      <c r="E417" s="88">
        <v>645.401</v>
      </c>
    </row>
    <row r="418" ht="15.75" spans="1:5">
      <c r="A418" s="33" t="s">
        <v>912</v>
      </c>
      <c r="B418" s="33">
        <v>400271.422</v>
      </c>
      <c r="C418" s="33">
        <v>670.16</v>
      </c>
      <c r="D418" s="11">
        <v>45342</v>
      </c>
      <c r="E418" s="88">
        <v>645.42</v>
      </c>
    </row>
    <row r="419" ht="15.75" spans="1:5">
      <c r="A419" s="33" t="s">
        <v>913</v>
      </c>
      <c r="B419" s="33">
        <v>400271.422</v>
      </c>
      <c r="C419" s="33">
        <v>670.16</v>
      </c>
      <c r="D419" s="11">
        <v>45343</v>
      </c>
      <c r="E419" s="88">
        <v>645.42</v>
      </c>
    </row>
    <row r="420" ht="15.75" spans="1:5">
      <c r="A420" s="33" t="s">
        <v>914</v>
      </c>
      <c r="B420" s="33">
        <v>400271.422</v>
      </c>
      <c r="C420" s="33">
        <v>670.16</v>
      </c>
      <c r="D420" s="11">
        <v>45344</v>
      </c>
      <c r="E420" s="88">
        <v>645.43</v>
      </c>
    </row>
    <row r="421" ht="15.75" spans="1:5">
      <c r="A421" s="33" t="s">
        <v>915</v>
      </c>
      <c r="B421" s="33">
        <v>400271.422</v>
      </c>
      <c r="C421" s="33">
        <v>670.16</v>
      </c>
      <c r="D421" s="11">
        <v>45345</v>
      </c>
      <c r="E421" s="88">
        <v>645.432</v>
      </c>
    </row>
    <row r="422" ht="15.75" spans="1:5">
      <c r="A422" s="33" t="s">
        <v>916</v>
      </c>
      <c r="B422" s="33">
        <v>400271.422</v>
      </c>
      <c r="C422" s="33">
        <v>670.16</v>
      </c>
      <c r="D422" s="11">
        <v>45346</v>
      </c>
      <c r="E422" s="88">
        <v>645.437</v>
      </c>
    </row>
    <row r="423" ht="15.75" spans="1:5">
      <c r="A423" s="33" t="s">
        <v>917</v>
      </c>
      <c r="B423" s="33">
        <v>400271.422</v>
      </c>
      <c r="C423" s="33">
        <v>670.16</v>
      </c>
      <c r="D423" s="11">
        <v>45347</v>
      </c>
      <c r="E423" s="88">
        <v>645.417</v>
      </c>
    </row>
    <row r="424" ht="15.75" spans="1:5">
      <c r="A424" s="33" t="s">
        <v>918</v>
      </c>
      <c r="B424" s="33">
        <v>400271.422</v>
      </c>
      <c r="C424" s="33">
        <v>670.16</v>
      </c>
      <c r="D424" s="11">
        <v>45348</v>
      </c>
      <c r="E424" s="88">
        <v>645.736</v>
      </c>
    </row>
    <row r="425" ht="15.75" spans="1:5">
      <c r="A425" s="33" t="s">
        <v>919</v>
      </c>
      <c r="B425" s="33">
        <v>400271.422</v>
      </c>
      <c r="C425" s="33">
        <v>670.16</v>
      </c>
      <c r="D425" s="11">
        <v>45349</v>
      </c>
      <c r="E425" s="88">
        <v>648.377</v>
      </c>
    </row>
    <row r="426" ht="15.75" spans="1:5">
      <c r="A426" s="33" t="s">
        <v>920</v>
      </c>
      <c r="B426" s="33">
        <v>400271.422</v>
      </c>
      <c r="C426" s="33">
        <v>670.16</v>
      </c>
      <c r="D426" s="11">
        <v>45350</v>
      </c>
      <c r="E426" s="88">
        <v>648.546</v>
      </c>
    </row>
    <row r="427" ht="15.75" spans="1:5">
      <c r="A427" s="33" t="s">
        <v>921</v>
      </c>
      <c r="B427" s="33">
        <v>400271.422</v>
      </c>
      <c r="C427" s="33">
        <v>670.16</v>
      </c>
      <c r="D427" s="11">
        <v>45351</v>
      </c>
      <c r="E427" s="88">
        <v>648.647</v>
      </c>
    </row>
    <row r="428" ht="15.75" spans="1:5">
      <c r="A428" s="33" t="s">
        <v>922</v>
      </c>
      <c r="B428" s="33">
        <v>400271.422</v>
      </c>
      <c r="C428" s="33">
        <v>670.16</v>
      </c>
      <c r="D428" s="11">
        <v>45352</v>
      </c>
      <c r="E428" s="88">
        <v>648.763</v>
      </c>
    </row>
    <row r="429" ht="15.75" spans="1:5">
      <c r="A429" s="33" t="s">
        <v>923</v>
      </c>
      <c r="B429" s="33">
        <v>400271.422</v>
      </c>
      <c r="C429" s="33">
        <v>670.16</v>
      </c>
      <c r="D429" s="11">
        <v>45353</v>
      </c>
      <c r="E429" s="88">
        <v>648.647</v>
      </c>
    </row>
    <row r="430" ht="15.75" spans="1:5">
      <c r="A430" s="33" t="s">
        <v>924</v>
      </c>
      <c r="B430" s="33">
        <v>400271.422</v>
      </c>
      <c r="C430" s="33">
        <v>670.16</v>
      </c>
      <c r="D430" s="11">
        <v>45354</v>
      </c>
      <c r="E430" s="88">
        <v>648.763</v>
      </c>
    </row>
    <row r="431" ht="15.75" spans="1:5">
      <c r="A431" s="33" t="s">
        <v>925</v>
      </c>
      <c r="B431" s="33">
        <v>400271.422</v>
      </c>
      <c r="C431" s="33">
        <v>670.16</v>
      </c>
      <c r="D431" s="11">
        <v>45355</v>
      </c>
      <c r="E431" s="88">
        <v>648.741</v>
      </c>
    </row>
    <row r="432" ht="15.75" spans="1:5">
      <c r="A432" s="33" t="s">
        <v>926</v>
      </c>
      <c r="B432" s="33">
        <v>400271.422</v>
      </c>
      <c r="C432" s="33">
        <v>670.16</v>
      </c>
      <c r="D432" s="11">
        <v>45356</v>
      </c>
      <c r="E432" s="88">
        <v>648.712</v>
      </c>
    </row>
    <row r="433" ht="15.75" spans="1:5">
      <c r="A433" s="33" t="s">
        <v>927</v>
      </c>
      <c r="B433" s="33">
        <v>400271.422</v>
      </c>
      <c r="C433" s="33">
        <v>670.16</v>
      </c>
      <c r="D433" s="11">
        <v>45357</v>
      </c>
      <c r="E433" s="88">
        <v>648.72</v>
      </c>
    </row>
    <row r="434" ht="15.75" spans="1:5">
      <c r="A434" s="33" t="s">
        <v>928</v>
      </c>
      <c r="B434" s="33">
        <v>400271.422</v>
      </c>
      <c r="C434" s="33">
        <v>670.16</v>
      </c>
      <c r="D434" s="11">
        <v>45358</v>
      </c>
      <c r="E434" s="88">
        <v>648.7</v>
      </c>
    </row>
    <row r="435" ht="15.75" spans="1:5">
      <c r="A435" s="33" t="s">
        <v>929</v>
      </c>
      <c r="B435" s="33">
        <v>400271.422</v>
      </c>
      <c r="C435" s="33">
        <v>670.16</v>
      </c>
      <c r="D435" s="11">
        <v>45359</v>
      </c>
      <c r="E435" s="88">
        <v>648.729</v>
      </c>
    </row>
    <row r="436" ht="15.75" spans="1:5">
      <c r="A436" s="33" t="s">
        <v>930</v>
      </c>
      <c r="B436" s="33">
        <v>400271.422</v>
      </c>
      <c r="C436" s="33">
        <v>670.16</v>
      </c>
      <c r="D436" s="11">
        <v>45360</v>
      </c>
      <c r="E436" s="88">
        <v>648.717</v>
      </c>
    </row>
    <row r="437" ht="15.75" spans="1:5">
      <c r="A437" s="33" t="s">
        <v>931</v>
      </c>
      <c r="B437" s="33">
        <v>400271.422</v>
      </c>
      <c r="C437" s="33">
        <v>670.16</v>
      </c>
      <c r="D437" s="11">
        <v>45361</v>
      </c>
      <c r="E437" s="88">
        <v>661.333</v>
      </c>
    </row>
    <row r="438" ht="15.75" spans="1:5">
      <c r="A438" s="33" t="s">
        <v>932</v>
      </c>
      <c r="B438" s="33">
        <v>400271.422</v>
      </c>
      <c r="C438" s="33">
        <v>670.16</v>
      </c>
      <c r="D438" s="11">
        <v>45362</v>
      </c>
      <c r="E438" s="88">
        <v>660.152</v>
      </c>
    </row>
    <row r="439" ht="15.75" spans="1:5">
      <c r="A439" s="33" t="s">
        <v>933</v>
      </c>
      <c r="B439" s="33">
        <v>400271.422</v>
      </c>
      <c r="C439" s="33">
        <v>670.16</v>
      </c>
      <c r="D439" s="11">
        <v>45363</v>
      </c>
      <c r="E439" s="88">
        <v>660.693</v>
      </c>
    </row>
    <row r="440" ht="15.75" spans="1:5">
      <c r="A440" s="33" t="s">
        <v>934</v>
      </c>
      <c r="B440" s="33">
        <v>400271.422</v>
      </c>
      <c r="C440" s="33">
        <v>670.16</v>
      </c>
      <c r="D440" s="11">
        <v>45364</v>
      </c>
      <c r="E440" s="88">
        <v>661.155</v>
      </c>
    </row>
    <row r="441" ht="15.75" spans="1:5">
      <c r="A441" s="33" t="s">
        <v>935</v>
      </c>
      <c r="B441" s="33">
        <v>400271.422</v>
      </c>
      <c r="C441" s="33">
        <v>670.16</v>
      </c>
      <c r="D441" s="11">
        <v>45365</v>
      </c>
      <c r="E441" s="88">
        <v>659.077</v>
      </c>
    </row>
    <row r="442" ht="15.75" spans="1:5">
      <c r="A442" s="33" t="s">
        <v>936</v>
      </c>
      <c r="B442" s="33">
        <v>400271.422</v>
      </c>
      <c r="C442" s="33">
        <v>670.16</v>
      </c>
      <c r="D442" s="11">
        <v>45366</v>
      </c>
      <c r="E442" s="88">
        <v>654.103</v>
      </c>
    </row>
    <row r="443" ht="15.75" spans="1:5">
      <c r="A443" s="33" t="s">
        <v>937</v>
      </c>
      <c r="B443" s="33">
        <v>400271.422</v>
      </c>
      <c r="C443" s="33">
        <v>670.16</v>
      </c>
      <c r="D443" s="11">
        <v>45367</v>
      </c>
      <c r="E443" s="88">
        <v>652.429</v>
      </c>
    </row>
    <row r="444" ht="15.75" spans="1:5">
      <c r="A444" s="33" t="s">
        <v>938</v>
      </c>
      <c r="B444" s="33">
        <v>400271.422</v>
      </c>
      <c r="C444" s="33">
        <v>670.16</v>
      </c>
      <c r="D444" s="11">
        <v>45368</v>
      </c>
      <c r="E444" s="88">
        <v>651.52</v>
      </c>
    </row>
    <row r="445" ht="15.75" spans="1:5">
      <c r="A445" s="33" t="s">
        <v>939</v>
      </c>
      <c r="B445" s="33">
        <v>400271.422</v>
      </c>
      <c r="C445" s="33">
        <v>670.16</v>
      </c>
      <c r="D445" s="11">
        <v>45369</v>
      </c>
      <c r="E445" s="88">
        <v>651.007</v>
      </c>
    </row>
    <row r="446" ht="15.75" spans="1:5">
      <c r="A446" s="33" t="s">
        <v>940</v>
      </c>
      <c r="B446" s="33">
        <v>400271.422</v>
      </c>
      <c r="C446" s="33">
        <v>670.16</v>
      </c>
      <c r="D446" s="11">
        <v>45370</v>
      </c>
      <c r="E446" s="88">
        <v>650.768</v>
      </c>
    </row>
    <row r="447" ht="15.75" spans="1:5">
      <c r="A447" s="33" t="s">
        <v>941</v>
      </c>
      <c r="B447" s="33">
        <v>400271.422</v>
      </c>
      <c r="C447" s="33">
        <v>670.16</v>
      </c>
      <c r="D447" s="11">
        <v>45371</v>
      </c>
      <c r="E447" s="88">
        <v>650.659</v>
      </c>
    </row>
    <row r="448" ht="15.75" spans="1:5">
      <c r="A448" s="33" t="s">
        <v>942</v>
      </c>
      <c r="B448" s="33">
        <v>400271.422</v>
      </c>
      <c r="C448" s="33">
        <v>670.16</v>
      </c>
      <c r="D448" s="11">
        <v>45372</v>
      </c>
      <c r="E448" s="88">
        <v>650.632</v>
      </c>
    </row>
    <row r="449" ht="15.75" spans="1:5">
      <c r="A449" s="33" t="s">
        <v>943</v>
      </c>
      <c r="B449" s="33">
        <v>400271.422</v>
      </c>
      <c r="C449" s="33">
        <v>670.16</v>
      </c>
      <c r="D449" s="11">
        <v>45373</v>
      </c>
      <c r="E449" s="88">
        <v>650.553</v>
      </c>
    </row>
    <row r="450" ht="15.75" spans="1:5">
      <c r="A450" s="33" t="s">
        <v>944</v>
      </c>
      <c r="B450" s="33">
        <v>400271.422</v>
      </c>
      <c r="C450" s="33">
        <v>670.16</v>
      </c>
      <c r="D450" s="11">
        <v>45374</v>
      </c>
      <c r="E450" s="88">
        <v>650.495</v>
      </c>
    </row>
    <row r="451" ht="15.75" spans="1:5">
      <c r="A451" s="33" t="s">
        <v>945</v>
      </c>
      <c r="B451" s="33">
        <v>400271.422</v>
      </c>
      <c r="C451" s="33">
        <v>670.16</v>
      </c>
      <c r="D451" s="11">
        <v>45375</v>
      </c>
      <c r="E451" s="88"/>
    </row>
    <row r="452" ht="15.75" spans="1:5">
      <c r="A452" s="33" t="s">
        <v>946</v>
      </c>
      <c r="B452" s="33">
        <v>400271.422</v>
      </c>
      <c r="C452" s="33">
        <v>670.16</v>
      </c>
      <c r="D452" s="11">
        <v>45376</v>
      </c>
      <c r="E452" s="88">
        <v>650.234</v>
      </c>
    </row>
    <row r="453" ht="15.75" spans="1:5">
      <c r="A453" s="33" t="s">
        <v>947</v>
      </c>
      <c r="B453" s="33">
        <v>400271.422</v>
      </c>
      <c r="C453" s="33">
        <v>670.16</v>
      </c>
      <c r="D453" s="11">
        <v>45377</v>
      </c>
      <c r="E453" s="88">
        <v>650.178</v>
      </c>
    </row>
    <row r="454" ht="15.75" spans="1:5">
      <c r="A454" s="33" t="s">
        <v>948</v>
      </c>
      <c r="B454" s="33">
        <v>400271.422</v>
      </c>
      <c r="C454" s="33">
        <v>670.16</v>
      </c>
      <c r="D454" s="11">
        <v>45378</v>
      </c>
      <c r="E454" s="88">
        <v>650.154</v>
      </c>
    </row>
    <row r="455" ht="15.75" spans="1:5">
      <c r="A455" s="33" t="s">
        <v>949</v>
      </c>
      <c r="B455" s="33">
        <v>400271.422</v>
      </c>
      <c r="C455" s="33">
        <v>670.16</v>
      </c>
      <c r="D455" s="11">
        <v>45379</v>
      </c>
      <c r="E455" s="88">
        <v>650.108</v>
      </c>
    </row>
    <row r="456" ht="15.75" spans="1:5">
      <c r="A456" s="33" t="s">
        <v>950</v>
      </c>
      <c r="B456" s="33">
        <v>400271.422</v>
      </c>
      <c r="C456" s="33">
        <v>670.16</v>
      </c>
      <c r="D456" s="11">
        <v>45380</v>
      </c>
      <c r="E456" s="88">
        <v>649.851</v>
      </c>
    </row>
    <row r="457" ht="15.75" spans="1:5">
      <c r="A457" s="33" t="s">
        <v>951</v>
      </c>
      <c r="B457" s="33">
        <v>400271.422</v>
      </c>
      <c r="C457" s="33">
        <v>670.16</v>
      </c>
      <c r="D457" s="11">
        <v>45381</v>
      </c>
      <c r="E457" s="88"/>
    </row>
    <row r="458" ht="15.75" spans="1:5">
      <c r="A458" s="33" t="s">
        <v>952</v>
      </c>
      <c r="B458" s="33">
        <v>400271.422</v>
      </c>
      <c r="C458" s="33">
        <v>670.16</v>
      </c>
      <c r="D458" s="11">
        <v>45382</v>
      </c>
      <c r="E458" s="88"/>
    </row>
    <row r="459" ht="15.75" spans="1:5">
      <c r="A459" s="33" t="s">
        <v>953</v>
      </c>
      <c r="B459" s="33">
        <v>400271.422</v>
      </c>
      <c r="C459" s="33">
        <v>670.16</v>
      </c>
      <c r="D459" s="11">
        <v>45383</v>
      </c>
      <c r="E459" s="88">
        <v>649.301</v>
      </c>
    </row>
    <row r="460" ht="15.75" spans="1:5">
      <c r="A460" s="33" t="s">
        <v>954</v>
      </c>
      <c r="B460" s="33">
        <v>400271.422</v>
      </c>
      <c r="C460" s="33">
        <v>670.16</v>
      </c>
      <c r="D460" s="11">
        <v>45384</v>
      </c>
      <c r="E460" s="88">
        <v>649.023</v>
      </c>
    </row>
    <row r="461" ht="15.75" spans="1:5">
      <c r="A461" s="33" t="s">
        <v>955</v>
      </c>
      <c r="B461" s="33">
        <v>400271.422</v>
      </c>
      <c r="C461" s="33">
        <v>670.16</v>
      </c>
      <c r="D461" s="11">
        <v>45385</v>
      </c>
      <c r="E461" s="88">
        <v>648.904</v>
      </c>
    </row>
    <row r="462" ht="15.75" spans="1:5">
      <c r="A462" s="33" t="s">
        <v>956</v>
      </c>
      <c r="B462" s="33">
        <v>400271.422</v>
      </c>
      <c r="C462" s="33">
        <v>670.16</v>
      </c>
      <c r="D462" s="11">
        <v>45386</v>
      </c>
      <c r="E462" s="88">
        <v>648.837</v>
      </c>
    </row>
    <row r="463" ht="15.75" spans="1:5">
      <c r="A463" s="33" t="s">
        <v>957</v>
      </c>
      <c r="B463" s="33">
        <v>400271.422</v>
      </c>
      <c r="C463" s="33">
        <v>670.16</v>
      </c>
      <c r="D463" s="11">
        <v>45387</v>
      </c>
      <c r="E463" s="88">
        <v>648.214</v>
      </c>
    </row>
    <row r="464" ht="15.75" spans="1:5">
      <c r="A464" s="33" t="s">
        <v>958</v>
      </c>
      <c r="B464" s="33">
        <v>400271.422</v>
      </c>
      <c r="C464" s="33">
        <v>670.16</v>
      </c>
      <c r="D464" s="11">
        <v>45388</v>
      </c>
      <c r="E464" s="88"/>
    </row>
    <row r="465" ht="15.75" spans="1:5">
      <c r="A465" s="33" t="s">
        <v>959</v>
      </c>
      <c r="B465" s="33">
        <v>400271.422</v>
      </c>
      <c r="C465" s="33">
        <v>670.16</v>
      </c>
      <c r="D465" s="11">
        <v>45389</v>
      </c>
      <c r="E465" s="88"/>
    </row>
    <row r="466" ht="15.75" spans="1:5">
      <c r="A466" s="33" t="s">
        <v>960</v>
      </c>
      <c r="B466" s="33">
        <v>400271.422</v>
      </c>
      <c r="C466" s="33">
        <v>670.16</v>
      </c>
      <c r="D466" s="11">
        <v>45390</v>
      </c>
      <c r="E466" s="88"/>
    </row>
    <row r="467" ht="15.75" spans="1:5">
      <c r="A467" s="33" t="s">
        <v>961</v>
      </c>
      <c r="B467" s="33">
        <v>400271.422</v>
      </c>
      <c r="C467" s="33">
        <v>670.16</v>
      </c>
      <c r="D467" s="11">
        <v>45391</v>
      </c>
      <c r="E467" s="88"/>
    </row>
    <row r="468" ht="15.75" spans="1:5">
      <c r="A468" s="33" t="s">
        <v>962</v>
      </c>
      <c r="B468" s="33">
        <v>400271.422</v>
      </c>
      <c r="C468" s="33">
        <v>670.16</v>
      </c>
      <c r="D468" s="11">
        <v>45392</v>
      </c>
      <c r="E468" s="88"/>
    </row>
    <row r="469" ht="15.75" spans="1:5">
      <c r="A469" s="33" t="s">
        <v>963</v>
      </c>
      <c r="B469" s="33">
        <v>400271.422</v>
      </c>
      <c r="C469" s="33">
        <v>670.16</v>
      </c>
      <c r="D469" s="11">
        <v>45393</v>
      </c>
      <c r="E469" s="88"/>
    </row>
    <row r="470" ht="15.75" spans="1:5">
      <c r="A470" s="33" t="s">
        <v>964</v>
      </c>
      <c r="B470" s="33">
        <v>400271.422</v>
      </c>
      <c r="C470" s="33">
        <v>670.16</v>
      </c>
      <c r="D470" s="11">
        <v>45394</v>
      </c>
      <c r="E470" s="88"/>
    </row>
    <row r="471" ht="15.75" spans="1:5">
      <c r="A471" s="33" t="s">
        <v>965</v>
      </c>
      <c r="B471" s="33">
        <v>400271.422</v>
      </c>
      <c r="C471" s="33">
        <v>670.16</v>
      </c>
      <c r="D471" s="11">
        <v>45395</v>
      </c>
      <c r="E471" s="88"/>
    </row>
    <row r="472" ht="15.75" spans="1:5">
      <c r="A472" s="33" t="s">
        <v>966</v>
      </c>
      <c r="B472" s="33">
        <v>400271.422</v>
      </c>
      <c r="C472" s="33">
        <v>670.16</v>
      </c>
      <c r="D472" s="11">
        <v>45396</v>
      </c>
      <c r="E472" s="88"/>
    </row>
    <row r="473" ht="15.75" spans="1:5">
      <c r="A473" s="33" t="s">
        <v>967</v>
      </c>
      <c r="B473" s="33">
        <v>400271.422</v>
      </c>
      <c r="C473" s="33">
        <v>670.16</v>
      </c>
      <c r="D473" s="11">
        <v>45397</v>
      </c>
      <c r="E473" s="88"/>
    </row>
    <row r="474" ht="15.75" spans="1:5">
      <c r="A474" s="33" t="s">
        <v>968</v>
      </c>
      <c r="B474" s="33">
        <v>400271.422</v>
      </c>
      <c r="C474" s="33">
        <v>670.16</v>
      </c>
      <c r="D474" s="11">
        <v>45398</v>
      </c>
      <c r="E474" s="88"/>
    </row>
    <row r="475" ht="15.75" spans="1:5">
      <c r="A475" s="33" t="s">
        <v>969</v>
      </c>
      <c r="B475" s="33">
        <v>400271.422</v>
      </c>
      <c r="C475" s="33">
        <v>670.16</v>
      </c>
      <c r="D475" s="11">
        <v>45399</v>
      </c>
      <c r="E475" s="88"/>
    </row>
    <row r="476" ht="15.75" spans="1:5">
      <c r="A476" s="33" t="s">
        <v>970</v>
      </c>
      <c r="B476" s="33">
        <v>400271.422</v>
      </c>
      <c r="C476" s="33">
        <v>670.16</v>
      </c>
      <c r="D476" s="11">
        <v>45400</v>
      </c>
      <c r="E476" s="88"/>
    </row>
    <row r="477" ht="15.75" spans="1:5">
      <c r="A477" s="33" t="s">
        <v>971</v>
      </c>
      <c r="B477" s="33">
        <v>400271.422</v>
      </c>
      <c r="C477" s="33">
        <v>670.16</v>
      </c>
      <c r="D477" s="11">
        <v>45401</v>
      </c>
      <c r="E477" s="88">
        <v>648.214</v>
      </c>
    </row>
    <row r="478" ht="15.75" spans="1:5">
      <c r="A478" s="33" t="s">
        <v>972</v>
      </c>
      <c r="B478" s="33">
        <v>400271.422</v>
      </c>
      <c r="C478" s="33">
        <v>670.16</v>
      </c>
      <c r="D478" s="11">
        <v>45402</v>
      </c>
      <c r="E478" s="88"/>
    </row>
    <row r="479" ht="15.75" spans="1:5">
      <c r="A479" s="33" t="s">
        <v>973</v>
      </c>
      <c r="B479" s="33">
        <v>400271.422</v>
      </c>
      <c r="C479" s="33">
        <v>670.16</v>
      </c>
      <c r="D479" s="11">
        <v>45403</v>
      </c>
      <c r="E479" s="88"/>
    </row>
    <row r="480" ht="15.75" spans="1:5">
      <c r="A480" s="33" t="s">
        <v>974</v>
      </c>
      <c r="B480" s="33">
        <v>400271.422</v>
      </c>
      <c r="C480" s="33">
        <v>670.16</v>
      </c>
      <c r="D480" s="11">
        <v>45404</v>
      </c>
      <c r="E480" s="88"/>
    </row>
    <row r="481" ht="15.75" spans="1:5">
      <c r="A481" s="33" t="s">
        <v>975</v>
      </c>
      <c r="B481" s="33">
        <v>400271.422</v>
      </c>
      <c r="C481" s="33">
        <v>670.16</v>
      </c>
      <c r="D481" s="11">
        <v>45405</v>
      </c>
      <c r="E481" s="88"/>
    </row>
    <row r="482" ht="15.75" spans="1:5">
      <c r="A482" s="33" t="s">
        <v>976</v>
      </c>
      <c r="B482" s="33">
        <v>400271.422</v>
      </c>
      <c r="C482" s="33">
        <v>670.16</v>
      </c>
      <c r="D482" s="11">
        <v>45406</v>
      </c>
      <c r="E482" s="88"/>
    </row>
    <row r="483" ht="15.75" spans="1:5">
      <c r="A483" s="33" t="s">
        <v>977</v>
      </c>
      <c r="B483" s="33">
        <v>400271.422</v>
      </c>
      <c r="C483" s="33">
        <v>670.16</v>
      </c>
      <c r="D483" s="11">
        <v>45407</v>
      </c>
      <c r="E483" s="88"/>
    </row>
    <row r="484" ht="15.75" spans="1:5">
      <c r="A484" s="33" t="s">
        <v>978</v>
      </c>
      <c r="B484" s="33">
        <v>400271.422</v>
      </c>
      <c r="C484" s="33">
        <v>670.16</v>
      </c>
      <c r="D484" s="11">
        <v>45408</v>
      </c>
      <c r="E484" s="88"/>
    </row>
    <row r="485" ht="15.75" spans="1:5">
      <c r="A485" s="33" t="s">
        <v>979</v>
      </c>
      <c r="B485" s="33">
        <v>400271.422</v>
      </c>
      <c r="C485" s="33">
        <v>670.16</v>
      </c>
      <c r="D485" s="11">
        <v>45409</v>
      </c>
      <c r="E485" s="88">
        <v>626.897</v>
      </c>
    </row>
    <row r="486" ht="15.75" spans="1:5">
      <c r="A486" s="33" t="s">
        <v>980</v>
      </c>
      <c r="B486" s="33">
        <v>400271.422</v>
      </c>
      <c r="C486" s="33">
        <v>670.16</v>
      </c>
      <c r="D486" s="11">
        <v>45410</v>
      </c>
      <c r="E486" s="88">
        <v>624.506</v>
      </c>
    </row>
    <row r="487" ht="15.75" spans="1:5">
      <c r="A487" s="33" t="s">
        <v>981</v>
      </c>
      <c r="B487" s="33">
        <v>400271.422</v>
      </c>
      <c r="C487" s="33">
        <v>670.16</v>
      </c>
      <c r="D487" s="11">
        <v>45411</v>
      </c>
      <c r="E487" s="88">
        <v>620.294</v>
      </c>
    </row>
    <row r="488" ht="15.75" spans="1:5">
      <c r="A488" s="33" t="s">
        <v>982</v>
      </c>
      <c r="B488" s="33">
        <v>400271.422</v>
      </c>
      <c r="C488" s="33">
        <v>670.16</v>
      </c>
      <c r="D488" s="11">
        <v>45412</v>
      </c>
      <c r="E488" s="88">
        <v>618.667</v>
      </c>
    </row>
    <row r="489" ht="15.75" spans="1:5">
      <c r="A489" s="33" t="s">
        <v>983</v>
      </c>
      <c r="B489" s="33">
        <v>400271.422</v>
      </c>
      <c r="C489" s="33">
        <v>670.16</v>
      </c>
      <c r="D489" s="11">
        <v>45413</v>
      </c>
      <c r="E489" s="88">
        <v>617.809</v>
      </c>
    </row>
    <row r="490" ht="15.75" spans="1:5">
      <c r="A490" s="33" t="s">
        <v>984</v>
      </c>
      <c r="B490" s="33">
        <v>400271.422</v>
      </c>
      <c r="C490" s="33">
        <v>670.16</v>
      </c>
      <c r="D490" s="11">
        <v>45414</v>
      </c>
      <c r="E490" s="88">
        <v>617.305</v>
      </c>
    </row>
    <row r="491" ht="15.75" spans="1:5">
      <c r="A491" s="33" t="s">
        <v>985</v>
      </c>
      <c r="B491" s="33">
        <v>400271.422</v>
      </c>
      <c r="C491" s="33">
        <v>670.16</v>
      </c>
      <c r="D491" s="11">
        <v>45415</v>
      </c>
      <c r="E491" s="88">
        <v>617.051</v>
      </c>
    </row>
    <row r="492" ht="15.75" spans="1:5">
      <c r="A492" s="33" t="s">
        <v>986</v>
      </c>
      <c r="B492" s="33">
        <v>400271.422</v>
      </c>
      <c r="C492" s="33">
        <v>670.16</v>
      </c>
      <c r="D492" s="11">
        <v>45416</v>
      </c>
      <c r="E492" s="88">
        <v>616.803</v>
      </c>
    </row>
    <row r="493" ht="15.75" spans="1:5">
      <c r="A493" s="33" t="s">
        <v>987</v>
      </c>
      <c r="B493" s="33">
        <v>400271.422</v>
      </c>
      <c r="C493" s="33">
        <v>670.16</v>
      </c>
      <c r="D493" s="11">
        <v>45417</v>
      </c>
      <c r="E493" s="88">
        <v>615.993</v>
      </c>
    </row>
    <row r="494" ht="15.75" spans="1:5">
      <c r="A494" s="33" t="s">
        <v>988</v>
      </c>
      <c r="B494" s="33">
        <v>400271.422</v>
      </c>
      <c r="C494" s="33">
        <v>670.16</v>
      </c>
      <c r="D494" s="11">
        <v>45418</v>
      </c>
      <c r="E494" s="88">
        <v>615.409</v>
      </c>
    </row>
    <row r="495" ht="15.75" spans="1:5">
      <c r="A495" s="33" t="s">
        <v>989</v>
      </c>
      <c r="B495" s="33">
        <v>400271.422</v>
      </c>
      <c r="C495" s="33">
        <v>670.16</v>
      </c>
      <c r="D495" s="11">
        <v>45419</v>
      </c>
      <c r="E495" s="88">
        <v>615.061</v>
      </c>
    </row>
    <row r="496" ht="15.75" spans="1:5">
      <c r="A496" s="33" t="s">
        <v>990</v>
      </c>
      <c r="B496" s="33">
        <v>400271.422</v>
      </c>
      <c r="C496" s="33">
        <v>670.16</v>
      </c>
      <c r="D496" s="11">
        <v>45420</v>
      </c>
      <c r="E496" s="88">
        <v>620.726</v>
      </c>
    </row>
    <row r="497" ht="15.75" spans="1:5">
      <c r="A497" s="33" t="s">
        <v>991</v>
      </c>
      <c r="B497" s="33">
        <v>400271.422</v>
      </c>
      <c r="C497" s="33">
        <v>670.16</v>
      </c>
      <c r="D497" s="11">
        <v>45421</v>
      </c>
      <c r="E497" s="88">
        <v>622.284</v>
      </c>
    </row>
    <row r="498" ht="15.75" spans="1:5">
      <c r="A498" s="33" t="s">
        <v>992</v>
      </c>
      <c r="B498" s="33">
        <v>400271.422</v>
      </c>
      <c r="C498" s="33">
        <v>670.16</v>
      </c>
      <c r="D498" s="11">
        <v>45422</v>
      </c>
      <c r="E498" s="88">
        <v>623.195</v>
      </c>
    </row>
    <row r="499" ht="15.75" spans="1:5">
      <c r="A499" s="33" t="s">
        <v>993</v>
      </c>
      <c r="B499" s="33">
        <v>400271.422</v>
      </c>
      <c r="C499" s="33">
        <v>670.16</v>
      </c>
      <c r="D499" s="11">
        <v>45423</v>
      </c>
      <c r="E499" s="88">
        <v>612.423</v>
      </c>
    </row>
  </sheetData>
  <mergeCells count="1">
    <mergeCell ref="A1:C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B5" sqref="B5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30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>
        <v>3045444.532</v>
      </c>
      <c r="B3" s="33">
        <v>399788505</v>
      </c>
      <c r="C3" s="33">
        <v>611.54</v>
      </c>
      <c r="D3" s="34">
        <v>44927</v>
      </c>
      <c r="E3" s="85"/>
      <c r="F3" t="s">
        <v>994</v>
      </c>
    </row>
    <row r="4" ht="15.75" spans="1:5">
      <c r="A4" s="33">
        <v>3045444.532</v>
      </c>
      <c r="B4" s="33">
        <v>399788505</v>
      </c>
      <c r="C4" s="33">
        <v>611.54</v>
      </c>
      <c r="D4" s="11">
        <v>44928</v>
      </c>
      <c r="E4" s="85"/>
    </row>
    <row r="5" ht="15.75" spans="1:5">
      <c r="A5" s="33">
        <v>3045444.532</v>
      </c>
      <c r="B5" s="33">
        <v>399788505</v>
      </c>
      <c r="C5" s="33">
        <v>611.54</v>
      </c>
      <c r="D5" s="11">
        <v>44929</v>
      </c>
      <c r="E5" s="85"/>
    </row>
    <row r="6" ht="15.75" spans="1:5">
      <c r="A6" s="33">
        <v>3045444.532</v>
      </c>
      <c r="B6" s="33">
        <v>399788505</v>
      </c>
      <c r="C6" s="33">
        <v>611.54</v>
      </c>
      <c r="D6" s="11">
        <v>44930</v>
      </c>
      <c r="E6" s="85"/>
    </row>
    <row r="7" ht="15.75" spans="1:5">
      <c r="A7" s="33">
        <v>3045444.532</v>
      </c>
      <c r="B7" s="33">
        <v>399788505</v>
      </c>
      <c r="C7" s="33">
        <v>611.54</v>
      </c>
      <c r="D7" s="11">
        <v>44931</v>
      </c>
      <c r="E7" s="85"/>
    </row>
    <row r="8" ht="15.75" spans="1:5">
      <c r="A8" s="33">
        <v>3045444.532</v>
      </c>
      <c r="B8" s="33">
        <v>399788505</v>
      </c>
      <c r="C8" s="33">
        <v>611.54</v>
      </c>
      <c r="D8" s="11">
        <v>44932</v>
      </c>
      <c r="E8" s="85"/>
    </row>
    <row r="9" ht="15.75" spans="1:5">
      <c r="A9" s="33">
        <v>3045444.532</v>
      </c>
      <c r="B9" s="33">
        <v>399788505</v>
      </c>
      <c r="C9" s="33">
        <v>611.54</v>
      </c>
      <c r="D9" s="11">
        <v>44933</v>
      </c>
      <c r="E9" s="85"/>
    </row>
    <row r="10" ht="15.75" spans="1:5">
      <c r="A10" s="33">
        <v>3045444.532</v>
      </c>
      <c r="B10" s="33">
        <v>399788505</v>
      </c>
      <c r="C10" s="33">
        <v>611.54</v>
      </c>
      <c r="D10" s="11">
        <v>44934</v>
      </c>
      <c r="E10" s="85"/>
    </row>
    <row r="11" ht="15.75" spans="1:5">
      <c r="A11" s="33">
        <v>3045444.532</v>
      </c>
      <c r="B11" s="33">
        <v>399788505</v>
      </c>
      <c r="C11" s="33">
        <v>611.54</v>
      </c>
      <c r="D11" s="11">
        <v>44935</v>
      </c>
      <c r="E11" s="85"/>
    </row>
    <row r="12" ht="15.75" spans="1:5">
      <c r="A12" s="33">
        <v>3045444.532</v>
      </c>
      <c r="B12" s="33">
        <v>399788505</v>
      </c>
      <c r="C12" s="33">
        <v>611.54</v>
      </c>
      <c r="D12" s="11">
        <v>44936</v>
      </c>
      <c r="E12" s="86"/>
    </row>
    <row r="13" ht="15.75" spans="1:5">
      <c r="A13" s="33">
        <v>3045444.532</v>
      </c>
      <c r="B13" s="33">
        <v>399788505</v>
      </c>
      <c r="C13" s="33">
        <v>611.54</v>
      </c>
      <c r="D13" s="11">
        <v>44937</v>
      </c>
      <c r="E13" s="85"/>
    </row>
    <row r="14" ht="15.75" spans="1:5">
      <c r="A14" s="33">
        <v>3045444.532</v>
      </c>
      <c r="B14" s="33">
        <v>399788505</v>
      </c>
      <c r="C14" s="33">
        <v>611.54</v>
      </c>
      <c r="D14" s="11">
        <v>44938</v>
      </c>
      <c r="E14" s="85"/>
    </row>
    <row r="15" ht="15.75" spans="1:5">
      <c r="A15" s="33">
        <v>3045444.532</v>
      </c>
      <c r="B15" s="33">
        <v>399788505</v>
      </c>
      <c r="C15" s="33">
        <v>611.54</v>
      </c>
      <c r="D15" s="11">
        <v>44939</v>
      </c>
      <c r="E15" s="85"/>
    </row>
    <row r="16" ht="15.75" spans="1:5">
      <c r="A16" s="33">
        <v>3045444.532</v>
      </c>
      <c r="B16" s="33">
        <v>399788505</v>
      </c>
      <c r="C16" s="33">
        <v>611.54</v>
      </c>
      <c r="D16" s="11">
        <v>44940</v>
      </c>
      <c r="E16" s="85"/>
    </row>
    <row r="17" ht="15.75" spans="1:5">
      <c r="A17" s="33">
        <v>3045444.532</v>
      </c>
      <c r="B17" s="33">
        <v>399788505</v>
      </c>
      <c r="C17" s="33">
        <v>611.54</v>
      </c>
      <c r="D17" s="11">
        <v>44941</v>
      </c>
      <c r="E17" s="85"/>
    </row>
    <row r="18" ht="15.75" spans="1:5">
      <c r="A18" s="33">
        <v>3045444.532</v>
      </c>
      <c r="B18" s="33">
        <v>399788505</v>
      </c>
      <c r="C18" s="33">
        <v>611.54</v>
      </c>
      <c r="D18" s="11">
        <v>44942</v>
      </c>
      <c r="E18" s="85"/>
    </row>
    <row r="19" ht="15.75" spans="1:5">
      <c r="A19" s="33">
        <v>3045444.532</v>
      </c>
      <c r="B19" s="33">
        <v>399788505</v>
      </c>
      <c r="C19" s="33">
        <v>611.54</v>
      </c>
      <c r="D19" s="11">
        <v>44943</v>
      </c>
      <c r="E19" s="85"/>
    </row>
    <row r="20" ht="15.75" spans="1:5">
      <c r="A20" s="33">
        <v>3045444.532</v>
      </c>
      <c r="B20" s="33">
        <v>399788505</v>
      </c>
      <c r="C20" s="33">
        <v>611.54</v>
      </c>
      <c r="D20" s="11">
        <v>44944</v>
      </c>
      <c r="E20" s="86"/>
    </row>
    <row r="21" ht="15.75" spans="1:5">
      <c r="A21" s="33">
        <v>3045444.532</v>
      </c>
      <c r="B21" s="33">
        <v>399788505</v>
      </c>
      <c r="C21" s="33">
        <v>611.54</v>
      </c>
      <c r="D21" s="11">
        <v>44945</v>
      </c>
      <c r="E21" s="85"/>
    </row>
    <row r="22" ht="15.75" spans="1:5">
      <c r="A22" s="33">
        <v>3045444.532</v>
      </c>
      <c r="B22" s="33">
        <v>399788505</v>
      </c>
      <c r="C22" s="33">
        <v>611.54</v>
      </c>
      <c r="D22" s="11">
        <v>44946</v>
      </c>
      <c r="E22" s="85"/>
    </row>
    <row r="23" ht="15.75" spans="1:5">
      <c r="A23" s="33">
        <v>3045444.532</v>
      </c>
      <c r="B23" s="33">
        <v>399788505</v>
      </c>
      <c r="C23" s="33">
        <v>611.54</v>
      </c>
      <c r="D23" s="11">
        <v>44947</v>
      </c>
      <c r="E23" s="85"/>
    </row>
    <row r="24" ht="15.75" spans="1:5">
      <c r="A24" s="33">
        <v>3045444.532</v>
      </c>
      <c r="B24" s="33">
        <v>399788505</v>
      </c>
      <c r="C24" s="33">
        <v>611.54</v>
      </c>
      <c r="D24" s="11">
        <v>44948</v>
      </c>
      <c r="E24" s="85"/>
    </row>
    <row r="25" ht="15.75" spans="1:5">
      <c r="A25" s="33">
        <v>3045444.532</v>
      </c>
      <c r="B25" s="33">
        <v>399788505</v>
      </c>
      <c r="C25" s="33">
        <v>611.54</v>
      </c>
      <c r="D25" s="11">
        <v>44949</v>
      </c>
      <c r="E25" s="85"/>
    </row>
    <row r="26" ht="15.75" spans="1:5">
      <c r="A26" s="33">
        <v>3045444.532</v>
      </c>
      <c r="B26" s="33">
        <v>399788505</v>
      </c>
      <c r="C26" s="33">
        <v>611.54</v>
      </c>
      <c r="D26" s="11">
        <v>44950</v>
      </c>
      <c r="E26" s="85"/>
    </row>
    <row r="27" ht="15.75" spans="1:5">
      <c r="A27" s="33">
        <v>3045444.532</v>
      </c>
      <c r="B27" s="33">
        <v>399788505</v>
      </c>
      <c r="C27" s="33">
        <v>611.54</v>
      </c>
      <c r="D27" s="11">
        <v>44951</v>
      </c>
      <c r="E27" s="85"/>
    </row>
    <row r="28" ht="15.75" spans="1:5">
      <c r="A28" s="33">
        <v>3045444.532</v>
      </c>
      <c r="B28" s="33">
        <v>399788505</v>
      </c>
      <c r="C28" s="33">
        <v>611.54</v>
      </c>
      <c r="D28" s="11">
        <v>44952</v>
      </c>
      <c r="E28" s="85"/>
    </row>
    <row r="29" ht="15.75" spans="1:5">
      <c r="A29" s="33">
        <v>3045444.532</v>
      </c>
      <c r="B29" s="33">
        <v>399788505</v>
      </c>
      <c r="C29" s="33">
        <v>611.54</v>
      </c>
      <c r="D29" s="11">
        <v>44953</v>
      </c>
      <c r="E29" s="85"/>
    </row>
    <row r="30" ht="15.75" spans="1:5">
      <c r="A30" s="33">
        <v>3045444.532</v>
      </c>
      <c r="B30" s="33">
        <v>399788505</v>
      </c>
      <c r="C30" s="33">
        <v>611.54</v>
      </c>
      <c r="D30" s="11">
        <v>44954</v>
      </c>
      <c r="E30" s="86"/>
    </row>
    <row r="31" ht="15.75" spans="1:5">
      <c r="A31" s="33">
        <v>3045444.532</v>
      </c>
      <c r="B31" s="33">
        <v>399788505</v>
      </c>
      <c r="C31" s="33">
        <v>611.54</v>
      </c>
      <c r="D31" s="11">
        <v>44955</v>
      </c>
      <c r="E31" s="85"/>
    </row>
    <row r="32" ht="15.75" spans="1:5">
      <c r="A32" s="33">
        <v>3045444.532</v>
      </c>
      <c r="B32" s="33">
        <v>399788505</v>
      </c>
      <c r="C32" s="33">
        <v>611.54</v>
      </c>
      <c r="D32" s="11">
        <v>44956</v>
      </c>
      <c r="E32" s="85"/>
    </row>
    <row r="33" ht="15.75" spans="1:5">
      <c r="A33" s="33">
        <v>3045444.532</v>
      </c>
      <c r="B33" s="33">
        <v>399788505</v>
      </c>
      <c r="C33" s="33">
        <v>611.54</v>
      </c>
      <c r="D33" s="11">
        <v>44957</v>
      </c>
      <c r="E33" s="85"/>
    </row>
    <row r="34" ht="15.75" spans="1:5">
      <c r="A34" s="33">
        <v>3045444.532</v>
      </c>
      <c r="B34" s="33">
        <v>399788505</v>
      </c>
      <c r="C34" s="33">
        <v>611.54</v>
      </c>
      <c r="D34" s="11">
        <v>44958</v>
      </c>
      <c r="E34" s="85"/>
    </row>
    <row r="35" ht="15.75" spans="1:5">
      <c r="A35" s="33">
        <v>3045444.532</v>
      </c>
      <c r="B35" s="33">
        <v>399788505</v>
      </c>
      <c r="C35" s="33">
        <v>611.54</v>
      </c>
      <c r="D35" s="11">
        <v>44959</v>
      </c>
      <c r="E35" s="86"/>
    </row>
    <row r="36" ht="15.75" spans="1:5">
      <c r="A36" s="33">
        <v>3045444.532</v>
      </c>
      <c r="B36" s="33">
        <v>399788505</v>
      </c>
      <c r="C36" s="33">
        <v>611.54</v>
      </c>
      <c r="D36" s="11">
        <v>44960</v>
      </c>
      <c r="E36" s="85"/>
    </row>
    <row r="37" ht="15.75" spans="1:5">
      <c r="A37" s="33">
        <v>3045444.532</v>
      </c>
      <c r="B37" s="33">
        <v>399788505</v>
      </c>
      <c r="C37" s="33">
        <v>611.54</v>
      </c>
      <c r="D37" s="11">
        <v>44961</v>
      </c>
      <c r="E37" s="85"/>
    </row>
    <row r="38" ht="15.75" spans="1:5">
      <c r="A38" s="33">
        <v>3045444.532</v>
      </c>
      <c r="B38" s="33">
        <v>399788505</v>
      </c>
      <c r="C38" s="33">
        <v>611.54</v>
      </c>
      <c r="D38" s="11">
        <v>44962</v>
      </c>
      <c r="E38" s="85"/>
    </row>
    <row r="39" ht="15.75" spans="1:5">
      <c r="A39" s="33">
        <v>3045444.532</v>
      </c>
      <c r="B39" s="33">
        <v>399788505</v>
      </c>
      <c r="C39" s="33">
        <v>611.54</v>
      </c>
      <c r="D39" s="11">
        <v>44963</v>
      </c>
      <c r="E39" s="85"/>
    </row>
    <row r="40" ht="15.75" spans="1:5">
      <c r="A40" s="33">
        <v>3045444.532</v>
      </c>
      <c r="B40" s="33">
        <v>399788505</v>
      </c>
      <c r="C40" s="33">
        <v>611.54</v>
      </c>
      <c r="D40" s="11">
        <v>44964</v>
      </c>
      <c r="E40" s="85"/>
    </row>
    <row r="41" ht="15.75" spans="1:5">
      <c r="A41" s="33">
        <v>3045444.532</v>
      </c>
      <c r="B41" s="33">
        <v>399788505</v>
      </c>
      <c r="C41" s="33">
        <v>611.54</v>
      </c>
      <c r="D41" s="11">
        <v>44965</v>
      </c>
      <c r="E41" s="86"/>
    </row>
    <row r="42" ht="15.75" spans="1:5">
      <c r="A42" s="33">
        <v>3045444.532</v>
      </c>
      <c r="B42" s="33">
        <v>399788505</v>
      </c>
      <c r="C42" s="33">
        <v>611.54</v>
      </c>
      <c r="D42" s="11">
        <v>44966</v>
      </c>
      <c r="E42" s="85"/>
    </row>
    <row r="43" ht="15.75" spans="1:5">
      <c r="A43" s="33">
        <v>3045444.532</v>
      </c>
      <c r="B43" s="33">
        <v>399788505</v>
      </c>
      <c r="C43" s="33">
        <v>611.54</v>
      </c>
      <c r="D43" s="11">
        <v>44967</v>
      </c>
      <c r="E43" s="85"/>
    </row>
    <row r="44" ht="15.75" spans="1:5">
      <c r="A44" s="33">
        <v>3045444.532</v>
      </c>
      <c r="B44" s="33">
        <v>399788505</v>
      </c>
      <c r="C44" s="33">
        <v>611.54</v>
      </c>
      <c r="D44" s="11">
        <v>44968</v>
      </c>
      <c r="E44" s="85"/>
    </row>
    <row r="45" ht="15.75" spans="1:5">
      <c r="A45" s="33">
        <v>3045444.532</v>
      </c>
      <c r="B45" s="33">
        <v>399788505</v>
      </c>
      <c r="C45" s="33">
        <v>611.54</v>
      </c>
      <c r="D45" s="11">
        <v>44969</v>
      </c>
      <c r="E45" s="85"/>
    </row>
    <row r="46" ht="15.75" spans="1:5">
      <c r="A46" s="33">
        <v>3045444.532</v>
      </c>
      <c r="B46" s="33">
        <v>399788505</v>
      </c>
      <c r="C46" s="33">
        <v>611.54</v>
      </c>
      <c r="D46" s="11">
        <v>44970</v>
      </c>
      <c r="E46" s="85"/>
    </row>
    <row r="47" ht="15.75" spans="1:5">
      <c r="A47" s="33">
        <v>3045444.532</v>
      </c>
      <c r="B47" s="33">
        <v>399788505</v>
      </c>
      <c r="C47" s="33">
        <v>611.54</v>
      </c>
      <c r="D47" s="11">
        <v>44971</v>
      </c>
      <c r="E47" s="86"/>
    </row>
    <row r="48" ht="15.75" spans="1:5">
      <c r="A48" s="33">
        <v>3045444.532</v>
      </c>
      <c r="B48" s="33">
        <v>399788505</v>
      </c>
      <c r="C48" s="33">
        <v>611.54</v>
      </c>
      <c r="D48" s="11">
        <v>44972</v>
      </c>
      <c r="E48" s="86"/>
    </row>
    <row r="49" ht="15.75" spans="1:5">
      <c r="A49" s="33">
        <v>3045444.532</v>
      </c>
      <c r="B49" s="33">
        <v>399788505</v>
      </c>
      <c r="C49" s="33">
        <v>611.54</v>
      </c>
      <c r="D49" s="11">
        <v>44973</v>
      </c>
      <c r="E49" s="86"/>
    </row>
    <row r="50" ht="15.75" spans="1:5">
      <c r="A50" s="33">
        <v>3045444.532</v>
      </c>
      <c r="B50" s="33">
        <v>399788505</v>
      </c>
      <c r="C50" s="33">
        <v>611.54</v>
      </c>
      <c r="D50" s="11">
        <v>44974</v>
      </c>
      <c r="E50" s="86"/>
    </row>
    <row r="51" ht="15.75" spans="1:5">
      <c r="A51" s="33">
        <v>3045444.532</v>
      </c>
      <c r="B51" s="33">
        <v>399788505</v>
      </c>
      <c r="C51" s="33">
        <v>611.54</v>
      </c>
      <c r="D51" s="11">
        <v>44975</v>
      </c>
      <c r="E51" s="86"/>
    </row>
    <row r="52" ht="15.75" spans="1:5">
      <c r="A52" s="33">
        <v>3045444.532</v>
      </c>
      <c r="B52" s="33">
        <v>399788505</v>
      </c>
      <c r="C52" s="33">
        <v>611.54</v>
      </c>
      <c r="D52" s="11">
        <v>44976</v>
      </c>
      <c r="E52" s="86"/>
    </row>
    <row r="53" ht="15.75" spans="1:5">
      <c r="A53" s="33">
        <v>3045444.532</v>
      </c>
      <c r="B53" s="33">
        <v>399788505</v>
      </c>
      <c r="C53" s="33">
        <v>611.54</v>
      </c>
      <c r="D53" s="11">
        <v>44977</v>
      </c>
      <c r="E53" s="86"/>
    </row>
    <row r="54" ht="15.75" spans="1:5">
      <c r="A54" s="33">
        <v>3045444.532</v>
      </c>
      <c r="B54" s="33">
        <v>399788505</v>
      </c>
      <c r="C54" s="33">
        <v>611.54</v>
      </c>
      <c r="D54" s="11">
        <v>44978</v>
      </c>
      <c r="E54" s="86"/>
    </row>
    <row r="55" ht="15.75" spans="1:5">
      <c r="A55" s="33">
        <v>3045444.532</v>
      </c>
      <c r="B55" s="33">
        <v>399788505</v>
      </c>
      <c r="C55" s="33">
        <v>611.54</v>
      </c>
      <c r="D55" s="11">
        <v>44979</v>
      </c>
      <c r="E55" s="86"/>
    </row>
    <row r="56" ht="15.75" spans="1:5">
      <c r="A56" s="33">
        <v>3045444.532</v>
      </c>
      <c r="B56" s="33">
        <v>399788505</v>
      </c>
      <c r="C56" s="33">
        <v>611.54</v>
      </c>
      <c r="D56" s="11">
        <v>44980</v>
      </c>
      <c r="E56" s="86"/>
    </row>
    <row r="57" ht="15.75" spans="1:5">
      <c r="A57" s="33">
        <v>3045444.532</v>
      </c>
      <c r="B57" s="33">
        <v>399788505</v>
      </c>
      <c r="C57" s="33">
        <v>611.54</v>
      </c>
      <c r="D57" s="11">
        <v>44981</v>
      </c>
      <c r="E57" s="85"/>
    </row>
    <row r="58" ht="15.75" spans="1:5">
      <c r="A58" s="33">
        <v>3045444.532</v>
      </c>
      <c r="B58" s="33">
        <v>399788505</v>
      </c>
      <c r="C58" s="33">
        <v>611.54</v>
      </c>
      <c r="D58" s="11">
        <v>44982</v>
      </c>
      <c r="E58" s="85"/>
    </row>
    <row r="59" ht="15.75" spans="1:5">
      <c r="A59" s="33">
        <v>3045444.532</v>
      </c>
      <c r="B59" s="33">
        <v>399788505</v>
      </c>
      <c r="C59" s="33">
        <v>611.54</v>
      </c>
      <c r="D59" s="11">
        <v>44983</v>
      </c>
      <c r="E59" s="85"/>
    </row>
    <row r="60" ht="15.75" spans="1:5">
      <c r="A60" s="33">
        <v>3045444.532</v>
      </c>
      <c r="B60" s="33">
        <v>399788505</v>
      </c>
      <c r="C60" s="33">
        <v>611.54</v>
      </c>
      <c r="D60" s="11">
        <v>44984</v>
      </c>
      <c r="E60" s="85"/>
    </row>
    <row r="61" ht="15.75" spans="1:5">
      <c r="A61" s="33">
        <v>3045444.532</v>
      </c>
      <c r="B61" s="33">
        <v>399788505</v>
      </c>
      <c r="C61" s="33">
        <v>611.54</v>
      </c>
      <c r="D61" s="11">
        <v>44985</v>
      </c>
      <c r="E61" s="86"/>
    </row>
    <row r="62" ht="15.75" spans="1:5">
      <c r="A62" s="33">
        <v>3045444.532</v>
      </c>
      <c r="B62" s="33">
        <v>399788505</v>
      </c>
      <c r="C62" s="33">
        <v>611.54</v>
      </c>
      <c r="D62" s="11">
        <v>44986</v>
      </c>
      <c r="E62" s="85"/>
    </row>
    <row r="63" ht="15.75" spans="1:5">
      <c r="A63" s="33">
        <v>3045444.532</v>
      </c>
      <c r="B63" s="33">
        <v>399788505</v>
      </c>
      <c r="C63" s="33">
        <v>611.54</v>
      </c>
      <c r="D63" s="11">
        <v>44987</v>
      </c>
      <c r="E63" s="85"/>
    </row>
    <row r="64" ht="15.75" spans="1:5">
      <c r="A64" s="33">
        <v>3045444.532</v>
      </c>
      <c r="B64" s="33">
        <v>399788505</v>
      </c>
      <c r="C64" s="33">
        <v>611.54</v>
      </c>
      <c r="D64" s="11">
        <v>44988</v>
      </c>
      <c r="E64" s="85"/>
    </row>
    <row r="65" ht="15.75" spans="1:5">
      <c r="A65" s="33">
        <v>3045444.532</v>
      </c>
      <c r="B65" s="33">
        <v>399788505</v>
      </c>
      <c r="C65" s="33">
        <v>611.54</v>
      </c>
      <c r="D65" s="11">
        <v>44989</v>
      </c>
      <c r="E65" s="85"/>
    </row>
    <row r="66" ht="15.75" spans="1:5">
      <c r="A66" s="33">
        <v>3045444.532</v>
      </c>
      <c r="B66" s="33">
        <v>399788505</v>
      </c>
      <c r="C66" s="33">
        <v>611.54</v>
      </c>
      <c r="D66" s="11">
        <v>44990</v>
      </c>
      <c r="E66" s="86"/>
    </row>
    <row r="67" ht="15.75" spans="1:5">
      <c r="A67" s="33">
        <v>3045444.532</v>
      </c>
      <c r="B67" s="33">
        <v>399788505</v>
      </c>
      <c r="C67" s="33">
        <v>611.54</v>
      </c>
      <c r="D67" s="11">
        <v>44991</v>
      </c>
      <c r="E67" s="85"/>
    </row>
    <row r="68" ht="15.75" spans="1:5">
      <c r="A68" s="33">
        <v>3045444.532</v>
      </c>
      <c r="B68" s="33">
        <v>399788505</v>
      </c>
      <c r="C68" s="33">
        <v>611.54</v>
      </c>
      <c r="D68" s="11">
        <v>44992</v>
      </c>
      <c r="E68" s="85"/>
    </row>
    <row r="69" ht="15.75" spans="1:5">
      <c r="A69" s="33">
        <v>3045444.532</v>
      </c>
      <c r="B69" s="33">
        <v>399788505</v>
      </c>
      <c r="C69" s="33">
        <v>611.54</v>
      </c>
      <c r="D69" s="11">
        <v>44993</v>
      </c>
      <c r="E69" s="85"/>
    </row>
    <row r="70" ht="15.75" spans="1:5">
      <c r="A70" s="33">
        <v>3045444.532</v>
      </c>
      <c r="B70" s="33">
        <v>399788505</v>
      </c>
      <c r="C70" s="33">
        <v>611.54</v>
      </c>
      <c r="D70" s="11">
        <v>44994</v>
      </c>
      <c r="E70" s="85"/>
    </row>
    <row r="71" ht="15.75" spans="1:5">
      <c r="A71" s="33">
        <v>3045444.532</v>
      </c>
      <c r="B71" s="33">
        <v>399788505</v>
      </c>
      <c r="C71" s="33">
        <v>611.54</v>
      </c>
      <c r="D71" s="11">
        <v>44995</v>
      </c>
      <c r="E71" s="85"/>
    </row>
    <row r="72" ht="15.75" spans="1:5">
      <c r="A72" s="33">
        <v>3045444.532</v>
      </c>
      <c r="B72" s="33">
        <v>399788505</v>
      </c>
      <c r="C72" s="33">
        <v>611.54</v>
      </c>
      <c r="D72" s="11">
        <v>44996</v>
      </c>
      <c r="E72" s="85"/>
    </row>
    <row r="73" ht="15.75" spans="1:5">
      <c r="A73" s="33">
        <v>3045444.532</v>
      </c>
      <c r="B73" s="33">
        <v>399788505</v>
      </c>
      <c r="C73" s="33">
        <v>611.54</v>
      </c>
      <c r="D73" s="11">
        <v>44997</v>
      </c>
      <c r="E73" s="85"/>
    </row>
    <row r="74" ht="15.75" spans="1:5">
      <c r="A74" s="33">
        <v>3045444.532</v>
      </c>
      <c r="B74" s="33">
        <v>399788505</v>
      </c>
      <c r="C74" s="33">
        <v>611.54</v>
      </c>
      <c r="D74" s="11">
        <v>44998</v>
      </c>
      <c r="E74" s="85"/>
    </row>
    <row r="75" ht="15.75" spans="1:5">
      <c r="A75" s="33">
        <v>3045444.532</v>
      </c>
      <c r="B75" s="33">
        <v>399788505</v>
      </c>
      <c r="C75" s="33">
        <v>611.54</v>
      </c>
      <c r="D75" s="11">
        <v>44999</v>
      </c>
      <c r="E75" s="85"/>
    </row>
    <row r="76" ht="15.75" spans="1:5">
      <c r="A76" s="33">
        <v>3045444.532</v>
      </c>
      <c r="B76" s="33">
        <v>399788505</v>
      </c>
      <c r="C76" s="33">
        <v>611.54</v>
      </c>
      <c r="D76" s="11">
        <v>45000</v>
      </c>
      <c r="E76" s="86"/>
    </row>
    <row r="77" ht="15.75" spans="1:5">
      <c r="A77" s="33">
        <v>3045444.532</v>
      </c>
      <c r="B77" s="33">
        <v>399788505</v>
      </c>
      <c r="C77" s="33">
        <v>611.54</v>
      </c>
      <c r="D77" s="11">
        <v>45001</v>
      </c>
      <c r="E77" s="85"/>
    </row>
    <row r="78" ht="15.75" spans="1:5">
      <c r="A78" s="33">
        <v>3045444.532</v>
      </c>
      <c r="B78" s="33">
        <v>399788505</v>
      </c>
      <c r="C78" s="33">
        <v>611.54</v>
      </c>
      <c r="D78" s="11">
        <v>45002</v>
      </c>
      <c r="E78" s="85"/>
    </row>
    <row r="79" ht="15.75" spans="1:5">
      <c r="A79" s="33">
        <v>3045444.532</v>
      </c>
      <c r="B79" s="33">
        <v>399788505</v>
      </c>
      <c r="C79" s="33">
        <v>611.54</v>
      </c>
      <c r="D79" s="11">
        <v>45003</v>
      </c>
      <c r="E79" s="86"/>
    </row>
    <row r="80" ht="15.75" spans="1:5">
      <c r="A80" s="33">
        <v>3045444.532</v>
      </c>
      <c r="B80" s="33">
        <v>399788505</v>
      </c>
      <c r="C80" s="33">
        <v>611.54</v>
      </c>
      <c r="D80" s="11">
        <v>45004</v>
      </c>
      <c r="E80" s="86"/>
    </row>
    <row r="81" ht="15.75" spans="1:5">
      <c r="A81" s="33">
        <v>3045444.532</v>
      </c>
      <c r="B81" s="33">
        <v>399788505</v>
      </c>
      <c r="C81" s="33">
        <v>611.54</v>
      </c>
      <c r="D81" s="11">
        <v>45005</v>
      </c>
      <c r="E81" s="86"/>
    </row>
    <row r="82" ht="15.75" spans="1:5">
      <c r="A82" s="33">
        <v>3045444.532</v>
      </c>
      <c r="B82" s="33">
        <v>399788505</v>
      </c>
      <c r="C82" s="33">
        <v>611.54</v>
      </c>
      <c r="D82" s="11">
        <v>45006</v>
      </c>
      <c r="E82" s="86"/>
    </row>
    <row r="83" ht="15.75" spans="1:5">
      <c r="A83" s="33">
        <v>3045444.532</v>
      </c>
      <c r="B83" s="33">
        <v>399788505</v>
      </c>
      <c r="C83" s="33">
        <v>611.54</v>
      </c>
      <c r="D83" s="11">
        <v>45007</v>
      </c>
      <c r="E83" s="86"/>
    </row>
    <row r="84" ht="15.75" spans="1:5">
      <c r="A84" s="33">
        <v>3045444.532</v>
      </c>
      <c r="B84" s="33">
        <v>399788505</v>
      </c>
      <c r="C84" s="33">
        <v>611.54</v>
      </c>
      <c r="D84" s="11">
        <v>45008</v>
      </c>
      <c r="E84" s="86"/>
    </row>
    <row r="85" ht="15.75" spans="1:5">
      <c r="A85" s="33">
        <v>3045444.532</v>
      </c>
      <c r="B85" s="33">
        <v>399788505</v>
      </c>
      <c r="C85" s="33">
        <v>611.54</v>
      </c>
      <c r="D85" s="11">
        <v>45009</v>
      </c>
      <c r="E85" s="85"/>
    </row>
    <row r="86" ht="15.75" spans="1:5">
      <c r="A86" s="33">
        <v>3045444.532</v>
      </c>
      <c r="B86" s="33">
        <v>399788505</v>
      </c>
      <c r="C86" s="33">
        <v>611.54</v>
      </c>
      <c r="D86" s="11">
        <v>45010</v>
      </c>
      <c r="E86" s="85"/>
    </row>
    <row r="87" ht="15.75" spans="1:5">
      <c r="A87" s="33">
        <v>3045444.532</v>
      </c>
      <c r="B87" s="33">
        <v>399788505</v>
      </c>
      <c r="C87" s="33">
        <v>611.54</v>
      </c>
      <c r="D87" s="11">
        <v>45011</v>
      </c>
      <c r="E87" s="85"/>
    </row>
    <row r="88" ht="15.75" spans="1:5">
      <c r="A88" s="33">
        <v>3045444.532</v>
      </c>
      <c r="B88" s="33">
        <v>399788505</v>
      </c>
      <c r="C88" s="33">
        <v>611.54</v>
      </c>
      <c r="D88" s="11">
        <v>45012</v>
      </c>
      <c r="E88" s="85"/>
    </row>
    <row r="89" ht="15.75" spans="1:5">
      <c r="A89" s="33">
        <v>3045444.532</v>
      </c>
      <c r="B89" s="33">
        <v>399788505</v>
      </c>
      <c r="C89" s="33">
        <v>611.54</v>
      </c>
      <c r="D89" s="11">
        <v>45013</v>
      </c>
      <c r="E89" s="85"/>
    </row>
    <row r="90" ht="15.75" spans="1:5">
      <c r="A90" s="33">
        <v>3045444.532</v>
      </c>
      <c r="B90" s="33">
        <v>399788505</v>
      </c>
      <c r="C90" s="33">
        <v>611.54</v>
      </c>
      <c r="D90" s="11">
        <v>45014</v>
      </c>
      <c r="E90" s="85"/>
    </row>
    <row r="91" ht="15.75" spans="1:5">
      <c r="A91" s="33">
        <v>3045444.532</v>
      </c>
      <c r="B91" s="33">
        <v>399788505</v>
      </c>
      <c r="C91" s="33">
        <v>611.54</v>
      </c>
      <c r="D91" s="11">
        <v>45015</v>
      </c>
      <c r="E91" s="86"/>
    </row>
    <row r="92" ht="15.75" spans="1:5">
      <c r="A92" s="33">
        <v>3045444.532</v>
      </c>
      <c r="B92" s="33">
        <v>399788505</v>
      </c>
      <c r="C92" s="33">
        <v>611.54</v>
      </c>
      <c r="D92" s="11">
        <v>45016</v>
      </c>
      <c r="E92" s="85"/>
    </row>
    <row r="93" ht="15.75" spans="1:5">
      <c r="A93" s="33">
        <v>3045444.532</v>
      </c>
      <c r="B93" s="33">
        <v>399788505</v>
      </c>
      <c r="C93" s="33">
        <v>611.54</v>
      </c>
      <c r="D93" s="11">
        <v>45017</v>
      </c>
      <c r="E93" s="85"/>
    </row>
    <row r="94" ht="15.75" spans="1:5">
      <c r="A94" s="33">
        <v>3045444.532</v>
      </c>
      <c r="B94" s="33">
        <v>399788505</v>
      </c>
      <c r="C94" s="33">
        <v>611.54</v>
      </c>
      <c r="D94" s="11">
        <v>45018</v>
      </c>
      <c r="E94" s="85"/>
    </row>
    <row r="95" ht="15.75" spans="1:5">
      <c r="A95" s="33">
        <v>3045444.532</v>
      </c>
      <c r="B95" s="33">
        <v>399788505</v>
      </c>
      <c r="C95" s="33">
        <v>611.54</v>
      </c>
      <c r="D95" s="11">
        <v>45019</v>
      </c>
      <c r="E95" s="85"/>
    </row>
    <row r="96" ht="15.75" spans="1:5">
      <c r="A96" s="33">
        <v>3045444.532</v>
      </c>
      <c r="B96" s="33">
        <v>399788505</v>
      </c>
      <c r="C96" s="33">
        <v>611.54</v>
      </c>
      <c r="D96" s="11">
        <v>45020</v>
      </c>
      <c r="E96" s="85"/>
    </row>
    <row r="97" ht="15.75" spans="1:5">
      <c r="A97" s="33">
        <v>3045444.532</v>
      </c>
      <c r="B97" s="33">
        <v>399788505</v>
      </c>
      <c r="C97" s="33">
        <v>611.54</v>
      </c>
      <c r="D97" s="11">
        <v>45021</v>
      </c>
      <c r="E97" s="85"/>
    </row>
    <row r="98" ht="15.75" spans="1:5">
      <c r="A98" s="33">
        <v>3045444.532</v>
      </c>
      <c r="B98" s="33">
        <v>399788505</v>
      </c>
      <c r="C98" s="33">
        <v>611.54</v>
      </c>
      <c r="D98" s="11">
        <v>45022</v>
      </c>
      <c r="E98" s="86"/>
    </row>
    <row r="99" ht="15.75" spans="1:5">
      <c r="A99" s="33">
        <v>3045444.532</v>
      </c>
      <c r="B99" s="33">
        <v>399788505</v>
      </c>
      <c r="C99" s="33">
        <v>611.54</v>
      </c>
      <c r="D99" s="11">
        <v>45023</v>
      </c>
      <c r="E99" s="85"/>
    </row>
    <row r="100" ht="15.75" spans="1:5">
      <c r="A100" s="33">
        <v>3045444.532</v>
      </c>
      <c r="B100" s="33">
        <v>399788505</v>
      </c>
      <c r="C100" s="33">
        <v>611.54</v>
      </c>
      <c r="D100" s="11">
        <v>45024</v>
      </c>
      <c r="E100" s="85"/>
    </row>
    <row r="101" ht="15.75" spans="1:5">
      <c r="A101" s="33">
        <v>3045444.532</v>
      </c>
      <c r="B101" s="33">
        <v>399788505</v>
      </c>
      <c r="C101" s="33">
        <v>611.54</v>
      </c>
      <c r="D101" s="11">
        <v>45025</v>
      </c>
      <c r="E101" s="85"/>
    </row>
    <row r="102" ht="15.75" spans="1:5">
      <c r="A102" s="33">
        <v>3045444.532</v>
      </c>
      <c r="B102" s="33">
        <v>399788505</v>
      </c>
      <c r="C102" s="33">
        <v>611.54</v>
      </c>
      <c r="D102" s="11">
        <v>45026</v>
      </c>
      <c r="E102" s="85"/>
    </row>
    <row r="103" ht="15.75" spans="1:5">
      <c r="A103" s="33">
        <v>3045444.532</v>
      </c>
      <c r="B103" s="33">
        <v>399788505</v>
      </c>
      <c r="C103" s="33">
        <v>611.54</v>
      </c>
      <c r="D103" s="11">
        <v>45027</v>
      </c>
      <c r="E103" s="85"/>
    </row>
    <row r="104" ht="15.75" spans="1:5">
      <c r="A104" s="33">
        <v>3045444.532</v>
      </c>
      <c r="B104" s="33">
        <v>399788505</v>
      </c>
      <c r="C104" s="33">
        <v>611.54</v>
      </c>
      <c r="D104" s="11">
        <v>45028</v>
      </c>
      <c r="E104" s="85"/>
    </row>
    <row r="105" ht="15.75" spans="1:5">
      <c r="A105" s="33">
        <v>3045444.532</v>
      </c>
      <c r="B105" s="33">
        <v>399788505</v>
      </c>
      <c r="C105" s="33">
        <v>611.54</v>
      </c>
      <c r="D105" s="11">
        <v>45029</v>
      </c>
      <c r="E105" s="85"/>
    </row>
    <row r="106" ht="15.75" spans="1:5">
      <c r="A106" s="33">
        <v>3045444.532</v>
      </c>
      <c r="B106" s="33">
        <v>399788505</v>
      </c>
      <c r="C106" s="33">
        <v>611.54</v>
      </c>
      <c r="D106" s="11">
        <v>45030</v>
      </c>
      <c r="E106" s="85"/>
    </row>
    <row r="107" ht="15.75" spans="1:5">
      <c r="A107" s="33">
        <v>3045444.532</v>
      </c>
      <c r="B107" s="33">
        <v>399788505</v>
      </c>
      <c r="C107" s="33">
        <v>611.54</v>
      </c>
      <c r="D107" s="11">
        <v>45031</v>
      </c>
      <c r="E107" s="86">
        <v>459.21</v>
      </c>
    </row>
    <row r="108" ht="15.75" spans="1:5">
      <c r="A108" s="33">
        <v>3045444.532</v>
      </c>
      <c r="B108" s="33">
        <v>399788505</v>
      </c>
      <c r="C108" s="33">
        <v>611.54</v>
      </c>
      <c r="D108" s="11">
        <v>45032</v>
      </c>
      <c r="E108" s="86"/>
    </row>
    <row r="109" ht="15.75" spans="1:5">
      <c r="A109" s="33">
        <v>3045444.532</v>
      </c>
      <c r="B109" s="33">
        <v>399788505</v>
      </c>
      <c r="C109" s="33">
        <v>611.54</v>
      </c>
      <c r="D109" s="11">
        <v>45033</v>
      </c>
      <c r="E109" s="86"/>
    </row>
    <row r="110" ht="15.75" spans="1:5">
      <c r="A110" s="33">
        <v>3045444.532</v>
      </c>
      <c r="B110" s="33">
        <v>399788505</v>
      </c>
      <c r="C110" s="33">
        <v>611.54</v>
      </c>
      <c r="D110" s="11">
        <v>45034</v>
      </c>
      <c r="E110" s="86"/>
    </row>
    <row r="111" ht="15.75" spans="1:5">
      <c r="A111" s="33">
        <v>3045444.532</v>
      </c>
      <c r="B111" s="33">
        <v>399788505</v>
      </c>
      <c r="C111" s="33">
        <v>611.54</v>
      </c>
      <c r="D111" s="11">
        <v>45035</v>
      </c>
      <c r="E111" s="86"/>
    </row>
    <row r="112" ht="15.75" spans="1:5">
      <c r="A112" s="33">
        <v>3045444.532</v>
      </c>
      <c r="B112" s="33">
        <v>399788505</v>
      </c>
      <c r="C112" s="33">
        <v>611.54</v>
      </c>
      <c r="D112" s="11">
        <v>45036</v>
      </c>
      <c r="E112" s="86">
        <v>459.29</v>
      </c>
    </row>
    <row r="113" ht="15.75" spans="1:5">
      <c r="A113" s="33">
        <v>3045444.532</v>
      </c>
      <c r="B113" s="33">
        <v>399788505</v>
      </c>
      <c r="C113" s="33">
        <v>611.54</v>
      </c>
      <c r="D113" s="11">
        <v>45037</v>
      </c>
      <c r="E113" s="86"/>
    </row>
    <row r="114" ht="15.75" spans="1:5">
      <c r="A114" s="33">
        <v>3045444.532</v>
      </c>
      <c r="B114" s="33">
        <v>399788505</v>
      </c>
      <c r="C114" s="33">
        <v>611.54</v>
      </c>
      <c r="D114" s="11">
        <v>45038</v>
      </c>
      <c r="E114" s="86"/>
    </row>
    <row r="115" ht="15.75" spans="1:5">
      <c r="A115" s="33">
        <v>3045444.532</v>
      </c>
      <c r="B115" s="33">
        <v>399788505</v>
      </c>
      <c r="C115" s="33">
        <v>611.54</v>
      </c>
      <c r="D115" s="11">
        <v>45039</v>
      </c>
      <c r="E115" s="86"/>
    </row>
    <row r="116" ht="15.75" spans="1:5">
      <c r="A116" s="33">
        <v>3045444.532</v>
      </c>
      <c r="B116" s="33">
        <v>399788505</v>
      </c>
      <c r="C116" s="33">
        <v>611.54</v>
      </c>
      <c r="D116" s="11">
        <v>45040</v>
      </c>
      <c r="E116" s="86"/>
    </row>
    <row r="117" ht="15.75" spans="1:5">
      <c r="A117" s="33">
        <v>3045444.532</v>
      </c>
      <c r="B117" s="33">
        <v>399788505</v>
      </c>
      <c r="C117" s="33">
        <v>611.54</v>
      </c>
      <c r="D117" s="11">
        <v>45041</v>
      </c>
      <c r="E117" s="86">
        <v>459.16</v>
      </c>
    </row>
    <row r="118" ht="15.75" spans="1:5">
      <c r="A118" s="33">
        <v>3045444.532</v>
      </c>
      <c r="B118" s="33">
        <v>399788505</v>
      </c>
      <c r="C118" s="33">
        <v>611.54</v>
      </c>
      <c r="D118" s="11">
        <v>45042</v>
      </c>
      <c r="E118" s="86"/>
    </row>
    <row r="119" ht="15.75" spans="1:5">
      <c r="A119" s="33">
        <v>3045444.532</v>
      </c>
      <c r="B119" s="33">
        <v>399788505</v>
      </c>
      <c r="C119" s="33">
        <v>611.54</v>
      </c>
      <c r="D119" s="11">
        <v>45043</v>
      </c>
      <c r="E119" s="86"/>
    </row>
    <row r="120" ht="15.75" spans="1:5">
      <c r="A120" s="33">
        <v>3045444.532</v>
      </c>
      <c r="B120" s="33">
        <v>399788505</v>
      </c>
      <c r="C120" s="33">
        <v>611.54</v>
      </c>
      <c r="D120" s="11">
        <v>45044</v>
      </c>
      <c r="E120" s="86"/>
    </row>
    <row r="121" ht="15.75" spans="1:5">
      <c r="A121" s="33">
        <v>3045444.532</v>
      </c>
      <c r="B121" s="33">
        <v>399788505</v>
      </c>
      <c r="C121" s="33">
        <v>611.54</v>
      </c>
      <c r="D121" s="11">
        <v>45045</v>
      </c>
      <c r="E121" s="86"/>
    </row>
    <row r="122" ht="15.75" spans="1:5">
      <c r="A122" s="33">
        <v>3045444.532</v>
      </c>
      <c r="B122" s="33">
        <v>399788505</v>
      </c>
      <c r="C122" s="33">
        <v>611.54</v>
      </c>
      <c r="D122" s="11">
        <v>45046</v>
      </c>
      <c r="E122" s="86">
        <v>459.15</v>
      </c>
    </row>
    <row r="123" ht="15.75" spans="1:5">
      <c r="A123" s="33">
        <v>3045444.532</v>
      </c>
      <c r="B123" s="33">
        <v>399788505</v>
      </c>
      <c r="C123" s="33">
        <v>611.54</v>
      </c>
      <c r="D123" s="11">
        <v>45047</v>
      </c>
      <c r="E123" s="86"/>
    </row>
    <row r="124" ht="15.75" spans="1:5">
      <c r="A124" s="33">
        <v>3045444.532</v>
      </c>
      <c r="B124" s="33">
        <v>399788505</v>
      </c>
      <c r="C124" s="33">
        <v>611.54</v>
      </c>
      <c r="D124" s="11">
        <v>45048</v>
      </c>
      <c r="E124" s="86"/>
    </row>
    <row r="125" ht="15.75" spans="1:5">
      <c r="A125" s="33">
        <v>3045444.532</v>
      </c>
      <c r="B125" s="33">
        <v>399788505</v>
      </c>
      <c r="C125" s="33">
        <v>611.54</v>
      </c>
      <c r="D125" s="11">
        <v>45049</v>
      </c>
      <c r="E125" s="86"/>
    </row>
    <row r="126" ht="15.75" spans="1:5">
      <c r="A126" s="33">
        <v>3045444.532</v>
      </c>
      <c r="B126" s="33">
        <v>399788505</v>
      </c>
      <c r="C126" s="33">
        <v>611.54</v>
      </c>
      <c r="D126" s="11">
        <v>45050</v>
      </c>
      <c r="E126" s="86"/>
    </row>
    <row r="127" ht="15.75" spans="1:5">
      <c r="A127" s="33">
        <v>3045444.532</v>
      </c>
      <c r="B127" s="33">
        <v>399788505</v>
      </c>
      <c r="C127" s="33">
        <v>611.54</v>
      </c>
      <c r="D127" s="11">
        <v>45051</v>
      </c>
      <c r="E127" s="86">
        <v>458.58</v>
      </c>
    </row>
    <row r="128" ht="15.75" spans="1:5">
      <c r="A128" s="33">
        <v>3045444.532</v>
      </c>
      <c r="B128" s="33">
        <v>399788505</v>
      </c>
      <c r="C128" s="33">
        <v>611.54</v>
      </c>
      <c r="D128" s="11">
        <v>45052</v>
      </c>
      <c r="E128" s="86"/>
    </row>
    <row r="129" ht="15.75" spans="1:5">
      <c r="A129" s="33">
        <v>3045444.532</v>
      </c>
      <c r="B129" s="33">
        <v>399788505</v>
      </c>
      <c r="C129" s="33">
        <v>611.54</v>
      </c>
      <c r="D129" s="11">
        <v>45053</v>
      </c>
      <c r="E129" s="86"/>
    </row>
    <row r="130" ht="15.75" spans="1:5">
      <c r="A130" s="33">
        <v>3045444.532</v>
      </c>
      <c r="B130" s="33">
        <v>399788505</v>
      </c>
      <c r="C130" s="33">
        <v>611.54</v>
      </c>
      <c r="D130" s="11">
        <v>45054</v>
      </c>
      <c r="E130" s="86"/>
    </row>
    <row r="131" ht="15.75" spans="1:5">
      <c r="A131" s="33">
        <v>3045444.532</v>
      </c>
      <c r="B131" s="33">
        <v>399788505</v>
      </c>
      <c r="C131" s="33">
        <v>611.54</v>
      </c>
      <c r="D131" s="11">
        <v>45055</v>
      </c>
      <c r="E131" s="86"/>
    </row>
    <row r="132" ht="15.75" spans="1:5">
      <c r="A132" s="33">
        <v>3045444.532</v>
      </c>
      <c r="B132" s="33">
        <v>399788505</v>
      </c>
      <c r="C132" s="33">
        <v>611.54</v>
      </c>
      <c r="D132" s="11">
        <v>45056</v>
      </c>
      <c r="E132" s="86">
        <v>458.21</v>
      </c>
    </row>
    <row r="133" ht="15.75" spans="1:5">
      <c r="A133" s="33">
        <v>3045444.532</v>
      </c>
      <c r="B133" s="33">
        <v>399788505</v>
      </c>
      <c r="C133" s="33">
        <v>611.54</v>
      </c>
      <c r="D133" s="11">
        <v>45057</v>
      </c>
      <c r="E133" s="85"/>
    </row>
    <row r="134" ht="15.75" spans="1:5">
      <c r="A134" s="33">
        <v>3045444.532</v>
      </c>
      <c r="B134" s="33">
        <v>399788505</v>
      </c>
      <c r="C134" s="33">
        <v>611.54</v>
      </c>
      <c r="D134" s="11">
        <v>45058</v>
      </c>
      <c r="E134" s="85"/>
    </row>
    <row r="135" ht="15.75" spans="1:5">
      <c r="A135" s="33">
        <v>3045444.532</v>
      </c>
      <c r="B135" s="33">
        <v>399788505</v>
      </c>
      <c r="C135" s="33">
        <v>611.54</v>
      </c>
      <c r="D135" s="11">
        <v>45059</v>
      </c>
      <c r="E135" s="85"/>
    </row>
    <row r="136" ht="15.75" spans="1:5">
      <c r="A136" s="33">
        <v>3045444.532</v>
      </c>
      <c r="B136" s="33">
        <v>399788505</v>
      </c>
      <c r="C136" s="33">
        <v>611.54</v>
      </c>
      <c r="D136" s="11">
        <v>45060</v>
      </c>
      <c r="E136" s="85"/>
    </row>
    <row r="137" ht="15.75" spans="1:5">
      <c r="A137" s="33">
        <v>3045444.532</v>
      </c>
      <c r="B137" s="33">
        <v>399788505</v>
      </c>
      <c r="C137" s="33">
        <v>611.54</v>
      </c>
      <c r="D137" s="11">
        <v>45061</v>
      </c>
      <c r="E137" s="85"/>
    </row>
    <row r="138" ht="15.75" spans="1:5">
      <c r="A138" s="33">
        <v>3045444.532</v>
      </c>
      <c r="B138" s="33">
        <v>399788505</v>
      </c>
      <c r="C138" s="33">
        <v>611.54</v>
      </c>
      <c r="D138" s="11">
        <v>45062</v>
      </c>
      <c r="E138" s="85"/>
    </row>
    <row r="139" ht="15.75" spans="1:5">
      <c r="A139" s="33">
        <v>3045444.532</v>
      </c>
      <c r="B139" s="33">
        <v>399788505</v>
      </c>
      <c r="C139" s="33">
        <v>611.54</v>
      </c>
      <c r="D139" s="11">
        <v>45063</v>
      </c>
      <c r="E139" s="85"/>
    </row>
    <row r="140" ht="15.75" spans="1:5">
      <c r="A140" s="33">
        <v>3045444.532</v>
      </c>
      <c r="B140" s="33">
        <v>399788505</v>
      </c>
      <c r="C140" s="33">
        <v>611.54</v>
      </c>
      <c r="D140" s="11">
        <v>45064</v>
      </c>
      <c r="E140" s="86">
        <f>610-151.86</f>
        <v>458.14</v>
      </c>
    </row>
    <row r="141" ht="15.75" spans="1:5">
      <c r="A141" s="33">
        <v>3045444.532</v>
      </c>
      <c r="B141" s="33">
        <v>399788505</v>
      </c>
      <c r="C141" s="33">
        <v>611.54</v>
      </c>
      <c r="D141" s="11">
        <v>45065</v>
      </c>
      <c r="E141" s="85"/>
    </row>
    <row r="142" ht="15.75" spans="1:5">
      <c r="A142" s="33">
        <v>3045444.532</v>
      </c>
      <c r="B142" s="33">
        <v>399788505</v>
      </c>
      <c r="C142" s="33">
        <v>611.54</v>
      </c>
      <c r="D142" s="11">
        <v>45066</v>
      </c>
      <c r="E142" s="85"/>
    </row>
    <row r="143" ht="15.75" spans="1:5">
      <c r="A143" s="33">
        <v>3045444.532</v>
      </c>
      <c r="B143" s="33">
        <v>399788505</v>
      </c>
      <c r="C143" s="33">
        <v>611.54</v>
      </c>
      <c r="D143" s="11">
        <v>45067</v>
      </c>
      <c r="E143" s="85"/>
    </row>
    <row r="144" ht="15.75" spans="1:5">
      <c r="A144" s="33">
        <v>3045444.532</v>
      </c>
      <c r="B144" s="33">
        <v>399788505</v>
      </c>
      <c r="C144" s="33">
        <v>611.54</v>
      </c>
      <c r="D144" s="11">
        <v>45068</v>
      </c>
      <c r="E144" s="85"/>
    </row>
    <row r="145" ht="15.75" spans="1:5">
      <c r="A145" s="33">
        <v>3045444.532</v>
      </c>
      <c r="B145" s="33">
        <v>399788505</v>
      </c>
      <c r="C145" s="33">
        <v>611.54</v>
      </c>
      <c r="D145" s="11">
        <v>45069</v>
      </c>
      <c r="E145" s="85"/>
    </row>
    <row r="146" ht="15.75" spans="1:5">
      <c r="A146" s="33">
        <v>3045444.532</v>
      </c>
      <c r="B146" s="33">
        <v>399788505</v>
      </c>
      <c r="C146" s="33">
        <v>611.54</v>
      </c>
      <c r="D146" s="11">
        <v>45070</v>
      </c>
      <c r="E146" s="85"/>
    </row>
    <row r="147" ht="15.75" spans="1:5">
      <c r="A147" s="33">
        <v>3045444.532</v>
      </c>
      <c r="B147" s="33">
        <v>399788505</v>
      </c>
      <c r="C147" s="33">
        <v>611.54</v>
      </c>
      <c r="D147" s="11">
        <v>45071</v>
      </c>
      <c r="E147" s="86">
        <f>610-151.9</f>
        <v>458.1</v>
      </c>
    </row>
    <row r="148" ht="15.75" spans="1:5">
      <c r="A148" s="33">
        <v>3045444.532</v>
      </c>
      <c r="B148" s="33">
        <v>399788505</v>
      </c>
      <c r="C148" s="33">
        <v>611.54</v>
      </c>
      <c r="D148" s="11">
        <v>45072</v>
      </c>
      <c r="E148" s="85"/>
    </row>
    <row r="149" ht="15.75" spans="1:5">
      <c r="A149" s="33">
        <v>3045444.532</v>
      </c>
      <c r="B149" s="33">
        <v>399788505</v>
      </c>
      <c r="C149" s="33">
        <v>611.54</v>
      </c>
      <c r="D149" s="11">
        <v>45073</v>
      </c>
      <c r="E149" s="85"/>
    </row>
    <row r="150" ht="15.75" spans="1:5">
      <c r="A150" s="33">
        <v>3045444.532</v>
      </c>
      <c r="B150" s="33">
        <v>399788505</v>
      </c>
      <c r="C150" s="33">
        <v>611.54</v>
      </c>
      <c r="D150" s="11">
        <v>45074</v>
      </c>
      <c r="E150" s="85"/>
    </row>
    <row r="151" ht="15.75" spans="1:5">
      <c r="A151" s="33">
        <v>3045444.532</v>
      </c>
      <c r="B151" s="33">
        <v>399788505</v>
      </c>
      <c r="C151" s="33">
        <v>611.54</v>
      </c>
      <c r="D151" s="11">
        <v>45075</v>
      </c>
      <c r="E151" s="85"/>
    </row>
    <row r="152" ht="15.75" spans="1:5">
      <c r="A152" s="33">
        <v>3045444.532</v>
      </c>
      <c r="B152" s="33">
        <v>399788505</v>
      </c>
      <c r="C152" s="33">
        <v>611.54</v>
      </c>
      <c r="D152" s="11">
        <v>45076</v>
      </c>
      <c r="E152" s="85"/>
    </row>
    <row r="153" ht="15.75" spans="1:5">
      <c r="A153" s="33">
        <v>3045444.532</v>
      </c>
      <c r="B153" s="33">
        <v>399788505</v>
      </c>
      <c r="C153" s="33">
        <v>611.54</v>
      </c>
      <c r="D153" s="11">
        <v>45077</v>
      </c>
      <c r="E153" s="85"/>
    </row>
    <row r="154" ht="15.75" spans="1:5">
      <c r="A154" s="33">
        <v>3045444.532</v>
      </c>
      <c r="B154" s="33">
        <v>399788505</v>
      </c>
      <c r="C154" s="33">
        <v>611.54</v>
      </c>
      <c r="D154" s="11">
        <v>45078</v>
      </c>
      <c r="E154" s="86">
        <f>610-151.9</f>
        <v>458.1</v>
      </c>
    </row>
    <row r="155" ht="15.75" spans="1:5">
      <c r="A155" s="33">
        <v>3045444.532</v>
      </c>
      <c r="B155" s="33">
        <v>399788505</v>
      </c>
      <c r="C155" s="33">
        <v>611.54</v>
      </c>
      <c r="D155" s="11">
        <v>45079</v>
      </c>
      <c r="E155" s="85"/>
    </row>
    <row r="156" ht="15.75" spans="1:5">
      <c r="A156" s="33">
        <v>3045444.532</v>
      </c>
      <c r="B156" s="33">
        <v>399788505</v>
      </c>
      <c r="C156" s="33">
        <v>611.54</v>
      </c>
      <c r="D156" s="11">
        <v>45080</v>
      </c>
      <c r="E156" s="85"/>
    </row>
    <row r="157" ht="15.75" spans="1:5">
      <c r="A157" s="33">
        <v>3045444.532</v>
      </c>
      <c r="B157" s="33">
        <v>399788505</v>
      </c>
      <c r="C157" s="33">
        <v>611.54</v>
      </c>
      <c r="D157" s="11">
        <v>45081</v>
      </c>
      <c r="E157" s="85"/>
    </row>
    <row r="158" ht="15.75" spans="1:5">
      <c r="A158" s="33">
        <v>3045444.532</v>
      </c>
      <c r="B158" s="33">
        <v>399788505</v>
      </c>
      <c r="C158" s="33">
        <v>611.54</v>
      </c>
      <c r="D158" s="11">
        <v>45082</v>
      </c>
      <c r="E158" s="85"/>
    </row>
    <row r="159" ht="15.75" spans="1:5">
      <c r="A159" s="33">
        <v>3045444.532</v>
      </c>
      <c r="B159" s="33">
        <v>399788505</v>
      </c>
      <c r="C159" s="33">
        <v>611.54</v>
      </c>
      <c r="D159" s="11">
        <v>45083</v>
      </c>
      <c r="E159" s="85"/>
    </row>
    <row r="160" ht="15.75" spans="1:5">
      <c r="A160" s="33">
        <v>3045444.532</v>
      </c>
      <c r="B160" s="33">
        <v>399788505</v>
      </c>
      <c r="C160" s="33">
        <v>611.54</v>
      </c>
      <c r="D160" s="11">
        <v>45084</v>
      </c>
      <c r="E160" s="85"/>
    </row>
    <row r="161" ht="15.75" spans="1:5">
      <c r="A161" s="33">
        <v>3045444.532</v>
      </c>
      <c r="B161" s="33">
        <v>399788505</v>
      </c>
      <c r="C161" s="33">
        <v>611.54</v>
      </c>
      <c r="D161" s="11">
        <v>45085</v>
      </c>
      <c r="E161" s="86">
        <f>610-152.95</f>
        <v>457.05</v>
      </c>
    </row>
    <row r="162" ht="15.75" spans="1:5">
      <c r="A162" s="33">
        <v>3045444.532</v>
      </c>
      <c r="B162" s="33">
        <v>399788505</v>
      </c>
      <c r="C162" s="33">
        <v>611.54</v>
      </c>
      <c r="D162" s="11">
        <v>45086</v>
      </c>
      <c r="E162" s="85"/>
    </row>
    <row r="163" ht="15.75" spans="1:5">
      <c r="A163" s="33">
        <v>3045444.532</v>
      </c>
      <c r="B163" s="33">
        <v>399788505</v>
      </c>
      <c r="C163" s="33">
        <v>611.54</v>
      </c>
      <c r="D163" s="11">
        <v>45087</v>
      </c>
      <c r="E163" s="85"/>
    </row>
    <row r="164" ht="15.75" spans="1:5">
      <c r="A164" s="33">
        <v>3045444.532</v>
      </c>
      <c r="B164" s="33">
        <v>399788505</v>
      </c>
      <c r="C164" s="33">
        <v>611.54</v>
      </c>
      <c r="D164" s="11">
        <v>45088</v>
      </c>
      <c r="E164" s="85"/>
    </row>
    <row r="165" ht="15.75" spans="1:5">
      <c r="A165" s="33">
        <v>3045444.532</v>
      </c>
      <c r="B165" s="33">
        <v>399788505</v>
      </c>
      <c r="C165" s="33">
        <v>611.54</v>
      </c>
      <c r="D165" s="11">
        <v>45089</v>
      </c>
      <c r="E165" s="85"/>
    </row>
    <row r="166" ht="15.75" spans="1:5">
      <c r="A166" s="33">
        <v>3045444.532</v>
      </c>
      <c r="B166" s="33">
        <v>399788505</v>
      </c>
      <c r="C166" s="33">
        <v>611.54</v>
      </c>
      <c r="D166" s="11">
        <v>45090</v>
      </c>
      <c r="E166" s="85"/>
    </row>
    <row r="167" ht="15.75" spans="1:5">
      <c r="A167" s="33">
        <v>3045444.532</v>
      </c>
      <c r="B167" s="33">
        <v>399788505</v>
      </c>
      <c r="C167" s="33">
        <v>611.54</v>
      </c>
      <c r="D167" s="11">
        <v>45091</v>
      </c>
      <c r="E167" s="85"/>
    </row>
    <row r="168" ht="15.75" spans="1:5">
      <c r="A168" s="33">
        <v>3045444.532</v>
      </c>
      <c r="B168" s="33">
        <v>399788505</v>
      </c>
      <c r="C168" s="33">
        <v>611.54</v>
      </c>
      <c r="D168" s="11">
        <v>45092</v>
      </c>
      <c r="E168" s="86">
        <f>610-153.39</f>
        <v>456.61</v>
      </c>
    </row>
    <row r="169" ht="15.75" spans="1:5">
      <c r="A169" s="33">
        <v>3045444.532</v>
      </c>
      <c r="B169" s="33">
        <v>399788505</v>
      </c>
      <c r="C169" s="33">
        <v>611.54</v>
      </c>
      <c r="D169" s="11">
        <v>45093</v>
      </c>
      <c r="E169" s="85"/>
    </row>
    <row r="170" ht="15.75" spans="1:5">
      <c r="A170" s="33">
        <v>3045444.532</v>
      </c>
      <c r="B170" s="33">
        <v>399788505</v>
      </c>
      <c r="C170" s="33">
        <v>611.54</v>
      </c>
      <c r="D170" s="11">
        <v>45094</v>
      </c>
      <c r="E170" s="85"/>
    </row>
    <row r="171" ht="15.75" spans="1:5">
      <c r="A171" s="33">
        <v>3045444.532</v>
      </c>
      <c r="B171" s="33">
        <v>399788505</v>
      </c>
      <c r="C171" s="33">
        <v>611.54</v>
      </c>
      <c r="D171" s="11">
        <v>45095</v>
      </c>
      <c r="E171" s="85"/>
    </row>
    <row r="172" ht="15.75" spans="1:5">
      <c r="A172" s="33">
        <v>3045444.532</v>
      </c>
      <c r="B172" s="33">
        <v>399788505</v>
      </c>
      <c r="C172" s="33">
        <v>611.54</v>
      </c>
      <c r="D172" s="11">
        <v>45096</v>
      </c>
      <c r="E172" s="85"/>
    </row>
    <row r="173" ht="15.75" spans="1:5">
      <c r="A173" s="33">
        <v>3045444.532</v>
      </c>
      <c r="B173" s="33">
        <v>399788505</v>
      </c>
      <c r="C173" s="33">
        <v>611.54</v>
      </c>
      <c r="D173" s="11">
        <v>45097</v>
      </c>
      <c r="E173" s="86">
        <v>456.31</v>
      </c>
    </row>
    <row r="174" ht="15.75" spans="1:5">
      <c r="A174" s="33">
        <v>3045444.532</v>
      </c>
      <c r="B174" s="33">
        <v>399788505</v>
      </c>
      <c r="C174" s="33">
        <v>611.54</v>
      </c>
      <c r="D174" s="11">
        <v>45098</v>
      </c>
      <c r="E174" s="86">
        <v>456.24</v>
      </c>
    </row>
    <row r="175" ht="15.75" spans="1:5">
      <c r="A175" s="33">
        <v>3045444.532</v>
      </c>
      <c r="B175" s="33">
        <v>399788505</v>
      </c>
      <c r="C175" s="33">
        <v>611.54</v>
      </c>
      <c r="D175" s="11">
        <v>45099</v>
      </c>
      <c r="E175" s="86">
        <v>456.17</v>
      </c>
    </row>
    <row r="176" ht="15.75" spans="1:5">
      <c r="A176" s="33">
        <v>3045444.532</v>
      </c>
      <c r="B176" s="33">
        <v>399788505</v>
      </c>
      <c r="C176" s="33">
        <v>611.54</v>
      </c>
      <c r="D176" s="11">
        <v>45100</v>
      </c>
      <c r="E176" s="86">
        <v>456.18</v>
      </c>
    </row>
    <row r="177" ht="15.75" spans="1:5">
      <c r="A177" s="33">
        <v>3045444.532</v>
      </c>
      <c r="B177" s="33">
        <v>399788505</v>
      </c>
      <c r="C177" s="33">
        <v>611.54</v>
      </c>
      <c r="D177" s="11">
        <v>45101</v>
      </c>
      <c r="E177" s="86">
        <v>456.18</v>
      </c>
    </row>
    <row r="178" ht="15.75" spans="1:5">
      <c r="A178" s="33">
        <v>3045444.532</v>
      </c>
      <c r="B178" s="33">
        <v>399788505</v>
      </c>
      <c r="C178" s="33">
        <v>611.54</v>
      </c>
      <c r="D178" s="11">
        <v>45102</v>
      </c>
      <c r="E178" s="86">
        <v>456.15</v>
      </c>
    </row>
    <row r="179" ht="15.75" spans="1:5">
      <c r="A179" s="33">
        <v>3045444.532</v>
      </c>
      <c r="B179" s="33">
        <v>399788505</v>
      </c>
      <c r="C179" s="33">
        <v>611.54</v>
      </c>
      <c r="D179" s="11">
        <v>45103</v>
      </c>
      <c r="E179" s="86">
        <v>456.15</v>
      </c>
    </row>
    <row r="180" ht="15.75" spans="1:5">
      <c r="A180" s="33">
        <v>3045444.532</v>
      </c>
      <c r="B180" s="33">
        <v>399788505</v>
      </c>
      <c r="C180" s="33">
        <v>611.54</v>
      </c>
      <c r="D180" s="11">
        <v>45104</v>
      </c>
      <c r="E180" s="86">
        <v>456.17</v>
      </c>
    </row>
    <row r="181" ht="15.75" spans="1:5">
      <c r="A181" s="33">
        <v>3045444.532</v>
      </c>
      <c r="B181" s="33">
        <v>399788505</v>
      </c>
      <c r="C181" s="33">
        <v>611.54</v>
      </c>
      <c r="D181" s="11">
        <v>45105</v>
      </c>
      <c r="E181" s="86">
        <v>456.16</v>
      </c>
    </row>
    <row r="182" ht="15.75" spans="1:5">
      <c r="A182" s="33">
        <v>3045444.532</v>
      </c>
      <c r="B182" s="33">
        <v>399788505</v>
      </c>
      <c r="C182" s="33">
        <v>611.54</v>
      </c>
      <c r="D182" s="11">
        <v>45106</v>
      </c>
      <c r="E182" s="86">
        <v>456.09</v>
      </c>
    </row>
    <row r="183" ht="15.75" spans="1:5">
      <c r="A183" s="33">
        <v>3045444.532</v>
      </c>
      <c r="B183" s="33">
        <v>399788505</v>
      </c>
      <c r="C183" s="33">
        <v>611.54</v>
      </c>
      <c r="D183" s="11">
        <v>45107</v>
      </c>
      <c r="E183" s="86">
        <v>456.08</v>
      </c>
    </row>
    <row r="184" ht="15.75" spans="1:5">
      <c r="A184" s="33">
        <v>3045444.532</v>
      </c>
      <c r="B184" s="33">
        <v>399788505</v>
      </c>
      <c r="C184" s="33">
        <v>611.54</v>
      </c>
      <c r="D184" s="11">
        <v>45108</v>
      </c>
      <c r="E184" s="86">
        <v>456.158</v>
      </c>
    </row>
    <row r="185" ht="15.75" spans="1:5">
      <c r="A185" s="33">
        <v>3045444.532</v>
      </c>
      <c r="B185" s="33">
        <v>399788505</v>
      </c>
      <c r="C185" s="33">
        <v>611.54</v>
      </c>
      <c r="D185" s="11">
        <v>45109</v>
      </c>
      <c r="E185" s="86">
        <v>456.091</v>
      </c>
    </row>
    <row r="186" ht="15.75" spans="1:5">
      <c r="A186" s="33">
        <v>3045444.532</v>
      </c>
      <c r="B186" s="33">
        <v>399788505</v>
      </c>
      <c r="C186" s="33">
        <v>611.54</v>
      </c>
      <c r="D186" s="11">
        <v>45110</v>
      </c>
      <c r="E186" s="86">
        <v>456.084</v>
      </c>
    </row>
    <row r="187" ht="15.75" spans="1:5">
      <c r="A187" s="33">
        <v>3045444.532</v>
      </c>
      <c r="B187" s="33">
        <v>399788505</v>
      </c>
      <c r="C187" s="33">
        <v>611.54</v>
      </c>
      <c r="D187" s="11">
        <v>45111</v>
      </c>
      <c r="E187" s="86">
        <v>455.918</v>
      </c>
    </row>
    <row r="188" ht="15.75" spans="1:5">
      <c r="A188" s="33">
        <v>3045444.532</v>
      </c>
      <c r="B188" s="33">
        <v>399788505</v>
      </c>
      <c r="C188" s="33">
        <v>611.54</v>
      </c>
      <c r="D188" s="11">
        <v>45112</v>
      </c>
      <c r="E188" s="86">
        <v>456.063</v>
      </c>
    </row>
    <row r="189" ht="15.75" spans="1:5">
      <c r="A189" s="33">
        <v>3045444.532</v>
      </c>
      <c r="B189" s="33">
        <v>399788505</v>
      </c>
      <c r="C189" s="33">
        <v>611.54</v>
      </c>
      <c r="D189" s="11">
        <v>45113</v>
      </c>
      <c r="E189" s="86">
        <v>455.98</v>
      </c>
    </row>
    <row r="190" ht="15.75" spans="1:5">
      <c r="A190" s="33">
        <v>3045444.532</v>
      </c>
      <c r="B190" s="33">
        <v>399788505</v>
      </c>
      <c r="C190" s="33">
        <v>611.54</v>
      </c>
      <c r="D190" s="11">
        <v>45114</v>
      </c>
      <c r="E190" s="86">
        <v>455.94</v>
      </c>
    </row>
    <row r="191" ht="15.75" spans="1:5">
      <c r="A191" s="33">
        <v>3045444.532</v>
      </c>
      <c r="B191" s="33">
        <v>399788505</v>
      </c>
      <c r="C191" s="33">
        <v>611.54</v>
      </c>
      <c r="D191" s="11">
        <v>45115</v>
      </c>
      <c r="E191" s="86">
        <v>455.68</v>
      </c>
    </row>
    <row r="192" ht="15.75" spans="1:5">
      <c r="A192" s="33">
        <v>3045444.532</v>
      </c>
      <c r="B192" s="33">
        <v>399788505</v>
      </c>
      <c r="C192" s="33">
        <v>611.54</v>
      </c>
      <c r="D192" s="11">
        <v>45116</v>
      </c>
      <c r="E192" s="86">
        <v>455.65</v>
      </c>
    </row>
    <row r="193" ht="15.75" spans="1:5">
      <c r="A193" s="33">
        <v>3045444.532</v>
      </c>
      <c r="B193" s="33">
        <v>399788505</v>
      </c>
      <c r="C193" s="33">
        <v>611.54</v>
      </c>
      <c r="D193" s="11">
        <v>45117</v>
      </c>
      <c r="E193" s="86">
        <v>455.73</v>
      </c>
    </row>
    <row r="194" ht="15.75" spans="1:5">
      <c r="A194" s="33">
        <v>3045444.532</v>
      </c>
      <c r="B194" s="33">
        <v>399788505</v>
      </c>
      <c r="C194" s="33">
        <v>611.54</v>
      </c>
      <c r="D194" s="11">
        <v>45118</v>
      </c>
      <c r="E194" s="86">
        <v>455.73</v>
      </c>
    </row>
    <row r="195" ht="15.75" spans="1:5">
      <c r="A195" s="33">
        <v>3045444.532</v>
      </c>
      <c r="B195" s="33">
        <v>399788505</v>
      </c>
      <c r="C195" s="33">
        <v>611.54</v>
      </c>
      <c r="D195" s="11">
        <v>45119</v>
      </c>
      <c r="E195" s="86">
        <v>455.67</v>
      </c>
    </row>
    <row r="196" ht="15.75" spans="1:5">
      <c r="A196" s="33">
        <v>3045444.532</v>
      </c>
      <c r="B196" s="33">
        <v>399788505</v>
      </c>
      <c r="C196" s="33">
        <v>611.54</v>
      </c>
      <c r="D196" s="11">
        <v>45120</v>
      </c>
      <c r="E196" s="86">
        <v>455.595</v>
      </c>
    </row>
    <row r="197" ht="15.75" spans="1:5">
      <c r="A197" s="33">
        <v>3045444.532</v>
      </c>
      <c r="B197" s="33">
        <v>399788505</v>
      </c>
      <c r="C197" s="33">
        <v>611.54</v>
      </c>
      <c r="D197" s="11">
        <v>45121</v>
      </c>
      <c r="E197" s="86">
        <v>455.401</v>
      </c>
    </row>
    <row r="198" ht="15.75" spans="1:5">
      <c r="A198" s="33">
        <v>3045444.532</v>
      </c>
      <c r="B198" s="33">
        <v>399788505</v>
      </c>
      <c r="C198" s="33">
        <v>611.54</v>
      </c>
      <c r="D198" s="11">
        <v>45122</v>
      </c>
      <c r="E198" s="86">
        <v>455.406</v>
      </c>
    </row>
    <row r="199" ht="15.75" spans="1:5">
      <c r="A199" s="33">
        <v>3045444.532</v>
      </c>
      <c r="B199" s="33">
        <v>399788505</v>
      </c>
      <c r="C199" s="33">
        <v>611.54</v>
      </c>
      <c r="D199" s="11">
        <v>45123</v>
      </c>
      <c r="E199" s="86">
        <v>455.412</v>
      </c>
    </row>
    <row r="200" ht="15.75" spans="1:5">
      <c r="A200" s="33">
        <v>3045444.532</v>
      </c>
      <c r="B200" s="33">
        <v>399788505</v>
      </c>
      <c r="C200" s="33">
        <v>611.54</v>
      </c>
      <c r="D200" s="11">
        <v>45124</v>
      </c>
      <c r="E200" s="86">
        <v>455.397</v>
      </c>
    </row>
    <row r="201" ht="15.75" spans="1:5">
      <c r="A201" s="33">
        <v>3045444.532</v>
      </c>
      <c r="B201" s="33">
        <v>399788505</v>
      </c>
      <c r="C201" s="33">
        <v>611.54</v>
      </c>
      <c r="D201" s="11">
        <v>45125</v>
      </c>
      <c r="E201" s="86">
        <v>455.349</v>
      </c>
    </row>
    <row r="202" ht="15.75" spans="1:5">
      <c r="A202" s="33">
        <v>3045444.532</v>
      </c>
      <c r="B202" s="33">
        <v>399788505</v>
      </c>
      <c r="C202" s="33">
        <v>611.54</v>
      </c>
      <c r="D202" s="11">
        <v>45126</v>
      </c>
      <c r="E202" s="86">
        <v>455.339</v>
      </c>
    </row>
    <row r="203" ht="15.75" spans="1:5">
      <c r="A203" s="33">
        <v>3045444.532</v>
      </c>
      <c r="B203" s="33">
        <v>399788505</v>
      </c>
      <c r="C203" s="33">
        <v>611.54</v>
      </c>
      <c r="D203" s="11">
        <v>45127</v>
      </c>
      <c r="E203" s="86">
        <v>455.29</v>
      </c>
    </row>
    <row r="204" ht="15.75" spans="1:5">
      <c r="A204" s="33">
        <v>3045444.532</v>
      </c>
      <c r="B204" s="33">
        <v>399788505</v>
      </c>
      <c r="C204" s="33">
        <v>611.54</v>
      </c>
      <c r="D204" s="11">
        <v>45128</v>
      </c>
      <c r="E204" s="86">
        <v>455.24</v>
      </c>
    </row>
    <row r="205" ht="15.75" spans="1:5">
      <c r="A205" s="33">
        <v>3045444.532</v>
      </c>
      <c r="B205" s="33">
        <v>399788505</v>
      </c>
      <c r="C205" s="33">
        <v>611.54</v>
      </c>
      <c r="D205" s="11">
        <v>45129</v>
      </c>
      <c r="E205" s="86">
        <v>455.19</v>
      </c>
    </row>
    <row r="206" ht="15.75" spans="1:5">
      <c r="A206" s="33">
        <v>3045444.532</v>
      </c>
      <c r="B206" s="33">
        <v>399788505</v>
      </c>
      <c r="C206" s="33">
        <v>611.54</v>
      </c>
      <c r="D206" s="11">
        <v>45130</v>
      </c>
      <c r="E206" s="86">
        <v>455.18</v>
      </c>
    </row>
    <row r="207" ht="15.75" spans="1:5">
      <c r="A207" s="33">
        <v>3045444.532</v>
      </c>
      <c r="B207" s="33">
        <v>399788505</v>
      </c>
      <c r="C207" s="33">
        <v>611.54</v>
      </c>
      <c r="D207" s="11">
        <v>45131</v>
      </c>
      <c r="E207" s="86">
        <v>455.19</v>
      </c>
    </row>
    <row r="208" ht="15.75" spans="1:5">
      <c r="A208" s="33">
        <v>3045444.532</v>
      </c>
      <c r="B208" s="33">
        <v>399788505</v>
      </c>
      <c r="C208" s="33">
        <v>611.54</v>
      </c>
      <c r="D208" s="11">
        <v>45132</v>
      </c>
      <c r="E208" s="86">
        <v>455.13</v>
      </c>
    </row>
    <row r="209" ht="15.75" spans="1:5">
      <c r="A209" s="33">
        <v>3045444.532</v>
      </c>
      <c r="B209" s="33">
        <v>399788505</v>
      </c>
      <c r="C209" s="33">
        <v>611.54</v>
      </c>
      <c r="D209" s="11">
        <v>45133</v>
      </c>
      <c r="E209" s="86">
        <v>455.12</v>
      </c>
    </row>
    <row r="210" ht="15.75" spans="1:5">
      <c r="A210" s="33">
        <v>3045444.532</v>
      </c>
      <c r="B210" s="33">
        <v>399788505</v>
      </c>
      <c r="C210" s="33">
        <v>611.54</v>
      </c>
      <c r="D210" s="11">
        <v>45134</v>
      </c>
      <c r="E210" s="86">
        <v>455.094</v>
      </c>
    </row>
    <row r="211" ht="15.75" spans="1:5">
      <c r="A211" s="33">
        <v>3045444.532</v>
      </c>
      <c r="B211" s="33">
        <v>399788505</v>
      </c>
      <c r="C211" s="33">
        <v>611.54</v>
      </c>
      <c r="D211" s="11">
        <v>45135</v>
      </c>
      <c r="E211" s="86">
        <v>455.064</v>
      </c>
    </row>
    <row r="212" ht="15.75" spans="1:5">
      <c r="A212" s="33">
        <v>3045444.532</v>
      </c>
      <c r="B212" s="33">
        <v>399788505</v>
      </c>
      <c r="C212" s="33">
        <v>611.54</v>
      </c>
      <c r="D212" s="11">
        <v>45136</v>
      </c>
      <c r="E212" s="86">
        <v>455.028</v>
      </c>
    </row>
    <row r="213" ht="15.75" spans="1:5">
      <c r="A213" s="33">
        <v>3045444.532</v>
      </c>
      <c r="B213" s="33">
        <v>399788505</v>
      </c>
      <c r="C213" s="33">
        <v>611.54</v>
      </c>
      <c r="D213" s="11">
        <v>45137</v>
      </c>
      <c r="E213" s="86">
        <v>455.003</v>
      </c>
    </row>
    <row r="214" ht="15.75" spans="1:5">
      <c r="A214" s="33">
        <v>3045444.532</v>
      </c>
      <c r="B214" s="33">
        <v>399788505</v>
      </c>
      <c r="C214" s="33">
        <v>611.54</v>
      </c>
      <c r="D214" s="11">
        <v>45138</v>
      </c>
      <c r="E214" s="86">
        <v>454.991</v>
      </c>
    </row>
    <row r="215" ht="15.75" spans="1:5">
      <c r="A215" s="33">
        <v>3045444.532</v>
      </c>
      <c r="B215" s="33">
        <v>399788505</v>
      </c>
      <c r="C215" s="33">
        <v>611.54</v>
      </c>
      <c r="D215" s="11">
        <v>45139</v>
      </c>
      <c r="E215" s="86">
        <v>454.962</v>
      </c>
    </row>
    <row r="216" ht="15.75" spans="1:5">
      <c r="A216" s="33">
        <v>3045444.532</v>
      </c>
      <c r="B216" s="33">
        <v>399788505</v>
      </c>
      <c r="C216" s="33">
        <v>611.54</v>
      </c>
      <c r="D216" s="11">
        <v>45140</v>
      </c>
      <c r="E216" s="86">
        <v>454.927</v>
      </c>
    </row>
    <row r="217" ht="15.75" spans="1:5">
      <c r="A217" s="33">
        <v>3045444.532</v>
      </c>
      <c r="B217" s="33">
        <v>399788505</v>
      </c>
      <c r="C217" s="33">
        <v>611.54</v>
      </c>
      <c r="D217" s="11">
        <v>45141</v>
      </c>
      <c r="E217" s="86">
        <v>454.905</v>
      </c>
    </row>
    <row r="218" ht="15.75" spans="1:5">
      <c r="A218" s="33">
        <v>3045444.532</v>
      </c>
      <c r="B218" s="33">
        <v>399788505</v>
      </c>
      <c r="C218" s="33">
        <v>611.54</v>
      </c>
      <c r="D218" s="11">
        <v>45142</v>
      </c>
      <c r="E218" s="86">
        <v>454.854</v>
      </c>
    </row>
    <row r="219" ht="15.75" spans="1:5">
      <c r="A219" s="33">
        <v>3045444.532</v>
      </c>
      <c r="B219" s="33">
        <v>399788505</v>
      </c>
      <c r="C219" s="33">
        <v>611.54</v>
      </c>
      <c r="D219" s="11">
        <v>45143</v>
      </c>
      <c r="E219" s="86">
        <v>454.849</v>
      </c>
    </row>
    <row r="220" ht="15.75" spans="1:5">
      <c r="A220" s="33">
        <v>3045444.532</v>
      </c>
      <c r="B220" s="33">
        <v>399788505</v>
      </c>
      <c r="C220" s="33">
        <v>611.54</v>
      </c>
      <c r="D220" s="11">
        <v>45144</v>
      </c>
      <c r="E220" s="86">
        <v>454.856</v>
      </c>
    </row>
    <row r="221" ht="15.75" spans="1:5">
      <c r="A221" s="33">
        <v>3045444.532</v>
      </c>
      <c r="B221" s="33">
        <v>399788505</v>
      </c>
      <c r="C221" s="33">
        <v>611.54</v>
      </c>
      <c r="D221" s="11">
        <v>45145</v>
      </c>
      <c r="E221" s="86">
        <v>454.83</v>
      </c>
    </row>
    <row r="222" ht="15.75" spans="1:5">
      <c r="A222" s="33">
        <v>3045444.532</v>
      </c>
      <c r="B222" s="33">
        <v>399788505</v>
      </c>
      <c r="C222" s="33">
        <v>611.54</v>
      </c>
      <c r="D222" s="11">
        <v>45146</v>
      </c>
      <c r="E222" s="86">
        <v>454.816</v>
      </c>
    </row>
    <row r="223" ht="15.75" spans="1:5">
      <c r="A223" s="33">
        <v>3045444.532</v>
      </c>
      <c r="B223" s="33">
        <v>399788505</v>
      </c>
      <c r="C223" s="33">
        <v>611.54</v>
      </c>
      <c r="D223" s="11">
        <v>45147</v>
      </c>
      <c r="E223" s="86">
        <v>454.793</v>
      </c>
    </row>
    <row r="224" ht="15.75" spans="1:5">
      <c r="A224" s="33">
        <v>3045444.532</v>
      </c>
      <c r="B224" s="33">
        <v>399788505</v>
      </c>
      <c r="C224" s="33">
        <v>611.54</v>
      </c>
      <c r="D224" s="11">
        <v>45148</v>
      </c>
      <c r="E224" s="85"/>
    </row>
    <row r="225" ht="15.75" spans="1:5">
      <c r="A225" s="33">
        <v>3045444.532</v>
      </c>
      <c r="B225" s="33">
        <v>399788505</v>
      </c>
      <c r="C225" s="33">
        <v>611.54</v>
      </c>
      <c r="D225" s="11">
        <v>45149</v>
      </c>
      <c r="E225" s="86">
        <v>454.76</v>
      </c>
    </row>
    <row r="226" ht="15.75" spans="1:5">
      <c r="A226" s="33">
        <v>3045444.532</v>
      </c>
      <c r="B226" s="33">
        <v>399788505</v>
      </c>
      <c r="C226" s="33">
        <v>611.54</v>
      </c>
      <c r="D226" s="11">
        <v>45150</v>
      </c>
      <c r="E226" s="86">
        <v>454.754</v>
      </c>
    </row>
    <row r="227" ht="15.75" spans="1:5">
      <c r="A227" s="33">
        <v>3045444.532</v>
      </c>
      <c r="B227" s="33">
        <v>399788505</v>
      </c>
      <c r="C227" s="33">
        <v>611.54</v>
      </c>
      <c r="D227" s="11">
        <v>45151</v>
      </c>
      <c r="E227" s="86">
        <v>454.71</v>
      </c>
    </row>
    <row r="228" ht="15.75" spans="1:5">
      <c r="A228" s="33">
        <v>3045444.532</v>
      </c>
      <c r="B228" s="33">
        <v>399788505</v>
      </c>
      <c r="C228" s="33">
        <v>611.54</v>
      </c>
      <c r="D228" s="11">
        <v>45152</v>
      </c>
      <c r="E228" s="86">
        <v>454.67</v>
      </c>
    </row>
    <row r="229" ht="15.75" spans="1:5">
      <c r="A229" s="33">
        <v>3045444.532</v>
      </c>
      <c r="B229" s="33">
        <v>399788505</v>
      </c>
      <c r="C229" s="33">
        <v>611.54</v>
      </c>
      <c r="D229" s="11">
        <v>45153</v>
      </c>
      <c r="E229" s="87">
        <v>454.639</v>
      </c>
    </row>
    <row r="230" ht="15.75" spans="1:5">
      <c r="A230" s="33">
        <v>3045444.532</v>
      </c>
      <c r="B230" s="33">
        <v>399788505</v>
      </c>
      <c r="C230" s="33">
        <v>611.54</v>
      </c>
      <c r="D230" s="11">
        <v>45154</v>
      </c>
      <c r="E230" s="86">
        <v>454.636</v>
      </c>
    </row>
    <row r="231" ht="15.75" spans="1:5">
      <c r="A231" s="33">
        <v>3045444.532</v>
      </c>
      <c r="B231" s="33">
        <v>399788505</v>
      </c>
      <c r="C231" s="33">
        <v>611.54</v>
      </c>
      <c r="D231" s="11">
        <v>45155</v>
      </c>
      <c r="E231" s="86">
        <v>454.606</v>
      </c>
    </row>
    <row r="232" ht="15.75" spans="1:5">
      <c r="A232" s="33">
        <v>3045444.532</v>
      </c>
      <c r="B232" s="33">
        <v>399788505</v>
      </c>
      <c r="C232" s="33">
        <v>611.54</v>
      </c>
      <c r="D232" s="11">
        <v>45156</v>
      </c>
      <c r="E232" s="86">
        <v>454.544</v>
      </c>
    </row>
    <row r="233" ht="15.75" spans="1:5">
      <c r="A233" s="33">
        <v>3045444.532</v>
      </c>
      <c r="B233" s="33">
        <v>399788505</v>
      </c>
      <c r="C233" s="33">
        <v>611.54</v>
      </c>
      <c r="D233" s="11">
        <v>45157</v>
      </c>
      <c r="E233" s="86">
        <v>454.478</v>
      </c>
    </row>
    <row r="234" ht="15.75" spans="1:5">
      <c r="A234" s="33">
        <v>3045444.532</v>
      </c>
      <c r="B234" s="33">
        <v>399788505</v>
      </c>
      <c r="C234" s="33">
        <v>611.54</v>
      </c>
      <c r="D234" s="11">
        <v>45158</v>
      </c>
      <c r="E234" s="86">
        <v>454.469</v>
      </c>
    </row>
    <row r="235" ht="15.75" spans="1:5">
      <c r="A235" s="33">
        <v>3045444.532</v>
      </c>
      <c r="B235" s="33">
        <v>399788505</v>
      </c>
      <c r="C235" s="33">
        <v>611.54</v>
      </c>
      <c r="D235" s="11">
        <v>45159</v>
      </c>
      <c r="E235" s="86">
        <v>454.452</v>
      </c>
    </row>
    <row r="236" ht="15.75" spans="1:5">
      <c r="A236" s="33">
        <v>3045444.532</v>
      </c>
      <c r="B236" s="33">
        <v>399788505</v>
      </c>
      <c r="C236" s="33">
        <v>611.54</v>
      </c>
      <c r="D236" s="11">
        <v>45160</v>
      </c>
      <c r="E236" s="86">
        <v>454.46</v>
      </c>
    </row>
    <row r="237" ht="15.75" spans="1:5">
      <c r="A237" s="33">
        <v>3045444.532</v>
      </c>
      <c r="B237" s="33">
        <v>399788505</v>
      </c>
      <c r="C237" s="33">
        <v>611.54</v>
      </c>
      <c r="D237" s="11">
        <v>45161</v>
      </c>
      <c r="E237" s="86">
        <v>454.509</v>
      </c>
    </row>
    <row r="238" ht="15.75" spans="1:5">
      <c r="A238" s="33">
        <v>3045444.532</v>
      </c>
      <c r="B238" s="33">
        <v>399788505</v>
      </c>
      <c r="C238" s="33">
        <v>611.54</v>
      </c>
      <c r="D238" s="11">
        <v>45162</v>
      </c>
      <c r="E238" s="86">
        <v>454.426</v>
      </c>
    </row>
    <row r="239" ht="15.75" spans="1:5">
      <c r="A239" s="33">
        <v>3045444.532</v>
      </c>
      <c r="B239" s="33">
        <v>399788505</v>
      </c>
      <c r="C239" s="33">
        <v>611.54</v>
      </c>
      <c r="D239" s="11">
        <v>45163</v>
      </c>
      <c r="E239" s="86">
        <v>454.451</v>
      </c>
    </row>
    <row r="240" ht="15.75" spans="1:5">
      <c r="A240" s="33">
        <v>3045444.532</v>
      </c>
      <c r="B240" s="33">
        <v>399788505</v>
      </c>
      <c r="C240" s="33">
        <v>611.54</v>
      </c>
      <c r="D240" s="11">
        <v>45164</v>
      </c>
      <c r="E240" s="86">
        <v>454.498</v>
      </c>
    </row>
    <row r="241" ht="15.75" spans="1:5">
      <c r="A241" s="33">
        <v>3045444.532</v>
      </c>
      <c r="B241" s="33">
        <v>399788505</v>
      </c>
      <c r="C241" s="33">
        <v>611.54</v>
      </c>
      <c r="D241" s="11">
        <v>45165</v>
      </c>
      <c r="E241" s="86">
        <v>454.379</v>
      </c>
    </row>
    <row r="242" ht="15.75" spans="1:5">
      <c r="A242" s="33">
        <v>3045444.532</v>
      </c>
      <c r="B242" s="33">
        <v>399788505</v>
      </c>
      <c r="C242" s="33">
        <v>611.54</v>
      </c>
      <c r="D242" s="11">
        <v>45166</v>
      </c>
      <c r="E242" s="86">
        <v>454.318</v>
      </c>
    </row>
    <row r="243" ht="15.75" spans="1:5">
      <c r="A243" s="33">
        <v>3045444.532</v>
      </c>
      <c r="B243" s="33">
        <v>399788505</v>
      </c>
      <c r="C243" s="33">
        <v>611.54</v>
      </c>
      <c r="D243" s="11">
        <v>45167</v>
      </c>
      <c r="E243" s="86">
        <v>454.293</v>
      </c>
    </row>
    <row r="244" ht="15.75" spans="1:5">
      <c r="A244" s="33">
        <v>3045444.532</v>
      </c>
      <c r="B244" s="33">
        <v>399788505</v>
      </c>
      <c r="C244" s="33">
        <v>611.54</v>
      </c>
      <c r="D244" s="11">
        <v>45168</v>
      </c>
      <c r="E244" s="86">
        <v>454.236</v>
      </c>
    </row>
    <row r="245" ht="15.75" spans="1:5">
      <c r="A245" s="33">
        <v>3045444.532</v>
      </c>
      <c r="B245" s="33">
        <v>399788505</v>
      </c>
      <c r="C245" s="33">
        <v>611.54</v>
      </c>
      <c r="D245" s="11">
        <v>45169</v>
      </c>
      <c r="E245" s="86"/>
    </row>
    <row r="246" ht="15.75" spans="1:5">
      <c r="A246" s="33">
        <v>3045444.532</v>
      </c>
      <c r="B246" s="33">
        <v>399788505</v>
      </c>
      <c r="C246" s="33">
        <v>611.54</v>
      </c>
      <c r="D246" s="11">
        <v>45170</v>
      </c>
      <c r="E246" s="86">
        <v>454.235</v>
      </c>
    </row>
    <row r="247" ht="15.75" spans="1:5">
      <c r="A247" s="33">
        <v>3045444.532</v>
      </c>
      <c r="B247" s="33">
        <v>399788505</v>
      </c>
      <c r="C247" s="33">
        <v>611.54</v>
      </c>
      <c r="D247" s="11">
        <v>45171</v>
      </c>
      <c r="E247" s="86">
        <v>454.243</v>
      </c>
    </row>
    <row r="248" ht="15.75" spans="1:5">
      <c r="A248" s="33">
        <v>3045444.532</v>
      </c>
      <c r="B248" s="33">
        <v>399788505</v>
      </c>
      <c r="C248" s="33">
        <v>611.54</v>
      </c>
      <c r="D248" s="11">
        <v>45172</v>
      </c>
      <c r="E248" s="86">
        <v>454.256</v>
      </c>
    </row>
    <row r="249" ht="15.75" spans="1:5">
      <c r="A249" s="33">
        <v>3045444.532</v>
      </c>
      <c r="B249" s="33">
        <v>399788505</v>
      </c>
      <c r="C249" s="33">
        <v>611.54</v>
      </c>
      <c r="D249" s="11">
        <v>45173</v>
      </c>
      <c r="E249" s="86">
        <v>454.242</v>
      </c>
    </row>
    <row r="250" ht="15.75" spans="1:5">
      <c r="A250" s="33">
        <v>3045444.532</v>
      </c>
      <c r="B250" s="33">
        <v>399788505</v>
      </c>
      <c r="C250" s="33">
        <v>611.54</v>
      </c>
      <c r="D250" s="11">
        <v>45174</v>
      </c>
      <c r="E250" s="86">
        <v>454.228</v>
      </c>
    </row>
    <row r="251" ht="15.75" spans="1:5">
      <c r="A251" s="33">
        <v>3045444.532</v>
      </c>
      <c r="B251" s="33">
        <v>399788505</v>
      </c>
      <c r="C251" s="33">
        <v>611.54</v>
      </c>
      <c r="D251" s="11">
        <v>45175</v>
      </c>
      <c r="E251" s="86">
        <v>454.196</v>
      </c>
    </row>
    <row r="252" ht="15.75" spans="1:5">
      <c r="A252" s="33">
        <v>3045444.532</v>
      </c>
      <c r="B252" s="33">
        <v>399788505</v>
      </c>
      <c r="C252" s="33">
        <v>611.54</v>
      </c>
      <c r="D252" s="11">
        <v>45176</v>
      </c>
      <c r="E252" s="86">
        <v>454.188</v>
      </c>
    </row>
    <row r="253" ht="15.75" spans="1:5">
      <c r="A253" s="33">
        <v>3045444.532</v>
      </c>
      <c r="B253" s="33">
        <v>399788505</v>
      </c>
      <c r="C253" s="33">
        <v>611.54</v>
      </c>
      <c r="D253" s="11">
        <v>45177</v>
      </c>
      <c r="E253" s="86">
        <v>454.162</v>
      </c>
    </row>
    <row r="254" ht="15.75" spans="1:5">
      <c r="A254" s="33">
        <v>3045444.532</v>
      </c>
      <c r="B254" s="33">
        <v>399788505</v>
      </c>
      <c r="C254" s="33">
        <v>611.54</v>
      </c>
      <c r="D254" s="11">
        <v>45178</v>
      </c>
      <c r="E254" s="86">
        <v>454.174</v>
      </c>
    </row>
    <row r="255" ht="15.75" spans="1:5">
      <c r="A255" s="33">
        <v>3045444.532</v>
      </c>
      <c r="B255" s="33">
        <v>399788505</v>
      </c>
      <c r="C255" s="33">
        <v>611.54</v>
      </c>
      <c r="D255" s="11">
        <v>45179</v>
      </c>
      <c r="E255" s="86">
        <v>454.157</v>
      </c>
    </row>
    <row r="256" ht="15.75" spans="1:5">
      <c r="A256" s="33">
        <v>3045444.532</v>
      </c>
      <c r="B256" s="33">
        <v>399788505</v>
      </c>
      <c r="C256" s="33">
        <v>611.54</v>
      </c>
      <c r="D256" s="11">
        <v>45180</v>
      </c>
      <c r="E256" s="86">
        <v>454.182</v>
      </c>
    </row>
    <row r="257" ht="15.75" spans="1:5">
      <c r="A257" s="33">
        <v>3045444.532</v>
      </c>
      <c r="B257" s="33">
        <v>399788505</v>
      </c>
      <c r="C257" s="33">
        <v>611.54</v>
      </c>
      <c r="D257" s="11">
        <v>45181</v>
      </c>
      <c r="E257" s="86">
        <v>454.041</v>
      </c>
    </row>
    <row r="258" ht="15.75" spans="1:5">
      <c r="A258" s="33">
        <v>3045444.532</v>
      </c>
      <c r="B258" s="33">
        <v>399788505</v>
      </c>
      <c r="C258" s="33">
        <v>611.54</v>
      </c>
      <c r="D258" s="11">
        <v>45182</v>
      </c>
      <c r="E258" s="86">
        <v>454.027</v>
      </c>
    </row>
    <row r="259" ht="15.75" spans="1:5">
      <c r="A259" s="33">
        <v>3045444.532</v>
      </c>
      <c r="B259" s="33">
        <v>399788505</v>
      </c>
      <c r="C259" s="33">
        <v>611.54</v>
      </c>
      <c r="D259" s="11">
        <v>45183</v>
      </c>
      <c r="E259" s="86">
        <v>454.02</v>
      </c>
    </row>
    <row r="260" ht="15.75" spans="1:5">
      <c r="A260" s="33">
        <v>3045444.532</v>
      </c>
      <c r="B260" s="33">
        <v>399788505</v>
      </c>
      <c r="C260" s="33">
        <v>611.54</v>
      </c>
      <c r="D260" s="11">
        <v>45184</v>
      </c>
      <c r="E260" s="85"/>
    </row>
    <row r="261" ht="15.75" spans="1:5">
      <c r="A261" s="33">
        <v>3045444.532</v>
      </c>
      <c r="B261" s="33">
        <v>399788505</v>
      </c>
      <c r="C261" s="33">
        <v>611.54</v>
      </c>
      <c r="D261" s="11">
        <v>45185</v>
      </c>
      <c r="E261" s="85"/>
    </row>
    <row r="262" ht="15.75" spans="1:5">
      <c r="A262" s="33">
        <v>3045444.532</v>
      </c>
      <c r="B262" s="33">
        <v>399788505</v>
      </c>
      <c r="C262" s="33">
        <v>611.54</v>
      </c>
      <c r="D262" s="11">
        <v>45186</v>
      </c>
      <c r="E262" s="85"/>
    </row>
    <row r="263" ht="15.75" spans="1:5">
      <c r="A263" s="33">
        <v>3045444.532</v>
      </c>
      <c r="B263" s="33">
        <v>399788505</v>
      </c>
      <c r="C263" s="33">
        <v>611.54</v>
      </c>
      <c r="D263" s="11">
        <v>45187</v>
      </c>
      <c r="E263" s="85"/>
    </row>
    <row r="264" ht="15.75" spans="1:5">
      <c r="A264" s="33">
        <v>3045444.532</v>
      </c>
      <c r="B264" s="33">
        <v>399788505</v>
      </c>
      <c r="C264" s="33">
        <v>611.54</v>
      </c>
      <c r="D264" s="11">
        <v>45188</v>
      </c>
      <c r="E264" s="85"/>
    </row>
    <row r="265" ht="15.75" spans="1:5">
      <c r="A265" s="33">
        <v>3045444.532</v>
      </c>
      <c r="B265" s="33">
        <v>399788505</v>
      </c>
      <c r="C265" s="33">
        <v>611.54</v>
      </c>
      <c r="D265" s="11">
        <v>45189</v>
      </c>
      <c r="E265" s="86">
        <v>453.991</v>
      </c>
    </row>
    <row r="266" ht="15.75" spans="1:5">
      <c r="A266" s="33">
        <v>3045444.532</v>
      </c>
      <c r="B266" s="33">
        <v>399788505</v>
      </c>
      <c r="C266" s="33">
        <v>611.54</v>
      </c>
      <c r="D266" s="11">
        <v>45190</v>
      </c>
      <c r="E266" s="86">
        <v>453.842</v>
      </c>
    </row>
    <row r="267" ht="15.75" spans="1:5">
      <c r="A267" s="33">
        <v>3045444.532</v>
      </c>
      <c r="B267" s="33">
        <v>399788505</v>
      </c>
      <c r="C267" s="33">
        <v>611.54</v>
      </c>
      <c r="D267" s="11">
        <v>45191</v>
      </c>
      <c r="E267" s="86">
        <v>453.863</v>
      </c>
    </row>
    <row r="268" ht="15.75" spans="1:5">
      <c r="A268" s="33">
        <v>3045444.532</v>
      </c>
      <c r="B268" s="33">
        <v>399788505</v>
      </c>
      <c r="C268" s="33">
        <v>611.54</v>
      </c>
      <c r="D268" s="11">
        <v>45192</v>
      </c>
      <c r="E268" s="86">
        <v>453.846</v>
      </c>
    </row>
    <row r="269" ht="15.75" spans="1:5">
      <c r="A269" s="33">
        <v>3045444.532</v>
      </c>
      <c r="B269" s="33">
        <v>399788505</v>
      </c>
      <c r="C269" s="33">
        <v>611.54</v>
      </c>
      <c r="D269" s="11">
        <v>45193</v>
      </c>
      <c r="E269" s="86">
        <v>453.851</v>
      </c>
    </row>
    <row r="270" ht="15.75" spans="1:5">
      <c r="A270" s="33">
        <v>3045444.532</v>
      </c>
      <c r="B270" s="33">
        <v>399788505</v>
      </c>
      <c r="C270" s="33">
        <v>611.54</v>
      </c>
      <c r="D270" s="11">
        <v>45194</v>
      </c>
      <c r="E270" s="86">
        <v>453.808</v>
      </c>
    </row>
    <row r="271" ht="15.75" spans="1:5">
      <c r="A271" s="33">
        <v>3045444.532</v>
      </c>
      <c r="B271" s="33">
        <v>399788505</v>
      </c>
      <c r="C271" s="33">
        <v>611.54</v>
      </c>
      <c r="D271" s="11">
        <v>45195</v>
      </c>
      <c r="E271" s="86">
        <v>453.77</v>
      </c>
    </row>
    <row r="272" ht="15.75" spans="1:5">
      <c r="A272" s="33">
        <v>3045444.532</v>
      </c>
      <c r="B272" s="33">
        <v>399788505</v>
      </c>
      <c r="C272" s="33">
        <v>611.54</v>
      </c>
      <c r="D272" s="11">
        <v>45196</v>
      </c>
      <c r="E272" s="86">
        <v>453.764</v>
      </c>
    </row>
    <row r="273" ht="15.75" spans="1:5">
      <c r="A273" s="33">
        <v>3045444.532</v>
      </c>
      <c r="B273" s="33">
        <v>399788505</v>
      </c>
      <c r="C273" s="33">
        <v>611.54</v>
      </c>
      <c r="D273" s="11">
        <v>45197</v>
      </c>
      <c r="E273" s="86">
        <v>453.704</v>
      </c>
    </row>
    <row r="274" ht="15.75" spans="1:5">
      <c r="A274" s="33">
        <v>3045444.532</v>
      </c>
      <c r="B274" s="33">
        <v>399788505</v>
      </c>
      <c r="C274" s="33">
        <v>611.54</v>
      </c>
      <c r="D274" s="11">
        <v>45198</v>
      </c>
      <c r="E274" s="86"/>
    </row>
    <row r="275" ht="15.75" spans="1:5">
      <c r="A275" s="33">
        <v>3045444.532</v>
      </c>
      <c r="B275" s="33">
        <v>399788505</v>
      </c>
      <c r="C275" s="33">
        <v>611.54</v>
      </c>
      <c r="D275" s="11">
        <v>45199</v>
      </c>
      <c r="E275" s="86"/>
    </row>
    <row r="276" ht="15.75" spans="1:5">
      <c r="A276" s="33">
        <v>3045444.532</v>
      </c>
      <c r="B276" s="33">
        <v>399788505</v>
      </c>
      <c r="C276" s="33">
        <v>611.54</v>
      </c>
      <c r="D276" s="11">
        <v>45200</v>
      </c>
      <c r="E276" s="86"/>
    </row>
    <row r="277" ht="15.75" spans="1:5">
      <c r="A277" s="33">
        <v>3045444.532</v>
      </c>
      <c r="B277" s="33">
        <v>399788505</v>
      </c>
      <c r="C277" s="33">
        <v>611.54</v>
      </c>
      <c r="D277" s="11">
        <v>45201</v>
      </c>
      <c r="E277" s="86"/>
    </row>
    <row r="278" ht="15.75" spans="1:5">
      <c r="A278" s="33">
        <v>3045444.532</v>
      </c>
      <c r="B278" s="33">
        <v>399788505</v>
      </c>
      <c r="C278" s="33">
        <v>611.54</v>
      </c>
      <c r="D278" s="11">
        <v>45202</v>
      </c>
      <c r="E278" s="86"/>
    </row>
    <row r="279" ht="15.75" spans="1:5">
      <c r="A279" s="33">
        <v>3045444.532</v>
      </c>
      <c r="B279" s="33">
        <v>399788505</v>
      </c>
      <c r="C279" s="33">
        <v>611.54</v>
      </c>
      <c r="D279" s="11">
        <v>45203</v>
      </c>
      <c r="E279" s="86"/>
    </row>
    <row r="280" ht="15.75" spans="1:5">
      <c r="A280" s="33">
        <v>3045444.532</v>
      </c>
      <c r="B280" s="33">
        <v>399788505</v>
      </c>
      <c r="C280" s="33">
        <v>611.54</v>
      </c>
      <c r="D280" s="11">
        <v>45204</v>
      </c>
      <c r="E280" s="86">
        <v>453.637</v>
      </c>
    </row>
    <row r="281" ht="15.75" spans="1:5">
      <c r="A281" s="33">
        <v>3045444.532</v>
      </c>
      <c r="B281" s="33">
        <v>399788505</v>
      </c>
      <c r="C281" s="33">
        <v>611.54</v>
      </c>
      <c r="D281" s="11">
        <v>45205</v>
      </c>
      <c r="E281" s="86"/>
    </row>
    <row r="282" ht="15.75" spans="1:5">
      <c r="A282" s="33">
        <v>3045444.532</v>
      </c>
      <c r="B282" s="33">
        <v>399788505</v>
      </c>
      <c r="C282" s="33">
        <v>611.54</v>
      </c>
      <c r="D282" s="11">
        <v>45206</v>
      </c>
      <c r="E282" s="86"/>
    </row>
    <row r="283" ht="15.75" spans="1:5">
      <c r="A283" s="33">
        <v>3045444.532</v>
      </c>
      <c r="B283" s="33">
        <v>399788505</v>
      </c>
      <c r="C283" s="33">
        <v>611.54</v>
      </c>
      <c r="D283" s="11">
        <v>45207</v>
      </c>
      <c r="E283" s="86"/>
    </row>
    <row r="284" ht="15.75" spans="1:5">
      <c r="A284" s="33">
        <v>3045444.532</v>
      </c>
      <c r="B284" s="33">
        <v>399788505</v>
      </c>
      <c r="C284" s="33">
        <v>611.54</v>
      </c>
      <c r="D284" s="11">
        <v>45208</v>
      </c>
      <c r="E284" s="86">
        <v>453.478</v>
      </c>
    </row>
    <row r="285" ht="15.75" spans="1:5">
      <c r="A285" s="33">
        <v>3045444.532</v>
      </c>
      <c r="B285" s="33">
        <v>399788505</v>
      </c>
      <c r="C285" s="33">
        <v>611.54</v>
      </c>
      <c r="D285" s="11">
        <v>45209</v>
      </c>
      <c r="E285" s="86">
        <v>453.448</v>
      </c>
    </row>
    <row r="286" ht="15.75" spans="1:5">
      <c r="A286" s="33">
        <v>3045444.532</v>
      </c>
      <c r="B286" s="33">
        <v>399788505</v>
      </c>
      <c r="C286" s="33">
        <v>611.54</v>
      </c>
      <c r="D286" s="11">
        <v>45210</v>
      </c>
      <c r="E286" s="86">
        <v>453.495</v>
      </c>
    </row>
    <row r="287" ht="15.75" spans="1:5">
      <c r="A287" s="33">
        <v>3045444.532</v>
      </c>
      <c r="B287" s="33">
        <v>399788505</v>
      </c>
      <c r="C287" s="33">
        <v>611.54</v>
      </c>
      <c r="D287" s="11">
        <v>45211</v>
      </c>
      <c r="E287" s="86">
        <v>453.447</v>
      </c>
    </row>
    <row r="288" ht="15.75" spans="1:5">
      <c r="A288" s="33">
        <v>3045444.532</v>
      </c>
      <c r="B288" s="33">
        <v>399788505</v>
      </c>
      <c r="C288" s="33">
        <v>611.54</v>
      </c>
      <c r="D288" s="11">
        <v>45212</v>
      </c>
      <c r="E288" s="86">
        <v>453.391</v>
      </c>
    </row>
    <row r="289" ht="15.75" spans="1:5">
      <c r="A289" s="33">
        <v>3045444.532</v>
      </c>
      <c r="B289" s="33">
        <v>399788505</v>
      </c>
      <c r="C289" s="33">
        <v>611.54</v>
      </c>
      <c r="D289" s="11">
        <v>45213</v>
      </c>
      <c r="E289" s="86">
        <v>453.394</v>
      </c>
    </row>
    <row r="290" ht="15.75" spans="1:5">
      <c r="A290" s="33">
        <v>3045444.532</v>
      </c>
      <c r="B290" s="33">
        <v>399788505</v>
      </c>
      <c r="C290" s="33">
        <v>611.54</v>
      </c>
      <c r="D290" s="11">
        <v>45214</v>
      </c>
      <c r="E290" s="86">
        <v>453.387</v>
      </c>
    </row>
    <row r="291" ht="15.75" spans="1:5">
      <c r="A291" s="33">
        <v>3045444.532</v>
      </c>
      <c r="B291" s="33">
        <v>399788505</v>
      </c>
      <c r="C291" s="33">
        <v>611.54</v>
      </c>
      <c r="D291" s="11">
        <v>45215</v>
      </c>
      <c r="E291" s="86">
        <v>453.368</v>
      </c>
    </row>
    <row r="292" ht="15.75" spans="1:5">
      <c r="A292" s="33">
        <v>3045444.532</v>
      </c>
      <c r="B292" s="33">
        <v>399788505</v>
      </c>
      <c r="C292" s="33">
        <v>611.54</v>
      </c>
      <c r="D292" s="11">
        <v>45216</v>
      </c>
      <c r="E292" s="86">
        <v>453.379</v>
      </c>
    </row>
    <row r="293" ht="15.75" spans="1:5">
      <c r="A293" s="33">
        <v>3045444.532</v>
      </c>
      <c r="B293" s="33">
        <v>399788505</v>
      </c>
      <c r="C293" s="33">
        <v>611.54</v>
      </c>
      <c r="D293" s="11">
        <v>45217</v>
      </c>
      <c r="E293" s="86">
        <v>453.37</v>
      </c>
    </row>
    <row r="294" ht="15.75" spans="1:5">
      <c r="A294" s="33">
        <v>3045444.532</v>
      </c>
      <c r="B294" s="33">
        <v>399788505</v>
      </c>
      <c r="C294" s="33">
        <v>611.54</v>
      </c>
      <c r="D294" s="11">
        <v>45218</v>
      </c>
      <c r="E294" s="86"/>
    </row>
    <row r="295" ht="15.75" spans="1:5">
      <c r="A295" s="33">
        <v>3045444.532</v>
      </c>
      <c r="B295" s="33">
        <v>399788505</v>
      </c>
      <c r="C295" s="33">
        <v>611.54</v>
      </c>
      <c r="D295" s="11">
        <v>45219</v>
      </c>
      <c r="E295" s="86">
        <v>453.175</v>
      </c>
    </row>
    <row r="296" ht="15.75" spans="1:5">
      <c r="A296" s="33">
        <v>3045444.532</v>
      </c>
      <c r="B296" s="33">
        <v>399788505</v>
      </c>
      <c r="C296" s="33">
        <v>611.54</v>
      </c>
      <c r="D296" s="11">
        <v>45220</v>
      </c>
      <c r="E296" s="86">
        <v>453.165</v>
      </c>
    </row>
    <row r="297" ht="15.75" spans="1:5">
      <c r="A297" s="33">
        <v>3045444.532</v>
      </c>
      <c r="B297" s="33">
        <v>399788505</v>
      </c>
      <c r="C297" s="33">
        <v>611.54</v>
      </c>
      <c r="D297" s="11">
        <v>45221</v>
      </c>
      <c r="E297" s="86">
        <v>453.161</v>
      </c>
    </row>
    <row r="298" ht="15.75" spans="1:5">
      <c r="A298" s="33">
        <v>3045444.532</v>
      </c>
      <c r="B298" s="33">
        <v>399788505</v>
      </c>
      <c r="C298" s="33">
        <v>611.54</v>
      </c>
      <c r="D298" s="11">
        <v>45222</v>
      </c>
      <c r="E298" s="86">
        <v>453.164</v>
      </c>
    </row>
    <row r="299" ht="15.75" spans="1:5">
      <c r="A299" s="33">
        <v>3045444.532</v>
      </c>
      <c r="B299" s="33">
        <v>399788505</v>
      </c>
      <c r="C299" s="33">
        <v>611.54</v>
      </c>
      <c r="D299" s="11">
        <v>45223</v>
      </c>
      <c r="E299" s="86">
        <v>453.13</v>
      </c>
    </row>
    <row r="300" ht="15.75" spans="1:5">
      <c r="A300" s="33">
        <v>3045444.532</v>
      </c>
      <c r="B300" s="33">
        <v>399788505</v>
      </c>
      <c r="C300" s="33">
        <v>611.54</v>
      </c>
      <c r="D300" s="11">
        <v>45224</v>
      </c>
      <c r="E300" s="86">
        <v>453.09</v>
      </c>
    </row>
    <row r="301" ht="15.75" spans="1:5">
      <c r="A301" s="33">
        <v>3045444.532</v>
      </c>
      <c r="B301" s="33">
        <v>399788505</v>
      </c>
      <c r="C301" s="33">
        <v>611.54</v>
      </c>
      <c r="D301" s="11">
        <v>45225</v>
      </c>
      <c r="E301" s="86">
        <v>452.942</v>
      </c>
    </row>
    <row r="302" ht="15.75" spans="1:5">
      <c r="A302" s="33">
        <v>3045444.532</v>
      </c>
      <c r="B302" s="33">
        <v>399788505</v>
      </c>
      <c r="C302" s="33">
        <v>611.54</v>
      </c>
      <c r="D302" s="11">
        <v>45226</v>
      </c>
      <c r="E302" s="86">
        <v>452.89</v>
      </c>
    </row>
    <row r="303" ht="15.75" spans="1:5">
      <c r="A303" s="33">
        <v>3045444.532</v>
      </c>
      <c r="B303" s="33">
        <v>399788505</v>
      </c>
      <c r="C303" s="33">
        <v>611.54</v>
      </c>
      <c r="D303" s="11">
        <v>45227</v>
      </c>
      <c r="E303" s="86">
        <v>452.87</v>
      </c>
    </row>
    <row r="304" ht="15.75" spans="1:5">
      <c r="A304" s="33">
        <v>3045444.532</v>
      </c>
      <c r="B304" s="33">
        <v>399788505</v>
      </c>
      <c r="C304" s="33">
        <v>611.54</v>
      </c>
      <c r="D304" s="11">
        <v>45228</v>
      </c>
      <c r="E304" s="86">
        <v>453.01</v>
      </c>
    </row>
    <row r="305" ht="15.75" spans="1:5">
      <c r="A305" s="33">
        <v>3045444.532</v>
      </c>
      <c r="B305" s="33">
        <v>399788505</v>
      </c>
      <c r="C305" s="33">
        <v>611.54</v>
      </c>
      <c r="D305" s="11">
        <v>45229</v>
      </c>
      <c r="E305" s="86">
        <v>453.01</v>
      </c>
    </row>
    <row r="306" ht="15.75" spans="1:5">
      <c r="A306" s="33">
        <v>3045444.532</v>
      </c>
      <c r="B306" s="33">
        <v>399788505</v>
      </c>
      <c r="C306" s="33">
        <v>611.54</v>
      </c>
      <c r="D306" s="11">
        <v>45230</v>
      </c>
      <c r="E306" s="86">
        <v>452.99</v>
      </c>
    </row>
    <row r="307" ht="15.75" spans="1:5">
      <c r="A307" s="33">
        <v>3045444.532</v>
      </c>
      <c r="B307" s="33">
        <v>399788505</v>
      </c>
      <c r="C307" s="33">
        <v>611.54</v>
      </c>
      <c r="D307" s="11">
        <v>45231</v>
      </c>
      <c r="E307" s="86">
        <v>453.01</v>
      </c>
    </row>
    <row r="308" ht="15.75" spans="1:5">
      <c r="A308" s="33">
        <v>3045444.532</v>
      </c>
      <c r="B308" s="33">
        <v>399788505</v>
      </c>
      <c r="C308" s="33">
        <v>611.54</v>
      </c>
      <c r="D308" s="11">
        <v>45232</v>
      </c>
      <c r="E308" s="86">
        <v>453.059</v>
      </c>
    </row>
    <row r="309" ht="15.75" spans="1:5">
      <c r="A309" s="33">
        <v>3045444.532</v>
      </c>
      <c r="B309" s="33">
        <v>399788505</v>
      </c>
      <c r="C309" s="33">
        <v>611.54</v>
      </c>
      <c r="D309" s="11">
        <v>45233</v>
      </c>
      <c r="E309" s="86">
        <v>453.04</v>
      </c>
    </row>
    <row r="310" ht="15.75" spans="1:5">
      <c r="A310" s="33">
        <v>3045444.532</v>
      </c>
      <c r="B310" s="33">
        <v>399788505</v>
      </c>
      <c r="C310" s="33">
        <v>611.54</v>
      </c>
      <c r="D310" s="11">
        <v>45234</v>
      </c>
      <c r="E310" s="86">
        <v>453.02</v>
      </c>
    </row>
    <row r="311" ht="15.75" spans="1:5">
      <c r="A311" s="33">
        <v>3045444.532</v>
      </c>
      <c r="B311" s="33">
        <v>399788505</v>
      </c>
      <c r="C311" s="33">
        <v>611.54</v>
      </c>
      <c r="D311" s="11">
        <v>45235</v>
      </c>
      <c r="E311" s="86">
        <v>453.03</v>
      </c>
    </row>
    <row r="312" ht="15.75" spans="1:5">
      <c r="A312" s="33">
        <v>3045444.532</v>
      </c>
      <c r="B312" s="33">
        <v>399788505</v>
      </c>
      <c r="C312" s="33">
        <v>611.54</v>
      </c>
      <c r="D312" s="11">
        <v>45236</v>
      </c>
      <c r="E312" s="86">
        <v>452.96</v>
      </c>
    </row>
    <row r="313" ht="15.75" spans="1:5">
      <c r="A313" s="33">
        <v>3045444.532</v>
      </c>
      <c r="B313" s="33">
        <v>399788505</v>
      </c>
      <c r="C313" s="33">
        <v>611.54</v>
      </c>
      <c r="D313" s="11">
        <v>45237</v>
      </c>
      <c r="E313" s="86">
        <v>452.87</v>
      </c>
    </row>
    <row r="314" ht="15.75" spans="1:5">
      <c r="A314" s="33">
        <v>3045444.532</v>
      </c>
      <c r="B314" s="33">
        <v>399788505</v>
      </c>
      <c r="C314" s="33">
        <v>611.54</v>
      </c>
      <c r="D314" s="11">
        <v>45238</v>
      </c>
      <c r="E314" s="86">
        <v>452.93</v>
      </c>
    </row>
    <row r="315" ht="15.75" spans="1:5">
      <c r="A315" s="33">
        <v>3045444.532</v>
      </c>
      <c r="B315" s="33">
        <v>399788505</v>
      </c>
      <c r="C315" s="33">
        <v>611.54</v>
      </c>
      <c r="D315" s="11">
        <v>45239</v>
      </c>
      <c r="E315" s="86">
        <v>452.93</v>
      </c>
    </row>
    <row r="316" ht="15.75" spans="1:5">
      <c r="A316" s="33">
        <v>3045444.532</v>
      </c>
      <c r="B316" s="33">
        <v>399788505</v>
      </c>
      <c r="C316" s="33">
        <v>611.54</v>
      </c>
      <c r="D316" s="11">
        <v>45240</v>
      </c>
      <c r="E316" s="86">
        <v>452.926</v>
      </c>
    </row>
    <row r="317" ht="15.75" spans="1:5">
      <c r="A317" s="33">
        <v>3045444.532</v>
      </c>
      <c r="B317" s="33">
        <v>399788505</v>
      </c>
      <c r="C317" s="33">
        <v>611.54</v>
      </c>
      <c r="D317" s="11">
        <v>45241</v>
      </c>
      <c r="E317" s="86"/>
    </row>
    <row r="318" ht="15.75" spans="1:5">
      <c r="A318" s="33">
        <v>3045444.532</v>
      </c>
      <c r="B318" s="33">
        <v>399788505</v>
      </c>
      <c r="C318" s="33">
        <v>611.54</v>
      </c>
      <c r="D318" s="11">
        <v>45242</v>
      </c>
      <c r="E318" s="86"/>
    </row>
    <row r="319" ht="15.75" spans="1:5">
      <c r="A319" s="33">
        <v>3045444.532</v>
      </c>
      <c r="B319" s="33">
        <v>399788505</v>
      </c>
      <c r="C319" s="33">
        <v>611.54</v>
      </c>
      <c r="D319" s="11">
        <v>45243</v>
      </c>
      <c r="E319" s="86"/>
    </row>
    <row r="320" ht="15.75" spans="1:5">
      <c r="A320" s="33">
        <v>3045444.532</v>
      </c>
      <c r="B320" s="33">
        <v>399788505</v>
      </c>
      <c r="C320" s="33">
        <v>611.54</v>
      </c>
      <c r="D320" s="11">
        <v>45244</v>
      </c>
      <c r="E320" s="86"/>
    </row>
    <row r="321" ht="15.75" spans="1:5">
      <c r="A321" s="33">
        <v>3045444.532</v>
      </c>
      <c r="B321" s="33">
        <v>399788505</v>
      </c>
      <c r="C321" s="33">
        <v>611.54</v>
      </c>
      <c r="D321" s="11">
        <v>45245</v>
      </c>
      <c r="E321" s="86"/>
    </row>
    <row r="322" ht="15.75" spans="1:5">
      <c r="A322" s="33">
        <v>3045444.532</v>
      </c>
      <c r="B322" s="33">
        <v>399788505</v>
      </c>
      <c r="C322" s="33">
        <v>611.54</v>
      </c>
      <c r="D322" s="11">
        <v>45246</v>
      </c>
      <c r="E322" s="86">
        <v>452.926</v>
      </c>
    </row>
    <row r="323" ht="15.75" spans="1:5">
      <c r="A323" s="33">
        <v>3045444.532</v>
      </c>
      <c r="B323" s="33">
        <v>399788505</v>
      </c>
      <c r="C323" s="33">
        <v>611.54</v>
      </c>
      <c r="D323" s="11">
        <v>45247</v>
      </c>
      <c r="E323" s="86"/>
    </row>
    <row r="324" ht="15.75" spans="1:5">
      <c r="A324" s="33">
        <v>3045444.532</v>
      </c>
      <c r="B324" s="33">
        <v>399788505</v>
      </c>
      <c r="C324" s="33">
        <v>611.54</v>
      </c>
      <c r="D324" s="11">
        <v>45248</v>
      </c>
      <c r="E324" s="86"/>
    </row>
    <row r="325" ht="15.75" spans="1:5">
      <c r="A325" s="33">
        <v>3045444.532</v>
      </c>
      <c r="B325" s="33">
        <v>399788505</v>
      </c>
      <c r="C325" s="33">
        <v>611.54</v>
      </c>
      <c r="D325" s="11">
        <v>45249</v>
      </c>
      <c r="E325" s="86"/>
    </row>
    <row r="326" ht="15.75" spans="1:5">
      <c r="A326" s="33">
        <v>3045444.532</v>
      </c>
      <c r="B326" s="33">
        <v>399788505</v>
      </c>
      <c r="C326" s="33">
        <v>611.54</v>
      </c>
      <c r="D326" s="11">
        <v>45250</v>
      </c>
      <c r="E326" s="86"/>
    </row>
    <row r="327" ht="15.75" spans="1:5">
      <c r="A327" s="33">
        <v>3045444.532</v>
      </c>
      <c r="B327" s="33">
        <v>399788505</v>
      </c>
      <c r="C327" s="33">
        <v>611.54</v>
      </c>
      <c r="D327" s="11">
        <v>45251</v>
      </c>
      <c r="E327" s="86"/>
    </row>
    <row r="328" ht="15.75" spans="1:5">
      <c r="A328" s="33">
        <v>3045444.532</v>
      </c>
      <c r="B328" s="33">
        <v>399788505</v>
      </c>
      <c r="C328" s="33">
        <v>611.54</v>
      </c>
      <c r="D328" s="11">
        <v>45252</v>
      </c>
      <c r="E328" s="86"/>
    </row>
    <row r="329" ht="15.75" spans="1:5">
      <c r="A329" s="33">
        <v>3045444.532</v>
      </c>
      <c r="B329" s="33">
        <v>399788505</v>
      </c>
      <c r="C329" s="33">
        <v>611.54</v>
      </c>
      <c r="D329" s="11">
        <v>45253</v>
      </c>
      <c r="E329" s="86"/>
    </row>
    <row r="330" ht="15.75" spans="1:5">
      <c r="A330" s="33">
        <v>3045444.532</v>
      </c>
      <c r="B330" s="33">
        <v>399788505</v>
      </c>
      <c r="C330" s="33">
        <v>611.54</v>
      </c>
      <c r="D330" s="11">
        <v>45254</v>
      </c>
      <c r="E330" s="86"/>
    </row>
    <row r="331" ht="15.75" spans="1:5">
      <c r="A331" s="33">
        <v>3045444.532</v>
      </c>
      <c r="B331" s="33">
        <v>399788505</v>
      </c>
      <c r="C331" s="33">
        <v>611.54</v>
      </c>
      <c r="D331" s="11">
        <v>45255</v>
      </c>
      <c r="E331" s="86"/>
    </row>
    <row r="332" ht="15.75" spans="1:5">
      <c r="A332" s="33">
        <v>3045444.532</v>
      </c>
      <c r="B332" s="33">
        <v>399788505</v>
      </c>
      <c r="C332" s="33">
        <v>611.54</v>
      </c>
      <c r="D332" s="11">
        <v>45256</v>
      </c>
      <c r="E332" s="86"/>
    </row>
    <row r="333" ht="15.75" spans="1:5">
      <c r="A333" s="33">
        <v>3045444.532</v>
      </c>
      <c r="B333" s="33">
        <v>399788505</v>
      </c>
      <c r="C333" s="33">
        <v>611.54</v>
      </c>
      <c r="D333" s="11">
        <v>45257</v>
      </c>
      <c r="E333" s="86"/>
    </row>
    <row r="334" ht="15.75" spans="1:5">
      <c r="A334" s="33">
        <v>3045444.532</v>
      </c>
      <c r="B334" s="33">
        <v>399788505</v>
      </c>
      <c r="C334" s="33">
        <v>611.54</v>
      </c>
      <c r="D334" s="11">
        <v>45258</v>
      </c>
      <c r="E334" s="86"/>
    </row>
    <row r="335" ht="15.75" spans="1:5">
      <c r="A335" s="33">
        <v>3045444.532</v>
      </c>
      <c r="B335" s="33">
        <v>399788505</v>
      </c>
      <c r="C335" s="33">
        <v>611.54</v>
      </c>
      <c r="D335" s="11">
        <v>45259</v>
      </c>
      <c r="E335" s="86"/>
    </row>
    <row r="336" ht="15.75" spans="1:5">
      <c r="A336" s="33">
        <v>3045444.532</v>
      </c>
      <c r="B336" s="33">
        <v>399788505</v>
      </c>
      <c r="C336" s="33">
        <v>611.54</v>
      </c>
      <c r="D336" s="11">
        <v>45260</v>
      </c>
      <c r="E336" s="86"/>
    </row>
    <row r="337" ht="15.75" spans="1:5">
      <c r="A337" s="33">
        <v>3045444.532</v>
      </c>
      <c r="B337" s="33">
        <v>399788505</v>
      </c>
      <c r="C337" s="33">
        <v>611.54</v>
      </c>
      <c r="D337" s="11">
        <v>45261</v>
      </c>
      <c r="E337" s="86"/>
    </row>
    <row r="338" ht="15.75" spans="1:5">
      <c r="A338" s="33">
        <v>3045444.532</v>
      </c>
      <c r="B338" s="33">
        <v>399788505</v>
      </c>
      <c r="C338" s="33">
        <v>611.54</v>
      </c>
      <c r="D338" s="11">
        <v>45262</v>
      </c>
      <c r="E338" s="86"/>
    </row>
    <row r="339" ht="15.75" spans="1:5">
      <c r="A339" s="33">
        <v>3045444.532</v>
      </c>
      <c r="B339" s="33">
        <v>399788505</v>
      </c>
      <c r="C339" s="33">
        <v>611.54</v>
      </c>
      <c r="D339" s="11">
        <v>45263</v>
      </c>
      <c r="E339" s="86"/>
    </row>
    <row r="340" ht="15.75" spans="1:5">
      <c r="A340" s="33">
        <v>3045444.532</v>
      </c>
      <c r="B340" s="33">
        <v>399788505</v>
      </c>
      <c r="C340" s="33">
        <v>611.54</v>
      </c>
      <c r="D340" s="11">
        <v>45264</v>
      </c>
      <c r="E340" s="86"/>
    </row>
    <row r="341" ht="15.75" spans="1:5">
      <c r="A341" s="33">
        <v>3045444.532</v>
      </c>
      <c r="B341" s="33">
        <v>399788505</v>
      </c>
      <c r="C341" s="33">
        <v>611.54</v>
      </c>
      <c r="D341" s="11">
        <v>45265</v>
      </c>
      <c r="E341" s="86"/>
    </row>
    <row r="342" ht="15.75" spans="1:5">
      <c r="A342" s="33">
        <v>3045444.532</v>
      </c>
      <c r="B342" s="33">
        <v>399788505</v>
      </c>
      <c r="C342" s="33">
        <v>611.54</v>
      </c>
      <c r="D342" s="11">
        <v>45266</v>
      </c>
      <c r="E342" s="86"/>
    </row>
    <row r="343" ht="15.75" spans="1:5">
      <c r="A343" s="33">
        <v>3045444.532</v>
      </c>
      <c r="B343" s="33">
        <v>399788505</v>
      </c>
      <c r="C343" s="33">
        <v>611.54</v>
      </c>
      <c r="D343" s="11">
        <v>45267</v>
      </c>
      <c r="E343" s="86"/>
    </row>
    <row r="344" ht="15.75" spans="1:5">
      <c r="A344" s="33">
        <v>3045444.532</v>
      </c>
      <c r="B344" s="33">
        <v>399788505</v>
      </c>
      <c r="C344" s="33">
        <v>611.54</v>
      </c>
      <c r="D344" s="11">
        <v>45268</v>
      </c>
      <c r="E344" s="86">
        <v>452.393</v>
      </c>
    </row>
    <row r="345" ht="15.75" spans="1:5">
      <c r="A345" s="33">
        <v>3045444.532</v>
      </c>
      <c r="B345" s="33">
        <v>399788505</v>
      </c>
      <c r="C345" s="33">
        <v>611.54</v>
      </c>
      <c r="D345" s="11">
        <v>45269</v>
      </c>
      <c r="E345" s="86"/>
    </row>
    <row r="346" ht="15.75" spans="1:5">
      <c r="A346" s="33">
        <v>3045444.532</v>
      </c>
      <c r="B346" s="33">
        <v>399788505</v>
      </c>
      <c r="C346" s="33">
        <v>611.54</v>
      </c>
      <c r="D346" s="11">
        <v>45270</v>
      </c>
      <c r="E346" s="86"/>
    </row>
    <row r="347" ht="15.75" spans="1:5">
      <c r="A347" s="33">
        <v>3045444.532</v>
      </c>
      <c r="B347" s="33">
        <v>399788505</v>
      </c>
      <c r="C347" s="33">
        <v>611.54</v>
      </c>
      <c r="D347" s="11">
        <v>45271</v>
      </c>
      <c r="E347" s="86"/>
    </row>
    <row r="348" ht="15.75" spans="1:5">
      <c r="A348" s="33">
        <v>3045444.532</v>
      </c>
      <c r="B348" s="33">
        <v>399788505</v>
      </c>
      <c r="C348" s="33">
        <v>611.54</v>
      </c>
      <c r="D348" s="11">
        <v>45272</v>
      </c>
      <c r="E348" s="86">
        <v>452.334</v>
      </c>
    </row>
    <row r="349" ht="15.75" spans="1:5">
      <c r="A349" s="33">
        <v>3045444.532</v>
      </c>
      <c r="B349" s="33">
        <v>399788505</v>
      </c>
      <c r="C349" s="33">
        <v>611.54</v>
      </c>
      <c r="D349" s="11">
        <v>45273</v>
      </c>
      <c r="E349" s="86">
        <v>452.441</v>
      </c>
    </row>
    <row r="350" ht="15.75" spans="1:5">
      <c r="A350" s="33">
        <v>3045444.532</v>
      </c>
      <c r="B350" s="33">
        <v>399788505</v>
      </c>
      <c r="C350" s="33">
        <v>611.54</v>
      </c>
      <c r="D350" s="11">
        <v>45274</v>
      </c>
      <c r="E350" s="86">
        <v>452.437</v>
      </c>
    </row>
    <row r="351" ht="15.75" spans="1:5">
      <c r="A351" s="33">
        <v>3045444.532</v>
      </c>
      <c r="B351" s="33">
        <v>399788505</v>
      </c>
      <c r="C351" s="33">
        <v>611.54</v>
      </c>
      <c r="D351" s="11">
        <v>45275</v>
      </c>
      <c r="E351" s="86">
        <v>452.287</v>
      </c>
    </row>
    <row r="352" ht="15.75" spans="1:5">
      <c r="A352" s="33">
        <v>3045444.532</v>
      </c>
      <c r="B352" s="33">
        <v>399788505</v>
      </c>
      <c r="C352" s="33">
        <v>611.54</v>
      </c>
      <c r="D352" s="11">
        <v>45276</v>
      </c>
      <c r="E352" s="86">
        <v>452.076</v>
      </c>
    </row>
    <row r="353" ht="15.75" spans="1:5">
      <c r="A353" s="33">
        <v>3045444.532</v>
      </c>
      <c r="B353" s="33">
        <v>399788505</v>
      </c>
      <c r="C353" s="33">
        <v>611.54</v>
      </c>
      <c r="D353" s="11">
        <v>45277</v>
      </c>
      <c r="E353" s="86">
        <v>452.125</v>
      </c>
    </row>
    <row r="354" ht="15.75" spans="1:5">
      <c r="A354" s="33">
        <v>3045444.532</v>
      </c>
      <c r="B354" s="33">
        <v>399788505</v>
      </c>
      <c r="C354" s="33">
        <v>611.54</v>
      </c>
      <c r="D354" s="11">
        <v>45278</v>
      </c>
      <c r="E354" s="86">
        <v>452.112</v>
      </c>
    </row>
    <row r="355" ht="15.75" spans="1:5">
      <c r="A355" s="33">
        <v>3045444.532</v>
      </c>
      <c r="B355" s="33">
        <v>399788505</v>
      </c>
      <c r="C355" s="33">
        <v>611.54</v>
      </c>
      <c r="D355" s="11">
        <v>45279</v>
      </c>
      <c r="E355" s="86">
        <v>452.058</v>
      </c>
    </row>
    <row r="356" ht="15.75" spans="1:5">
      <c r="A356" s="33">
        <v>3045444.532</v>
      </c>
      <c r="B356" s="33">
        <v>399788505</v>
      </c>
      <c r="C356" s="33">
        <v>611.54</v>
      </c>
      <c r="D356" s="11">
        <v>45280</v>
      </c>
      <c r="E356" s="86">
        <v>452.015</v>
      </c>
    </row>
    <row r="357" ht="15.75" spans="1:5">
      <c r="A357" s="33">
        <v>3045444.532</v>
      </c>
      <c r="B357" s="33">
        <v>399788505</v>
      </c>
      <c r="C357" s="33">
        <v>611.54</v>
      </c>
      <c r="D357" s="11">
        <v>45281</v>
      </c>
      <c r="E357" s="86">
        <v>451.989</v>
      </c>
    </row>
    <row r="358" ht="15.75" spans="1:5">
      <c r="A358" s="33">
        <v>3045444.532</v>
      </c>
      <c r="B358" s="33">
        <v>399788505</v>
      </c>
      <c r="C358" s="33">
        <v>611.54</v>
      </c>
      <c r="D358" s="11">
        <v>45282</v>
      </c>
      <c r="E358" s="86">
        <v>451.992</v>
      </c>
    </row>
    <row r="359" ht="15.75" spans="1:5">
      <c r="A359" s="33">
        <v>3045444.532</v>
      </c>
      <c r="B359" s="33">
        <v>399788505</v>
      </c>
      <c r="C359" s="33">
        <v>611.54</v>
      </c>
      <c r="D359" s="11">
        <v>45283</v>
      </c>
      <c r="E359" s="86">
        <v>451.941</v>
      </c>
    </row>
    <row r="360" ht="15.75" spans="1:5">
      <c r="A360" s="33">
        <v>3045444.532</v>
      </c>
      <c r="B360" s="33">
        <v>399788505</v>
      </c>
      <c r="C360" s="33">
        <v>611.54</v>
      </c>
      <c r="D360" s="11">
        <v>45284</v>
      </c>
      <c r="E360" s="86">
        <v>451.935</v>
      </c>
    </row>
    <row r="361" ht="15.75" spans="1:5">
      <c r="A361" s="33">
        <v>3045444.532</v>
      </c>
      <c r="B361" s="33">
        <v>399788505</v>
      </c>
      <c r="C361" s="33">
        <v>611.54</v>
      </c>
      <c r="D361" s="11">
        <v>45285</v>
      </c>
      <c r="E361" s="86">
        <v>451.979</v>
      </c>
    </row>
    <row r="362" ht="15.75" spans="1:5">
      <c r="A362" s="33">
        <v>3045444.532</v>
      </c>
      <c r="B362" s="33">
        <v>399788505</v>
      </c>
      <c r="C362" s="33">
        <v>611.54</v>
      </c>
      <c r="D362" s="11">
        <v>45286</v>
      </c>
      <c r="E362" s="86">
        <v>452.021</v>
      </c>
    </row>
    <row r="363" ht="15.75" spans="1:5">
      <c r="A363" s="33">
        <v>3045444.532</v>
      </c>
      <c r="B363" s="33">
        <v>399788505</v>
      </c>
      <c r="C363" s="33">
        <v>611.54</v>
      </c>
      <c r="D363" s="11">
        <v>45287</v>
      </c>
      <c r="E363" s="86">
        <v>451.993</v>
      </c>
    </row>
    <row r="364" ht="15.75" spans="1:5">
      <c r="A364" s="33">
        <v>3045444.532</v>
      </c>
      <c r="B364" s="33">
        <v>399788505</v>
      </c>
      <c r="C364" s="33">
        <v>611.54</v>
      </c>
      <c r="D364" s="11">
        <v>45288</v>
      </c>
      <c r="E364" s="86">
        <v>452.006</v>
      </c>
    </row>
    <row r="365" ht="15.75" spans="1:5">
      <c r="A365" s="33">
        <v>3045444.532</v>
      </c>
      <c r="B365" s="33">
        <v>399788505</v>
      </c>
      <c r="C365" s="33">
        <v>611.54</v>
      </c>
      <c r="D365" s="11">
        <v>45289</v>
      </c>
      <c r="E365" s="86">
        <v>451.968</v>
      </c>
    </row>
    <row r="366" ht="15.75" spans="1:5">
      <c r="A366" s="33">
        <v>3045444.532</v>
      </c>
      <c r="B366" s="33">
        <v>399788505</v>
      </c>
      <c r="C366" s="33">
        <v>611.54</v>
      </c>
      <c r="D366" s="11">
        <v>45290</v>
      </c>
      <c r="E366" s="86">
        <v>451.942</v>
      </c>
    </row>
    <row r="367" ht="15.75" spans="1:5">
      <c r="A367" s="33">
        <v>3045444.532</v>
      </c>
      <c r="B367" s="33">
        <v>399788505</v>
      </c>
      <c r="C367" s="33">
        <v>611.54</v>
      </c>
      <c r="D367" s="11">
        <v>45291</v>
      </c>
      <c r="E367" s="86">
        <v>451.944</v>
      </c>
    </row>
    <row r="368" ht="15.75" spans="1:5">
      <c r="A368" s="33">
        <v>3045444.532</v>
      </c>
      <c r="B368" s="33">
        <v>399788505</v>
      </c>
      <c r="C368" s="33">
        <v>611.54</v>
      </c>
      <c r="D368" s="11">
        <v>45292</v>
      </c>
      <c r="E368" s="86">
        <v>451.94</v>
      </c>
    </row>
    <row r="369" ht="15.75" spans="1:5">
      <c r="A369" s="33">
        <v>3045444.532</v>
      </c>
      <c r="B369" s="33">
        <v>399788505</v>
      </c>
      <c r="C369" s="33">
        <v>611.54</v>
      </c>
      <c r="D369" s="11">
        <v>45293</v>
      </c>
      <c r="E369" s="86">
        <v>451.899</v>
      </c>
    </row>
    <row r="370" ht="15.75" spans="1:5">
      <c r="A370" s="33">
        <v>3045444.532</v>
      </c>
      <c r="B370" s="33">
        <v>399788505</v>
      </c>
      <c r="C370" s="33">
        <v>611.54</v>
      </c>
      <c r="D370" s="11">
        <v>45294</v>
      </c>
      <c r="E370" s="86">
        <v>451.813</v>
      </c>
    </row>
    <row r="371" ht="15.75" spans="1:5">
      <c r="A371" s="33">
        <v>3045444.532</v>
      </c>
      <c r="B371" s="33">
        <v>399788505</v>
      </c>
      <c r="C371" s="33">
        <v>611.54</v>
      </c>
      <c r="D371" s="11">
        <v>45295</v>
      </c>
      <c r="E371" s="86">
        <v>451.724</v>
      </c>
    </row>
    <row r="372" ht="15.75" spans="1:5">
      <c r="A372" s="33">
        <v>3045444.532</v>
      </c>
      <c r="B372" s="33">
        <v>399788505</v>
      </c>
      <c r="C372" s="33">
        <v>611.54</v>
      </c>
      <c r="D372" s="11">
        <v>45296</v>
      </c>
      <c r="E372" s="86">
        <v>451.76</v>
      </c>
    </row>
    <row r="373" ht="15.75" spans="1:5">
      <c r="A373" s="33">
        <v>3045444.532</v>
      </c>
      <c r="B373" s="33">
        <v>399788505</v>
      </c>
      <c r="C373" s="33">
        <v>611.54</v>
      </c>
      <c r="D373" s="11">
        <v>45297</v>
      </c>
      <c r="E373" s="86">
        <v>451.724</v>
      </c>
    </row>
    <row r="374" ht="15.75" spans="1:5">
      <c r="A374" s="33">
        <v>3045444.532</v>
      </c>
      <c r="B374" s="33">
        <v>399788505</v>
      </c>
      <c r="C374" s="33">
        <v>611.54</v>
      </c>
      <c r="D374" s="11">
        <v>45298</v>
      </c>
      <c r="E374" s="86">
        <v>451.776</v>
      </c>
    </row>
    <row r="375" ht="15.75" spans="1:5">
      <c r="A375" s="33">
        <v>3045444.532</v>
      </c>
      <c r="B375" s="33">
        <v>399788505</v>
      </c>
      <c r="C375" s="33">
        <v>611.54</v>
      </c>
      <c r="D375" s="11">
        <v>45299</v>
      </c>
      <c r="E375" s="86">
        <v>451.754</v>
      </c>
    </row>
    <row r="376" ht="15.75" spans="1:5">
      <c r="A376" s="33">
        <v>3045444.532</v>
      </c>
      <c r="B376" s="33">
        <v>399788505</v>
      </c>
      <c r="C376" s="33">
        <v>611.54</v>
      </c>
      <c r="D376" s="11">
        <v>45300</v>
      </c>
      <c r="E376" s="86">
        <v>451.735</v>
      </c>
    </row>
    <row r="377" ht="15.75" spans="1:5">
      <c r="A377" s="33">
        <v>3045444.532</v>
      </c>
      <c r="B377" s="33">
        <v>399788505</v>
      </c>
      <c r="C377" s="33">
        <v>611.54</v>
      </c>
      <c r="D377" s="11">
        <v>45301</v>
      </c>
      <c r="E377" s="86">
        <v>451.697</v>
      </c>
    </row>
    <row r="378" ht="15.75" spans="1:5">
      <c r="A378" s="33">
        <v>3045444.532</v>
      </c>
      <c r="B378" s="33">
        <v>399788505</v>
      </c>
      <c r="C378" s="33">
        <v>611.54</v>
      </c>
      <c r="D378" s="11">
        <v>45302</v>
      </c>
      <c r="E378" s="86">
        <v>451.65</v>
      </c>
    </row>
    <row r="379" ht="15.75" spans="1:5">
      <c r="A379" s="33">
        <v>3045444.532</v>
      </c>
      <c r="B379" s="33">
        <v>399788505</v>
      </c>
      <c r="C379" s="33">
        <v>611.54</v>
      </c>
      <c r="D379" s="11">
        <v>45303</v>
      </c>
      <c r="E379" s="86">
        <v>451.654</v>
      </c>
    </row>
    <row r="380" ht="15.75" spans="1:5">
      <c r="A380" s="33">
        <v>3045444.532</v>
      </c>
      <c r="B380" s="33">
        <v>399788505</v>
      </c>
      <c r="C380" s="33">
        <v>611.54</v>
      </c>
      <c r="D380" s="11">
        <v>45304</v>
      </c>
      <c r="E380" s="86">
        <v>451.645</v>
      </c>
    </row>
    <row r="381" ht="15.75" spans="1:5">
      <c r="A381" s="33">
        <v>3045444.532</v>
      </c>
      <c r="B381" s="33">
        <v>399788505</v>
      </c>
      <c r="C381" s="33">
        <v>611.54</v>
      </c>
      <c r="D381" s="11">
        <v>45305</v>
      </c>
      <c r="E381" s="86">
        <v>451.592</v>
      </c>
    </row>
    <row r="382" ht="15.75" spans="1:5">
      <c r="A382" s="33">
        <v>3045444.532</v>
      </c>
      <c r="B382" s="33">
        <v>399788505</v>
      </c>
      <c r="C382" s="33">
        <v>611.54</v>
      </c>
      <c r="D382" s="11">
        <v>45306</v>
      </c>
      <c r="E382" s="86">
        <v>451.607</v>
      </c>
    </row>
    <row r="383" ht="15.75" spans="1:5">
      <c r="A383" s="33">
        <v>3045444.532</v>
      </c>
      <c r="B383" s="33">
        <v>399788505</v>
      </c>
      <c r="C383" s="33">
        <v>611.54</v>
      </c>
      <c r="D383" s="11">
        <v>45307</v>
      </c>
      <c r="E383" s="86">
        <v>451.617</v>
      </c>
    </row>
    <row r="384" ht="15.75" spans="1:5">
      <c r="A384" s="33">
        <v>3045444.532</v>
      </c>
      <c r="B384" s="33">
        <v>399788505</v>
      </c>
      <c r="C384" s="33">
        <v>611.54</v>
      </c>
      <c r="D384" s="11">
        <v>45308</v>
      </c>
      <c r="E384" s="86">
        <v>451.569</v>
      </c>
    </row>
    <row r="385" ht="15.75" spans="1:5">
      <c r="A385" s="33">
        <v>3045444.532</v>
      </c>
      <c r="B385" s="33">
        <v>399788505</v>
      </c>
      <c r="C385" s="33">
        <v>611.54</v>
      </c>
      <c r="D385" s="11">
        <v>45309</v>
      </c>
      <c r="E385" s="86">
        <v>451.569</v>
      </c>
    </row>
    <row r="386" ht="15.75" spans="1:5">
      <c r="A386" s="33">
        <v>3045444.532</v>
      </c>
      <c r="B386" s="33">
        <v>399788505</v>
      </c>
      <c r="C386" s="33">
        <v>611.54</v>
      </c>
      <c r="D386" s="11">
        <v>45310</v>
      </c>
      <c r="E386" s="86">
        <v>451.511</v>
      </c>
    </row>
    <row r="387" ht="15.75" spans="1:5">
      <c r="A387" s="33">
        <v>3045444.532</v>
      </c>
      <c r="B387" s="33">
        <v>399788505</v>
      </c>
      <c r="C387" s="33">
        <v>611.54</v>
      </c>
      <c r="D387" s="11">
        <v>45311</v>
      </c>
      <c r="E387" s="86">
        <v>451.444</v>
      </c>
    </row>
    <row r="388" ht="15.75" spans="1:5">
      <c r="A388" s="33">
        <v>3045444.532</v>
      </c>
      <c r="B388" s="33">
        <v>399788505</v>
      </c>
      <c r="C388" s="33">
        <v>611.54</v>
      </c>
      <c r="D388" s="11">
        <v>45312</v>
      </c>
      <c r="E388" s="86">
        <v>451.42</v>
      </c>
    </row>
    <row r="389" ht="15.75" spans="1:5">
      <c r="A389" s="33">
        <v>3045444.532</v>
      </c>
      <c r="B389" s="33">
        <v>399788505</v>
      </c>
      <c r="C389" s="33">
        <v>611.54</v>
      </c>
      <c r="D389" s="11">
        <v>45313</v>
      </c>
      <c r="E389" s="88">
        <v>451.268</v>
      </c>
    </row>
    <row r="390" ht="15.75" spans="1:5">
      <c r="A390" s="33">
        <v>3045444.532</v>
      </c>
      <c r="B390" s="33">
        <v>399788505</v>
      </c>
      <c r="C390" s="33">
        <v>611.54</v>
      </c>
      <c r="D390" s="11">
        <v>45314</v>
      </c>
      <c r="E390" s="88">
        <v>451.341</v>
      </c>
    </row>
    <row r="391" ht="15.75" spans="1:5">
      <c r="A391" s="33">
        <v>3045444.532</v>
      </c>
      <c r="B391" s="33">
        <v>399788505</v>
      </c>
      <c r="C391" s="33">
        <v>611.54</v>
      </c>
      <c r="D391" s="11">
        <v>45315</v>
      </c>
      <c r="E391" s="88">
        <v>451.326</v>
      </c>
    </row>
    <row r="392" ht="15.75" spans="1:5">
      <c r="A392" s="33">
        <v>3045444.532</v>
      </c>
      <c r="B392" s="33">
        <v>399788505</v>
      </c>
      <c r="C392" s="33">
        <v>611.54</v>
      </c>
      <c r="D392" s="11">
        <v>45316</v>
      </c>
      <c r="E392" s="88">
        <v>451.316</v>
      </c>
    </row>
    <row r="393" ht="15.75" spans="1:5">
      <c r="A393" s="33">
        <v>3045444.532</v>
      </c>
      <c r="B393" s="33">
        <v>399788505</v>
      </c>
      <c r="C393" s="33">
        <v>611.54</v>
      </c>
      <c r="D393" s="11">
        <v>45317</v>
      </c>
      <c r="E393" s="88">
        <v>451.306</v>
      </c>
    </row>
    <row r="394" ht="15.75" spans="1:5">
      <c r="A394" s="33">
        <v>3045444.532</v>
      </c>
      <c r="B394" s="33">
        <v>399788505</v>
      </c>
      <c r="C394" s="33">
        <v>611.54</v>
      </c>
      <c r="D394" s="11">
        <v>45318</v>
      </c>
      <c r="E394" s="88">
        <v>451.299</v>
      </c>
    </row>
    <row r="395" ht="15.75" spans="1:5">
      <c r="A395" s="33">
        <v>3045444.532</v>
      </c>
      <c r="B395" s="33">
        <v>399788505</v>
      </c>
      <c r="C395" s="33">
        <v>611.54</v>
      </c>
      <c r="D395" s="11">
        <v>45319</v>
      </c>
      <c r="E395" s="88">
        <v>451.287</v>
      </c>
    </row>
    <row r="396" ht="15.75" spans="1:5">
      <c r="A396" s="33">
        <v>3045444.532</v>
      </c>
      <c r="B396" s="33">
        <v>399788505</v>
      </c>
      <c r="C396" s="33">
        <v>611.54</v>
      </c>
      <c r="D396" s="11">
        <v>45320</v>
      </c>
      <c r="E396" s="88">
        <v>451.358</v>
      </c>
    </row>
    <row r="397" ht="15.75" spans="1:5">
      <c r="A397" s="33">
        <v>3045444.532</v>
      </c>
      <c r="B397" s="33">
        <v>399788505</v>
      </c>
      <c r="C397" s="33">
        <v>611.54</v>
      </c>
      <c r="D397" s="11">
        <v>45321</v>
      </c>
      <c r="E397" s="88">
        <v>451.39</v>
      </c>
    </row>
    <row r="398" ht="15.75" spans="1:5">
      <c r="A398" s="33">
        <v>3045444.532</v>
      </c>
      <c r="B398" s="33">
        <v>399788505</v>
      </c>
      <c r="C398" s="33">
        <v>611.54</v>
      </c>
      <c r="D398" s="11">
        <v>45322</v>
      </c>
      <c r="E398" s="88">
        <v>451.388</v>
      </c>
    </row>
    <row r="399" ht="15.75" spans="1:5">
      <c r="A399" s="33">
        <v>3045444.532</v>
      </c>
      <c r="B399" s="33">
        <v>399788505</v>
      </c>
      <c r="C399" s="33">
        <v>611.54</v>
      </c>
      <c r="D399" s="11">
        <v>45323</v>
      </c>
      <c r="E399" s="88">
        <v>451.301</v>
      </c>
    </row>
    <row r="400" ht="15.75" spans="1:5">
      <c r="A400" s="33">
        <v>3045444.532</v>
      </c>
      <c r="B400" s="33">
        <v>399788505</v>
      </c>
      <c r="C400" s="33">
        <v>611.54</v>
      </c>
      <c r="D400" s="11">
        <v>45324</v>
      </c>
      <c r="E400" s="88">
        <v>451.342</v>
      </c>
    </row>
    <row r="401" ht="15.75" spans="1:5">
      <c r="A401" s="33">
        <v>3045444.532</v>
      </c>
      <c r="B401" s="33">
        <v>399788505</v>
      </c>
      <c r="C401" s="33">
        <v>611.54</v>
      </c>
      <c r="D401" s="11">
        <v>45325</v>
      </c>
      <c r="E401" s="88">
        <v>451.269</v>
      </c>
    </row>
    <row r="402" ht="15.75" spans="1:5">
      <c r="A402" s="33">
        <v>3045444.532</v>
      </c>
      <c r="B402" s="33">
        <v>399788505</v>
      </c>
      <c r="C402" s="33">
        <v>611.54</v>
      </c>
      <c r="D402" s="11">
        <v>45326</v>
      </c>
      <c r="E402" s="88">
        <v>451.23</v>
      </c>
    </row>
    <row r="403" ht="15.75" spans="1:5">
      <c r="A403" s="33">
        <v>3045444.532</v>
      </c>
      <c r="B403" s="33">
        <v>399788505</v>
      </c>
      <c r="C403" s="33">
        <v>611.54</v>
      </c>
      <c r="D403" s="11">
        <v>45327</v>
      </c>
      <c r="E403" s="88">
        <v>451.216</v>
      </c>
    </row>
    <row r="404" ht="15.75" spans="1:5">
      <c r="A404" s="33">
        <v>3045444.532</v>
      </c>
      <c r="B404" s="33">
        <v>399788505</v>
      </c>
      <c r="C404" s="33">
        <v>611.54</v>
      </c>
      <c r="D404" s="11">
        <v>45328</v>
      </c>
      <c r="E404" s="88">
        <v>451.159</v>
      </c>
    </row>
    <row r="405" ht="15.75" spans="1:5">
      <c r="A405" s="33">
        <v>3045444.532</v>
      </c>
      <c r="B405" s="33">
        <v>399788505</v>
      </c>
      <c r="C405" s="33">
        <v>611.54</v>
      </c>
      <c r="D405" s="11">
        <v>45329</v>
      </c>
      <c r="E405" s="88">
        <v>451.149</v>
      </c>
    </row>
    <row r="406" ht="15.75" spans="1:5">
      <c r="A406" s="33">
        <v>3045444.532</v>
      </c>
      <c r="B406" s="33">
        <v>399788505</v>
      </c>
      <c r="C406" s="33">
        <v>611.54</v>
      </c>
      <c r="D406" s="11">
        <v>45330</v>
      </c>
      <c r="E406" s="88">
        <v>451.114</v>
      </c>
    </row>
    <row r="407" ht="15.75" spans="1:5">
      <c r="A407" s="33">
        <v>3045444.532</v>
      </c>
      <c r="B407" s="33">
        <v>399788505</v>
      </c>
      <c r="C407" s="33">
        <v>611.54</v>
      </c>
      <c r="D407" s="11">
        <v>45331</v>
      </c>
      <c r="E407" s="88">
        <v>451.005</v>
      </c>
    </row>
    <row r="408" ht="15.75" spans="1:5">
      <c r="A408" s="33">
        <v>3045444.532</v>
      </c>
      <c r="B408" s="33">
        <v>399788505</v>
      </c>
      <c r="C408" s="33">
        <v>611.54</v>
      </c>
      <c r="D408" s="11">
        <v>45332</v>
      </c>
      <c r="E408" s="88">
        <v>450.973</v>
      </c>
    </row>
    <row r="409" ht="15.75" spans="1:5">
      <c r="A409" s="33">
        <v>3045444.532</v>
      </c>
      <c r="B409" s="33">
        <v>399788505</v>
      </c>
      <c r="C409" s="33">
        <v>611.54</v>
      </c>
      <c r="D409" s="11">
        <v>45333</v>
      </c>
      <c r="E409" s="88">
        <v>450.99</v>
      </c>
    </row>
    <row r="410" ht="15.75" spans="1:5">
      <c r="A410" s="33">
        <v>3045444.532</v>
      </c>
      <c r="B410" s="33">
        <v>399788505</v>
      </c>
      <c r="C410" s="33">
        <v>611.54</v>
      </c>
      <c r="D410" s="11">
        <v>45334</v>
      </c>
      <c r="E410" s="88">
        <v>451.052</v>
      </c>
    </row>
    <row r="411" ht="15.75" spans="1:5">
      <c r="A411" s="33">
        <v>3045444.532</v>
      </c>
      <c r="B411" s="33">
        <v>399788505</v>
      </c>
      <c r="C411" s="33">
        <v>611.54</v>
      </c>
      <c r="D411" s="11">
        <v>45335</v>
      </c>
      <c r="E411" s="88">
        <v>451.057</v>
      </c>
    </row>
    <row r="412" ht="15.75" spans="1:5">
      <c r="A412" s="33">
        <v>3045444.532</v>
      </c>
      <c r="B412" s="33">
        <v>399788505</v>
      </c>
      <c r="C412" s="33">
        <v>611.54</v>
      </c>
      <c r="D412" s="11">
        <v>45336</v>
      </c>
      <c r="E412" s="89">
        <v>451.069</v>
      </c>
    </row>
    <row r="413" ht="15.75" spans="1:5">
      <c r="A413" s="33">
        <v>3045444.532</v>
      </c>
      <c r="B413" s="33">
        <v>399788505</v>
      </c>
      <c r="C413" s="33">
        <v>611.54</v>
      </c>
      <c r="D413" s="11">
        <v>45337</v>
      </c>
      <c r="E413" s="85"/>
    </row>
    <row r="414" ht="15.75" spans="1:5">
      <c r="A414" s="33">
        <v>3045444.532</v>
      </c>
      <c r="B414" s="33">
        <v>399788505</v>
      </c>
      <c r="C414" s="33">
        <v>611.54</v>
      </c>
      <c r="D414" s="11">
        <v>45338</v>
      </c>
      <c r="E414" s="85"/>
    </row>
    <row r="415" ht="15.75" spans="1:5">
      <c r="A415" s="33">
        <v>3045444.532</v>
      </c>
      <c r="B415" s="33">
        <v>399788505</v>
      </c>
      <c r="C415" s="33">
        <v>611.54</v>
      </c>
      <c r="D415" s="11">
        <v>45339</v>
      </c>
      <c r="E415" s="85"/>
    </row>
    <row r="416" ht="15.75" spans="1:5">
      <c r="A416" s="33">
        <v>3045444.532</v>
      </c>
      <c r="B416" s="33">
        <v>399788505</v>
      </c>
      <c r="C416" s="33">
        <v>611.54</v>
      </c>
      <c r="D416" s="11">
        <v>45340</v>
      </c>
      <c r="E416" s="85"/>
    </row>
    <row r="417" ht="15.75" spans="1:5">
      <c r="A417" s="33">
        <v>3045444.532</v>
      </c>
      <c r="B417" s="33">
        <v>399788505</v>
      </c>
      <c r="C417" s="33">
        <v>611.54</v>
      </c>
      <c r="D417" s="11">
        <v>45341</v>
      </c>
      <c r="E417" s="88">
        <v>450.978</v>
      </c>
    </row>
    <row r="418" ht="15.75" spans="1:5">
      <c r="A418" s="33">
        <v>3045444.532</v>
      </c>
      <c r="B418" s="33">
        <v>399788505</v>
      </c>
      <c r="C418" s="33">
        <v>611.54</v>
      </c>
      <c r="D418" s="11">
        <v>45342</v>
      </c>
      <c r="E418" s="88">
        <v>450.92</v>
      </c>
    </row>
    <row r="419" ht="15.75" spans="1:5">
      <c r="A419" s="33">
        <v>3045444.532</v>
      </c>
      <c r="B419" s="33">
        <v>399788505</v>
      </c>
      <c r="C419" s="33">
        <v>611.54</v>
      </c>
      <c r="D419" s="11">
        <v>45343</v>
      </c>
      <c r="E419" s="88">
        <v>450.752</v>
      </c>
    </row>
    <row r="420" ht="15.75" spans="1:5">
      <c r="A420" s="33">
        <v>3045444.532</v>
      </c>
      <c r="B420" s="33">
        <v>399788505</v>
      </c>
      <c r="C420" s="33">
        <v>611.54</v>
      </c>
      <c r="D420" s="11">
        <v>45344</v>
      </c>
      <c r="E420" s="88">
        <v>450.688</v>
      </c>
    </row>
    <row r="421" ht="15.75" spans="1:5">
      <c r="A421" s="33">
        <v>3045444.532</v>
      </c>
      <c r="B421" s="33">
        <v>399788505</v>
      </c>
      <c r="C421" s="33">
        <v>611.54</v>
      </c>
      <c r="D421" s="11">
        <v>45345</v>
      </c>
      <c r="E421" s="88">
        <v>450.623</v>
      </c>
    </row>
    <row r="422" ht="15.75" spans="1:5">
      <c r="A422" s="33">
        <v>3045444.532</v>
      </c>
      <c r="B422" s="33">
        <v>399788505</v>
      </c>
      <c r="C422" s="33">
        <v>611.54</v>
      </c>
      <c r="D422" s="11">
        <v>45346</v>
      </c>
      <c r="E422" s="88">
        <v>450.631</v>
      </c>
    </row>
    <row r="423" ht="15.75" spans="1:5">
      <c r="A423" s="33">
        <v>3045444.532</v>
      </c>
      <c r="B423" s="33">
        <v>399788505</v>
      </c>
      <c r="C423" s="33">
        <v>611.54</v>
      </c>
      <c r="D423" s="11">
        <v>45347</v>
      </c>
      <c r="E423" s="88">
        <v>450.617</v>
      </c>
    </row>
    <row r="424" ht="15.75" spans="1:5">
      <c r="A424" s="33">
        <v>3045444.532</v>
      </c>
      <c r="B424" s="33">
        <v>399788505</v>
      </c>
      <c r="C424" s="33">
        <v>611.54</v>
      </c>
      <c r="D424" s="11">
        <v>45348</v>
      </c>
      <c r="E424" s="88">
        <v>450.596</v>
      </c>
    </row>
    <row r="425" ht="15.75" spans="1:5">
      <c r="A425" s="33">
        <v>3045444.532</v>
      </c>
      <c r="B425" s="33">
        <v>399788505</v>
      </c>
      <c r="C425" s="33">
        <v>611.54</v>
      </c>
      <c r="D425" s="11">
        <v>45349</v>
      </c>
      <c r="E425" s="88">
        <v>450.54</v>
      </c>
    </row>
    <row r="426" ht="15.75" spans="1:5">
      <c r="A426" s="33">
        <v>3045444.532</v>
      </c>
      <c r="B426" s="33">
        <v>399788505</v>
      </c>
      <c r="C426" s="33">
        <v>611.54</v>
      </c>
      <c r="D426" s="11">
        <v>45350</v>
      </c>
      <c r="E426" s="88">
        <v>450.509</v>
      </c>
    </row>
    <row r="427" ht="15.75" spans="1:5">
      <c r="A427" s="33">
        <v>3045444.532</v>
      </c>
      <c r="B427" s="33">
        <v>399788505</v>
      </c>
      <c r="C427" s="33">
        <v>611.54</v>
      </c>
      <c r="D427" s="11">
        <v>45351</v>
      </c>
      <c r="E427" s="88">
        <v>450.526</v>
      </c>
    </row>
    <row r="428" ht="15.75" spans="1:5">
      <c r="A428" s="33">
        <v>3045444.532</v>
      </c>
      <c r="B428" s="33">
        <v>399788505</v>
      </c>
      <c r="C428" s="33">
        <v>611.54</v>
      </c>
      <c r="D428" s="11">
        <v>45352</v>
      </c>
      <c r="E428" s="88">
        <v>450.658</v>
      </c>
    </row>
    <row r="429" ht="15.75" spans="1:5">
      <c r="A429" s="33">
        <v>3045444.532</v>
      </c>
      <c r="B429" s="33">
        <v>399788505</v>
      </c>
      <c r="C429" s="33">
        <v>611.54</v>
      </c>
      <c r="D429" s="11">
        <v>45353</v>
      </c>
      <c r="E429" s="88">
        <v>450.526</v>
      </c>
    </row>
    <row r="430" ht="15.75" spans="1:5">
      <c r="A430" s="33">
        <v>3045444.532</v>
      </c>
      <c r="B430" s="33">
        <v>399788505</v>
      </c>
      <c r="C430" s="33">
        <v>611.54</v>
      </c>
      <c r="D430" s="11">
        <v>45354</v>
      </c>
      <c r="E430" s="88">
        <v>450.658</v>
      </c>
    </row>
    <row r="431" ht="15.75" spans="1:5">
      <c r="A431" s="33">
        <v>3045444.532</v>
      </c>
      <c r="B431" s="33">
        <v>399788505</v>
      </c>
      <c r="C431" s="33">
        <v>611.54</v>
      </c>
      <c r="D431" s="11">
        <v>45355</v>
      </c>
      <c r="E431" s="88">
        <v>450.712</v>
      </c>
    </row>
    <row r="432" ht="15.75" spans="1:5">
      <c r="A432" s="33">
        <v>3045444.532</v>
      </c>
      <c r="B432" s="33">
        <v>399788505</v>
      </c>
      <c r="C432" s="33">
        <v>611.54</v>
      </c>
      <c r="D432" s="11">
        <v>45356</v>
      </c>
      <c r="E432" s="88">
        <v>450.557</v>
      </c>
    </row>
    <row r="433" ht="15.75" spans="1:5">
      <c r="A433" s="33">
        <v>3045444.532</v>
      </c>
      <c r="B433" s="33">
        <v>399788505</v>
      </c>
      <c r="C433" s="33">
        <v>611.54</v>
      </c>
      <c r="D433" s="11">
        <v>45357</v>
      </c>
      <c r="E433" s="88">
        <v>450.438</v>
      </c>
    </row>
    <row r="434" ht="15.75" spans="1:5">
      <c r="A434" s="33">
        <v>3045444.532</v>
      </c>
      <c r="B434" s="33">
        <v>399788505</v>
      </c>
      <c r="C434" s="33">
        <v>611.54</v>
      </c>
      <c r="D434" s="11">
        <v>45358</v>
      </c>
      <c r="E434" s="88">
        <v>450.381</v>
      </c>
    </row>
    <row r="435" ht="15.75" spans="1:5">
      <c r="A435" s="33">
        <v>3045444.532</v>
      </c>
      <c r="B435" s="33">
        <v>399788505</v>
      </c>
      <c r="C435" s="33">
        <v>611.54</v>
      </c>
      <c r="D435" s="11">
        <v>45359</v>
      </c>
      <c r="E435" s="88">
        <v>450.349</v>
      </c>
    </row>
    <row r="436" ht="15.75" spans="1:5">
      <c r="A436" s="33">
        <v>3045444.532</v>
      </c>
      <c r="B436" s="33">
        <v>399788505</v>
      </c>
      <c r="C436" s="33">
        <v>611.54</v>
      </c>
      <c r="D436" s="11">
        <v>45360</v>
      </c>
      <c r="E436" s="88">
        <v>450.338</v>
      </c>
    </row>
    <row r="437" ht="15.75" spans="1:5">
      <c r="A437" s="33">
        <v>3045444.532</v>
      </c>
      <c r="B437" s="33">
        <v>399788505</v>
      </c>
      <c r="C437" s="33">
        <v>611.54</v>
      </c>
      <c r="D437" s="11">
        <v>45361</v>
      </c>
      <c r="E437" s="88">
        <v>450.317</v>
      </c>
    </row>
    <row r="438" ht="15.75" spans="1:5">
      <c r="A438" s="33">
        <v>3045444.532</v>
      </c>
      <c r="B438" s="33">
        <v>399788505</v>
      </c>
      <c r="C438" s="33">
        <v>611.54</v>
      </c>
      <c r="D438" s="11">
        <v>45362</v>
      </c>
      <c r="E438" s="88">
        <v>450.225</v>
      </c>
    </row>
    <row r="439" ht="15.75" spans="1:5">
      <c r="A439" s="33">
        <v>3045444.532</v>
      </c>
      <c r="B439" s="33">
        <v>399788505</v>
      </c>
      <c r="C439" s="33">
        <v>611.54</v>
      </c>
      <c r="D439" s="11">
        <v>45363</v>
      </c>
      <c r="E439" s="88">
        <v>450.324</v>
      </c>
    </row>
    <row r="440" ht="15.75" spans="1:5">
      <c r="A440" s="33">
        <v>3045444.532</v>
      </c>
      <c r="B440" s="33">
        <v>399788505</v>
      </c>
      <c r="C440" s="33">
        <v>611.54</v>
      </c>
      <c r="D440" s="11">
        <v>45364</v>
      </c>
      <c r="E440" s="88">
        <v>450.289</v>
      </c>
    </row>
    <row r="441" ht="15.75" spans="1:5">
      <c r="A441" s="33">
        <v>3045444.532</v>
      </c>
      <c r="B441" s="33">
        <v>399788505</v>
      </c>
      <c r="C441" s="33">
        <v>611.54</v>
      </c>
      <c r="D441" s="11">
        <v>45365</v>
      </c>
      <c r="E441" s="88">
        <v>450.261</v>
      </c>
    </row>
    <row r="442" ht="15.75" spans="1:5">
      <c r="A442" s="33">
        <v>3045444.532</v>
      </c>
      <c r="B442" s="33">
        <v>399788505</v>
      </c>
      <c r="C442" s="33">
        <v>611.54</v>
      </c>
      <c r="D442" s="11">
        <v>45366</v>
      </c>
      <c r="E442" s="88">
        <v>450.291</v>
      </c>
    </row>
    <row r="443" ht="15.75" spans="1:5">
      <c r="A443" s="33">
        <v>3045444.532</v>
      </c>
      <c r="B443" s="33">
        <v>399788505</v>
      </c>
      <c r="C443" s="33">
        <v>611.54</v>
      </c>
      <c r="D443" s="11">
        <v>45367</v>
      </c>
      <c r="E443" s="88">
        <v>450.211</v>
      </c>
    </row>
    <row r="444" ht="15.75" spans="1:5">
      <c r="A444" s="33">
        <v>3045444.532</v>
      </c>
      <c r="B444" s="33">
        <v>399788505</v>
      </c>
      <c r="C444" s="33">
        <v>611.54</v>
      </c>
      <c r="D444" s="11">
        <v>45368</v>
      </c>
      <c r="E444" s="88">
        <v>450.188</v>
      </c>
    </row>
    <row r="445" ht="15.75" spans="1:5">
      <c r="A445" s="33">
        <v>3045444.532</v>
      </c>
      <c r="B445" s="33">
        <v>399788505</v>
      </c>
      <c r="C445" s="33">
        <v>611.54</v>
      </c>
      <c r="D445" s="11">
        <v>45369</v>
      </c>
      <c r="E445" s="88">
        <v>450.124</v>
      </c>
    </row>
    <row r="446" ht="15.75" spans="1:5">
      <c r="A446" s="33">
        <v>3045444.532</v>
      </c>
      <c r="B446" s="33">
        <v>399788505</v>
      </c>
      <c r="C446" s="33">
        <v>611.54</v>
      </c>
      <c r="D446" s="11">
        <v>45370</v>
      </c>
      <c r="E446" s="88">
        <v>450.056</v>
      </c>
    </row>
    <row r="447" ht="15.75" spans="1:5">
      <c r="A447" s="33">
        <v>3045444.532</v>
      </c>
      <c r="B447" s="33">
        <v>399788505</v>
      </c>
      <c r="C447" s="33">
        <v>611.54</v>
      </c>
      <c r="D447" s="11">
        <v>45371</v>
      </c>
      <c r="E447" s="88">
        <v>450.071</v>
      </c>
    </row>
    <row r="448" ht="15.75" spans="1:5">
      <c r="A448" s="33">
        <v>3045444.532</v>
      </c>
      <c r="B448" s="33">
        <v>399788505</v>
      </c>
      <c r="C448" s="33">
        <v>611.54</v>
      </c>
      <c r="D448" s="11">
        <v>45372</v>
      </c>
      <c r="E448" s="88">
        <v>450.207</v>
      </c>
    </row>
    <row r="449" ht="15.75" spans="1:5">
      <c r="A449" s="33">
        <v>3045444.532</v>
      </c>
      <c r="B449" s="33">
        <v>399788505</v>
      </c>
      <c r="C449" s="33">
        <v>611.54</v>
      </c>
      <c r="D449" s="11">
        <v>45373</v>
      </c>
      <c r="E449" s="88">
        <v>450.321</v>
      </c>
    </row>
    <row r="450" ht="15.75" spans="1:5">
      <c r="A450" s="33">
        <v>3045444.532</v>
      </c>
      <c r="B450" s="33">
        <v>399788505</v>
      </c>
      <c r="C450" s="33">
        <v>611.54</v>
      </c>
      <c r="D450" s="11">
        <v>45374</v>
      </c>
      <c r="E450" s="88">
        <v>450.271</v>
      </c>
    </row>
    <row r="451" ht="15.75" spans="1:5">
      <c r="A451" s="33">
        <v>3045444.532</v>
      </c>
      <c r="B451" s="33">
        <v>399788505</v>
      </c>
      <c r="C451" s="33">
        <v>611.54</v>
      </c>
      <c r="D451" s="11">
        <v>45375</v>
      </c>
      <c r="E451" s="88">
        <v>450.205</v>
      </c>
    </row>
    <row r="452" ht="15.75" spans="1:5">
      <c r="A452" s="33">
        <v>3045444.532</v>
      </c>
      <c r="B452" s="33">
        <v>399788505</v>
      </c>
      <c r="C452" s="33">
        <v>611.54</v>
      </c>
      <c r="D452" s="11">
        <v>45376</v>
      </c>
      <c r="E452" s="88">
        <v>449.992</v>
      </c>
    </row>
    <row r="453" ht="15.75" spans="1:5">
      <c r="A453" s="33">
        <v>3045444.532</v>
      </c>
      <c r="B453" s="33">
        <v>399788505</v>
      </c>
      <c r="C453" s="33">
        <v>611.54</v>
      </c>
      <c r="D453" s="11">
        <v>45377</v>
      </c>
      <c r="E453" s="88">
        <v>449.973</v>
      </c>
    </row>
    <row r="454" ht="15.75" spans="1:5">
      <c r="A454" s="33">
        <v>3045444.532</v>
      </c>
      <c r="B454" s="33">
        <v>399788505</v>
      </c>
      <c r="C454" s="33">
        <v>611.54</v>
      </c>
      <c r="D454" s="11">
        <v>45378</v>
      </c>
      <c r="E454" s="88">
        <v>450.029</v>
      </c>
    </row>
    <row r="455" ht="15.75" spans="1:5">
      <c r="A455" s="33">
        <v>3045444.532</v>
      </c>
      <c r="B455" s="33">
        <v>399788505</v>
      </c>
      <c r="C455" s="33">
        <v>611.54</v>
      </c>
      <c r="D455" s="11">
        <v>45379</v>
      </c>
      <c r="E455" s="88">
        <v>449.94</v>
      </c>
    </row>
    <row r="456" ht="15.75" spans="1:5">
      <c r="A456" s="33">
        <v>3045444.532</v>
      </c>
      <c r="B456" s="33">
        <v>399788505</v>
      </c>
      <c r="C456" s="33">
        <v>611.54</v>
      </c>
      <c r="D456" s="11">
        <v>45380</v>
      </c>
      <c r="E456" s="88">
        <v>450.014</v>
      </c>
    </row>
    <row r="457" ht="15.75" spans="1:5">
      <c r="A457" s="33">
        <v>3045444.532</v>
      </c>
      <c r="B457" s="33">
        <v>399788505</v>
      </c>
      <c r="C457" s="33">
        <v>611.54</v>
      </c>
      <c r="D457" s="11">
        <v>45381</v>
      </c>
      <c r="E457" s="88">
        <v>450.005</v>
      </c>
    </row>
    <row r="458" ht="15.75" spans="1:5">
      <c r="A458" s="33">
        <v>3045444.532</v>
      </c>
      <c r="B458" s="33">
        <v>399788505</v>
      </c>
      <c r="C458" s="33">
        <v>611.54</v>
      </c>
      <c r="D458" s="11">
        <v>45382</v>
      </c>
      <c r="E458" s="88">
        <v>449.955</v>
      </c>
    </row>
    <row r="459" ht="15.75" spans="1:5">
      <c r="A459" s="33">
        <v>3045444.532</v>
      </c>
      <c r="B459" s="33">
        <v>399788505</v>
      </c>
      <c r="C459" s="33">
        <v>611.54</v>
      </c>
      <c r="D459" s="11">
        <v>45383</v>
      </c>
      <c r="E459" s="88">
        <v>450.041</v>
      </c>
    </row>
    <row r="460" ht="15.75" spans="1:5">
      <c r="A460" s="33">
        <v>3045444.532</v>
      </c>
      <c r="B460" s="33">
        <v>399788505</v>
      </c>
      <c r="C460" s="33">
        <v>611.54</v>
      </c>
      <c r="D460" s="11">
        <v>45384</v>
      </c>
      <c r="E460" s="88">
        <v>449.99</v>
      </c>
    </row>
    <row r="461" ht="15.75" spans="1:5">
      <c r="A461" s="33">
        <v>3045444.532</v>
      </c>
      <c r="B461" s="33">
        <v>399788505</v>
      </c>
      <c r="C461" s="33">
        <v>611.54</v>
      </c>
      <c r="D461" s="11">
        <v>45385</v>
      </c>
      <c r="E461" s="88">
        <v>449.934</v>
      </c>
    </row>
    <row r="462" ht="15.75" spans="1:5">
      <c r="A462" s="33">
        <v>3045444.532</v>
      </c>
      <c r="B462" s="33">
        <v>399788505</v>
      </c>
      <c r="C462" s="33">
        <v>611.54</v>
      </c>
      <c r="D462" s="11">
        <v>45386</v>
      </c>
      <c r="E462" s="88">
        <v>449.858</v>
      </c>
    </row>
    <row r="463" ht="15.75" spans="1:5">
      <c r="A463" s="33">
        <v>3045444.532</v>
      </c>
      <c r="B463" s="33">
        <v>399788505</v>
      </c>
      <c r="C463" s="33">
        <v>611.54</v>
      </c>
      <c r="D463" s="11">
        <v>45387</v>
      </c>
      <c r="E463" s="88">
        <v>449.871</v>
      </c>
    </row>
    <row r="464" ht="15.75" spans="1:5">
      <c r="A464" s="33">
        <v>3045444.532</v>
      </c>
      <c r="B464" s="33">
        <v>399788505</v>
      </c>
      <c r="C464" s="33">
        <v>611.54</v>
      </c>
      <c r="D464" s="11">
        <v>45388</v>
      </c>
      <c r="E464" s="88">
        <v>449.795</v>
      </c>
    </row>
    <row r="465" ht="15.75" spans="1:5">
      <c r="A465" s="33">
        <v>3045444.532</v>
      </c>
      <c r="B465" s="33">
        <v>399788505</v>
      </c>
      <c r="C465" s="33">
        <v>611.54</v>
      </c>
      <c r="D465" s="11">
        <v>45389</v>
      </c>
      <c r="E465" s="88">
        <v>449.784</v>
      </c>
    </row>
    <row r="466" ht="15.75" spans="1:5">
      <c r="A466" s="33">
        <v>3045444.532</v>
      </c>
      <c r="B466" s="33">
        <v>399788505</v>
      </c>
      <c r="C466" s="33">
        <v>611.54</v>
      </c>
      <c r="D466" s="11">
        <v>45390</v>
      </c>
      <c r="E466" s="88">
        <v>449.71</v>
      </c>
    </row>
    <row r="467" ht="15.75" spans="1:5">
      <c r="A467" s="33">
        <v>3045444.532</v>
      </c>
      <c r="B467" s="33">
        <v>399788505</v>
      </c>
      <c r="C467" s="33">
        <v>611.54</v>
      </c>
      <c r="D467" s="11">
        <v>45391</v>
      </c>
      <c r="E467" s="88">
        <v>449.692</v>
      </c>
    </row>
    <row r="468" ht="15.75" spans="1:5">
      <c r="A468" s="33">
        <v>3045444.532</v>
      </c>
      <c r="B468" s="33">
        <v>399788505</v>
      </c>
      <c r="C468" s="33">
        <v>611.54</v>
      </c>
      <c r="D468" s="11">
        <v>45392</v>
      </c>
      <c r="E468" s="88">
        <v>449.709</v>
      </c>
    </row>
    <row r="469" ht="15.75" spans="1:5">
      <c r="A469" s="33">
        <v>3045444.532</v>
      </c>
      <c r="B469" s="33">
        <v>399788505</v>
      </c>
      <c r="C469" s="33">
        <v>611.54</v>
      </c>
      <c r="D469" s="11">
        <v>45393</v>
      </c>
      <c r="E469" s="88">
        <v>449.686</v>
      </c>
    </row>
    <row r="470" ht="15.75" spans="1:5">
      <c r="A470" s="33">
        <v>3045444.532</v>
      </c>
      <c r="B470" s="33">
        <v>399788505</v>
      </c>
      <c r="C470" s="33">
        <v>611.54</v>
      </c>
      <c r="D470" s="11">
        <v>45394</v>
      </c>
      <c r="E470" s="88">
        <v>449.702</v>
      </c>
    </row>
    <row r="471" ht="15.75" spans="1:5">
      <c r="A471" s="33">
        <v>3045444.532</v>
      </c>
      <c r="B471" s="33">
        <v>399788505</v>
      </c>
      <c r="C471" s="33">
        <v>611.54</v>
      </c>
      <c r="D471" s="11">
        <v>45395</v>
      </c>
      <c r="E471" s="88">
        <v>449.755</v>
      </c>
    </row>
    <row r="472" ht="15.75" spans="1:5">
      <c r="A472" s="33">
        <v>3045444.532</v>
      </c>
      <c r="B472" s="33">
        <v>399788505</v>
      </c>
      <c r="C472" s="33">
        <v>611.54</v>
      </c>
      <c r="D472" s="11">
        <v>45396</v>
      </c>
      <c r="E472" s="88">
        <v>449.668</v>
      </c>
    </row>
    <row r="473" ht="15.75" spans="1:5">
      <c r="A473" s="33">
        <v>3045444.532</v>
      </c>
      <c r="B473" s="33">
        <v>399788505</v>
      </c>
      <c r="C473" s="33">
        <v>611.54</v>
      </c>
      <c r="D473" s="11">
        <v>45397</v>
      </c>
      <c r="E473" s="88">
        <v>449.66</v>
      </c>
    </row>
    <row r="474" ht="15.75" spans="1:5">
      <c r="A474" s="33">
        <v>3045444.532</v>
      </c>
      <c r="B474" s="33">
        <v>399788505</v>
      </c>
      <c r="C474" s="33">
        <v>611.54</v>
      </c>
      <c r="D474" s="11">
        <v>45398</v>
      </c>
      <c r="E474" s="88">
        <v>449.649</v>
      </c>
    </row>
    <row r="475" ht="15.75" spans="1:5">
      <c r="A475" s="33">
        <v>3045444.532</v>
      </c>
      <c r="B475" s="33">
        <v>399788505</v>
      </c>
      <c r="C475" s="33">
        <v>611.54</v>
      </c>
      <c r="D475" s="11">
        <v>45399</v>
      </c>
      <c r="E475" s="88">
        <v>449.571</v>
      </c>
    </row>
    <row r="476" ht="15.75" spans="1:5">
      <c r="A476" s="33">
        <v>3045444.532</v>
      </c>
      <c r="B476" s="33">
        <v>399788505</v>
      </c>
      <c r="C476" s="33">
        <v>611.54</v>
      </c>
      <c r="D476" s="11">
        <v>45400</v>
      </c>
      <c r="E476" s="88">
        <v>449.622</v>
      </c>
    </row>
    <row r="477" ht="15.75" spans="1:5">
      <c r="A477" s="33">
        <v>3045444.532</v>
      </c>
      <c r="B477" s="33">
        <v>399788505</v>
      </c>
      <c r="C477" s="33">
        <v>611.54</v>
      </c>
      <c r="D477" s="11">
        <v>45401</v>
      </c>
      <c r="E477" s="88">
        <v>449.568</v>
      </c>
    </row>
    <row r="478" ht="15.75" spans="1:5">
      <c r="A478" s="33">
        <v>3045444.532</v>
      </c>
      <c r="B478" s="33">
        <v>399788505</v>
      </c>
      <c r="C478" s="33">
        <v>611.54</v>
      </c>
      <c r="D478" s="11">
        <v>45402</v>
      </c>
      <c r="E478" s="88">
        <v>449.517</v>
      </c>
    </row>
    <row r="479" ht="15.75" spans="1:5">
      <c r="A479" s="33">
        <v>3045444.532</v>
      </c>
      <c r="B479" s="33">
        <v>399788505</v>
      </c>
      <c r="C479" s="33">
        <v>611.54</v>
      </c>
      <c r="D479" s="11">
        <v>45403</v>
      </c>
      <c r="E479" s="88">
        <v>449.447</v>
      </c>
    </row>
    <row r="480" ht="15.75" spans="1:5">
      <c r="A480" s="33">
        <v>3045444.532</v>
      </c>
      <c r="B480" s="33">
        <v>399788505</v>
      </c>
      <c r="C480" s="33">
        <v>611.54</v>
      </c>
      <c r="D480" s="11">
        <v>45404</v>
      </c>
      <c r="E480" s="88">
        <v>449.457</v>
      </c>
    </row>
    <row r="481" ht="15.75" spans="1:5">
      <c r="A481" s="33">
        <v>3045444.532</v>
      </c>
      <c r="B481" s="33">
        <v>399788505</v>
      </c>
      <c r="C481" s="33">
        <v>611.54</v>
      </c>
      <c r="D481" s="11">
        <v>45405</v>
      </c>
      <c r="E481" s="88">
        <v>449.373</v>
      </c>
    </row>
    <row r="482" ht="15.75" spans="1:5">
      <c r="A482" s="33">
        <v>3045444.532</v>
      </c>
      <c r="B482" s="33">
        <v>399788505</v>
      </c>
      <c r="C482" s="33">
        <v>611.54</v>
      </c>
      <c r="D482" s="11">
        <v>45406</v>
      </c>
      <c r="E482" s="88">
        <v>449.419</v>
      </c>
    </row>
    <row r="483" ht="15.75" spans="1:5">
      <c r="A483" s="33">
        <v>3045444.532</v>
      </c>
      <c r="B483" s="33">
        <v>399788505</v>
      </c>
      <c r="C483" s="33">
        <v>611.54</v>
      </c>
      <c r="D483" s="11">
        <v>45407</v>
      </c>
      <c r="E483" s="88">
        <v>449.414</v>
      </c>
    </row>
    <row r="484" ht="15.75" spans="1:5">
      <c r="A484" s="33">
        <v>3045444.532</v>
      </c>
      <c r="B484" s="33">
        <v>399788505</v>
      </c>
      <c r="C484" s="33">
        <v>611.54</v>
      </c>
      <c r="D484" s="11">
        <v>45408</v>
      </c>
      <c r="E484" s="88">
        <v>449.413</v>
      </c>
    </row>
    <row r="485" ht="15.75" spans="1:5">
      <c r="A485" s="33">
        <v>3045444.532</v>
      </c>
      <c r="B485" s="33">
        <v>399788505</v>
      </c>
      <c r="C485" s="33">
        <v>611.54</v>
      </c>
      <c r="D485" s="11">
        <v>45409</v>
      </c>
      <c r="E485" s="88">
        <v>449.375</v>
      </c>
    </row>
    <row r="486" ht="15.75" spans="1:5">
      <c r="A486" s="33">
        <v>3045444.532</v>
      </c>
      <c r="B486" s="33">
        <v>399788505</v>
      </c>
      <c r="C486" s="33">
        <v>611.54</v>
      </c>
      <c r="D486" s="11">
        <v>45410</v>
      </c>
      <c r="E486" s="88">
        <v>449.345</v>
      </c>
    </row>
    <row r="487" ht="15.75" spans="1:5">
      <c r="A487" s="33">
        <v>3045444.532</v>
      </c>
      <c r="B487" s="33">
        <v>399788505</v>
      </c>
      <c r="C487" s="33">
        <v>611.54</v>
      </c>
      <c r="D487" s="11">
        <v>45411</v>
      </c>
      <c r="E487" s="88">
        <v>449.37</v>
      </c>
    </row>
    <row r="488" ht="15.75" spans="1:5">
      <c r="A488" s="33">
        <v>3045444.532</v>
      </c>
      <c r="B488" s="33">
        <v>399788505</v>
      </c>
      <c r="C488" s="33">
        <v>611.54</v>
      </c>
      <c r="D488" s="11">
        <v>45412</v>
      </c>
      <c r="E488" s="88">
        <v>449.216</v>
      </c>
    </row>
    <row r="489" ht="15.75" spans="1:5">
      <c r="A489" s="33">
        <v>3045444.532</v>
      </c>
      <c r="B489" s="33">
        <v>399788505</v>
      </c>
      <c r="C489" s="33">
        <v>611.54</v>
      </c>
      <c r="D489" s="11">
        <v>45413</v>
      </c>
      <c r="E489" s="88">
        <v>449.199</v>
      </c>
    </row>
    <row r="490" ht="15.75" spans="1:5">
      <c r="A490" s="33">
        <v>3045444.532</v>
      </c>
      <c r="B490" s="33">
        <v>399788505</v>
      </c>
      <c r="C490" s="33">
        <v>611.54</v>
      </c>
      <c r="D490" s="11">
        <v>45414</v>
      </c>
      <c r="E490" s="88">
        <v>449.21</v>
      </c>
    </row>
    <row r="491" ht="15.75" spans="1:5">
      <c r="A491" s="33">
        <v>3045444.532</v>
      </c>
      <c r="B491" s="33">
        <v>399788505</v>
      </c>
      <c r="C491" s="33">
        <v>611.54</v>
      </c>
      <c r="D491" s="11">
        <v>45415</v>
      </c>
      <c r="E491" s="88">
        <v>449.207</v>
      </c>
    </row>
    <row r="492" ht="15.75" spans="1:5">
      <c r="A492" s="33">
        <v>3045444.532</v>
      </c>
      <c r="B492" s="33">
        <v>399788505</v>
      </c>
      <c r="C492" s="33">
        <v>611.54</v>
      </c>
      <c r="D492" s="11">
        <v>45416</v>
      </c>
      <c r="E492" s="88">
        <v>449.15</v>
      </c>
    </row>
    <row r="493" ht="15.75" spans="1:5">
      <c r="A493" s="33">
        <v>3045444.532</v>
      </c>
      <c r="B493" s="33">
        <v>399788505</v>
      </c>
      <c r="C493" s="33">
        <v>611.54</v>
      </c>
      <c r="D493" s="11">
        <v>45417</v>
      </c>
      <c r="E493" s="88">
        <v>449.13</v>
      </c>
    </row>
    <row r="494" ht="15.75" spans="1:5">
      <c r="A494" s="33">
        <v>3045444.532</v>
      </c>
      <c r="B494" s="33">
        <v>399788505</v>
      </c>
      <c r="C494" s="33">
        <v>611.54</v>
      </c>
      <c r="D494" s="11">
        <v>45418</v>
      </c>
      <c r="E494" s="88">
        <v>449.112</v>
      </c>
    </row>
    <row r="495" ht="15.75" spans="1:5">
      <c r="A495" s="33">
        <v>3045444.532</v>
      </c>
      <c r="B495" s="33">
        <v>399788505</v>
      </c>
      <c r="C495" s="33">
        <v>611.54</v>
      </c>
      <c r="D495" s="11">
        <v>45419</v>
      </c>
      <c r="E495" s="88">
        <v>449.05</v>
      </c>
    </row>
    <row r="496" ht="15.75" spans="1:5">
      <c r="A496" s="33">
        <v>3045444.532</v>
      </c>
      <c r="B496" s="33">
        <v>399788505</v>
      </c>
      <c r="C496" s="33">
        <v>611.54</v>
      </c>
      <c r="D496" s="11">
        <v>45420</v>
      </c>
      <c r="E496" s="88">
        <v>449.035</v>
      </c>
    </row>
    <row r="497" ht="15.75" spans="1:5">
      <c r="A497" s="33">
        <v>3045444.532</v>
      </c>
      <c r="B497" s="33">
        <v>399788505</v>
      </c>
      <c r="C497" s="33">
        <v>611.54</v>
      </c>
      <c r="D497" s="11">
        <v>45421</v>
      </c>
      <c r="E497" s="88">
        <v>449.05</v>
      </c>
    </row>
    <row r="498" ht="15.75" spans="1:5">
      <c r="A498" s="33">
        <v>3045444.532</v>
      </c>
      <c r="B498" s="33">
        <v>399788505</v>
      </c>
      <c r="C498" s="33">
        <v>611.54</v>
      </c>
      <c r="D498" s="11">
        <v>45422</v>
      </c>
      <c r="E498" s="88">
        <v>449.114</v>
      </c>
    </row>
    <row r="499" ht="15.75" spans="1:5">
      <c r="A499" s="33">
        <v>3045444.532</v>
      </c>
      <c r="B499" s="33">
        <v>399788505</v>
      </c>
      <c r="C499" s="33">
        <v>611.54</v>
      </c>
      <c r="D499" s="11">
        <v>45423</v>
      </c>
      <c r="E499" s="88">
        <v>448.99</v>
      </c>
    </row>
  </sheetData>
  <mergeCells count="1">
    <mergeCell ref="A1:C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B6" sqref="B6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30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>
        <v>3045348.099</v>
      </c>
      <c r="B3" s="33">
        <v>398913.477</v>
      </c>
      <c r="C3" s="33">
        <v>612.32</v>
      </c>
      <c r="D3" s="34">
        <v>44927</v>
      </c>
      <c r="E3" s="85"/>
      <c r="F3" t="s">
        <v>497</v>
      </c>
    </row>
    <row r="4" ht="15.75" spans="1:5">
      <c r="A4" s="33">
        <v>3045348.099</v>
      </c>
      <c r="B4" s="33">
        <v>398913.477</v>
      </c>
      <c r="C4" s="33">
        <v>612.32</v>
      </c>
      <c r="D4" s="11">
        <v>44928</v>
      </c>
      <c r="E4" s="85"/>
    </row>
    <row r="5" ht="15.75" spans="1:5">
      <c r="A5" s="33">
        <v>3045348.099</v>
      </c>
      <c r="B5" s="33">
        <v>398913.477</v>
      </c>
      <c r="C5" s="33">
        <v>612.32</v>
      </c>
      <c r="D5" s="11">
        <v>44929</v>
      </c>
      <c r="E5" s="86"/>
    </row>
    <row r="6" ht="15.75" spans="1:5">
      <c r="A6" s="33">
        <v>3045348.099</v>
      </c>
      <c r="B6" s="33">
        <v>398913.477</v>
      </c>
      <c r="C6" s="33">
        <v>612.32</v>
      </c>
      <c r="D6" s="11">
        <v>44930</v>
      </c>
      <c r="E6" s="85"/>
    </row>
    <row r="7" ht="15.75" spans="1:5">
      <c r="A7" s="33">
        <v>3045348.099</v>
      </c>
      <c r="B7" s="33">
        <v>398913.477</v>
      </c>
      <c r="C7" s="33">
        <v>612.32</v>
      </c>
      <c r="D7" s="11">
        <v>44931</v>
      </c>
      <c r="E7" s="92"/>
    </row>
    <row r="8" ht="15.75" spans="1:5">
      <c r="A8" s="33">
        <v>3045348.099</v>
      </c>
      <c r="B8" s="33">
        <v>398913.477</v>
      </c>
      <c r="C8" s="33">
        <v>612.32</v>
      </c>
      <c r="D8" s="11">
        <v>44932</v>
      </c>
      <c r="E8" s="86"/>
    </row>
    <row r="9" ht="15.75" spans="1:5">
      <c r="A9" s="33">
        <v>3045348.099</v>
      </c>
      <c r="B9" s="33">
        <v>398913.477</v>
      </c>
      <c r="C9" s="33">
        <v>612.32</v>
      </c>
      <c r="D9" s="11">
        <v>44933</v>
      </c>
      <c r="E9" s="86"/>
    </row>
    <row r="10" ht="15.75" spans="1:5">
      <c r="A10" s="33">
        <v>3045348.099</v>
      </c>
      <c r="B10" s="33">
        <v>398913.477</v>
      </c>
      <c r="C10" s="33">
        <v>612.32</v>
      </c>
      <c r="D10" s="11">
        <v>44934</v>
      </c>
      <c r="E10" s="86"/>
    </row>
    <row r="11" ht="15.75" spans="1:5">
      <c r="A11" s="33">
        <v>3045348.099</v>
      </c>
      <c r="B11" s="33">
        <v>398913.477</v>
      </c>
      <c r="C11" s="33">
        <v>612.32</v>
      </c>
      <c r="D11" s="11">
        <v>44935</v>
      </c>
      <c r="E11" s="86"/>
    </row>
    <row r="12" ht="15.75" spans="1:5">
      <c r="A12" s="33">
        <v>3045348.099</v>
      </c>
      <c r="B12" s="33">
        <v>398913.477</v>
      </c>
      <c r="C12" s="33">
        <v>612.32</v>
      </c>
      <c r="D12" s="11">
        <v>44936</v>
      </c>
      <c r="E12" s="86"/>
    </row>
    <row r="13" ht="15.75" spans="1:5">
      <c r="A13" s="33">
        <v>3045348.099</v>
      </c>
      <c r="B13" s="33">
        <v>398913.477</v>
      </c>
      <c r="C13" s="33">
        <v>612.32</v>
      </c>
      <c r="D13" s="11">
        <v>44937</v>
      </c>
      <c r="E13" s="86"/>
    </row>
    <row r="14" ht="15.75" spans="1:5">
      <c r="A14" s="33">
        <v>3045348.099</v>
      </c>
      <c r="B14" s="33">
        <v>398913.477</v>
      </c>
      <c r="C14" s="33">
        <v>612.32</v>
      </c>
      <c r="D14" s="11">
        <v>44938</v>
      </c>
      <c r="E14" s="85"/>
    </row>
    <row r="15" ht="15.75" spans="1:5">
      <c r="A15" s="33">
        <v>3045348.099</v>
      </c>
      <c r="B15" s="33">
        <v>398913.477</v>
      </c>
      <c r="C15" s="33">
        <v>612.32</v>
      </c>
      <c r="D15" s="11">
        <v>44939</v>
      </c>
      <c r="E15" s="85"/>
    </row>
    <row r="16" ht="15.75" spans="1:5">
      <c r="A16" s="33">
        <v>3045348.099</v>
      </c>
      <c r="B16" s="33">
        <v>398913.477</v>
      </c>
      <c r="C16" s="33">
        <v>612.32</v>
      </c>
      <c r="D16" s="11">
        <v>44940</v>
      </c>
      <c r="E16" s="85"/>
    </row>
    <row r="17" ht="15.75" spans="1:5">
      <c r="A17" s="33">
        <v>3045348.099</v>
      </c>
      <c r="B17" s="33">
        <v>398913.477</v>
      </c>
      <c r="C17" s="33">
        <v>612.32</v>
      </c>
      <c r="D17" s="11">
        <v>44941</v>
      </c>
      <c r="E17" s="85"/>
    </row>
    <row r="18" ht="15.75" spans="1:5">
      <c r="A18" s="33">
        <v>3045348.099</v>
      </c>
      <c r="B18" s="33">
        <v>398913.477</v>
      </c>
      <c r="C18" s="33">
        <v>612.32</v>
      </c>
      <c r="D18" s="11">
        <v>44942</v>
      </c>
      <c r="E18" s="85"/>
    </row>
    <row r="19" ht="15.75" spans="1:5">
      <c r="A19" s="33">
        <v>3045348.099</v>
      </c>
      <c r="B19" s="33">
        <v>398913.477</v>
      </c>
      <c r="C19" s="33">
        <v>612.32</v>
      </c>
      <c r="D19" s="11">
        <v>44943</v>
      </c>
      <c r="E19" s="85"/>
    </row>
    <row r="20" ht="15.75" spans="1:5">
      <c r="A20" s="33">
        <v>3045348.099</v>
      </c>
      <c r="B20" s="33">
        <v>398913.477</v>
      </c>
      <c r="C20" s="33">
        <v>612.32</v>
      </c>
      <c r="D20" s="11">
        <v>44944</v>
      </c>
      <c r="E20" s="86"/>
    </row>
    <row r="21" ht="15.75" spans="1:5">
      <c r="A21" s="33">
        <v>3045348.099</v>
      </c>
      <c r="B21" s="33">
        <v>398913.477</v>
      </c>
      <c r="C21" s="33">
        <v>612.32</v>
      </c>
      <c r="D21" s="11">
        <v>44945</v>
      </c>
      <c r="E21" s="85"/>
    </row>
    <row r="22" ht="15.75" spans="1:5">
      <c r="A22" s="33">
        <v>3045348.099</v>
      </c>
      <c r="B22" s="33">
        <v>398913.477</v>
      </c>
      <c r="C22" s="33">
        <v>612.32</v>
      </c>
      <c r="D22" s="11">
        <v>44946</v>
      </c>
      <c r="E22" s="85"/>
    </row>
    <row r="23" ht="15.75" spans="1:5">
      <c r="A23" s="33">
        <v>3045348.099</v>
      </c>
      <c r="B23" s="33">
        <v>398913.477</v>
      </c>
      <c r="C23" s="33">
        <v>612.32</v>
      </c>
      <c r="D23" s="11">
        <v>44947</v>
      </c>
      <c r="E23" s="85"/>
    </row>
    <row r="24" ht="15.75" spans="1:5">
      <c r="A24" s="33">
        <v>3045348.099</v>
      </c>
      <c r="B24" s="33">
        <v>398913.477</v>
      </c>
      <c r="C24" s="33">
        <v>612.32</v>
      </c>
      <c r="D24" s="11">
        <v>44948</v>
      </c>
      <c r="E24" s="85"/>
    </row>
    <row r="25" ht="15.75" spans="1:5">
      <c r="A25" s="33">
        <v>3045348.099</v>
      </c>
      <c r="B25" s="33">
        <v>398913.477</v>
      </c>
      <c r="C25" s="33">
        <v>612.32</v>
      </c>
      <c r="D25" s="11">
        <v>44949</v>
      </c>
      <c r="E25" s="85"/>
    </row>
    <row r="26" ht="15.75" spans="1:5">
      <c r="A26" s="33">
        <v>3045348.099</v>
      </c>
      <c r="B26" s="33">
        <v>398913.477</v>
      </c>
      <c r="C26" s="33">
        <v>612.32</v>
      </c>
      <c r="D26" s="11">
        <v>44950</v>
      </c>
      <c r="E26" s="85"/>
    </row>
    <row r="27" ht="15.75" spans="1:5">
      <c r="A27" s="33">
        <v>3045348.099</v>
      </c>
      <c r="B27" s="33">
        <v>398913.477</v>
      </c>
      <c r="C27" s="33">
        <v>612.32</v>
      </c>
      <c r="D27" s="11">
        <v>44951</v>
      </c>
      <c r="E27" s="85"/>
    </row>
    <row r="28" ht="15.75" spans="1:5">
      <c r="A28" s="33">
        <v>3045348.099</v>
      </c>
      <c r="B28" s="33">
        <v>398913.477</v>
      </c>
      <c r="C28" s="33">
        <v>612.32</v>
      </c>
      <c r="D28" s="11">
        <v>44952</v>
      </c>
      <c r="E28" s="85"/>
    </row>
    <row r="29" ht="15.75" spans="1:5">
      <c r="A29" s="33">
        <v>3045348.099</v>
      </c>
      <c r="B29" s="33">
        <v>398913.477</v>
      </c>
      <c r="C29" s="33">
        <v>612.32</v>
      </c>
      <c r="D29" s="11">
        <v>44953</v>
      </c>
      <c r="E29" s="85"/>
    </row>
    <row r="30" ht="15.75" spans="1:5">
      <c r="A30" s="33">
        <v>3045348.099</v>
      </c>
      <c r="B30" s="33">
        <v>398913.477</v>
      </c>
      <c r="C30" s="33">
        <v>612.32</v>
      </c>
      <c r="D30" s="11">
        <v>44954</v>
      </c>
      <c r="E30" s="86"/>
    </row>
    <row r="31" ht="15.75" spans="1:5">
      <c r="A31" s="33">
        <v>3045348.099</v>
      </c>
      <c r="B31" s="33">
        <v>398913.477</v>
      </c>
      <c r="C31" s="33">
        <v>612.32</v>
      </c>
      <c r="D31" s="11">
        <v>44955</v>
      </c>
      <c r="E31" s="85"/>
    </row>
    <row r="32" ht="15.75" spans="1:5">
      <c r="A32" s="33">
        <v>3045348.099</v>
      </c>
      <c r="B32" s="33">
        <v>398913.477</v>
      </c>
      <c r="C32" s="33">
        <v>612.32</v>
      </c>
      <c r="D32" s="11">
        <v>44956</v>
      </c>
      <c r="E32" s="85"/>
    </row>
    <row r="33" ht="15.75" spans="1:5">
      <c r="A33" s="33">
        <v>3045348.099</v>
      </c>
      <c r="B33" s="33">
        <v>398913.477</v>
      </c>
      <c r="C33" s="33">
        <v>612.32</v>
      </c>
      <c r="D33" s="11">
        <v>44957</v>
      </c>
      <c r="E33" s="85"/>
    </row>
    <row r="34" ht="15.75" spans="1:5">
      <c r="A34" s="33">
        <v>3045348.099</v>
      </c>
      <c r="B34" s="33">
        <v>398913.477</v>
      </c>
      <c r="C34" s="33">
        <v>612.32</v>
      </c>
      <c r="D34" s="11">
        <v>44958</v>
      </c>
      <c r="E34" s="85"/>
    </row>
    <row r="35" ht="15.75" spans="1:5">
      <c r="A35" s="33">
        <v>3045348.099</v>
      </c>
      <c r="B35" s="33">
        <v>398913.477</v>
      </c>
      <c r="C35" s="33">
        <v>612.32</v>
      </c>
      <c r="D35" s="11">
        <v>44959</v>
      </c>
      <c r="E35" s="93"/>
    </row>
    <row r="36" ht="15.75" spans="1:5">
      <c r="A36" s="33">
        <v>3045348.099</v>
      </c>
      <c r="B36" s="33">
        <v>398913.477</v>
      </c>
      <c r="C36" s="33">
        <v>612.32</v>
      </c>
      <c r="D36" s="11">
        <v>44960</v>
      </c>
      <c r="E36" s="85"/>
    </row>
    <row r="37" ht="15.75" spans="1:5">
      <c r="A37" s="33">
        <v>3045348.099</v>
      </c>
      <c r="B37" s="33">
        <v>398913.477</v>
      </c>
      <c r="C37" s="33">
        <v>612.32</v>
      </c>
      <c r="D37" s="11">
        <v>44961</v>
      </c>
      <c r="E37" s="85"/>
    </row>
    <row r="38" ht="15.75" spans="1:5">
      <c r="A38" s="33">
        <v>3045348.099</v>
      </c>
      <c r="B38" s="33">
        <v>398913.477</v>
      </c>
      <c r="C38" s="33">
        <v>612.32</v>
      </c>
      <c r="D38" s="11">
        <v>44962</v>
      </c>
      <c r="E38" s="85"/>
    </row>
    <row r="39" ht="15.75" spans="1:5">
      <c r="A39" s="33">
        <v>3045348.099</v>
      </c>
      <c r="B39" s="33">
        <v>398913.477</v>
      </c>
      <c r="C39" s="33">
        <v>612.32</v>
      </c>
      <c r="D39" s="11">
        <v>44963</v>
      </c>
      <c r="E39" s="85"/>
    </row>
    <row r="40" ht="15.75" spans="1:5">
      <c r="A40" s="33">
        <v>3045348.099</v>
      </c>
      <c r="B40" s="33">
        <v>398913.477</v>
      </c>
      <c r="C40" s="33">
        <v>612.32</v>
      </c>
      <c r="D40" s="11">
        <v>44964</v>
      </c>
      <c r="E40" s="85"/>
    </row>
    <row r="41" ht="15.75" spans="1:5">
      <c r="A41" s="33">
        <v>3045348.099</v>
      </c>
      <c r="B41" s="33">
        <v>398913.477</v>
      </c>
      <c r="C41" s="33">
        <v>612.32</v>
      </c>
      <c r="D41" s="11">
        <v>44965</v>
      </c>
      <c r="E41" s="86"/>
    </row>
    <row r="42" ht="15.75" spans="1:5">
      <c r="A42" s="33">
        <v>3045348.099</v>
      </c>
      <c r="B42" s="33">
        <v>398913.477</v>
      </c>
      <c r="C42" s="33">
        <v>612.32</v>
      </c>
      <c r="D42" s="11">
        <v>44966</v>
      </c>
      <c r="E42" s="85"/>
    </row>
    <row r="43" ht="15.75" spans="1:5">
      <c r="A43" s="33">
        <v>3045348.099</v>
      </c>
      <c r="B43" s="33">
        <v>398913.477</v>
      </c>
      <c r="C43" s="33">
        <v>612.32</v>
      </c>
      <c r="D43" s="11">
        <v>44967</v>
      </c>
      <c r="E43" s="85"/>
    </row>
    <row r="44" ht="15.75" spans="1:5">
      <c r="A44" s="33">
        <v>3045348.099</v>
      </c>
      <c r="B44" s="33">
        <v>398913.477</v>
      </c>
      <c r="C44" s="33">
        <v>612.32</v>
      </c>
      <c r="D44" s="11">
        <v>44968</v>
      </c>
      <c r="E44" s="85"/>
    </row>
    <row r="45" ht="15.75" spans="1:5">
      <c r="A45" s="33">
        <v>3045348.099</v>
      </c>
      <c r="B45" s="33">
        <v>398913.477</v>
      </c>
      <c r="C45" s="33">
        <v>612.32</v>
      </c>
      <c r="D45" s="11">
        <v>44969</v>
      </c>
      <c r="E45" s="85"/>
    </row>
    <row r="46" ht="15.75" spans="1:5">
      <c r="A46" s="33">
        <v>3045348.099</v>
      </c>
      <c r="B46" s="33">
        <v>398913.477</v>
      </c>
      <c r="C46" s="33">
        <v>612.32</v>
      </c>
      <c r="D46" s="11">
        <v>44970</v>
      </c>
      <c r="E46" s="92"/>
    </row>
    <row r="47" ht="15.75" spans="1:5">
      <c r="A47" s="33">
        <v>3045348.099</v>
      </c>
      <c r="B47" s="33">
        <v>398913.477</v>
      </c>
      <c r="C47" s="33">
        <v>612.32</v>
      </c>
      <c r="D47" s="11">
        <v>44971</v>
      </c>
      <c r="E47" s="85"/>
    </row>
    <row r="48" ht="15.75" spans="1:5">
      <c r="A48" s="33">
        <v>3045348.099</v>
      </c>
      <c r="B48" s="33">
        <v>398913.477</v>
      </c>
      <c r="C48" s="33">
        <v>612.32</v>
      </c>
      <c r="D48" s="11">
        <v>44972</v>
      </c>
      <c r="E48" s="86"/>
    </row>
    <row r="49" ht="15.75" spans="1:5">
      <c r="A49" s="33">
        <v>3045348.099</v>
      </c>
      <c r="B49" s="33">
        <v>398913.477</v>
      </c>
      <c r="C49" s="33">
        <v>612.32</v>
      </c>
      <c r="D49" s="11">
        <v>44973</v>
      </c>
      <c r="E49" s="86"/>
    </row>
    <row r="50" ht="15.75" spans="1:5">
      <c r="A50" s="33">
        <v>3045348.099</v>
      </c>
      <c r="B50" s="33">
        <v>398913.477</v>
      </c>
      <c r="C50" s="33">
        <v>612.32</v>
      </c>
      <c r="D50" s="11">
        <v>44974</v>
      </c>
      <c r="E50" s="86"/>
    </row>
    <row r="51" ht="15.75" spans="1:5">
      <c r="A51" s="33">
        <v>3045348.099</v>
      </c>
      <c r="B51" s="33">
        <v>398913.477</v>
      </c>
      <c r="C51" s="33">
        <v>612.32</v>
      </c>
      <c r="D51" s="11">
        <v>44975</v>
      </c>
      <c r="E51" s="86"/>
    </row>
    <row r="52" ht="15.75" spans="1:5">
      <c r="A52" s="33">
        <v>3045348.099</v>
      </c>
      <c r="B52" s="33">
        <v>398913.477</v>
      </c>
      <c r="C52" s="33">
        <v>612.32</v>
      </c>
      <c r="D52" s="11">
        <v>44976</v>
      </c>
      <c r="E52" s="86"/>
    </row>
    <row r="53" ht="15.75" spans="1:5">
      <c r="A53" s="33">
        <v>3045348.099</v>
      </c>
      <c r="B53" s="33">
        <v>398913.477</v>
      </c>
      <c r="C53" s="33">
        <v>612.32</v>
      </c>
      <c r="D53" s="11">
        <v>44977</v>
      </c>
      <c r="E53" s="86"/>
    </row>
    <row r="54" ht="15.75" spans="1:5">
      <c r="A54" s="33">
        <v>3045348.099</v>
      </c>
      <c r="B54" s="33">
        <v>398913.477</v>
      </c>
      <c r="C54" s="33">
        <v>612.32</v>
      </c>
      <c r="D54" s="11">
        <v>44978</v>
      </c>
      <c r="E54" s="86"/>
    </row>
    <row r="55" ht="15.75" spans="1:5">
      <c r="A55" s="33">
        <v>3045348.099</v>
      </c>
      <c r="B55" s="33">
        <v>398913.477</v>
      </c>
      <c r="C55" s="33">
        <v>612.32</v>
      </c>
      <c r="D55" s="11">
        <v>44979</v>
      </c>
      <c r="E55" s="86"/>
    </row>
    <row r="56" ht="15.75" spans="1:5">
      <c r="A56" s="33">
        <v>3045348.099</v>
      </c>
      <c r="B56" s="33">
        <v>398913.477</v>
      </c>
      <c r="C56" s="33">
        <v>612.32</v>
      </c>
      <c r="D56" s="11">
        <v>44980</v>
      </c>
      <c r="E56" s="86"/>
    </row>
    <row r="57" ht="15.75" spans="1:5">
      <c r="A57" s="33">
        <v>3045348.099</v>
      </c>
      <c r="B57" s="33">
        <v>398913.477</v>
      </c>
      <c r="C57" s="33">
        <v>612.32</v>
      </c>
      <c r="D57" s="11">
        <v>44981</v>
      </c>
      <c r="E57" s="86"/>
    </row>
    <row r="58" ht="15.75" spans="1:5">
      <c r="A58" s="33">
        <v>3045348.099</v>
      </c>
      <c r="B58" s="33">
        <v>398913.477</v>
      </c>
      <c r="C58" s="33">
        <v>612.32</v>
      </c>
      <c r="D58" s="11">
        <v>44982</v>
      </c>
      <c r="E58" s="86"/>
    </row>
    <row r="59" ht="15.75" spans="1:5">
      <c r="A59" s="33">
        <v>3045348.099</v>
      </c>
      <c r="B59" s="33">
        <v>398913.477</v>
      </c>
      <c r="C59" s="33">
        <v>612.32</v>
      </c>
      <c r="D59" s="11">
        <v>44983</v>
      </c>
      <c r="E59" s="86"/>
    </row>
    <row r="60" ht="15.75" spans="1:5">
      <c r="A60" s="33">
        <v>3045348.099</v>
      </c>
      <c r="B60" s="33">
        <v>398913.477</v>
      </c>
      <c r="C60" s="33">
        <v>612.32</v>
      </c>
      <c r="D60" s="11">
        <v>44984</v>
      </c>
      <c r="E60" s="86"/>
    </row>
    <row r="61" ht="15.75" spans="1:5">
      <c r="A61" s="33">
        <v>3045348.099</v>
      </c>
      <c r="B61" s="33">
        <v>398913.477</v>
      </c>
      <c r="C61" s="33">
        <v>612.32</v>
      </c>
      <c r="D61" s="11">
        <v>44985</v>
      </c>
      <c r="E61" s="86"/>
    </row>
    <row r="62" ht="15.75" spans="1:5">
      <c r="A62" s="33">
        <v>3045348.099</v>
      </c>
      <c r="B62" s="33">
        <v>398913.477</v>
      </c>
      <c r="C62" s="33">
        <v>612.32</v>
      </c>
      <c r="D62" s="11">
        <v>44986</v>
      </c>
      <c r="E62" s="86"/>
    </row>
    <row r="63" ht="15.75" spans="1:5">
      <c r="A63" s="33">
        <v>3045348.099</v>
      </c>
      <c r="B63" s="33">
        <v>398913.477</v>
      </c>
      <c r="C63" s="33">
        <v>612.32</v>
      </c>
      <c r="D63" s="11">
        <v>44987</v>
      </c>
      <c r="E63" s="86"/>
    </row>
    <row r="64" ht="15.75" spans="1:5">
      <c r="A64" s="33">
        <v>3045348.099</v>
      </c>
      <c r="B64" s="33">
        <v>398913.477</v>
      </c>
      <c r="C64" s="33">
        <v>612.32</v>
      </c>
      <c r="D64" s="11">
        <v>44988</v>
      </c>
      <c r="E64" s="86"/>
    </row>
    <row r="65" ht="15.75" spans="1:5">
      <c r="A65" s="33">
        <v>3045348.099</v>
      </c>
      <c r="B65" s="33">
        <v>398913.477</v>
      </c>
      <c r="C65" s="33">
        <v>612.32</v>
      </c>
      <c r="D65" s="11">
        <v>44989</v>
      </c>
      <c r="E65" s="86"/>
    </row>
    <row r="66" ht="15.75" spans="1:5">
      <c r="A66" s="33">
        <v>3045348.099</v>
      </c>
      <c r="B66" s="33">
        <v>398913.477</v>
      </c>
      <c r="C66" s="33">
        <v>612.32</v>
      </c>
      <c r="D66" s="11">
        <v>44990</v>
      </c>
      <c r="E66" s="86"/>
    </row>
    <row r="67" ht="15.75" spans="1:5">
      <c r="A67" s="33">
        <v>3045348.099</v>
      </c>
      <c r="B67" s="33">
        <v>398913.477</v>
      </c>
      <c r="C67" s="33">
        <v>612.32</v>
      </c>
      <c r="D67" s="11">
        <v>44991</v>
      </c>
      <c r="E67" s="86"/>
    </row>
    <row r="68" ht="15.75" spans="1:5">
      <c r="A68" s="33">
        <v>3045348.099</v>
      </c>
      <c r="B68" s="33">
        <v>398913.477</v>
      </c>
      <c r="C68" s="33">
        <v>612.32</v>
      </c>
      <c r="D68" s="11">
        <v>44992</v>
      </c>
      <c r="E68" s="86"/>
    </row>
    <row r="69" ht="15.75" spans="1:5">
      <c r="A69" s="33">
        <v>3045348.099</v>
      </c>
      <c r="B69" s="33">
        <v>398913.477</v>
      </c>
      <c r="C69" s="33">
        <v>612.32</v>
      </c>
      <c r="D69" s="11">
        <v>44993</v>
      </c>
      <c r="E69" s="86"/>
    </row>
    <row r="70" ht="15.75" spans="1:5">
      <c r="A70" s="33">
        <v>3045348.099</v>
      </c>
      <c r="B70" s="33">
        <v>398913.477</v>
      </c>
      <c r="C70" s="33">
        <v>612.32</v>
      </c>
      <c r="D70" s="11">
        <v>44994</v>
      </c>
      <c r="E70" s="86"/>
    </row>
    <row r="71" ht="15.75" spans="1:5">
      <c r="A71" s="33">
        <v>3045348.099</v>
      </c>
      <c r="B71" s="33">
        <v>398913.477</v>
      </c>
      <c r="C71" s="33">
        <v>612.32</v>
      </c>
      <c r="D71" s="11">
        <v>44995</v>
      </c>
      <c r="E71" s="86"/>
    </row>
    <row r="72" ht="15.75" spans="1:5">
      <c r="A72" s="33">
        <v>3045348.099</v>
      </c>
      <c r="B72" s="33">
        <v>398913.477</v>
      </c>
      <c r="C72" s="33">
        <v>612.32</v>
      </c>
      <c r="D72" s="11">
        <v>44996</v>
      </c>
      <c r="E72" s="86"/>
    </row>
    <row r="73" ht="15.75" spans="1:5">
      <c r="A73" s="33">
        <v>3045348.099</v>
      </c>
      <c r="B73" s="33">
        <v>398913.477</v>
      </c>
      <c r="C73" s="33">
        <v>612.32</v>
      </c>
      <c r="D73" s="11">
        <v>44997</v>
      </c>
      <c r="E73" s="86"/>
    </row>
    <row r="74" ht="15.75" spans="1:5">
      <c r="A74" s="33">
        <v>3045348.099</v>
      </c>
      <c r="B74" s="33">
        <v>398913.477</v>
      </c>
      <c r="C74" s="33">
        <v>612.32</v>
      </c>
      <c r="D74" s="11">
        <v>44998</v>
      </c>
      <c r="E74" s="86"/>
    </row>
    <row r="75" ht="15.75" spans="1:5">
      <c r="A75" s="33">
        <v>3045348.099</v>
      </c>
      <c r="B75" s="33">
        <v>398913.477</v>
      </c>
      <c r="C75" s="33">
        <v>612.32</v>
      </c>
      <c r="D75" s="11">
        <v>44999</v>
      </c>
      <c r="E75" s="86"/>
    </row>
    <row r="76" ht="15.75" spans="1:5">
      <c r="A76" s="33">
        <v>3045348.099</v>
      </c>
      <c r="B76" s="33">
        <v>398913.477</v>
      </c>
      <c r="C76" s="33">
        <v>612.32</v>
      </c>
      <c r="D76" s="11">
        <v>45000</v>
      </c>
      <c r="E76" s="85"/>
    </row>
    <row r="77" ht="15.75" spans="1:5">
      <c r="A77" s="33">
        <v>3045348.099</v>
      </c>
      <c r="B77" s="33">
        <v>398913.477</v>
      </c>
      <c r="C77" s="33">
        <v>612.32</v>
      </c>
      <c r="D77" s="11">
        <v>45001</v>
      </c>
      <c r="E77" s="85"/>
    </row>
    <row r="78" ht="15.75" spans="1:5">
      <c r="A78" s="33">
        <v>3045348.099</v>
      </c>
      <c r="B78" s="33">
        <v>398913.477</v>
      </c>
      <c r="C78" s="33">
        <v>612.32</v>
      </c>
      <c r="D78" s="11">
        <v>45002</v>
      </c>
      <c r="E78" s="90"/>
    </row>
    <row r="79" ht="15.75" spans="1:5">
      <c r="A79" s="33">
        <v>3045348.099</v>
      </c>
      <c r="B79" s="33">
        <v>398913.477</v>
      </c>
      <c r="C79" s="33">
        <v>612.32</v>
      </c>
      <c r="D79" s="11">
        <v>45003</v>
      </c>
      <c r="E79" s="86"/>
    </row>
    <row r="80" ht="15.75" spans="1:5">
      <c r="A80" s="33">
        <v>3045348.099</v>
      </c>
      <c r="B80" s="33">
        <v>398913.477</v>
      </c>
      <c r="C80" s="33">
        <v>612.32</v>
      </c>
      <c r="D80" s="11">
        <v>45004</v>
      </c>
      <c r="E80" s="86"/>
    </row>
    <row r="81" ht="15.75" spans="1:5">
      <c r="A81" s="33">
        <v>3045348.099</v>
      </c>
      <c r="B81" s="33">
        <v>398913.477</v>
      </c>
      <c r="C81" s="33">
        <v>612.32</v>
      </c>
      <c r="D81" s="11">
        <v>45005</v>
      </c>
      <c r="E81" s="86"/>
    </row>
    <row r="82" ht="15.75" spans="1:5">
      <c r="A82" s="33">
        <v>3045348.099</v>
      </c>
      <c r="B82" s="33">
        <v>398913.477</v>
      </c>
      <c r="C82" s="33">
        <v>612.32</v>
      </c>
      <c r="D82" s="11">
        <v>45006</v>
      </c>
      <c r="E82" s="86"/>
    </row>
    <row r="83" ht="15.75" spans="1:5">
      <c r="A83" s="33">
        <v>3045348.099</v>
      </c>
      <c r="B83" s="33">
        <v>398913.477</v>
      </c>
      <c r="C83" s="33">
        <v>612.32</v>
      </c>
      <c r="D83" s="11">
        <v>45007</v>
      </c>
      <c r="E83" s="86"/>
    </row>
    <row r="84" ht="15.75" spans="1:5">
      <c r="A84" s="33">
        <v>3045348.099</v>
      </c>
      <c r="B84" s="33">
        <v>398913.477</v>
      </c>
      <c r="C84" s="33">
        <v>612.32</v>
      </c>
      <c r="D84" s="11">
        <v>45008</v>
      </c>
      <c r="E84" s="86"/>
    </row>
    <row r="85" ht="15.75" spans="1:5">
      <c r="A85" s="33">
        <v>3045348.099</v>
      </c>
      <c r="B85" s="33">
        <v>398913.477</v>
      </c>
      <c r="C85" s="33">
        <v>612.32</v>
      </c>
      <c r="D85" s="11">
        <v>45009</v>
      </c>
      <c r="E85" s="85"/>
    </row>
    <row r="86" ht="15.75" spans="1:5">
      <c r="A86" s="33">
        <v>3045348.099</v>
      </c>
      <c r="B86" s="33">
        <v>398913.477</v>
      </c>
      <c r="C86" s="33">
        <v>612.32</v>
      </c>
      <c r="D86" s="11">
        <v>45010</v>
      </c>
      <c r="E86" s="85"/>
    </row>
    <row r="87" ht="15.75" spans="1:5">
      <c r="A87" s="33">
        <v>3045348.099</v>
      </c>
      <c r="B87" s="33">
        <v>398913.477</v>
      </c>
      <c r="C87" s="33">
        <v>612.32</v>
      </c>
      <c r="D87" s="11">
        <v>45011</v>
      </c>
      <c r="E87" s="85"/>
    </row>
    <row r="88" ht="15.75" spans="1:5">
      <c r="A88" s="33">
        <v>3045348.099</v>
      </c>
      <c r="B88" s="33">
        <v>398913.477</v>
      </c>
      <c r="C88" s="33">
        <v>612.32</v>
      </c>
      <c r="D88" s="11">
        <v>45012</v>
      </c>
      <c r="E88" s="85"/>
    </row>
    <row r="89" ht="15.75" spans="1:5">
      <c r="A89" s="33">
        <v>3045348.099</v>
      </c>
      <c r="B89" s="33">
        <v>398913.477</v>
      </c>
      <c r="C89" s="33">
        <v>612.32</v>
      </c>
      <c r="D89" s="11">
        <v>45013</v>
      </c>
      <c r="E89" s="85"/>
    </row>
    <row r="90" ht="15.75" spans="1:5">
      <c r="A90" s="33">
        <v>3045348.099</v>
      </c>
      <c r="B90" s="33">
        <v>398913.477</v>
      </c>
      <c r="C90" s="33">
        <v>612.32</v>
      </c>
      <c r="D90" s="11">
        <v>45014</v>
      </c>
      <c r="E90" s="85"/>
    </row>
    <row r="91" ht="15.75" spans="1:5">
      <c r="A91" s="33">
        <v>3045348.099</v>
      </c>
      <c r="B91" s="33">
        <v>398913.477</v>
      </c>
      <c r="C91" s="33">
        <v>612.32</v>
      </c>
      <c r="D91" s="11">
        <v>45015</v>
      </c>
      <c r="E91" s="87"/>
    </row>
    <row r="92" ht="15.75" spans="1:5">
      <c r="A92" s="33">
        <v>3045348.099</v>
      </c>
      <c r="B92" s="33">
        <v>398913.477</v>
      </c>
      <c r="C92" s="33">
        <v>612.32</v>
      </c>
      <c r="D92" s="11">
        <v>45016</v>
      </c>
      <c r="E92" s="85"/>
    </row>
    <row r="93" ht="15.75" spans="1:5">
      <c r="A93" s="33">
        <v>3045348.099</v>
      </c>
      <c r="B93" s="33">
        <v>398913.477</v>
      </c>
      <c r="C93" s="33">
        <v>612.32</v>
      </c>
      <c r="D93" s="11">
        <v>45017</v>
      </c>
      <c r="E93" s="85"/>
    </row>
    <row r="94" ht="15.75" spans="1:5">
      <c r="A94" s="33">
        <v>3045348.099</v>
      </c>
      <c r="B94" s="33">
        <v>398913.477</v>
      </c>
      <c r="C94" s="33">
        <v>612.32</v>
      </c>
      <c r="D94" s="11">
        <v>45018</v>
      </c>
      <c r="E94" s="85"/>
    </row>
    <row r="95" ht="15.75" spans="1:5">
      <c r="A95" s="33">
        <v>3045348.099</v>
      </c>
      <c r="B95" s="33">
        <v>398913.477</v>
      </c>
      <c r="C95" s="33">
        <v>612.32</v>
      </c>
      <c r="D95" s="11">
        <v>45019</v>
      </c>
      <c r="E95" s="85"/>
    </row>
    <row r="96" ht="15.75" spans="1:5">
      <c r="A96" s="33">
        <v>3045348.099</v>
      </c>
      <c r="B96" s="33">
        <v>398913.477</v>
      </c>
      <c r="C96" s="33">
        <v>612.32</v>
      </c>
      <c r="D96" s="11">
        <v>45020</v>
      </c>
      <c r="E96" s="90"/>
    </row>
    <row r="97" ht="15.75" spans="1:5">
      <c r="A97" s="33">
        <v>3045348.099</v>
      </c>
      <c r="B97" s="33">
        <v>398913.477</v>
      </c>
      <c r="C97" s="33">
        <v>612.32</v>
      </c>
      <c r="D97" s="11">
        <v>45021</v>
      </c>
      <c r="E97" s="85"/>
    </row>
    <row r="98" ht="15.75" spans="1:5">
      <c r="A98" s="33">
        <v>3045348.099</v>
      </c>
      <c r="B98" s="33">
        <v>398913.477</v>
      </c>
      <c r="C98" s="33">
        <v>612.32</v>
      </c>
      <c r="D98" s="11">
        <v>45022</v>
      </c>
      <c r="E98" s="86"/>
    </row>
    <row r="99" ht="15.75" spans="1:5">
      <c r="A99" s="33">
        <v>3045348.099</v>
      </c>
      <c r="B99" s="33">
        <v>398913.477</v>
      </c>
      <c r="C99" s="33">
        <v>612.32</v>
      </c>
      <c r="D99" s="11">
        <v>45023</v>
      </c>
      <c r="E99" s="86"/>
    </row>
    <row r="100" ht="15.75" spans="1:5">
      <c r="A100" s="33">
        <v>3045348.099</v>
      </c>
      <c r="B100" s="33">
        <v>398913.477</v>
      </c>
      <c r="C100" s="33">
        <v>612.32</v>
      </c>
      <c r="D100" s="11">
        <v>45024</v>
      </c>
      <c r="E100" s="86"/>
    </row>
    <row r="101" ht="15.75" spans="1:5">
      <c r="A101" s="33">
        <v>3045348.099</v>
      </c>
      <c r="B101" s="33">
        <v>398913.477</v>
      </c>
      <c r="C101" s="33">
        <v>612.32</v>
      </c>
      <c r="D101" s="11">
        <v>45025</v>
      </c>
      <c r="E101" s="86"/>
    </row>
    <row r="102" ht="15.75" spans="1:5">
      <c r="A102" s="33">
        <v>3045348.099</v>
      </c>
      <c r="B102" s="33">
        <v>398913.477</v>
      </c>
      <c r="C102" s="33">
        <v>612.32</v>
      </c>
      <c r="D102" s="11">
        <v>45026</v>
      </c>
      <c r="E102" s="86"/>
    </row>
    <row r="103" ht="15.75" spans="1:5">
      <c r="A103" s="33">
        <v>3045348.099</v>
      </c>
      <c r="B103" s="33">
        <v>398913.477</v>
      </c>
      <c r="C103" s="33">
        <v>612.32</v>
      </c>
      <c r="D103" s="11">
        <v>45027</v>
      </c>
      <c r="E103" s="86"/>
    </row>
    <row r="104" ht="15.75" spans="1:5">
      <c r="A104" s="33">
        <v>3045348.099</v>
      </c>
      <c r="B104" s="33">
        <v>398913.477</v>
      </c>
      <c r="C104" s="33">
        <v>612.32</v>
      </c>
      <c r="D104" s="11">
        <v>45028</v>
      </c>
      <c r="E104" s="90"/>
    </row>
    <row r="105" ht="15.75" spans="1:5">
      <c r="A105" s="33">
        <v>3045348.099</v>
      </c>
      <c r="B105" s="33">
        <v>398913.477</v>
      </c>
      <c r="C105" s="33">
        <v>612.32</v>
      </c>
      <c r="D105" s="11">
        <v>45029</v>
      </c>
      <c r="E105" s="86"/>
    </row>
    <row r="106" ht="15.75" spans="1:5">
      <c r="A106" s="33">
        <v>3045348.099</v>
      </c>
      <c r="B106" s="33">
        <v>398913.477</v>
      </c>
      <c r="C106" s="33">
        <v>612.32</v>
      </c>
      <c r="D106" s="11">
        <v>45030</v>
      </c>
      <c r="E106" s="86"/>
    </row>
    <row r="107" ht="15.75" spans="1:5">
      <c r="A107" s="33">
        <v>3045348.099</v>
      </c>
      <c r="B107" s="33">
        <v>398913.477</v>
      </c>
      <c r="C107" s="33">
        <v>612.32</v>
      </c>
      <c r="D107" s="11">
        <v>45031</v>
      </c>
      <c r="E107" s="86"/>
    </row>
    <row r="108" ht="15.75" spans="1:5">
      <c r="A108" s="33">
        <v>3045348.099</v>
      </c>
      <c r="B108" s="33">
        <v>398913.477</v>
      </c>
      <c r="C108" s="33">
        <v>612.32</v>
      </c>
      <c r="D108" s="11">
        <v>45032</v>
      </c>
      <c r="E108" s="86"/>
    </row>
    <row r="109" ht="15.75" spans="1:5">
      <c r="A109" s="33">
        <v>3045348.099</v>
      </c>
      <c r="B109" s="33">
        <v>398913.477</v>
      </c>
      <c r="C109" s="33">
        <v>612.32</v>
      </c>
      <c r="D109" s="11">
        <v>45033</v>
      </c>
      <c r="E109" s="86"/>
    </row>
    <row r="110" ht="15.75" spans="1:5">
      <c r="A110" s="33">
        <v>3045348.099</v>
      </c>
      <c r="B110" s="33">
        <v>398913.477</v>
      </c>
      <c r="C110" s="33">
        <v>612.32</v>
      </c>
      <c r="D110" s="11">
        <v>45034</v>
      </c>
      <c r="E110" s="86"/>
    </row>
    <row r="111" ht="15.75" spans="1:5">
      <c r="A111" s="33">
        <v>3045348.099</v>
      </c>
      <c r="B111" s="33">
        <v>398913.477</v>
      </c>
      <c r="C111" s="33">
        <v>612.32</v>
      </c>
      <c r="D111" s="11">
        <v>45035</v>
      </c>
      <c r="E111" s="86"/>
    </row>
    <row r="112" ht="15.75" spans="1:5">
      <c r="A112" s="33">
        <v>3045348.099</v>
      </c>
      <c r="B112" s="33">
        <v>398913.477</v>
      </c>
      <c r="C112" s="33">
        <v>612.32</v>
      </c>
      <c r="D112" s="11">
        <v>45036</v>
      </c>
      <c r="E112" s="86"/>
    </row>
    <row r="113" ht="15.75" spans="1:5">
      <c r="A113" s="33">
        <v>3045348.099</v>
      </c>
      <c r="B113" s="33">
        <v>398913.477</v>
      </c>
      <c r="C113" s="33">
        <v>612.32</v>
      </c>
      <c r="D113" s="11">
        <v>45037</v>
      </c>
      <c r="E113" s="86"/>
    </row>
    <row r="114" ht="15.75" spans="1:5">
      <c r="A114" s="33">
        <v>3045348.099</v>
      </c>
      <c r="B114" s="33">
        <v>398913.477</v>
      </c>
      <c r="C114" s="33">
        <v>612.32</v>
      </c>
      <c r="D114" s="11">
        <v>45038</v>
      </c>
      <c r="E114" s="86"/>
    </row>
    <row r="115" ht="15.75" spans="1:5">
      <c r="A115" s="33">
        <v>3045348.099</v>
      </c>
      <c r="B115" s="33">
        <v>398913.477</v>
      </c>
      <c r="C115" s="33">
        <v>612.32</v>
      </c>
      <c r="D115" s="11">
        <v>45039</v>
      </c>
      <c r="E115" s="86"/>
    </row>
    <row r="116" ht="15.75" spans="1:5">
      <c r="A116" s="33">
        <v>3045348.099</v>
      </c>
      <c r="B116" s="33">
        <v>398913.477</v>
      </c>
      <c r="C116" s="33">
        <v>612.32</v>
      </c>
      <c r="D116" s="11">
        <v>45040</v>
      </c>
      <c r="E116" s="86"/>
    </row>
    <row r="117" ht="15.75" spans="1:5">
      <c r="A117" s="33">
        <v>3045348.099</v>
      </c>
      <c r="B117" s="33">
        <v>398913.477</v>
      </c>
      <c r="C117" s="33">
        <v>612.32</v>
      </c>
      <c r="D117" s="11">
        <v>45041</v>
      </c>
      <c r="E117" s="86"/>
    </row>
    <row r="118" ht="15.75" spans="1:5">
      <c r="A118" s="33">
        <v>3045348.099</v>
      </c>
      <c r="B118" s="33">
        <v>398913.477</v>
      </c>
      <c r="C118" s="33">
        <v>612.32</v>
      </c>
      <c r="D118" s="11">
        <v>45042</v>
      </c>
      <c r="E118" s="86"/>
    </row>
    <row r="119" ht="15.75" spans="1:5">
      <c r="A119" s="33">
        <v>3045348.099</v>
      </c>
      <c r="B119" s="33">
        <v>398913.477</v>
      </c>
      <c r="C119" s="33">
        <v>612.32</v>
      </c>
      <c r="D119" s="11">
        <v>45043</v>
      </c>
      <c r="E119" s="86"/>
    </row>
    <row r="120" ht="15.75" spans="1:5">
      <c r="A120" s="33">
        <v>3045348.099</v>
      </c>
      <c r="B120" s="33">
        <v>398913.477</v>
      </c>
      <c r="C120" s="33">
        <v>612.32</v>
      </c>
      <c r="D120" s="11">
        <v>45044</v>
      </c>
      <c r="E120" s="86"/>
    </row>
    <row r="121" ht="15.75" spans="1:5">
      <c r="A121" s="33">
        <v>3045348.099</v>
      </c>
      <c r="B121" s="33">
        <v>398913.477</v>
      </c>
      <c r="C121" s="33">
        <v>612.32</v>
      </c>
      <c r="D121" s="11">
        <v>45045</v>
      </c>
      <c r="E121" s="86"/>
    </row>
    <row r="122" ht="15.75" spans="1:5">
      <c r="A122" s="33">
        <v>3045348.099</v>
      </c>
      <c r="B122" s="33">
        <v>398913.477</v>
      </c>
      <c r="C122" s="33">
        <v>612.32</v>
      </c>
      <c r="D122" s="11">
        <v>45046</v>
      </c>
      <c r="E122" s="86"/>
    </row>
    <row r="123" ht="15.75" spans="1:5">
      <c r="A123" s="33">
        <v>3045348.099</v>
      </c>
      <c r="B123" s="33">
        <v>398913.477</v>
      </c>
      <c r="C123" s="33">
        <v>612.32</v>
      </c>
      <c r="D123" s="11">
        <v>45047</v>
      </c>
      <c r="E123" s="86"/>
    </row>
    <row r="124" ht="15.75" spans="1:5">
      <c r="A124" s="33">
        <v>3045348.099</v>
      </c>
      <c r="B124" s="33">
        <v>398913.477</v>
      </c>
      <c r="C124" s="33">
        <v>612.32</v>
      </c>
      <c r="D124" s="11">
        <v>45048</v>
      </c>
      <c r="E124" s="86"/>
    </row>
    <row r="125" ht="15.75" spans="1:5">
      <c r="A125" s="33">
        <v>3045348.099</v>
      </c>
      <c r="B125" s="33">
        <v>398913.477</v>
      </c>
      <c r="C125" s="33">
        <v>612.32</v>
      </c>
      <c r="D125" s="11">
        <v>45049</v>
      </c>
      <c r="E125" s="86"/>
    </row>
    <row r="126" ht="15.75" spans="1:5">
      <c r="A126" s="33">
        <v>3045348.099</v>
      </c>
      <c r="B126" s="33">
        <v>398913.477</v>
      </c>
      <c r="C126" s="33">
        <v>612.32</v>
      </c>
      <c r="D126" s="11">
        <v>45050</v>
      </c>
      <c r="E126" s="86"/>
    </row>
    <row r="127" ht="15.75" spans="1:5">
      <c r="A127" s="33">
        <v>3045348.099</v>
      </c>
      <c r="B127" s="33">
        <v>398913.477</v>
      </c>
      <c r="C127" s="33">
        <v>612.32</v>
      </c>
      <c r="D127" s="11">
        <v>45051</v>
      </c>
      <c r="E127" s="86"/>
    </row>
    <row r="128" ht="15.75" spans="1:5">
      <c r="A128" s="33">
        <v>3045348.099</v>
      </c>
      <c r="B128" s="33">
        <v>398913.477</v>
      </c>
      <c r="C128" s="33">
        <v>612.32</v>
      </c>
      <c r="D128" s="11">
        <v>45052</v>
      </c>
      <c r="E128" s="86"/>
    </row>
    <row r="129" ht="15.75" spans="1:5">
      <c r="A129" s="33">
        <v>3045348.099</v>
      </c>
      <c r="B129" s="33">
        <v>398913.477</v>
      </c>
      <c r="C129" s="33">
        <v>612.32</v>
      </c>
      <c r="D129" s="11">
        <v>45053</v>
      </c>
      <c r="E129" s="86"/>
    </row>
    <row r="130" ht="15.75" spans="1:5">
      <c r="A130" s="33">
        <v>3045348.099</v>
      </c>
      <c r="B130" s="33">
        <v>398913.477</v>
      </c>
      <c r="C130" s="33">
        <v>612.32</v>
      </c>
      <c r="D130" s="11">
        <v>45054</v>
      </c>
      <c r="E130" s="86"/>
    </row>
    <row r="131" ht="15.75" spans="1:5">
      <c r="A131" s="33">
        <v>3045348.099</v>
      </c>
      <c r="B131" s="33">
        <v>398913.477</v>
      </c>
      <c r="C131" s="33">
        <v>612.32</v>
      </c>
      <c r="D131" s="11">
        <v>45055</v>
      </c>
      <c r="E131" s="86"/>
    </row>
    <row r="132" ht="15.75" spans="1:5">
      <c r="A132" s="33">
        <v>3045348.099</v>
      </c>
      <c r="B132" s="33">
        <v>398913.477</v>
      </c>
      <c r="C132" s="33">
        <v>612.32</v>
      </c>
      <c r="D132" s="11">
        <v>45056</v>
      </c>
      <c r="E132" s="86"/>
    </row>
    <row r="133" ht="15.75" spans="1:5">
      <c r="A133" s="33">
        <v>3045348.099</v>
      </c>
      <c r="B133" s="33">
        <v>398913.477</v>
      </c>
      <c r="C133" s="33">
        <v>612.32</v>
      </c>
      <c r="D133" s="11">
        <v>45057</v>
      </c>
      <c r="E133" s="86"/>
    </row>
    <row r="134" ht="15.75" spans="1:5">
      <c r="A134" s="33">
        <v>3045348.099</v>
      </c>
      <c r="B134" s="33">
        <v>398913.477</v>
      </c>
      <c r="C134" s="33">
        <v>612.32</v>
      </c>
      <c r="D134" s="11">
        <v>45058</v>
      </c>
      <c r="E134" s="86"/>
    </row>
    <row r="135" ht="15.75" spans="1:5">
      <c r="A135" s="33">
        <v>3045348.099</v>
      </c>
      <c r="B135" s="33">
        <v>398913.477</v>
      </c>
      <c r="C135" s="33">
        <v>612.32</v>
      </c>
      <c r="D135" s="11">
        <v>45059</v>
      </c>
      <c r="E135" s="86"/>
    </row>
    <row r="136" ht="15.75" spans="1:5">
      <c r="A136" s="33">
        <v>3045348.099</v>
      </c>
      <c r="B136" s="33">
        <v>398913.477</v>
      </c>
      <c r="C136" s="33">
        <v>612.32</v>
      </c>
      <c r="D136" s="11">
        <v>45060</v>
      </c>
      <c r="E136" s="86"/>
    </row>
    <row r="137" ht="15.75" spans="1:5">
      <c r="A137" s="33">
        <v>3045348.099</v>
      </c>
      <c r="B137" s="33">
        <v>398913.477</v>
      </c>
      <c r="C137" s="33">
        <v>612.32</v>
      </c>
      <c r="D137" s="11">
        <v>45061</v>
      </c>
      <c r="E137" s="86"/>
    </row>
    <row r="138" ht="15.75" spans="1:5">
      <c r="A138" s="33">
        <v>3045348.099</v>
      </c>
      <c r="B138" s="33">
        <v>398913.477</v>
      </c>
      <c r="C138" s="33">
        <v>612.32</v>
      </c>
      <c r="D138" s="11">
        <v>45062</v>
      </c>
      <c r="E138" s="86"/>
    </row>
    <row r="139" ht="15.75" spans="1:5">
      <c r="A139" s="33">
        <v>3045348.099</v>
      </c>
      <c r="B139" s="33">
        <v>398913.477</v>
      </c>
      <c r="C139" s="33">
        <v>612.32</v>
      </c>
      <c r="D139" s="11">
        <v>45063</v>
      </c>
      <c r="E139" s="86"/>
    </row>
    <row r="140" ht="15.75" spans="1:5">
      <c r="A140" s="33">
        <v>3045348.099</v>
      </c>
      <c r="B140" s="33">
        <v>398913.477</v>
      </c>
      <c r="C140" s="33">
        <v>612.32</v>
      </c>
      <c r="D140" s="11">
        <v>45064</v>
      </c>
      <c r="E140" s="86"/>
    </row>
    <row r="141" ht="15.75" spans="1:5">
      <c r="A141" s="33">
        <v>3045348.099</v>
      </c>
      <c r="B141" s="33">
        <v>398913.477</v>
      </c>
      <c r="C141" s="33">
        <v>612.32</v>
      </c>
      <c r="D141" s="11">
        <v>45065</v>
      </c>
      <c r="E141" s="86"/>
    </row>
    <row r="142" ht="15.75" spans="1:5">
      <c r="A142" s="33">
        <v>3045348.099</v>
      </c>
      <c r="B142" s="33">
        <v>398913.477</v>
      </c>
      <c r="C142" s="33">
        <v>612.32</v>
      </c>
      <c r="D142" s="11">
        <v>45066</v>
      </c>
      <c r="E142" s="86"/>
    </row>
    <row r="143" ht="15.75" spans="1:5">
      <c r="A143" s="33">
        <v>3045348.099</v>
      </c>
      <c r="B143" s="33">
        <v>398913.477</v>
      </c>
      <c r="C143" s="33">
        <v>612.32</v>
      </c>
      <c r="D143" s="11">
        <v>45067</v>
      </c>
      <c r="E143" s="86"/>
    </row>
    <row r="144" ht="15.75" spans="1:5">
      <c r="A144" s="33">
        <v>3045348.099</v>
      </c>
      <c r="B144" s="33">
        <v>398913.477</v>
      </c>
      <c r="C144" s="33">
        <v>612.32</v>
      </c>
      <c r="D144" s="11">
        <v>45068</v>
      </c>
      <c r="E144" s="86"/>
    </row>
    <row r="145" ht="15.75" spans="1:5">
      <c r="A145" s="33">
        <v>3045348.099</v>
      </c>
      <c r="B145" s="33">
        <v>398913.477</v>
      </c>
      <c r="C145" s="33">
        <v>612.32</v>
      </c>
      <c r="D145" s="11">
        <v>45069</v>
      </c>
      <c r="E145" s="86"/>
    </row>
    <row r="146" ht="15.75" spans="1:5">
      <c r="A146" s="33">
        <v>3045348.099</v>
      </c>
      <c r="B146" s="33">
        <v>398913.477</v>
      </c>
      <c r="C146" s="33">
        <v>612.32</v>
      </c>
      <c r="D146" s="11">
        <v>45070</v>
      </c>
      <c r="E146" s="86"/>
    </row>
    <row r="147" ht="15.75" spans="1:5">
      <c r="A147" s="33">
        <v>3045348.099</v>
      </c>
      <c r="B147" s="33">
        <v>398913.477</v>
      </c>
      <c r="C147" s="33">
        <v>612.32</v>
      </c>
      <c r="D147" s="11">
        <v>45071</v>
      </c>
      <c r="E147" s="86"/>
    </row>
    <row r="148" ht="15.75" spans="1:5">
      <c r="A148" s="33">
        <v>3045348.099</v>
      </c>
      <c r="B148" s="33">
        <v>398913.477</v>
      </c>
      <c r="C148" s="33">
        <v>612.32</v>
      </c>
      <c r="D148" s="11">
        <v>45072</v>
      </c>
      <c r="E148" s="86"/>
    </row>
    <row r="149" ht="15.75" spans="1:5">
      <c r="A149" s="33">
        <v>3045348.099</v>
      </c>
      <c r="B149" s="33">
        <v>398913.477</v>
      </c>
      <c r="C149" s="33">
        <v>612.32</v>
      </c>
      <c r="D149" s="11">
        <v>45073</v>
      </c>
      <c r="E149" s="86"/>
    </row>
    <row r="150" ht="15.75" spans="1:5">
      <c r="A150" s="33">
        <v>3045348.099</v>
      </c>
      <c r="B150" s="33">
        <v>398913.477</v>
      </c>
      <c r="C150" s="33">
        <v>612.32</v>
      </c>
      <c r="D150" s="11">
        <v>45074</v>
      </c>
      <c r="E150" s="86"/>
    </row>
    <row r="151" ht="15.75" spans="1:5">
      <c r="A151" s="33">
        <v>3045348.099</v>
      </c>
      <c r="B151" s="33">
        <v>398913.477</v>
      </c>
      <c r="C151" s="33">
        <v>612.32</v>
      </c>
      <c r="D151" s="11">
        <v>45075</v>
      </c>
      <c r="E151" s="86"/>
    </row>
    <row r="152" ht="15.75" spans="1:5">
      <c r="A152" s="33">
        <v>3045348.099</v>
      </c>
      <c r="B152" s="33">
        <v>398913.477</v>
      </c>
      <c r="C152" s="33">
        <v>612.32</v>
      </c>
      <c r="D152" s="11">
        <v>45076</v>
      </c>
      <c r="E152" s="86"/>
    </row>
    <row r="153" ht="15.75" spans="1:5">
      <c r="A153" s="33">
        <v>3045348.099</v>
      </c>
      <c r="B153" s="33">
        <v>398913.477</v>
      </c>
      <c r="C153" s="33">
        <v>612.32</v>
      </c>
      <c r="D153" s="11">
        <v>45077</v>
      </c>
      <c r="E153" s="86"/>
    </row>
    <row r="154" ht="15.75" spans="1:5">
      <c r="A154" s="33">
        <v>3045348.099</v>
      </c>
      <c r="B154" s="33">
        <v>398913.477</v>
      </c>
      <c r="C154" s="33">
        <v>612.32</v>
      </c>
      <c r="D154" s="11">
        <v>45078</v>
      </c>
      <c r="E154" s="86"/>
    </row>
    <row r="155" ht="15.75" spans="1:5">
      <c r="A155" s="33">
        <v>3045348.099</v>
      </c>
      <c r="B155" s="33">
        <v>398913.477</v>
      </c>
      <c r="C155" s="33">
        <v>612.32</v>
      </c>
      <c r="D155" s="11">
        <v>45079</v>
      </c>
      <c r="E155" s="86"/>
    </row>
    <row r="156" ht="15.75" spans="1:5">
      <c r="A156" s="33">
        <v>3045348.099</v>
      </c>
      <c r="B156" s="33">
        <v>398913.477</v>
      </c>
      <c r="C156" s="33">
        <v>612.32</v>
      </c>
      <c r="D156" s="11">
        <v>45080</v>
      </c>
      <c r="E156" s="86"/>
    </row>
    <row r="157" ht="15.75" spans="1:5">
      <c r="A157" s="33">
        <v>3045348.099</v>
      </c>
      <c r="B157" s="33">
        <v>398913.477</v>
      </c>
      <c r="C157" s="33">
        <v>612.32</v>
      </c>
      <c r="D157" s="11">
        <v>45081</v>
      </c>
      <c r="E157" s="86"/>
    </row>
    <row r="158" ht="15.75" spans="1:5">
      <c r="A158" s="33">
        <v>3045348.099</v>
      </c>
      <c r="B158" s="33">
        <v>398913.477</v>
      </c>
      <c r="C158" s="33">
        <v>612.32</v>
      </c>
      <c r="D158" s="11">
        <v>45082</v>
      </c>
      <c r="E158" s="86"/>
    </row>
    <row r="159" ht="15.75" spans="1:5">
      <c r="A159" s="33">
        <v>3045348.099</v>
      </c>
      <c r="B159" s="33">
        <v>398913.477</v>
      </c>
      <c r="C159" s="33">
        <v>612.32</v>
      </c>
      <c r="D159" s="11">
        <v>45083</v>
      </c>
      <c r="E159" s="86"/>
    </row>
    <row r="160" ht="15.75" spans="1:5">
      <c r="A160" s="33">
        <v>3045348.099</v>
      </c>
      <c r="B160" s="33">
        <v>398913.477</v>
      </c>
      <c r="C160" s="33">
        <v>612.32</v>
      </c>
      <c r="D160" s="11">
        <v>45084</v>
      </c>
      <c r="E160" s="86"/>
    </row>
    <row r="161" ht="15.75" spans="1:5">
      <c r="A161" s="33">
        <v>3045348.099</v>
      </c>
      <c r="B161" s="33">
        <v>398913.477</v>
      </c>
      <c r="C161" s="33">
        <v>612.32</v>
      </c>
      <c r="D161" s="11">
        <v>45085</v>
      </c>
      <c r="E161" s="86"/>
    </row>
    <row r="162" ht="15.75" spans="1:5">
      <c r="A162" s="33">
        <v>3045348.099</v>
      </c>
      <c r="B162" s="33">
        <v>398913.477</v>
      </c>
      <c r="C162" s="33">
        <v>612.32</v>
      </c>
      <c r="D162" s="11">
        <v>45086</v>
      </c>
      <c r="E162" s="86"/>
    </row>
    <row r="163" ht="15.75" spans="1:5">
      <c r="A163" s="33">
        <v>3045348.099</v>
      </c>
      <c r="B163" s="33">
        <v>398913.477</v>
      </c>
      <c r="C163" s="33">
        <v>612.32</v>
      </c>
      <c r="D163" s="11">
        <v>45087</v>
      </c>
      <c r="E163" s="86"/>
    </row>
    <row r="164" ht="15.75" spans="1:5">
      <c r="A164" s="33">
        <v>3045348.099</v>
      </c>
      <c r="B164" s="33">
        <v>398913.477</v>
      </c>
      <c r="C164" s="33">
        <v>612.32</v>
      </c>
      <c r="D164" s="11">
        <v>45088</v>
      </c>
      <c r="E164" s="86"/>
    </row>
    <row r="165" ht="15.75" spans="1:5">
      <c r="A165" s="33">
        <v>3045348.099</v>
      </c>
      <c r="B165" s="33">
        <v>398913.477</v>
      </c>
      <c r="C165" s="33">
        <v>612.32</v>
      </c>
      <c r="D165" s="11">
        <v>45089</v>
      </c>
      <c r="E165" s="86"/>
    </row>
    <row r="166" ht="15.75" spans="1:5">
      <c r="A166" s="33">
        <v>3045348.099</v>
      </c>
      <c r="B166" s="33">
        <v>398913.477</v>
      </c>
      <c r="C166" s="33">
        <v>612.32</v>
      </c>
      <c r="D166" s="11">
        <v>45090</v>
      </c>
      <c r="E166" s="86"/>
    </row>
    <row r="167" ht="15.75" spans="1:5">
      <c r="A167" s="33">
        <v>3045348.099</v>
      </c>
      <c r="B167" s="33">
        <v>398913.477</v>
      </c>
      <c r="C167" s="33">
        <v>612.32</v>
      </c>
      <c r="D167" s="11">
        <v>45091</v>
      </c>
      <c r="E167" s="86"/>
    </row>
    <row r="168" ht="15.75" spans="1:5">
      <c r="A168" s="33">
        <v>3045348.099</v>
      </c>
      <c r="B168" s="33">
        <v>398913.477</v>
      </c>
      <c r="C168" s="33">
        <v>612.32</v>
      </c>
      <c r="D168" s="11">
        <v>45092</v>
      </c>
      <c r="E168" s="86"/>
    </row>
    <row r="169" ht="15.75" spans="1:5">
      <c r="A169" s="33">
        <v>3045348.099</v>
      </c>
      <c r="B169" s="33">
        <v>398913.477</v>
      </c>
      <c r="C169" s="33">
        <v>612.32</v>
      </c>
      <c r="D169" s="11">
        <v>45093</v>
      </c>
      <c r="E169" s="86"/>
    </row>
    <row r="170" ht="15.75" spans="1:5">
      <c r="A170" s="33">
        <v>3045348.099</v>
      </c>
      <c r="B170" s="33">
        <v>398913.477</v>
      </c>
      <c r="C170" s="33">
        <v>612.32</v>
      </c>
      <c r="D170" s="11">
        <v>45094</v>
      </c>
      <c r="E170" s="86"/>
    </row>
    <row r="171" ht="15.75" spans="1:5">
      <c r="A171" s="33">
        <v>3045348.099</v>
      </c>
      <c r="B171" s="33">
        <v>398913.477</v>
      </c>
      <c r="C171" s="33">
        <v>612.32</v>
      </c>
      <c r="D171" s="11">
        <v>45095</v>
      </c>
      <c r="E171" s="86"/>
    </row>
    <row r="172" ht="15.75" spans="1:5">
      <c r="A172" s="33">
        <v>3045348.099</v>
      </c>
      <c r="B172" s="33">
        <v>398913.477</v>
      </c>
      <c r="C172" s="33">
        <v>612.32</v>
      </c>
      <c r="D172" s="11">
        <v>45096</v>
      </c>
      <c r="E172" s="86"/>
    </row>
    <row r="173" ht="15.75" spans="1:5">
      <c r="A173" s="33">
        <v>3045348.099</v>
      </c>
      <c r="B173" s="33">
        <v>398913.477</v>
      </c>
      <c r="C173" s="33">
        <v>612.32</v>
      </c>
      <c r="D173" s="11">
        <v>45097</v>
      </c>
      <c r="E173" s="86"/>
    </row>
    <row r="174" ht="15.75" spans="1:5">
      <c r="A174" s="33">
        <v>3045348.099</v>
      </c>
      <c r="B174" s="33">
        <v>398913.477</v>
      </c>
      <c r="C174" s="33">
        <v>612.32</v>
      </c>
      <c r="D174" s="11">
        <v>45098</v>
      </c>
      <c r="E174" s="86"/>
    </row>
    <row r="175" ht="15.75" spans="1:5">
      <c r="A175" s="33">
        <v>3045348.099</v>
      </c>
      <c r="B175" s="33">
        <v>398913.477</v>
      </c>
      <c r="C175" s="33">
        <v>612.32</v>
      </c>
      <c r="D175" s="11">
        <v>45099</v>
      </c>
      <c r="E175" s="86"/>
    </row>
    <row r="176" ht="15.75" spans="1:5">
      <c r="A176" s="33">
        <v>3045348.099</v>
      </c>
      <c r="B176" s="33">
        <v>398913.477</v>
      </c>
      <c r="C176" s="33">
        <v>612.32</v>
      </c>
      <c r="D176" s="11">
        <v>45100</v>
      </c>
      <c r="E176" s="86"/>
    </row>
    <row r="177" ht="15.75" spans="1:5">
      <c r="A177" s="33">
        <v>3045348.099</v>
      </c>
      <c r="B177" s="33">
        <v>398913.477</v>
      </c>
      <c r="C177" s="33">
        <v>612.32</v>
      </c>
      <c r="D177" s="11">
        <v>45101</v>
      </c>
      <c r="E177" s="86"/>
    </row>
    <row r="178" ht="15.75" spans="1:5">
      <c r="A178" s="33">
        <v>3045348.099</v>
      </c>
      <c r="B178" s="33">
        <v>398913.477</v>
      </c>
      <c r="C178" s="33">
        <v>612.32</v>
      </c>
      <c r="D178" s="11">
        <v>45102</v>
      </c>
      <c r="E178" s="86"/>
    </row>
    <row r="179" ht="15.75" spans="1:5">
      <c r="A179" s="33">
        <v>3045348.099</v>
      </c>
      <c r="B179" s="33">
        <v>398913.477</v>
      </c>
      <c r="C179" s="33">
        <v>612.32</v>
      </c>
      <c r="D179" s="11">
        <v>45103</v>
      </c>
      <c r="E179" s="86"/>
    </row>
    <row r="180" ht="15.75" spans="1:5">
      <c r="A180" s="33">
        <v>3045348.099</v>
      </c>
      <c r="B180" s="33">
        <v>398913.477</v>
      </c>
      <c r="C180" s="33">
        <v>612.32</v>
      </c>
      <c r="D180" s="11">
        <v>45104</v>
      </c>
      <c r="E180" s="86"/>
    </row>
    <row r="181" ht="15.75" spans="1:5">
      <c r="A181" s="33">
        <v>3045348.099</v>
      </c>
      <c r="B181" s="33">
        <v>398913.477</v>
      </c>
      <c r="C181" s="33">
        <v>612.32</v>
      </c>
      <c r="D181" s="11">
        <v>45105</v>
      </c>
      <c r="E181" s="86"/>
    </row>
    <row r="182" ht="15.75" spans="1:5">
      <c r="A182" s="33">
        <v>3045348.099</v>
      </c>
      <c r="B182" s="33">
        <v>398913.477</v>
      </c>
      <c r="C182" s="33">
        <v>612.32</v>
      </c>
      <c r="D182" s="11">
        <v>45106</v>
      </c>
      <c r="E182" s="86"/>
    </row>
    <row r="183" ht="15.75" spans="1:5">
      <c r="A183" s="33">
        <v>3045348.099</v>
      </c>
      <c r="B183" s="33">
        <v>398913.477</v>
      </c>
      <c r="C183" s="33">
        <v>612.32</v>
      </c>
      <c r="D183" s="11">
        <v>45107</v>
      </c>
      <c r="E183" s="86"/>
    </row>
    <row r="184" ht="15.75" spans="1:5">
      <c r="A184" s="33">
        <v>3045348.099</v>
      </c>
      <c r="B184" s="33">
        <v>398913.477</v>
      </c>
      <c r="C184" s="33">
        <v>612.32</v>
      </c>
      <c r="D184" s="11">
        <v>45108</v>
      </c>
      <c r="E184" s="86"/>
    </row>
    <row r="185" ht="15.75" spans="1:5">
      <c r="A185" s="33">
        <v>3045348.099</v>
      </c>
      <c r="B185" s="33">
        <v>398913.477</v>
      </c>
      <c r="C185" s="33">
        <v>612.32</v>
      </c>
      <c r="D185" s="11">
        <v>45109</v>
      </c>
      <c r="E185" s="86"/>
    </row>
    <row r="186" ht="15.75" spans="1:5">
      <c r="A186" s="33">
        <v>3045348.099</v>
      </c>
      <c r="B186" s="33">
        <v>398913.477</v>
      </c>
      <c r="C186" s="33">
        <v>612.32</v>
      </c>
      <c r="D186" s="11">
        <v>45110</v>
      </c>
      <c r="E186" s="86"/>
    </row>
    <row r="187" ht="15.75" spans="1:5">
      <c r="A187" s="33">
        <v>3045348.099</v>
      </c>
      <c r="B187" s="33">
        <v>398913.477</v>
      </c>
      <c r="C187" s="33">
        <v>612.32</v>
      </c>
      <c r="D187" s="11">
        <v>45111</v>
      </c>
      <c r="E187" s="86"/>
    </row>
    <row r="188" ht="15.75" spans="1:5">
      <c r="A188" s="33">
        <v>3045348.099</v>
      </c>
      <c r="B188" s="33">
        <v>398913.477</v>
      </c>
      <c r="C188" s="33">
        <v>612.32</v>
      </c>
      <c r="D188" s="11">
        <v>45112</v>
      </c>
      <c r="E188" s="86"/>
    </row>
    <row r="189" ht="15.75" spans="1:5">
      <c r="A189" s="33">
        <v>3045348.099</v>
      </c>
      <c r="B189" s="33">
        <v>398913.477</v>
      </c>
      <c r="C189" s="33">
        <v>612.32</v>
      </c>
      <c r="D189" s="11">
        <v>45113</v>
      </c>
      <c r="E189" s="86"/>
    </row>
    <row r="190" ht="15.75" spans="1:5">
      <c r="A190" s="33">
        <v>3045348.099</v>
      </c>
      <c r="B190" s="33">
        <v>398913.477</v>
      </c>
      <c r="C190" s="33">
        <v>612.32</v>
      </c>
      <c r="D190" s="11">
        <v>45114</v>
      </c>
      <c r="E190" s="86"/>
    </row>
    <row r="191" ht="15.75" spans="1:5">
      <c r="A191" s="33">
        <v>3045348.099</v>
      </c>
      <c r="B191" s="33">
        <v>398913.477</v>
      </c>
      <c r="C191" s="33">
        <v>612.32</v>
      </c>
      <c r="D191" s="11">
        <v>45115</v>
      </c>
      <c r="E191" s="86"/>
    </row>
    <row r="192" ht="15.75" spans="1:5">
      <c r="A192" s="33">
        <v>3045348.099</v>
      </c>
      <c r="B192" s="33">
        <v>398913.477</v>
      </c>
      <c r="C192" s="33">
        <v>612.32</v>
      </c>
      <c r="D192" s="11">
        <v>45116</v>
      </c>
      <c r="E192" s="86"/>
    </row>
    <row r="193" ht="15.75" spans="1:5">
      <c r="A193" s="33">
        <v>3045348.099</v>
      </c>
      <c r="B193" s="33">
        <v>398913.477</v>
      </c>
      <c r="C193" s="33">
        <v>612.32</v>
      </c>
      <c r="D193" s="11">
        <v>45117</v>
      </c>
      <c r="E193" s="86"/>
    </row>
    <row r="194" ht="15.75" spans="1:5">
      <c r="A194" s="33">
        <v>3045348.099</v>
      </c>
      <c r="B194" s="33">
        <v>398913.477</v>
      </c>
      <c r="C194" s="33">
        <v>612.32</v>
      </c>
      <c r="D194" s="11">
        <v>45118</v>
      </c>
      <c r="E194" s="86"/>
    </row>
    <row r="195" ht="15.75" spans="1:5">
      <c r="A195" s="33">
        <v>3045348.099</v>
      </c>
      <c r="B195" s="33">
        <v>398913.477</v>
      </c>
      <c r="C195" s="33">
        <v>612.32</v>
      </c>
      <c r="D195" s="11">
        <v>45119</v>
      </c>
      <c r="E195" s="86"/>
    </row>
    <row r="196" ht="15.75" spans="1:5">
      <c r="A196" s="33">
        <v>3045348.099</v>
      </c>
      <c r="B196" s="33">
        <v>398913.477</v>
      </c>
      <c r="C196" s="33">
        <v>612.32</v>
      </c>
      <c r="D196" s="11">
        <v>45120</v>
      </c>
      <c r="E196" s="86"/>
    </row>
    <row r="197" ht="15.75" spans="1:5">
      <c r="A197" s="33">
        <v>3045348.099</v>
      </c>
      <c r="B197" s="33">
        <v>398913.477</v>
      </c>
      <c r="C197" s="33">
        <v>612.32</v>
      </c>
      <c r="D197" s="11">
        <v>45121</v>
      </c>
      <c r="E197" s="86"/>
    </row>
    <row r="198" ht="15.75" spans="1:5">
      <c r="A198" s="33">
        <v>3045348.099</v>
      </c>
      <c r="B198" s="33">
        <v>398913.477</v>
      </c>
      <c r="C198" s="33">
        <v>612.32</v>
      </c>
      <c r="D198" s="11">
        <v>45122</v>
      </c>
      <c r="E198" s="86"/>
    </row>
    <row r="199" ht="15.75" spans="1:5">
      <c r="A199" s="33">
        <v>3045348.099</v>
      </c>
      <c r="B199" s="33">
        <v>398913.477</v>
      </c>
      <c r="C199" s="33">
        <v>612.32</v>
      </c>
      <c r="D199" s="11">
        <v>45123</v>
      </c>
      <c r="E199" s="86"/>
    </row>
    <row r="200" ht="15.75" spans="1:5">
      <c r="A200" s="33">
        <v>3045348.099</v>
      </c>
      <c r="B200" s="33">
        <v>398913.477</v>
      </c>
      <c r="C200" s="33">
        <v>612.32</v>
      </c>
      <c r="D200" s="11">
        <v>45124</v>
      </c>
      <c r="E200" s="86"/>
    </row>
    <row r="201" ht="15.75" spans="1:5">
      <c r="A201" s="33">
        <v>3045348.099</v>
      </c>
      <c r="B201" s="33">
        <v>398913.477</v>
      </c>
      <c r="C201" s="33">
        <v>612.32</v>
      </c>
      <c r="D201" s="11">
        <v>45125</v>
      </c>
      <c r="E201" s="86"/>
    </row>
    <row r="202" ht="15.75" spans="1:5">
      <c r="A202" s="33">
        <v>3045348.099</v>
      </c>
      <c r="B202" s="33">
        <v>398913.477</v>
      </c>
      <c r="C202" s="33">
        <v>612.32</v>
      </c>
      <c r="D202" s="11">
        <v>45126</v>
      </c>
      <c r="E202" s="86"/>
    </row>
    <row r="203" ht="15.75" spans="1:5">
      <c r="A203" s="33">
        <v>3045348.099</v>
      </c>
      <c r="B203" s="33">
        <v>398913.477</v>
      </c>
      <c r="C203" s="33">
        <v>612.32</v>
      </c>
      <c r="D203" s="11">
        <v>45127</v>
      </c>
      <c r="E203" s="86"/>
    </row>
    <row r="204" ht="15.75" spans="1:5">
      <c r="A204" s="33">
        <v>3045348.099</v>
      </c>
      <c r="B204" s="33">
        <v>398913.477</v>
      </c>
      <c r="C204" s="33">
        <v>612.32</v>
      </c>
      <c r="D204" s="11">
        <v>45128</v>
      </c>
      <c r="E204" s="86"/>
    </row>
    <row r="205" ht="15.75" spans="1:5">
      <c r="A205" s="33">
        <v>3045348.099</v>
      </c>
      <c r="B205" s="33">
        <v>398913.477</v>
      </c>
      <c r="C205" s="33">
        <v>612.32</v>
      </c>
      <c r="D205" s="11">
        <v>45129</v>
      </c>
      <c r="E205" s="86"/>
    </row>
    <row r="206" ht="15.75" spans="1:5">
      <c r="A206" s="33">
        <v>3045348.099</v>
      </c>
      <c r="B206" s="33">
        <v>398913.477</v>
      </c>
      <c r="C206" s="33">
        <v>612.32</v>
      </c>
      <c r="D206" s="11">
        <v>45130</v>
      </c>
      <c r="E206" s="86"/>
    </row>
    <row r="207" ht="15.75" spans="1:5">
      <c r="A207" s="33">
        <v>3045348.099</v>
      </c>
      <c r="B207" s="33">
        <v>398913.477</v>
      </c>
      <c r="C207" s="33">
        <v>612.32</v>
      </c>
      <c r="D207" s="11">
        <v>45131</v>
      </c>
      <c r="E207" s="86"/>
    </row>
    <row r="208" ht="15.75" spans="1:5">
      <c r="A208" s="33">
        <v>3045348.099</v>
      </c>
      <c r="B208" s="33">
        <v>398913.477</v>
      </c>
      <c r="C208" s="33">
        <v>612.32</v>
      </c>
      <c r="D208" s="11">
        <v>45132</v>
      </c>
      <c r="E208" s="86"/>
    </row>
    <row r="209" ht="15.75" spans="1:5">
      <c r="A209" s="33">
        <v>3045348.099</v>
      </c>
      <c r="B209" s="33">
        <v>398913.477</v>
      </c>
      <c r="C209" s="33">
        <v>612.32</v>
      </c>
      <c r="D209" s="11">
        <v>45133</v>
      </c>
      <c r="E209" s="86"/>
    </row>
    <row r="210" ht="15.75" spans="1:5">
      <c r="A210" s="33">
        <v>3045348.099</v>
      </c>
      <c r="B210" s="33">
        <v>398913.477</v>
      </c>
      <c r="C210" s="33">
        <v>612.32</v>
      </c>
      <c r="D210" s="11">
        <v>45134</v>
      </c>
      <c r="E210" s="85"/>
    </row>
    <row r="211" ht="15.75" spans="1:5">
      <c r="A211" s="33">
        <v>3045348.099</v>
      </c>
      <c r="B211" s="33">
        <v>398913.477</v>
      </c>
      <c r="C211" s="33">
        <v>612.32</v>
      </c>
      <c r="D211" s="11">
        <v>45135</v>
      </c>
      <c r="E211" s="85"/>
    </row>
    <row r="212" ht="15.75" spans="1:5">
      <c r="A212" s="33">
        <v>3045348.099</v>
      </c>
      <c r="B212" s="33">
        <v>398913.477</v>
      </c>
      <c r="C212" s="33">
        <v>612.32</v>
      </c>
      <c r="D212" s="11">
        <v>45136</v>
      </c>
      <c r="E212" s="85"/>
    </row>
    <row r="213" ht="15.75" spans="1:5">
      <c r="A213" s="33">
        <v>3045348.099</v>
      </c>
      <c r="B213" s="33">
        <v>398913.477</v>
      </c>
      <c r="C213" s="33">
        <v>612.32</v>
      </c>
      <c r="D213" s="11">
        <v>45137</v>
      </c>
      <c r="E213" s="85"/>
    </row>
    <row r="214" ht="15.75" spans="1:5">
      <c r="A214" s="33">
        <v>3045348.099</v>
      </c>
      <c r="B214" s="33">
        <v>398913.477</v>
      </c>
      <c r="C214" s="33">
        <v>612.32</v>
      </c>
      <c r="D214" s="11">
        <v>45138</v>
      </c>
      <c r="E214" s="85"/>
    </row>
    <row r="215" ht="15.75" spans="1:5">
      <c r="A215" s="33">
        <v>3045348.099</v>
      </c>
      <c r="B215" s="33">
        <v>398913.477</v>
      </c>
      <c r="C215" s="33">
        <v>612.32</v>
      </c>
      <c r="D215" s="11">
        <v>45139</v>
      </c>
      <c r="E215" s="85"/>
    </row>
    <row r="216" ht="15.75" spans="1:5">
      <c r="A216" s="33">
        <v>3045348.099</v>
      </c>
      <c r="B216" s="33">
        <v>398913.477</v>
      </c>
      <c r="C216" s="33">
        <v>612.32</v>
      </c>
      <c r="D216" s="11">
        <v>45140</v>
      </c>
      <c r="E216" s="85"/>
    </row>
    <row r="217" ht="15.75" spans="1:5">
      <c r="A217" s="33">
        <v>3045348.099</v>
      </c>
      <c r="B217" s="33">
        <v>398913.477</v>
      </c>
      <c r="C217" s="33">
        <v>612.32</v>
      </c>
      <c r="D217" s="11">
        <v>45141</v>
      </c>
      <c r="E217" s="90"/>
    </row>
    <row r="218" ht="15.75" spans="1:5">
      <c r="A218" s="33">
        <v>3045348.099</v>
      </c>
      <c r="B218" s="33">
        <v>398913.477</v>
      </c>
      <c r="C218" s="33">
        <v>612.32</v>
      </c>
      <c r="D218" s="11">
        <v>45142</v>
      </c>
      <c r="E218" s="85"/>
    </row>
    <row r="219" ht="15.75" spans="1:5">
      <c r="A219" s="33">
        <v>3045348.099</v>
      </c>
      <c r="B219" s="33">
        <v>398913.477</v>
      </c>
      <c r="C219" s="33">
        <v>612.32</v>
      </c>
      <c r="D219" s="11">
        <v>45143</v>
      </c>
      <c r="E219" s="85"/>
    </row>
    <row r="220" ht="15.75" spans="1:5">
      <c r="A220" s="33">
        <v>3045348.099</v>
      </c>
      <c r="B220" s="33">
        <v>398913.477</v>
      </c>
      <c r="C220" s="33">
        <v>612.32</v>
      </c>
      <c r="D220" s="11">
        <v>45144</v>
      </c>
      <c r="E220" s="85"/>
    </row>
    <row r="221" ht="15.75" spans="1:5">
      <c r="A221" s="33">
        <v>3045348.099</v>
      </c>
      <c r="B221" s="33">
        <v>398913.477</v>
      </c>
      <c r="C221" s="33">
        <v>612.32</v>
      </c>
      <c r="D221" s="11">
        <v>45145</v>
      </c>
      <c r="E221" s="85"/>
    </row>
    <row r="222" ht="15.75" spans="1:5">
      <c r="A222" s="33">
        <v>3045348.099</v>
      </c>
      <c r="B222" s="33">
        <v>398913.477</v>
      </c>
      <c r="C222" s="33">
        <v>612.32</v>
      </c>
      <c r="D222" s="11">
        <v>45146</v>
      </c>
      <c r="E222" s="85"/>
    </row>
    <row r="223" ht="15.75" spans="1:5">
      <c r="A223" s="33">
        <v>3045348.099</v>
      </c>
      <c r="B223" s="33">
        <v>398913.477</v>
      </c>
      <c r="C223" s="33">
        <v>612.32</v>
      </c>
      <c r="D223" s="11">
        <v>45147</v>
      </c>
      <c r="E223" s="85"/>
    </row>
    <row r="224" ht="15.75" spans="1:5">
      <c r="A224" s="33">
        <v>3045348.099</v>
      </c>
      <c r="B224" s="33">
        <v>398913.477</v>
      </c>
      <c r="C224" s="33">
        <v>612.32</v>
      </c>
      <c r="D224" s="11">
        <v>45148</v>
      </c>
      <c r="E224" s="85"/>
    </row>
    <row r="225" ht="15.75" spans="1:5">
      <c r="A225" s="33">
        <v>3045348.099</v>
      </c>
      <c r="B225" s="33">
        <v>398913.477</v>
      </c>
      <c r="C225" s="33">
        <v>612.32</v>
      </c>
      <c r="D225" s="11">
        <v>45149</v>
      </c>
      <c r="E225" s="85"/>
    </row>
    <row r="226" ht="15.75" spans="1:5">
      <c r="A226" s="33">
        <v>3045348.099</v>
      </c>
      <c r="B226" s="33">
        <v>398913.477</v>
      </c>
      <c r="C226" s="33">
        <v>612.32</v>
      </c>
      <c r="D226" s="11">
        <v>45150</v>
      </c>
      <c r="E226" s="85"/>
    </row>
    <row r="227" ht="15.75" spans="1:5">
      <c r="A227" s="33">
        <v>3045348.099</v>
      </c>
      <c r="B227" s="33">
        <v>398913.477</v>
      </c>
      <c r="C227" s="33">
        <v>612.32</v>
      </c>
      <c r="D227" s="11">
        <v>45151</v>
      </c>
      <c r="E227" s="85"/>
    </row>
    <row r="228" ht="15.75" spans="1:5">
      <c r="A228" s="33">
        <v>3045348.099</v>
      </c>
      <c r="B228" s="33">
        <v>398913.477</v>
      </c>
      <c r="C228" s="33">
        <v>612.32</v>
      </c>
      <c r="D228" s="11">
        <v>45152</v>
      </c>
      <c r="E228" s="85"/>
    </row>
    <row r="229" ht="15.75" spans="1:5">
      <c r="A229" s="33">
        <v>3045348.099</v>
      </c>
      <c r="B229" s="33">
        <v>398913.477</v>
      </c>
      <c r="C229" s="33">
        <v>612.32</v>
      </c>
      <c r="D229" s="11">
        <v>45153</v>
      </c>
      <c r="E229" s="90"/>
    </row>
    <row r="230" ht="15.75" spans="1:5">
      <c r="A230" s="33">
        <v>3045348.099</v>
      </c>
      <c r="B230" s="33">
        <v>398913.477</v>
      </c>
      <c r="C230" s="33">
        <v>612.32</v>
      </c>
      <c r="D230" s="11">
        <v>45154</v>
      </c>
      <c r="E230" s="86"/>
    </row>
    <row r="231" ht="15.75" spans="1:5">
      <c r="A231" s="33">
        <v>3045348.099</v>
      </c>
      <c r="B231" s="33">
        <v>398913.477</v>
      </c>
      <c r="C231" s="33">
        <v>612.32</v>
      </c>
      <c r="D231" s="11">
        <v>45155</v>
      </c>
      <c r="E231" s="86"/>
    </row>
    <row r="232" ht="15.75" spans="1:5">
      <c r="A232" s="33">
        <v>3045348.099</v>
      </c>
      <c r="B232" s="33">
        <v>398913.477</v>
      </c>
      <c r="C232" s="33">
        <v>612.32</v>
      </c>
      <c r="D232" s="11">
        <v>45156</v>
      </c>
      <c r="E232" s="86"/>
    </row>
    <row r="233" ht="15.75" spans="1:5">
      <c r="A233" s="33">
        <v>3045348.099</v>
      </c>
      <c r="B233" s="33">
        <v>398913.477</v>
      </c>
      <c r="C233" s="33">
        <v>612.32</v>
      </c>
      <c r="D233" s="11">
        <v>45157</v>
      </c>
      <c r="E233" s="86"/>
    </row>
    <row r="234" ht="15.75" spans="1:5">
      <c r="A234" s="33">
        <v>3045348.099</v>
      </c>
      <c r="B234" s="33">
        <v>398913.477</v>
      </c>
      <c r="C234" s="33">
        <v>612.32</v>
      </c>
      <c r="D234" s="11">
        <v>45158</v>
      </c>
      <c r="E234" s="86"/>
    </row>
    <row r="235" ht="15.75" spans="1:5">
      <c r="A235" s="33">
        <v>3045348.099</v>
      </c>
      <c r="B235" s="33">
        <v>398913.477</v>
      </c>
      <c r="C235" s="33">
        <v>612.32</v>
      </c>
      <c r="D235" s="11">
        <v>45159</v>
      </c>
      <c r="E235" s="86"/>
    </row>
    <row r="236" ht="15.75" spans="1:5">
      <c r="A236" s="33">
        <v>3045348.099</v>
      </c>
      <c r="B236" s="33">
        <v>398913.477</v>
      </c>
      <c r="C236" s="33">
        <v>612.32</v>
      </c>
      <c r="D236" s="11">
        <v>45160</v>
      </c>
      <c r="E236" s="86"/>
    </row>
    <row r="237" ht="15.75" spans="1:5">
      <c r="A237" s="33">
        <v>3045348.099</v>
      </c>
      <c r="B237" s="33">
        <v>398913.477</v>
      </c>
      <c r="C237" s="33">
        <v>612.32</v>
      </c>
      <c r="D237" s="11">
        <v>45161</v>
      </c>
      <c r="E237" s="86"/>
    </row>
    <row r="238" ht="15.75" spans="1:5">
      <c r="A238" s="33">
        <v>3045348.099</v>
      </c>
      <c r="B238" s="33">
        <v>398913.477</v>
      </c>
      <c r="C238" s="33">
        <v>612.32</v>
      </c>
      <c r="D238" s="11">
        <v>45162</v>
      </c>
      <c r="E238" s="86"/>
    </row>
    <row r="239" ht="15.75" spans="1:5">
      <c r="A239" s="33">
        <v>3045348.099</v>
      </c>
      <c r="B239" s="33">
        <v>398913.477</v>
      </c>
      <c r="C239" s="33">
        <v>612.32</v>
      </c>
      <c r="D239" s="11">
        <v>45163</v>
      </c>
      <c r="E239" s="86"/>
    </row>
    <row r="240" ht="15.75" spans="1:5">
      <c r="A240" s="33">
        <v>3045348.099</v>
      </c>
      <c r="B240" s="33">
        <v>398913.477</v>
      </c>
      <c r="C240" s="33">
        <v>612.32</v>
      </c>
      <c r="D240" s="11">
        <v>45164</v>
      </c>
      <c r="E240" s="86"/>
    </row>
    <row r="241" ht="15.75" spans="1:5">
      <c r="A241" s="33">
        <v>3045348.099</v>
      </c>
      <c r="B241" s="33">
        <v>398913.477</v>
      </c>
      <c r="C241" s="33">
        <v>612.32</v>
      </c>
      <c r="D241" s="11">
        <v>45165</v>
      </c>
      <c r="E241" s="86"/>
    </row>
    <row r="242" ht="15.75" spans="1:5">
      <c r="A242" s="33">
        <v>3045348.099</v>
      </c>
      <c r="B242" s="33">
        <v>398913.477</v>
      </c>
      <c r="C242" s="33">
        <v>612.32</v>
      </c>
      <c r="D242" s="11">
        <v>45166</v>
      </c>
      <c r="E242" s="86"/>
    </row>
    <row r="243" ht="15.75" spans="1:5">
      <c r="A243" s="33">
        <v>3045348.099</v>
      </c>
      <c r="B243" s="33">
        <v>398913.477</v>
      </c>
      <c r="C243" s="33">
        <v>612.32</v>
      </c>
      <c r="D243" s="11">
        <v>45167</v>
      </c>
      <c r="E243" s="86"/>
    </row>
    <row r="244" ht="15.75" spans="1:5">
      <c r="A244" s="33">
        <v>3045348.099</v>
      </c>
      <c r="B244" s="33">
        <v>398913.477</v>
      </c>
      <c r="C244" s="33">
        <v>612.32</v>
      </c>
      <c r="D244" s="11">
        <v>45168</v>
      </c>
      <c r="E244" s="86"/>
    </row>
    <row r="245" ht="15.75" spans="1:5">
      <c r="A245" s="33">
        <v>3045348.099</v>
      </c>
      <c r="B245" s="33">
        <v>398913.477</v>
      </c>
      <c r="C245" s="33">
        <v>612.32</v>
      </c>
      <c r="D245" s="11">
        <v>45169</v>
      </c>
      <c r="E245" s="86"/>
    </row>
    <row r="246" ht="15.75" spans="1:5">
      <c r="A246" s="33">
        <v>3045348.099</v>
      </c>
      <c r="B246" s="33">
        <v>398913.477</v>
      </c>
      <c r="C246" s="33">
        <v>612.32</v>
      </c>
      <c r="D246" s="11">
        <v>45170</v>
      </c>
      <c r="E246" s="86"/>
    </row>
    <row r="247" ht="15.75" spans="1:5">
      <c r="A247" s="33">
        <v>3045348.099</v>
      </c>
      <c r="B247" s="33">
        <v>398913.477</v>
      </c>
      <c r="C247" s="33">
        <v>612.32</v>
      </c>
      <c r="D247" s="11">
        <v>45171</v>
      </c>
      <c r="E247" s="86"/>
    </row>
    <row r="248" ht="15.75" spans="1:5">
      <c r="A248" s="33">
        <v>3045348.099</v>
      </c>
      <c r="B248" s="33">
        <v>398913.477</v>
      </c>
      <c r="C248" s="33">
        <v>612.32</v>
      </c>
      <c r="D248" s="11">
        <v>45172</v>
      </c>
      <c r="E248" s="86"/>
    </row>
    <row r="249" ht="15.75" spans="1:5">
      <c r="A249" s="33">
        <v>3045348.099</v>
      </c>
      <c r="B249" s="33">
        <v>398913.477</v>
      </c>
      <c r="C249" s="33">
        <v>612.32</v>
      </c>
      <c r="D249" s="11">
        <v>45173</v>
      </c>
      <c r="E249" s="86"/>
    </row>
    <row r="250" ht="15.75" spans="1:5">
      <c r="A250" s="33">
        <v>3045348.099</v>
      </c>
      <c r="B250" s="33">
        <v>398913.477</v>
      </c>
      <c r="C250" s="33">
        <v>612.32</v>
      </c>
      <c r="D250" s="11">
        <v>45174</v>
      </c>
      <c r="E250" s="86"/>
    </row>
    <row r="251" ht="15.75" spans="1:5">
      <c r="A251" s="33">
        <v>3045348.099</v>
      </c>
      <c r="B251" s="33">
        <v>398913.477</v>
      </c>
      <c r="C251" s="33">
        <v>612.32</v>
      </c>
      <c r="D251" s="11">
        <v>45175</v>
      </c>
      <c r="E251" s="86"/>
    </row>
    <row r="252" ht="15.75" spans="1:5">
      <c r="A252" s="33">
        <v>3045348.099</v>
      </c>
      <c r="B252" s="33">
        <v>398913.477</v>
      </c>
      <c r="C252" s="33">
        <v>612.32</v>
      </c>
      <c r="D252" s="11">
        <v>45176</v>
      </c>
      <c r="E252" s="86"/>
    </row>
    <row r="253" ht="15.75" spans="1:5">
      <c r="A253" s="33">
        <v>3045348.099</v>
      </c>
      <c r="B253" s="33">
        <v>398913.477</v>
      </c>
      <c r="C253" s="33">
        <v>612.32</v>
      </c>
      <c r="D253" s="11">
        <v>45177</v>
      </c>
      <c r="E253" s="86"/>
    </row>
    <row r="254" ht="15.75" spans="1:5">
      <c r="A254" s="33">
        <v>3045348.099</v>
      </c>
      <c r="B254" s="33">
        <v>398913.477</v>
      </c>
      <c r="C254" s="33">
        <v>612.32</v>
      </c>
      <c r="D254" s="11">
        <v>45178</v>
      </c>
      <c r="E254" s="86"/>
    </row>
    <row r="255" ht="15.75" spans="1:5">
      <c r="A255" s="33">
        <v>3045348.099</v>
      </c>
      <c r="B255" s="33">
        <v>398913.477</v>
      </c>
      <c r="C255" s="33">
        <v>612.32</v>
      </c>
      <c r="D255" s="11">
        <v>45179</v>
      </c>
      <c r="E255" s="86"/>
    </row>
    <row r="256" ht="15.75" spans="1:5">
      <c r="A256" s="33">
        <v>3045348.099</v>
      </c>
      <c r="B256" s="33">
        <v>398913.477</v>
      </c>
      <c r="C256" s="33">
        <v>612.32</v>
      </c>
      <c r="D256" s="11">
        <v>45180</v>
      </c>
      <c r="E256" s="86"/>
    </row>
    <row r="257" ht="15.75" spans="1:5">
      <c r="A257" s="33">
        <v>3045348.099</v>
      </c>
      <c r="B257" s="33">
        <v>398913.477</v>
      </c>
      <c r="C257" s="33">
        <v>612.32</v>
      </c>
      <c r="D257" s="11">
        <v>45181</v>
      </c>
      <c r="E257" s="86"/>
    </row>
    <row r="258" ht="15.75" spans="1:5">
      <c r="A258" s="33">
        <v>3045348.099</v>
      </c>
      <c r="B258" s="33">
        <v>398913.477</v>
      </c>
      <c r="C258" s="33">
        <v>612.32</v>
      </c>
      <c r="D258" s="11">
        <v>45182</v>
      </c>
      <c r="E258" s="86"/>
    </row>
    <row r="259" ht="15.75" spans="1:5">
      <c r="A259" s="33">
        <v>3045348.099</v>
      </c>
      <c r="B259" s="33">
        <v>398913.477</v>
      </c>
      <c r="C259" s="33">
        <v>612.32</v>
      </c>
      <c r="D259" s="11">
        <v>45183</v>
      </c>
      <c r="E259" s="86"/>
    </row>
    <row r="260" ht="15.75" spans="1:5">
      <c r="A260" s="33">
        <v>3045348.099</v>
      </c>
      <c r="B260" s="33">
        <v>398913.477</v>
      </c>
      <c r="C260" s="33">
        <v>612.32</v>
      </c>
      <c r="D260" s="11">
        <v>45184</v>
      </c>
      <c r="E260" s="85"/>
    </row>
    <row r="261" ht="15.75" spans="1:5">
      <c r="A261" s="33">
        <v>3045348.099</v>
      </c>
      <c r="B261" s="33">
        <v>398913.477</v>
      </c>
      <c r="C261" s="33">
        <v>612.32</v>
      </c>
      <c r="D261" s="11">
        <v>45185</v>
      </c>
      <c r="E261" s="85"/>
    </row>
    <row r="262" ht="15.75" spans="1:5">
      <c r="A262" s="33">
        <v>3045348.099</v>
      </c>
      <c r="B262" s="33">
        <v>398913.477</v>
      </c>
      <c r="C262" s="33">
        <v>612.32</v>
      </c>
      <c r="D262" s="11">
        <v>45186</v>
      </c>
      <c r="E262" s="85"/>
    </row>
    <row r="263" ht="15.75" spans="1:5">
      <c r="A263" s="33">
        <v>3045348.099</v>
      </c>
      <c r="B263" s="33">
        <v>398913.477</v>
      </c>
      <c r="C263" s="33">
        <v>612.32</v>
      </c>
      <c r="D263" s="11">
        <v>45187</v>
      </c>
      <c r="E263" s="85"/>
    </row>
    <row r="264" ht="15.75" spans="1:5">
      <c r="A264" s="33">
        <v>3045348.099</v>
      </c>
      <c r="B264" s="33">
        <v>398913.477</v>
      </c>
      <c r="C264" s="33">
        <v>612.32</v>
      </c>
      <c r="D264" s="11">
        <v>45188</v>
      </c>
      <c r="E264" s="85"/>
    </row>
    <row r="265" ht="15.75" spans="1:5">
      <c r="A265" s="33">
        <v>3045348.099</v>
      </c>
      <c r="B265" s="33">
        <v>398913.477</v>
      </c>
      <c r="C265" s="33">
        <v>612.32</v>
      </c>
      <c r="D265" s="11">
        <v>45189</v>
      </c>
      <c r="E265" s="86"/>
    </row>
    <row r="266" ht="15.75" spans="1:5">
      <c r="A266" s="33">
        <v>3045348.099</v>
      </c>
      <c r="B266" s="33">
        <v>398913.477</v>
      </c>
      <c r="C266" s="33">
        <v>612.32</v>
      </c>
      <c r="D266" s="11">
        <v>45190</v>
      </c>
      <c r="E266" s="86"/>
    </row>
    <row r="267" ht="15.75" spans="1:5">
      <c r="A267" s="33">
        <v>3045348.099</v>
      </c>
      <c r="B267" s="33">
        <v>398913.477</v>
      </c>
      <c r="C267" s="33">
        <v>612.32</v>
      </c>
      <c r="D267" s="11">
        <v>45191</v>
      </c>
      <c r="E267" s="86"/>
    </row>
    <row r="268" ht="15.75" spans="1:5">
      <c r="A268" s="33">
        <v>3045348.099</v>
      </c>
      <c r="B268" s="33">
        <v>398913.477</v>
      </c>
      <c r="C268" s="33">
        <v>612.32</v>
      </c>
      <c r="D268" s="11">
        <v>45192</v>
      </c>
      <c r="E268" s="86"/>
    </row>
    <row r="269" ht="15.75" spans="1:5">
      <c r="A269" s="33">
        <v>3045348.099</v>
      </c>
      <c r="B269" s="33">
        <v>398913.477</v>
      </c>
      <c r="C269" s="33">
        <v>612.32</v>
      </c>
      <c r="D269" s="11">
        <v>45193</v>
      </c>
      <c r="E269" s="86"/>
    </row>
    <row r="270" ht="15.75" spans="1:5">
      <c r="A270" s="33">
        <v>3045348.099</v>
      </c>
      <c r="B270" s="33">
        <v>398913.477</v>
      </c>
      <c r="C270" s="33">
        <v>612.32</v>
      </c>
      <c r="D270" s="11">
        <v>45194</v>
      </c>
      <c r="E270" s="86"/>
    </row>
    <row r="271" ht="15.75" spans="1:5">
      <c r="A271" s="33">
        <v>3045348.099</v>
      </c>
      <c r="B271" s="33">
        <v>398913.477</v>
      </c>
      <c r="C271" s="33">
        <v>612.32</v>
      </c>
      <c r="D271" s="11">
        <v>45195</v>
      </c>
      <c r="E271" s="86"/>
    </row>
    <row r="272" ht="15.75" spans="1:5">
      <c r="A272" s="33">
        <v>3045348.099</v>
      </c>
      <c r="B272" s="33">
        <v>398913.477</v>
      </c>
      <c r="C272" s="33">
        <v>612.32</v>
      </c>
      <c r="D272" s="11">
        <v>45196</v>
      </c>
      <c r="E272" s="86"/>
    </row>
    <row r="273" ht="15.75" spans="1:5">
      <c r="A273" s="33">
        <v>3045348.099</v>
      </c>
      <c r="B273" s="33">
        <v>398913.477</v>
      </c>
      <c r="C273" s="33">
        <v>612.32</v>
      </c>
      <c r="D273" s="11">
        <v>45197</v>
      </c>
      <c r="E273" s="86"/>
    </row>
    <row r="274" ht="15.75" spans="1:5">
      <c r="A274" s="33">
        <v>3045348.099</v>
      </c>
      <c r="B274" s="33">
        <v>398913.477</v>
      </c>
      <c r="C274" s="33">
        <v>612.32</v>
      </c>
      <c r="D274" s="11">
        <v>45198</v>
      </c>
      <c r="E274" s="86"/>
    </row>
    <row r="275" ht="15.75" spans="1:5">
      <c r="A275" s="33">
        <v>3045348.099</v>
      </c>
      <c r="B275" s="33">
        <v>398913.477</v>
      </c>
      <c r="C275" s="33">
        <v>612.32</v>
      </c>
      <c r="D275" s="11">
        <v>45199</v>
      </c>
      <c r="E275" s="86"/>
    </row>
    <row r="276" ht="15.75" spans="1:5">
      <c r="A276" s="33">
        <v>3045348.099</v>
      </c>
      <c r="B276" s="33">
        <v>398913.477</v>
      </c>
      <c r="C276" s="33">
        <v>612.32</v>
      </c>
      <c r="D276" s="11">
        <v>45200</v>
      </c>
      <c r="E276" s="86"/>
    </row>
    <row r="277" ht="15.75" spans="1:5">
      <c r="A277" s="33">
        <v>3045348.099</v>
      </c>
      <c r="B277" s="33">
        <v>398913.477</v>
      </c>
      <c r="C277" s="33">
        <v>612.32</v>
      </c>
      <c r="D277" s="11">
        <v>45201</v>
      </c>
      <c r="E277" s="86"/>
    </row>
    <row r="278" ht="15.75" spans="1:5">
      <c r="A278" s="33">
        <v>3045348.099</v>
      </c>
      <c r="B278" s="33">
        <v>398913.477</v>
      </c>
      <c r="C278" s="33">
        <v>612.32</v>
      </c>
      <c r="D278" s="11">
        <v>45202</v>
      </c>
      <c r="E278" s="86"/>
    </row>
    <row r="279" ht="15.75" spans="1:5">
      <c r="A279" s="33">
        <v>3045348.099</v>
      </c>
      <c r="B279" s="33">
        <v>398913.477</v>
      </c>
      <c r="C279" s="33">
        <v>612.32</v>
      </c>
      <c r="D279" s="11">
        <v>45203</v>
      </c>
      <c r="E279" s="86"/>
    </row>
    <row r="280" ht="15.75" spans="1:5">
      <c r="A280" s="33">
        <v>3045348.099</v>
      </c>
      <c r="B280" s="33">
        <v>398913.477</v>
      </c>
      <c r="C280" s="33">
        <v>612.32</v>
      </c>
      <c r="D280" s="11">
        <v>45204</v>
      </c>
      <c r="E280" s="86"/>
    </row>
    <row r="281" ht="15.75" spans="1:5">
      <c r="A281" s="33">
        <v>3045348.099</v>
      </c>
      <c r="B281" s="33">
        <v>398913.477</v>
      </c>
      <c r="C281" s="33">
        <v>612.32</v>
      </c>
      <c r="D281" s="11">
        <v>45205</v>
      </c>
      <c r="E281" s="86"/>
    </row>
    <row r="282" ht="15.75" spans="1:5">
      <c r="A282" s="33">
        <v>3045348.099</v>
      </c>
      <c r="B282" s="33">
        <v>398913.477</v>
      </c>
      <c r="C282" s="33">
        <v>612.32</v>
      </c>
      <c r="D282" s="11">
        <v>45206</v>
      </c>
      <c r="E282" s="86"/>
    </row>
    <row r="283" ht="15.75" spans="1:5">
      <c r="A283" s="33">
        <v>3045348.099</v>
      </c>
      <c r="B283" s="33">
        <v>398913.477</v>
      </c>
      <c r="C283" s="33">
        <v>612.32</v>
      </c>
      <c r="D283" s="11">
        <v>45207</v>
      </c>
      <c r="E283" s="86"/>
    </row>
    <row r="284" ht="15.75" spans="1:5">
      <c r="A284" s="33">
        <v>3045348.099</v>
      </c>
      <c r="B284" s="33">
        <v>398913.477</v>
      </c>
      <c r="C284" s="33">
        <v>612.32</v>
      </c>
      <c r="D284" s="11">
        <v>45208</v>
      </c>
      <c r="E284" s="86"/>
    </row>
    <row r="285" ht="15.75" spans="1:5">
      <c r="A285" s="33">
        <v>3045348.099</v>
      </c>
      <c r="B285" s="33">
        <v>398913.477</v>
      </c>
      <c r="C285" s="33">
        <v>612.32</v>
      </c>
      <c r="D285" s="11">
        <v>45209</v>
      </c>
      <c r="E285" s="86"/>
    </row>
    <row r="286" ht="15.75" spans="1:5">
      <c r="A286" s="33">
        <v>3045348.099</v>
      </c>
      <c r="B286" s="33">
        <v>398913.477</v>
      </c>
      <c r="C286" s="33">
        <v>612.32</v>
      </c>
      <c r="D286" s="11">
        <v>45210</v>
      </c>
      <c r="E286" s="86"/>
    </row>
    <row r="287" ht="15.75" spans="1:5">
      <c r="A287" s="33">
        <v>3045348.099</v>
      </c>
      <c r="B287" s="33">
        <v>398913.477</v>
      </c>
      <c r="C287" s="33">
        <v>612.32</v>
      </c>
      <c r="D287" s="11">
        <v>45211</v>
      </c>
      <c r="E287" s="86"/>
    </row>
    <row r="288" ht="15.75" spans="1:5">
      <c r="A288" s="33">
        <v>3045348.099</v>
      </c>
      <c r="B288" s="33">
        <v>398913.477</v>
      </c>
      <c r="C288" s="33">
        <v>612.32</v>
      </c>
      <c r="D288" s="11">
        <v>45212</v>
      </c>
      <c r="E288" s="86"/>
    </row>
    <row r="289" ht="15.75" spans="1:5">
      <c r="A289" s="33">
        <v>3045348.099</v>
      </c>
      <c r="B289" s="33">
        <v>398913.477</v>
      </c>
      <c r="C289" s="33">
        <v>612.32</v>
      </c>
      <c r="D289" s="11">
        <v>45213</v>
      </c>
      <c r="E289" s="86"/>
    </row>
    <row r="290" ht="15.75" spans="1:5">
      <c r="A290" s="33">
        <v>3045348.099</v>
      </c>
      <c r="B290" s="33">
        <v>398913.477</v>
      </c>
      <c r="C290" s="33">
        <v>612.32</v>
      </c>
      <c r="D290" s="11">
        <v>45214</v>
      </c>
      <c r="E290" s="86"/>
    </row>
    <row r="291" ht="15.75" spans="1:5">
      <c r="A291" s="33">
        <v>3045348.099</v>
      </c>
      <c r="B291" s="33">
        <v>398913.477</v>
      </c>
      <c r="C291" s="33">
        <v>612.32</v>
      </c>
      <c r="D291" s="11">
        <v>45215</v>
      </c>
      <c r="E291" s="86">
        <v>609.126</v>
      </c>
    </row>
    <row r="292" ht="15.75" spans="1:5">
      <c r="A292" s="33">
        <v>3045348.099</v>
      </c>
      <c r="B292" s="33">
        <v>398913.477</v>
      </c>
      <c r="C292" s="33">
        <v>612.32</v>
      </c>
      <c r="D292" s="11">
        <v>45216</v>
      </c>
      <c r="E292" s="86">
        <v>609.128</v>
      </c>
    </row>
    <row r="293" ht="15.75" spans="1:5">
      <c r="A293" s="33">
        <v>3045348.099</v>
      </c>
      <c r="B293" s="33">
        <v>398913.477</v>
      </c>
      <c r="C293" s="33">
        <v>612.32</v>
      </c>
      <c r="D293" s="11">
        <v>45217</v>
      </c>
      <c r="E293" s="86">
        <v>609.131</v>
      </c>
    </row>
    <row r="294" ht="15.75" spans="1:5">
      <c r="A294" s="33">
        <v>3045348.099</v>
      </c>
      <c r="B294" s="33">
        <v>398913.477</v>
      </c>
      <c r="C294" s="33">
        <v>612.32</v>
      </c>
      <c r="D294" s="11">
        <v>45218</v>
      </c>
      <c r="E294" s="86"/>
    </row>
    <row r="295" ht="15.75" spans="1:5">
      <c r="A295" s="33">
        <v>3045348.099</v>
      </c>
      <c r="B295" s="33">
        <v>398913.477</v>
      </c>
      <c r="C295" s="33">
        <v>612.32</v>
      </c>
      <c r="D295" s="11">
        <v>45219</v>
      </c>
      <c r="E295" s="86">
        <v>609.136</v>
      </c>
    </row>
    <row r="296" ht="15.75" spans="1:5">
      <c r="A296" s="33">
        <v>3045348.099</v>
      </c>
      <c r="B296" s="33">
        <v>398913.477</v>
      </c>
      <c r="C296" s="33">
        <v>612.32</v>
      </c>
      <c r="D296" s="11">
        <v>45220</v>
      </c>
      <c r="E296" s="86">
        <v>609.139</v>
      </c>
    </row>
    <row r="297" ht="15.75" spans="1:5">
      <c r="A297" s="33">
        <v>3045348.099</v>
      </c>
      <c r="B297" s="33">
        <v>398913.477</v>
      </c>
      <c r="C297" s="33">
        <v>612.32</v>
      </c>
      <c r="D297" s="11">
        <v>45221</v>
      </c>
      <c r="E297" s="86">
        <v>609.133</v>
      </c>
    </row>
    <row r="298" ht="15.75" spans="1:5">
      <c r="A298" s="33">
        <v>3045348.099</v>
      </c>
      <c r="B298" s="33">
        <v>398913.477</v>
      </c>
      <c r="C298" s="33">
        <v>612.32</v>
      </c>
      <c r="D298" s="11">
        <v>45222</v>
      </c>
      <c r="E298" s="86">
        <v>609.133</v>
      </c>
    </row>
    <row r="299" ht="15.75" spans="1:5">
      <c r="A299" s="33">
        <v>3045348.099</v>
      </c>
      <c r="B299" s="33">
        <v>398913.477</v>
      </c>
      <c r="C299" s="33">
        <v>612.32</v>
      </c>
      <c r="D299" s="11">
        <v>45223</v>
      </c>
      <c r="E299" s="86">
        <v>609.134</v>
      </c>
    </row>
    <row r="300" ht="15.75" spans="1:5">
      <c r="A300" s="33">
        <v>3045348.099</v>
      </c>
      <c r="B300" s="33">
        <v>398913.477</v>
      </c>
      <c r="C300" s="33">
        <v>612.32</v>
      </c>
      <c r="D300" s="11">
        <v>45224</v>
      </c>
      <c r="E300" s="86">
        <v>609.135</v>
      </c>
    </row>
    <row r="301" ht="15.75" spans="1:5">
      <c r="A301" s="33">
        <v>3045348.099</v>
      </c>
      <c r="B301" s="33">
        <v>398913.477</v>
      </c>
      <c r="C301" s="33">
        <v>612.32</v>
      </c>
      <c r="D301" s="11">
        <v>45225</v>
      </c>
      <c r="E301" s="86">
        <v>609.136</v>
      </c>
    </row>
    <row r="302" ht="15.75" spans="1:5">
      <c r="A302" s="33">
        <v>3045348.099</v>
      </c>
      <c r="B302" s="33">
        <v>398913.477</v>
      </c>
      <c r="C302" s="33">
        <v>612.32</v>
      </c>
      <c r="D302" s="11">
        <v>45226</v>
      </c>
      <c r="E302" s="86">
        <v>609.136</v>
      </c>
    </row>
    <row r="303" ht="15.75" spans="1:5">
      <c r="A303" s="33">
        <v>3045348.099</v>
      </c>
      <c r="B303" s="33">
        <v>398913.477</v>
      </c>
      <c r="C303" s="33">
        <v>612.32</v>
      </c>
      <c r="D303" s="11">
        <v>45227</v>
      </c>
      <c r="E303" s="86">
        <v>609.136</v>
      </c>
    </row>
    <row r="304" ht="15.75" spans="1:5">
      <c r="A304" s="33">
        <v>3045348.099</v>
      </c>
      <c r="B304" s="33">
        <v>398913.477</v>
      </c>
      <c r="C304" s="33">
        <v>612.32</v>
      </c>
      <c r="D304" s="11">
        <v>45228</v>
      </c>
      <c r="E304" s="86">
        <v>609.136</v>
      </c>
    </row>
    <row r="305" ht="15.75" spans="1:5">
      <c r="A305" s="33">
        <v>3045348.099</v>
      </c>
      <c r="B305" s="33">
        <v>398913.477</v>
      </c>
      <c r="C305" s="33">
        <v>612.32</v>
      </c>
      <c r="D305" s="11">
        <v>45229</v>
      </c>
      <c r="E305" s="86">
        <v>609.136</v>
      </c>
    </row>
    <row r="306" ht="15.75" spans="1:5">
      <c r="A306" s="33">
        <v>3045348.099</v>
      </c>
      <c r="B306" s="33">
        <v>398913.477</v>
      </c>
      <c r="C306" s="33">
        <v>612.32</v>
      </c>
      <c r="D306" s="11">
        <v>45230</v>
      </c>
      <c r="E306" s="86">
        <v>609.136</v>
      </c>
    </row>
    <row r="307" ht="15.75" spans="1:5">
      <c r="A307" s="33">
        <v>3045348.099</v>
      </c>
      <c r="B307" s="33">
        <v>398913.477</v>
      </c>
      <c r="C307" s="33">
        <v>612.32</v>
      </c>
      <c r="D307" s="11">
        <v>45231</v>
      </c>
      <c r="E307" s="86">
        <v>609.136</v>
      </c>
    </row>
    <row r="308" ht="15.75" spans="1:5">
      <c r="A308" s="33">
        <v>3045348.099</v>
      </c>
      <c r="B308" s="33">
        <v>398913.477</v>
      </c>
      <c r="C308" s="33">
        <v>612.32</v>
      </c>
      <c r="D308" s="11">
        <v>45232</v>
      </c>
      <c r="E308" s="86">
        <v>609.148</v>
      </c>
    </row>
    <row r="309" ht="15.75" spans="1:5">
      <c r="A309" s="33">
        <v>3045348.099</v>
      </c>
      <c r="B309" s="33">
        <v>398913.477</v>
      </c>
      <c r="C309" s="33">
        <v>612.32</v>
      </c>
      <c r="D309" s="11">
        <v>45233</v>
      </c>
      <c r="E309" s="86">
        <v>609.148</v>
      </c>
    </row>
    <row r="310" ht="15.75" spans="1:5">
      <c r="A310" s="33">
        <v>3045348.099</v>
      </c>
      <c r="B310" s="33">
        <v>398913.477</v>
      </c>
      <c r="C310" s="33">
        <v>612.32</v>
      </c>
      <c r="D310" s="11">
        <v>45234</v>
      </c>
      <c r="E310" s="86">
        <v>609.148</v>
      </c>
    </row>
    <row r="311" ht="15.75" spans="1:5">
      <c r="A311" s="33">
        <v>3045348.099</v>
      </c>
      <c r="B311" s="33">
        <v>398913.477</v>
      </c>
      <c r="C311" s="33">
        <v>612.32</v>
      </c>
      <c r="D311" s="11">
        <v>45235</v>
      </c>
      <c r="E311" s="86">
        <v>609.148</v>
      </c>
    </row>
    <row r="312" ht="15.75" spans="1:5">
      <c r="A312" s="33">
        <v>3045348.099</v>
      </c>
      <c r="B312" s="33">
        <v>398913.477</v>
      </c>
      <c r="C312" s="33">
        <v>612.32</v>
      </c>
      <c r="D312" s="11">
        <v>45236</v>
      </c>
      <c r="E312" s="86">
        <v>609.148</v>
      </c>
    </row>
    <row r="313" ht="15.75" spans="1:5">
      <c r="A313" s="33">
        <v>3045348.099</v>
      </c>
      <c r="B313" s="33">
        <v>398913.477</v>
      </c>
      <c r="C313" s="33">
        <v>612.32</v>
      </c>
      <c r="D313" s="11">
        <v>45237</v>
      </c>
      <c r="E313" s="86">
        <v>609.148</v>
      </c>
    </row>
    <row r="314" ht="15.75" spans="1:5">
      <c r="A314" s="33">
        <v>3045348.099</v>
      </c>
      <c r="B314" s="33">
        <v>398913.477</v>
      </c>
      <c r="C314" s="33">
        <v>612.32</v>
      </c>
      <c r="D314" s="11">
        <v>45238</v>
      </c>
      <c r="E314" s="86">
        <v>609.148</v>
      </c>
    </row>
    <row r="315" ht="15.75" spans="1:5">
      <c r="A315" s="33">
        <v>3045348.099</v>
      </c>
      <c r="B315" s="33">
        <v>398913.477</v>
      </c>
      <c r="C315" s="33">
        <v>612.32</v>
      </c>
      <c r="D315" s="11">
        <v>45239</v>
      </c>
      <c r="E315" s="86">
        <v>609.148</v>
      </c>
    </row>
    <row r="316" ht="15.75" spans="1:5">
      <c r="A316" s="33">
        <v>3045348.099</v>
      </c>
      <c r="B316" s="33">
        <v>398913.477</v>
      </c>
      <c r="C316" s="33">
        <v>612.32</v>
      </c>
      <c r="D316" s="11">
        <v>45240</v>
      </c>
      <c r="E316" s="86">
        <v>609.159</v>
      </c>
    </row>
    <row r="317" ht="15.75" spans="1:5">
      <c r="A317" s="33">
        <v>3045348.099</v>
      </c>
      <c r="B317" s="33">
        <v>398913.477</v>
      </c>
      <c r="C317" s="33">
        <v>612.32</v>
      </c>
      <c r="D317" s="11">
        <v>45241</v>
      </c>
      <c r="E317" s="86">
        <v>609.159</v>
      </c>
    </row>
    <row r="318" ht="15.75" spans="1:5">
      <c r="A318" s="33">
        <v>3045348.099</v>
      </c>
      <c r="B318" s="33">
        <v>398913.477</v>
      </c>
      <c r="C318" s="33">
        <v>612.32</v>
      </c>
      <c r="D318" s="11">
        <v>45242</v>
      </c>
      <c r="E318" s="86">
        <v>609.159</v>
      </c>
    </row>
    <row r="319" ht="15.75" spans="1:5">
      <c r="A319" s="33">
        <v>3045348.099</v>
      </c>
      <c r="B319" s="33">
        <v>398913.477</v>
      </c>
      <c r="C319" s="33">
        <v>612.32</v>
      </c>
      <c r="D319" s="11">
        <v>45243</v>
      </c>
      <c r="E319" s="86">
        <v>609.159</v>
      </c>
    </row>
    <row r="320" ht="15.75" spans="1:5">
      <c r="A320" s="33">
        <v>3045348.099</v>
      </c>
      <c r="B320" s="33">
        <v>398913.477</v>
      </c>
      <c r="C320" s="33">
        <v>612.32</v>
      </c>
      <c r="D320" s="11">
        <v>45244</v>
      </c>
      <c r="E320" s="86">
        <v>609.159</v>
      </c>
    </row>
    <row r="321" ht="15.75" spans="1:5">
      <c r="A321" s="33">
        <v>3045348.099</v>
      </c>
      <c r="B321" s="33">
        <v>398913.477</v>
      </c>
      <c r="C321" s="33">
        <v>612.32</v>
      </c>
      <c r="D321" s="11">
        <v>45245</v>
      </c>
      <c r="E321" s="86">
        <v>609.159</v>
      </c>
    </row>
    <row r="322" ht="15.75" spans="1:5">
      <c r="A322" s="33">
        <v>3045348.099</v>
      </c>
      <c r="B322" s="33">
        <v>398913.477</v>
      </c>
      <c r="C322" s="33">
        <v>612.32</v>
      </c>
      <c r="D322" s="11">
        <v>45246</v>
      </c>
      <c r="E322" s="86">
        <v>609.159</v>
      </c>
    </row>
    <row r="323" ht="15.75" spans="1:5">
      <c r="A323" s="33">
        <v>3045348.099</v>
      </c>
      <c r="B323" s="33">
        <v>398913.477</v>
      </c>
      <c r="C323" s="33">
        <v>612.32</v>
      </c>
      <c r="D323" s="11">
        <v>45247</v>
      </c>
      <c r="E323" s="86">
        <v>609.17</v>
      </c>
    </row>
    <row r="324" ht="15.75" spans="1:5">
      <c r="A324" s="33">
        <v>3045348.099</v>
      </c>
      <c r="B324" s="33">
        <v>398913.477</v>
      </c>
      <c r="C324" s="33">
        <v>612.32</v>
      </c>
      <c r="D324" s="11">
        <v>45248</v>
      </c>
      <c r="E324" s="86">
        <v>609.16</v>
      </c>
    </row>
    <row r="325" ht="15.75" spans="1:5">
      <c r="A325" s="33">
        <v>3045348.099</v>
      </c>
      <c r="B325" s="33">
        <v>398913.477</v>
      </c>
      <c r="C325" s="33">
        <v>612.32</v>
      </c>
      <c r="D325" s="11">
        <v>45249</v>
      </c>
      <c r="E325" s="86">
        <v>609.16</v>
      </c>
    </row>
    <row r="326" ht="15.75" spans="1:5">
      <c r="A326" s="33">
        <v>3045348.099</v>
      </c>
      <c r="B326" s="33">
        <v>398913.477</v>
      </c>
      <c r="C326" s="33">
        <v>612.32</v>
      </c>
      <c r="D326" s="11">
        <v>45250</v>
      </c>
      <c r="E326" s="86">
        <v>609.16</v>
      </c>
    </row>
    <row r="327" ht="15.75" spans="1:5">
      <c r="A327" s="33">
        <v>3045348.099</v>
      </c>
      <c r="B327" s="33">
        <v>398913.477</v>
      </c>
      <c r="C327" s="33">
        <v>612.32</v>
      </c>
      <c r="D327" s="11">
        <v>45251</v>
      </c>
      <c r="E327" s="86">
        <v>609.16</v>
      </c>
    </row>
    <row r="328" ht="15.75" spans="1:5">
      <c r="A328" s="33">
        <v>3045348.099</v>
      </c>
      <c r="B328" s="33">
        <v>398913.477</v>
      </c>
      <c r="C328" s="33">
        <v>612.32</v>
      </c>
      <c r="D328" s="11">
        <v>45252</v>
      </c>
      <c r="E328" s="86">
        <v>609.17</v>
      </c>
    </row>
    <row r="329" ht="15.75" spans="1:5">
      <c r="A329" s="33">
        <v>3045348.099</v>
      </c>
      <c r="B329" s="33">
        <v>398913.477</v>
      </c>
      <c r="C329" s="33">
        <v>612.32</v>
      </c>
      <c r="D329" s="11">
        <v>45253</v>
      </c>
      <c r="E329" s="86">
        <v>609.17</v>
      </c>
    </row>
    <row r="330" ht="15.75" spans="1:5">
      <c r="A330" s="33">
        <v>3045348.099</v>
      </c>
      <c r="B330" s="33">
        <v>398913.477</v>
      </c>
      <c r="C330" s="33">
        <v>612.32</v>
      </c>
      <c r="D330" s="11">
        <v>45254</v>
      </c>
      <c r="E330" s="86">
        <v>609.16</v>
      </c>
    </row>
    <row r="331" ht="15.75" spans="1:5">
      <c r="A331" s="33">
        <v>3045348.099</v>
      </c>
      <c r="B331" s="33">
        <v>398913.477</v>
      </c>
      <c r="C331" s="33">
        <v>612.32</v>
      </c>
      <c r="D331" s="11">
        <v>45255</v>
      </c>
      <c r="E331" s="86"/>
    </row>
    <row r="332" ht="15.75" spans="1:5">
      <c r="A332" s="33">
        <v>3045348.099</v>
      </c>
      <c r="B332" s="33">
        <v>398913.477</v>
      </c>
      <c r="C332" s="33">
        <v>612.32</v>
      </c>
      <c r="D332" s="11">
        <v>45256</v>
      </c>
      <c r="E332" s="86"/>
    </row>
    <row r="333" ht="15.75" spans="1:5">
      <c r="A333" s="33">
        <v>3045348.099</v>
      </c>
      <c r="B333" s="33">
        <v>398913.477</v>
      </c>
      <c r="C333" s="33">
        <v>612.32</v>
      </c>
      <c r="D333" s="11">
        <v>45257</v>
      </c>
      <c r="E333" s="86"/>
    </row>
    <row r="334" ht="15.75" spans="1:5">
      <c r="A334" s="33">
        <v>3045348.099</v>
      </c>
      <c r="B334" s="33">
        <v>398913.477</v>
      </c>
      <c r="C334" s="33">
        <v>612.32</v>
      </c>
      <c r="D334" s="11">
        <v>45258</v>
      </c>
      <c r="E334" s="86">
        <v>605.69</v>
      </c>
    </row>
    <row r="335" ht="15.75" spans="1:5">
      <c r="A335" s="33">
        <v>3045348.099</v>
      </c>
      <c r="B335" s="33">
        <v>398913.477</v>
      </c>
      <c r="C335" s="33">
        <v>612.32</v>
      </c>
      <c r="D335" s="11">
        <v>45259</v>
      </c>
      <c r="E335" s="86">
        <v>605.81</v>
      </c>
    </row>
    <row r="336" ht="15.75" spans="1:5">
      <c r="A336" s="33">
        <v>3045348.099</v>
      </c>
      <c r="B336" s="33">
        <v>398913.477</v>
      </c>
      <c r="C336" s="33">
        <v>612.32</v>
      </c>
      <c r="D336" s="11">
        <v>45260</v>
      </c>
      <c r="E336" s="86">
        <v>605.97</v>
      </c>
    </row>
    <row r="337" ht="15.75" spans="1:5">
      <c r="A337" s="33">
        <v>3045348.099</v>
      </c>
      <c r="B337" s="33">
        <v>398913.477</v>
      </c>
      <c r="C337" s="33">
        <v>612.32</v>
      </c>
      <c r="D337" s="11">
        <v>45261</v>
      </c>
      <c r="E337" s="86">
        <v>606.03</v>
      </c>
    </row>
    <row r="338" ht="15.75" spans="1:5">
      <c r="A338" s="33">
        <v>3045348.099</v>
      </c>
      <c r="B338" s="33">
        <v>398913.477</v>
      </c>
      <c r="C338" s="33">
        <v>612.32</v>
      </c>
      <c r="D338" s="11">
        <v>45262</v>
      </c>
      <c r="E338" s="86">
        <v>606.14</v>
      </c>
    </row>
    <row r="339" ht="15.75" spans="1:5">
      <c r="A339" s="33">
        <v>3045348.099</v>
      </c>
      <c r="B339" s="33">
        <v>398913.477</v>
      </c>
      <c r="C339" s="33">
        <v>612.32</v>
      </c>
      <c r="D339" s="11">
        <v>45263</v>
      </c>
      <c r="E339" s="86">
        <v>606.15</v>
      </c>
    </row>
    <row r="340" ht="15.75" spans="1:5">
      <c r="A340" s="33">
        <v>3045348.099</v>
      </c>
      <c r="B340" s="33">
        <v>398913.477</v>
      </c>
      <c r="C340" s="33">
        <v>612.32</v>
      </c>
      <c r="D340" s="11">
        <v>45264</v>
      </c>
      <c r="E340" s="86">
        <v>606.36</v>
      </c>
    </row>
    <row r="341" ht="15.75" spans="1:5">
      <c r="A341" s="33">
        <v>3045348.099</v>
      </c>
      <c r="B341" s="33">
        <v>398913.477</v>
      </c>
      <c r="C341" s="33">
        <v>612.32</v>
      </c>
      <c r="D341" s="11">
        <v>45265</v>
      </c>
      <c r="E341" s="86">
        <v>606.82</v>
      </c>
    </row>
    <row r="342" ht="15.75" spans="1:5">
      <c r="A342" s="33">
        <v>3045348.099</v>
      </c>
      <c r="B342" s="33">
        <v>398913.477</v>
      </c>
      <c r="C342" s="33">
        <v>612.32</v>
      </c>
      <c r="D342" s="11">
        <v>45266</v>
      </c>
      <c r="E342" s="86">
        <v>606.77</v>
      </c>
    </row>
    <row r="343" ht="15.75" spans="1:5">
      <c r="A343" s="33">
        <v>3045348.099</v>
      </c>
      <c r="B343" s="33">
        <v>398913.477</v>
      </c>
      <c r="C343" s="33">
        <v>612.32</v>
      </c>
      <c r="D343" s="11">
        <v>45267</v>
      </c>
      <c r="E343" s="86">
        <v>607.24</v>
      </c>
    </row>
    <row r="344" ht="15.75" spans="1:5">
      <c r="A344" s="33">
        <v>3045348.099</v>
      </c>
      <c r="B344" s="33">
        <v>398913.477</v>
      </c>
      <c r="C344" s="33">
        <v>612.32</v>
      </c>
      <c r="D344" s="11">
        <v>45268</v>
      </c>
      <c r="E344" s="86"/>
    </row>
    <row r="345" ht="15.75" spans="1:5">
      <c r="A345" s="33">
        <v>3045348.099</v>
      </c>
      <c r="B345" s="33">
        <v>398913.477</v>
      </c>
      <c r="C345" s="33">
        <v>612.32</v>
      </c>
      <c r="D345" s="11">
        <v>45269</v>
      </c>
      <c r="E345" s="86"/>
    </row>
    <row r="346" ht="15.75" spans="1:5">
      <c r="A346" s="33">
        <v>3045348.099</v>
      </c>
      <c r="B346" s="33">
        <v>398913.477</v>
      </c>
      <c r="C346" s="33">
        <v>612.32</v>
      </c>
      <c r="D346" s="11">
        <v>45270</v>
      </c>
      <c r="E346" s="86"/>
    </row>
    <row r="347" ht="15.75" spans="1:5">
      <c r="A347" s="33">
        <v>3045348.099</v>
      </c>
      <c r="B347" s="33">
        <v>398913.477</v>
      </c>
      <c r="C347" s="33">
        <v>612.32</v>
      </c>
      <c r="D347" s="11">
        <v>45271</v>
      </c>
      <c r="E347" s="86"/>
    </row>
    <row r="348" ht="15.75" spans="1:5">
      <c r="A348" s="33">
        <v>3045348.099</v>
      </c>
      <c r="B348" s="33">
        <v>398913.477</v>
      </c>
      <c r="C348" s="33">
        <v>612.32</v>
      </c>
      <c r="D348" s="11">
        <v>45272</v>
      </c>
      <c r="E348" s="86"/>
    </row>
    <row r="349" ht="15.75" spans="1:5">
      <c r="A349" s="33">
        <v>3045348.099</v>
      </c>
      <c r="B349" s="33">
        <v>398913.477</v>
      </c>
      <c r="C349" s="33">
        <v>612.32</v>
      </c>
      <c r="D349" s="11">
        <v>45273</v>
      </c>
      <c r="E349" s="86">
        <v>609.169</v>
      </c>
    </row>
    <row r="350" ht="15.75" spans="1:5">
      <c r="A350" s="33">
        <v>3045348.099</v>
      </c>
      <c r="B350" s="33">
        <v>398913.477</v>
      </c>
      <c r="C350" s="33">
        <v>612.32</v>
      </c>
      <c r="D350" s="11">
        <v>45274</v>
      </c>
      <c r="E350" s="86">
        <v>609.171</v>
      </c>
    </row>
    <row r="351" ht="15.75" spans="1:5">
      <c r="A351" s="33">
        <v>3045348.099</v>
      </c>
      <c r="B351" s="33">
        <v>398913.477</v>
      </c>
      <c r="C351" s="33">
        <v>612.32</v>
      </c>
      <c r="D351" s="11">
        <v>45275</v>
      </c>
      <c r="E351" s="86">
        <v>609.171</v>
      </c>
    </row>
    <row r="352" ht="15.75" spans="1:5">
      <c r="A352" s="33">
        <v>3045348.099</v>
      </c>
      <c r="B352" s="33">
        <v>398913.477</v>
      </c>
      <c r="C352" s="33">
        <v>612.32</v>
      </c>
      <c r="D352" s="11">
        <v>45276</v>
      </c>
      <c r="E352" s="86">
        <v>609.17</v>
      </c>
    </row>
    <row r="353" ht="15.75" spans="1:5">
      <c r="A353" s="33">
        <v>3045348.099</v>
      </c>
      <c r="B353" s="33">
        <v>398913.477</v>
      </c>
      <c r="C353" s="33">
        <v>612.32</v>
      </c>
      <c r="D353" s="11">
        <v>45277</v>
      </c>
      <c r="E353" s="86">
        <v>606.738</v>
      </c>
    </row>
    <row r="354" ht="15.75" spans="1:5">
      <c r="A354" s="33">
        <v>3045348.099</v>
      </c>
      <c r="B354" s="33">
        <v>398913.477</v>
      </c>
      <c r="C354" s="33">
        <v>612.32</v>
      </c>
      <c r="D354" s="11">
        <v>45278</v>
      </c>
      <c r="E354" s="86">
        <v>606.567</v>
      </c>
    </row>
    <row r="355" ht="15.75" spans="1:5">
      <c r="A355" s="33">
        <v>3045348.099</v>
      </c>
      <c r="B355" s="33">
        <v>398913.477</v>
      </c>
      <c r="C355" s="33">
        <v>612.32</v>
      </c>
      <c r="D355" s="11">
        <v>45279</v>
      </c>
      <c r="E355" s="86">
        <v>606.524</v>
      </c>
    </row>
    <row r="356" ht="15.75" spans="1:5">
      <c r="A356" s="33">
        <v>3045348.099</v>
      </c>
      <c r="B356" s="33">
        <v>398913.477</v>
      </c>
      <c r="C356" s="33">
        <v>612.32</v>
      </c>
      <c r="D356" s="11">
        <v>45280</v>
      </c>
      <c r="E356" s="86">
        <v>606.507</v>
      </c>
    </row>
    <row r="357" ht="15.75" spans="1:5">
      <c r="A357" s="33">
        <v>3045348.099</v>
      </c>
      <c r="B357" s="33">
        <v>398913.477</v>
      </c>
      <c r="C357" s="33">
        <v>612.32</v>
      </c>
      <c r="D357" s="11">
        <v>45281</v>
      </c>
      <c r="E357" s="86">
        <v>606.517</v>
      </c>
    </row>
    <row r="358" ht="15.75" spans="1:5">
      <c r="A358" s="33">
        <v>3045348.099</v>
      </c>
      <c r="B358" s="33">
        <v>398913.477</v>
      </c>
      <c r="C358" s="33">
        <v>612.32</v>
      </c>
      <c r="D358" s="11">
        <v>45282</v>
      </c>
      <c r="E358" s="86">
        <v>606.533</v>
      </c>
    </row>
    <row r="359" ht="15.75" spans="1:5">
      <c r="A359" s="33">
        <v>3045348.099</v>
      </c>
      <c r="B359" s="33">
        <v>398913.477</v>
      </c>
      <c r="C359" s="33">
        <v>612.32</v>
      </c>
      <c r="D359" s="11">
        <v>45283</v>
      </c>
      <c r="E359" s="86">
        <v>606.61</v>
      </c>
    </row>
    <row r="360" ht="15.75" spans="1:5">
      <c r="A360" s="33">
        <v>3045348.099</v>
      </c>
      <c r="B360" s="33">
        <v>398913.477</v>
      </c>
      <c r="C360" s="33">
        <v>612.32</v>
      </c>
      <c r="D360" s="11">
        <v>45284</v>
      </c>
      <c r="E360" s="86">
        <v>607.098</v>
      </c>
    </row>
    <row r="361" ht="15.75" spans="1:5">
      <c r="A361" s="33">
        <v>3045348.099</v>
      </c>
      <c r="B361" s="33">
        <v>398913.477</v>
      </c>
      <c r="C361" s="33">
        <v>612.32</v>
      </c>
      <c r="D361" s="11">
        <v>45285</v>
      </c>
      <c r="E361" s="86">
        <v>607.68</v>
      </c>
    </row>
    <row r="362" ht="15.75" spans="1:5">
      <c r="A362" s="33">
        <v>3045348.099</v>
      </c>
      <c r="B362" s="33">
        <v>398913.477</v>
      </c>
      <c r="C362" s="33">
        <v>612.32</v>
      </c>
      <c r="D362" s="11">
        <v>45286</v>
      </c>
      <c r="E362" s="86">
        <v>607.152</v>
      </c>
    </row>
    <row r="363" ht="15.75" spans="1:5">
      <c r="A363" s="33">
        <v>3045348.099</v>
      </c>
      <c r="B363" s="33">
        <v>398913.477</v>
      </c>
      <c r="C363" s="33">
        <v>612.32</v>
      </c>
      <c r="D363" s="11">
        <v>45287</v>
      </c>
      <c r="E363" s="86">
        <v>607.674</v>
      </c>
    </row>
    <row r="364" ht="15.75" spans="1:5">
      <c r="A364" s="33">
        <v>3045348.099</v>
      </c>
      <c r="B364" s="33">
        <v>398913.477</v>
      </c>
      <c r="C364" s="33">
        <v>612.32</v>
      </c>
      <c r="D364" s="11">
        <v>45288</v>
      </c>
      <c r="E364" s="86">
        <v>609.186</v>
      </c>
    </row>
    <row r="365" ht="15.75" spans="1:5">
      <c r="A365" s="33">
        <v>3045348.099</v>
      </c>
      <c r="B365" s="33">
        <v>398913.477</v>
      </c>
      <c r="C365" s="33">
        <v>612.32</v>
      </c>
      <c r="D365" s="11">
        <v>45289</v>
      </c>
      <c r="E365" s="86">
        <v>607.111</v>
      </c>
    </row>
    <row r="366" ht="15.75" spans="1:5">
      <c r="A366" s="33">
        <v>3045348.099</v>
      </c>
      <c r="B366" s="33">
        <v>398913.477</v>
      </c>
      <c r="C366" s="33">
        <v>612.32</v>
      </c>
      <c r="D366" s="11">
        <v>45290</v>
      </c>
      <c r="E366" s="86">
        <v>606.773</v>
      </c>
    </row>
    <row r="367" ht="15.75" spans="1:5">
      <c r="A367" s="33">
        <v>3045348.099</v>
      </c>
      <c r="B367" s="33">
        <v>398913.477</v>
      </c>
      <c r="C367" s="33">
        <v>612.32</v>
      </c>
      <c r="D367" s="11">
        <v>45291</v>
      </c>
      <c r="E367" s="86">
        <v>606.669</v>
      </c>
    </row>
    <row r="368" ht="15.75" spans="1:5">
      <c r="A368" s="33">
        <v>3045348.099</v>
      </c>
      <c r="B368" s="33">
        <v>398913.477</v>
      </c>
      <c r="C368" s="33">
        <v>612.32</v>
      </c>
      <c r="D368" s="11">
        <v>45292</v>
      </c>
      <c r="E368" s="86">
        <v>606.679</v>
      </c>
    </row>
    <row r="369" ht="15.75" spans="1:5">
      <c r="A369" s="33">
        <v>3045348.099</v>
      </c>
      <c r="B369" s="33">
        <v>398913.477</v>
      </c>
      <c r="C369" s="33">
        <v>612.32</v>
      </c>
      <c r="D369" s="11">
        <v>45293</v>
      </c>
      <c r="E369" s="86">
        <v>606.746</v>
      </c>
    </row>
    <row r="370" ht="15.75" spans="1:5">
      <c r="A370" s="33">
        <v>3045348.099</v>
      </c>
      <c r="B370" s="33">
        <v>398913.477</v>
      </c>
      <c r="C370" s="33">
        <v>612.32</v>
      </c>
      <c r="D370" s="11">
        <v>45294</v>
      </c>
      <c r="E370" s="86">
        <v>606.756</v>
      </c>
    </row>
    <row r="371" ht="15.75" spans="1:5">
      <c r="A371" s="33">
        <v>3045348.099</v>
      </c>
      <c r="B371" s="33">
        <v>398913.477</v>
      </c>
      <c r="C371" s="33">
        <v>612.32</v>
      </c>
      <c r="D371" s="11">
        <v>45295</v>
      </c>
      <c r="E371" s="88">
        <v>606.816</v>
      </c>
    </row>
    <row r="372" ht="15.75" spans="1:5">
      <c r="A372" s="33">
        <v>3045348.099</v>
      </c>
      <c r="B372" s="33">
        <v>398913.477</v>
      </c>
      <c r="C372" s="33">
        <v>612.32</v>
      </c>
      <c r="D372" s="11">
        <v>45296</v>
      </c>
      <c r="E372" s="88">
        <v>606.858</v>
      </c>
    </row>
    <row r="373" ht="15.75" spans="1:5">
      <c r="A373" s="33">
        <v>3045348.099</v>
      </c>
      <c r="B373" s="33">
        <v>398913.477</v>
      </c>
      <c r="C373" s="33">
        <v>612.32</v>
      </c>
      <c r="D373" s="11">
        <v>45297</v>
      </c>
      <c r="E373" s="88">
        <v>606.874</v>
      </c>
    </row>
    <row r="374" ht="15.75" spans="1:5">
      <c r="A374" s="33">
        <v>3045348.099</v>
      </c>
      <c r="B374" s="33">
        <v>398913.477</v>
      </c>
      <c r="C374" s="33">
        <v>612.32</v>
      </c>
      <c r="D374" s="11">
        <v>45298</v>
      </c>
      <c r="E374" s="88">
        <v>606.916</v>
      </c>
    </row>
    <row r="375" ht="15.75" spans="1:5">
      <c r="A375" s="33">
        <v>3045348.099</v>
      </c>
      <c r="B375" s="33">
        <v>398913.477</v>
      </c>
      <c r="C375" s="33">
        <v>612.32</v>
      </c>
      <c r="D375" s="11">
        <v>45299</v>
      </c>
      <c r="E375" s="88">
        <v>606.982</v>
      </c>
    </row>
    <row r="376" ht="15.75" spans="1:5">
      <c r="A376" s="33">
        <v>3045348.099</v>
      </c>
      <c r="B376" s="33">
        <v>398913.477</v>
      </c>
      <c r="C376" s="33">
        <v>612.32</v>
      </c>
      <c r="D376" s="11">
        <v>45300</v>
      </c>
      <c r="E376" s="88">
        <v>606.883</v>
      </c>
    </row>
    <row r="377" ht="15.75" spans="1:5">
      <c r="A377" s="33">
        <v>3045348.099</v>
      </c>
      <c r="B377" s="33">
        <v>398913.477</v>
      </c>
      <c r="C377" s="33">
        <v>612.32</v>
      </c>
      <c r="D377" s="11">
        <v>45301</v>
      </c>
      <c r="E377" s="88">
        <v>606.933</v>
      </c>
    </row>
    <row r="378" ht="15.75" spans="1:5">
      <c r="A378" s="33">
        <v>3045348.099</v>
      </c>
      <c r="B378" s="33">
        <v>398913.477</v>
      </c>
      <c r="C378" s="33">
        <v>612.32</v>
      </c>
      <c r="D378" s="11">
        <v>45302</v>
      </c>
      <c r="E378" s="88">
        <v>606.993</v>
      </c>
    </row>
    <row r="379" ht="15.75" spans="1:5">
      <c r="A379" s="33">
        <v>3045348.099</v>
      </c>
      <c r="B379" s="33">
        <v>398913.477</v>
      </c>
      <c r="C379" s="33">
        <v>612.32</v>
      </c>
      <c r="D379" s="11">
        <v>45303</v>
      </c>
      <c r="E379" s="88">
        <v>607.04</v>
      </c>
    </row>
    <row r="380" ht="15.75" spans="1:5">
      <c r="A380" s="33">
        <v>3045348.099</v>
      </c>
      <c r="B380" s="33">
        <v>398913.477</v>
      </c>
      <c r="C380" s="33">
        <v>612.32</v>
      </c>
      <c r="D380" s="11">
        <v>45304</v>
      </c>
      <c r="E380" s="88">
        <v>607.11</v>
      </c>
    </row>
    <row r="381" ht="15.75" spans="1:5">
      <c r="A381" s="33">
        <v>3045348.099</v>
      </c>
      <c r="B381" s="33">
        <v>398913.477</v>
      </c>
      <c r="C381" s="33">
        <v>612.32</v>
      </c>
      <c r="D381" s="11">
        <v>45305</v>
      </c>
      <c r="E381" s="88">
        <v>607.154</v>
      </c>
    </row>
    <row r="382" ht="15.75" spans="1:5">
      <c r="A382" s="33">
        <v>3045348.099</v>
      </c>
      <c r="B382" s="33">
        <v>398913.477</v>
      </c>
      <c r="C382" s="33">
        <v>612.32</v>
      </c>
      <c r="D382" s="11">
        <v>45306</v>
      </c>
      <c r="E382" s="88">
        <v>607.072</v>
      </c>
    </row>
    <row r="383" ht="15.75" spans="1:5">
      <c r="A383" s="33">
        <v>3045348.099</v>
      </c>
      <c r="B383" s="33">
        <v>398913.477</v>
      </c>
      <c r="C383" s="33">
        <v>612.32</v>
      </c>
      <c r="D383" s="11">
        <v>45307</v>
      </c>
      <c r="E383" s="88">
        <v>607.099</v>
      </c>
    </row>
    <row r="384" ht="15.75" spans="1:5">
      <c r="A384" s="33">
        <v>3045348.099</v>
      </c>
      <c r="B384" s="33">
        <v>398913.477</v>
      </c>
      <c r="C384" s="33">
        <v>612.32</v>
      </c>
      <c r="D384" s="11">
        <v>45308</v>
      </c>
      <c r="E384" s="88">
        <v>607.138</v>
      </c>
    </row>
    <row r="385" ht="15.75" spans="1:5">
      <c r="A385" s="33">
        <v>3045348.099</v>
      </c>
      <c r="B385" s="33">
        <v>398913.477</v>
      </c>
      <c r="C385" s="33">
        <v>612.32</v>
      </c>
      <c r="D385" s="11">
        <v>45309</v>
      </c>
      <c r="E385" s="88">
        <v>607.183</v>
      </c>
    </row>
    <row r="386" ht="15.75" spans="1:5">
      <c r="A386" s="33">
        <v>3045348.099</v>
      </c>
      <c r="B386" s="33">
        <v>398913.477</v>
      </c>
      <c r="C386" s="33">
        <v>612.32</v>
      </c>
      <c r="D386" s="11">
        <v>45310</v>
      </c>
      <c r="E386" s="88">
        <v>607.213</v>
      </c>
    </row>
    <row r="387" ht="15.75" spans="1:5">
      <c r="A387" s="33">
        <v>3045348.099</v>
      </c>
      <c r="B387" s="33">
        <v>398913.477</v>
      </c>
      <c r="C387" s="33">
        <v>612.32</v>
      </c>
      <c r="D387" s="11">
        <v>45311</v>
      </c>
      <c r="E387" s="88">
        <v>607.227</v>
      </c>
    </row>
    <row r="388" ht="15.75" spans="1:5">
      <c r="A388" s="33">
        <v>3045348.099</v>
      </c>
      <c r="B388" s="33">
        <v>398913.477</v>
      </c>
      <c r="C388" s="33">
        <v>612.32</v>
      </c>
      <c r="D388" s="11">
        <v>45312</v>
      </c>
      <c r="E388" s="88">
        <v>607.251</v>
      </c>
    </row>
    <row r="389" ht="15.75" spans="1:5">
      <c r="A389" s="33">
        <v>3045348.099</v>
      </c>
      <c r="B389" s="33">
        <v>398913.477</v>
      </c>
      <c r="C389" s="33">
        <v>612.32</v>
      </c>
      <c r="D389" s="11">
        <v>45313</v>
      </c>
      <c r="E389" s="88">
        <v>607.281</v>
      </c>
    </row>
    <row r="390" ht="15.75" spans="1:5">
      <c r="A390" s="33">
        <v>3045348.099</v>
      </c>
      <c r="B390" s="33">
        <v>398913.477</v>
      </c>
      <c r="C390" s="33">
        <v>612.32</v>
      </c>
      <c r="D390" s="11">
        <v>45314</v>
      </c>
      <c r="E390" s="88">
        <v>607.301</v>
      </c>
    </row>
    <row r="391" ht="15.75" spans="1:5">
      <c r="A391" s="33">
        <v>3045348.099</v>
      </c>
      <c r="B391" s="33">
        <v>398913.477</v>
      </c>
      <c r="C391" s="33">
        <v>612.32</v>
      </c>
      <c r="D391" s="11">
        <v>45315</v>
      </c>
      <c r="E391" s="88">
        <v>607.325</v>
      </c>
    </row>
    <row r="392" ht="15.75" spans="1:5">
      <c r="A392" s="33">
        <v>3045348.099</v>
      </c>
      <c r="B392" s="33">
        <v>398913.477</v>
      </c>
      <c r="C392" s="33">
        <v>612.32</v>
      </c>
      <c r="D392" s="11">
        <v>45316</v>
      </c>
      <c r="E392" s="88">
        <v>607.37</v>
      </c>
    </row>
    <row r="393" ht="15.75" spans="1:5">
      <c r="A393" s="33">
        <v>3045348.099</v>
      </c>
      <c r="B393" s="33">
        <v>398913.477</v>
      </c>
      <c r="C393" s="33">
        <v>612.32</v>
      </c>
      <c r="D393" s="11">
        <v>45317</v>
      </c>
      <c r="E393" s="88">
        <v>607.378</v>
      </c>
    </row>
    <row r="394" ht="15.75" spans="1:5">
      <c r="A394" s="33">
        <v>3045348.099</v>
      </c>
      <c r="B394" s="33">
        <v>398913.477</v>
      </c>
      <c r="C394" s="33">
        <v>612.32</v>
      </c>
      <c r="D394" s="11">
        <v>45318</v>
      </c>
      <c r="E394" s="88">
        <v>607.434</v>
      </c>
    </row>
    <row r="395" ht="15.75" spans="1:5">
      <c r="A395" s="33">
        <v>3045348.099</v>
      </c>
      <c r="B395" s="33">
        <v>398913.477</v>
      </c>
      <c r="C395" s="33">
        <v>612.32</v>
      </c>
      <c r="D395" s="11">
        <v>45319</v>
      </c>
      <c r="E395" s="88">
        <v>607.885</v>
      </c>
    </row>
    <row r="396" ht="15.75" spans="1:5">
      <c r="A396" s="33">
        <v>3045348.099</v>
      </c>
      <c r="B396" s="33">
        <v>398913.477</v>
      </c>
      <c r="C396" s="33">
        <v>612.32</v>
      </c>
      <c r="D396" s="11">
        <v>45320</v>
      </c>
      <c r="E396" s="88">
        <v>607.976</v>
      </c>
    </row>
    <row r="397" ht="15.75" spans="1:5">
      <c r="A397" s="33">
        <v>3045348.099</v>
      </c>
      <c r="B397" s="33">
        <v>398913.477</v>
      </c>
      <c r="C397" s="33">
        <v>612.32</v>
      </c>
      <c r="D397" s="11">
        <v>45321</v>
      </c>
      <c r="E397" s="88">
        <v>608.035</v>
      </c>
    </row>
    <row r="398" ht="15.75" spans="1:5">
      <c r="A398" s="33">
        <v>3045348.099</v>
      </c>
      <c r="B398" s="33">
        <v>398913.477</v>
      </c>
      <c r="C398" s="33">
        <v>612.32</v>
      </c>
      <c r="D398" s="11">
        <v>45322</v>
      </c>
      <c r="E398" s="88">
        <v>608.099</v>
      </c>
    </row>
    <row r="399" ht="15.75" spans="1:5">
      <c r="A399" s="33">
        <v>3045348.099</v>
      </c>
      <c r="B399" s="33">
        <v>398913.477</v>
      </c>
      <c r="C399" s="33">
        <v>612.32</v>
      </c>
      <c r="D399" s="11">
        <v>45323</v>
      </c>
      <c r="E399" s="88">
        <v>608.121</v>
      </c>
    </row>
    <row r="400" ht="15.75" spans="1:5">
      <c r="A400" s="33">
        <v>3045348.099</v>
      </c>
      <c r="B400" s="33">
        <v>398913.477</v>
      </c>
      <c r="C400" s="33">
        <v>612.32</v>
      </c>
      <c r="D400" s="11">
        <v>45324</v>
      </c>
      <c r="E400" s="88">
        <v>608.104</v>
      </c>
    </row>
    <row r="401" ht="15.75" spans="1:5">
      <c r="A401" s="33">
        <v>3045348.099</v>
      </c>
      <c r="B401" s="33">
        <v>398913.477</v>
      </c>
      <c r="C401" s="33">
        <v>612.32</v>
      </c>
      <c r="D401" s="11">
        <v>45325</v>
      </c>
      <c r="E401" s="88">
        <v>607.807</v>
      </c>
    </row>
    <row r="402" ht="15.75" spans="1:5">
      <c r="A402" s="33">
        <v>3045348.099</v>
      </c>
      <c r="B402" s="33">
        <v>398913.477</v>
      </c>
      <c r="C402" s="33">
        <v>612.32</v>
      </c>
      <c r="D402" s="11">
        <v>45326</v>
      </c>
      <c r="E402" s="88">
        <v>607.64</v>
      </c>
    </row>
    <row r="403" ht="15.75" spans="1:5">
      <c r="A403" s="33">
        <v>3045348.099</v>
      </c>
      <c r="B403" s="33">
        <v>398913.477</v>
      </c>
      <c r="C403" s="33">
        <v>612.32</v>
      </c>
      <c r="D403" s="11">
        <v>45327</v>
      </c>
      <c r="E403" s="88">
        <v>607.593</v>
      </c>
    </row>
    <row r="404" ht="15.75" spans="1:5">
      <c r="A404" s="33">
        <v>3045348.099</v>
      </c>
      <c r="B404" s="33">
        <v>398913.477</v>
      </c>
      <c r="C404" s="33">
        <v>612.32</v>
      </c>
      <c r="D404" s="11">
        <v>45328</v>
      </c>
      <c r="E404" s="88">
        <v>607.566</v>
      </c>
    </row>
    <row r="405" ht="15.75" spans="1:5">
      <c r="A405" s="33">
        <v>3045348.099</v>
      </c>
      <c r="B405" s="33">
        <v>398913.477</v>
      </c>
      <c r="C405" s="33">
        <v>612.32</v>
      </c>
      <c r="D405" s="11">
        <v>45329</v>
      </c>
      <c r="E405" s="88">
        <v>607.602</v>
      </c>
    </row>
    <row r="406" ht="15.75" spans="1:5">
      <c r="A406" s="33">
        <v>3045348.099</v>
      </c>
      <c r="B406" s="33">
        <v>398913.477</v>
      </c>
      <c r="C406" s="33">
        <v>612.32</v>
      </c>
      <c r="D406" s="11">
        <v>45330</v>
      </c>
      <c r="E406" s="88">
        <v>607.616</v>
      </c>
    </row>
    <row r="407" ht="15.75" spans="1:5">
      <c r="A407" s="33">
        <v>3045348.099</v>
      </c>
      <c r="B407" s="33">
        <v>398913.477</v>
      </c>
      <c r="C407" s="33">
        <v>612.32</v>
      </c>
      <c r="D407" s="11">
        <v>45331</v>
      </c>
      <c r="E407" s="88">
        <v>607.643</v>
      </c>
    </row>
    <row r="408" ht="15.75" spans="1:5">
      <c r="A408" s="33">
        <v>3045348.099</v>
      </c>
      <c r="B408" s="33">
        <v>398913.477</v>
      </c>
      <c r="C408" s="33">
        <v>612.32</v>
      </c>
      <c r="D408" s="11">
        <v>45332</v>
      </c>
      <c r="E408" s="88">
        <v>607.673</v>
      </c>
    </row>
    <row r="409" ht="15.75" spans="1:5">
      <c r="A409" s="33">
        <v>3045348.099</v>
      </c>
      <c r="B409" s="33">
        <v>398913.477</v>
      </c>
      <c r="C409" s="33">
        <v>612.32</v>
      </c>
      <c r="D409" s="11">
        <v>45333</v>
      </c>
      <c r="E409" s="88">
        <v>607.692</v>
      </c>
    </row>
    <row r="410" ht="15.75" spans="1:5">
      <c r="A410" s="33">
        <v>3045348.099</v>
      </c>
      <c r="B410" s="33">
        <v>398913.477</v>
      </c>
      <c r="C410" s="33">
        <v>612.32</v>
      </c>
      <c r="D410" s="11">
        <v>45334</v>
      </c>
      <c r="E410" s="88">
        <v>607.711</v>
      </c>
    </row>
    <row r="411" ht="15.75" spans="1:5">
      <c r="A411" s="33">
        <v>3045348.099</v>
      </c>
      <c r="B411" s="33">
        <v>398913.477</v>
      </c>
      <c r="C411" s="33">
        <v>612.32</v>
      </c>
      <c r="D411" s="11">
        <v>45335</v>
      </c>
      <c r="E411" s="88">
        <v>607.728</v>
      </c>
    </row>
    <row r="412" ht="15.75" spans="1:5">
      <c r="A412" s="33">
        <v>3045348.099</v>
      </c>
      <c r="B412" s="33">
        <v>398913.477</v>
      </c>
      <c r="C412" s="33">
        <v>612.32</v>
      </c>
      <c r="D412" s="11">
        <v>45336</v>
      </c>
      <c r="E412" s="89">
        <v>607.742</v>
      </c>
    </row>
    <row r="413" ht="15.75" spans="1:5">
      <c r="A413" s="33">
        <v>3045348.099</v>
      </c>
      <c r="B413" s="33">
        <v>398913.477</v>
      </c>
      <c r="C413" s="33">
        <v>612.32</v>
      </c>
      <c r="D413" s="11">
        <v>45337</v>
      </c>
      <c r="E413" s="85"/>
    </row>
    <row r="414" ht="15.75" spans="1:5">
      <c r="A414" s="33">
        <v>3045348.099</v>
      </c>
      <c r="B414" s="33">
        <v>398913.477</v>
      </c>
      <c r="C414" s="33">
        <v>612.32</v>
      </c>
      <c r="D414" s="11">
        <v>45338</v>
      </c>
      <c r="E414" s="85"/>
    </row>
    <row r="415" ht="15.75" spans="1:5">
      <c r="A415" s="33">
        <v>3045348.099</v>
      </c>
      <c r="B415" s="33">
        <v>398913.477</v>
      </c>
      <c r="C415" s="33">
        <v>612.32</v>
      </c>
      <c r="D415" s="11">
        <v>45339</v>
      </c>
      <c r="E415" s="85"/>
    </row>
    <row r="416" ht="15.75" spans="1:5">
      <c r="A416" s="33">
        <v>3045348.099</v>
      </c>
      <c r="B416" s="33">
        <v>398913.477</v>
      </c>
      <c r="C416" s="33">
        <v>612.32</v>
      </c>
      <c r="D416" s="11">
        <v>45340</v>
      </c>
      <c r="E416" s="85"/>
    </row>
    <row r="417" ht="15.75" spans="1:5">
      <c r="A417" s="33">
        <v>3045348.099</v>
      </c>
      <c r="B417" s="33">
        <v>398913.477</v>
      </c>
      <c r="C417" s="33">
        <v>612.32</v>
      </c>
      <c r="D417" s="11">
        <v>45341</v>
      </c>
      <c r="E417" s="88">
        <v>607.725</v>
      </c>
    </row>
    <row r="418" ht="15.75" spans="1:5">
      <c r="A418" s="33">
        <v>3045348.099</v>
      </c>
      <c r="B418" s="33">
        <v>398913.477</v>
      </c>
      <c r="C418" s="33">
        <v>612.32</v>
      </c>
      <c r="D418" s="11">
        <v>45342</v>
      </c>
      <c r="E418" s="88">
        <v>607.729</v>
      </c>
    </row>
    <row r="419" ht="15.75" spans="1:5">
      <c r="A419" s="33">
        <v>3045348.099</v>
      </c>
      <c r="B419" s="33">
        <v>398913.477</v>
      </c>
      <c r="C419" s="33">
        <v>612.32</v>
      </c>
      <c r="D419" s="11">
        <v>45343</v>
      </c>
      <c r="E419" s="88">
        <v>607.731</v>
      </c>
    </row>
    <row r="420" ht="15.75" spans="1:5">
      <c r="A420" s="33">
        <v>3045348.099</v>
      </c>
      <c r="B420" s="33">
        <v>398913.477</v>
      </c>
      <c r="C420" s="33">
        <v>612.32</v>
      </c>
      <c r="D420" s="11">
        <v>45344</v>
      </c>
      <c r="E420" s="88">
        <v>607.747</v>
      </c>
    </row>
    <row r="421" ht="15.75" spans="1:5">
      <c r="A421" s="33">
        <v>3045348.099</v>
      </c>
      <c r="B421" s="33">
        <v>398913.477</v>
      </c>
      <c r="C421" s="33">
        <v>612.32</v>
      </c>
      <c r="D421" s="11">
        <v>45345</v>
      </c>
      <c r="E421" s="88">
        <v>607.77</v>
      </c>
    </row>
    <row r="422" ht="15.75" spans="1:5">
      <c r="A422" s="33">
        <v>3045348.099</v>
      </c>
      <c r="B422" s="33">
        <v>398913.477</v>
      </c>
      <c r="C422" s="33">
        <v>612.32</v>
      </c>
      <c r="D422" s="11">
        <v>45346</v>
      </c>
      <c r="E422" s="88">
        <v>607.788</v>
      </c>
    </row>
    <row r="423" ht="15.75" spans="1:5">
      <c r="A423" s="33">
        <v>3045348.099</v>
      </c>
      <c r="B423" s="33">
        <v>398913.477</v>
      </c>
      <c r="C423" s="33">
        <v>612.32</v>
      </c>
      <c r="D423" s="11">
        <v>45347</v>
      </c>
      <c r="E423" s="88">
        <v>607.772</v>
      </c>
    </row>
    <row r="424" ht="15.75" spans="1:5">
      <c r="A424" s="33">
        <v>3045348.099</v>
      </c>
      <c r="B424" s="33">
        <v>398913.477</v>
      </c>
      <c r="C424" s="33">
        <v>612.32</v>
      </c>
      <c r="D424" s="11">
        <v>45348</v>
      </c>
      <c r="E424" s="88">
        <v>607.812</v>
      </c>
    </row>
    <row r="425" ht="15.75" spans="1:5">
      <c r="A425" s="33">
        <v>3045348.099</v>
      </c>
      <c r="B425" s="33">
        <v>398913.477</v>
      </c>
      <c r="C425" s="33">
        <v>612.32</v>
      </c>
      <c r="D425" s="11">
        <v>45349</v>
      </c>
      <c r="E425" s="88">
        <v>607.825</v>
      </c>
    </row>
    <row r="426" ht="15.75" spans="1:5">
      <c r="A426" s="33">
        <v>3045348.099</v>
      </c>
      <c r="B426" s="33">
        <v>398913.477</v>
      </c>
      <c r="C426" s="33">
        <v>612.32</v>
      </c>
      <c r="D426" s="11">
        <v>45350</v>
      </c>
      <c r="E426" s="88">
        <v>607.835</v>
      </c>
    </row>
    <row r="427" ht="15.75" spans="1:5">
      <c r="A427" s="33">
        <v>3045348.099</v>
      </c>
      <c r="B427" s="33">
        <v>398913.477</v>
      </c>
      <c r="C427" s="33">
        <v>612.32</v>
      </c>
      <c r="D427" s="11">
        <v>45351</v>
      </c>
      <c r="E427" s="88">
        <v>607.793</v>
      </c>
    </row>
    <row r="428" ht="15.75" spans="1:5">
      <c r="A428" s="33">
        <v>3045348.099</v>
      </c>
      <c r="B428" s="33">
        <v>398913.477</v>
      </c>
      <c r="C428" s="33">
        <v>612.32</v>
      </c>
      <c r="D428" s="11">
        <v>45352</v>
      </c>
      <c r="E428" s="88">
        <v>607.792</v>
      </c>
    </row>
    <row r="429" ht="15.75" spans="1:5">
      <c r="A429" s="33">
        <v>3045348.099</v>
      </c>
      <c r="B429" s="33">
        <v>398913.477</v>
      </c>
      <c r="C429" s="33">
        <v>612.32</v>
      </c>
      <c r="D429" s="11">
        <v>45353</v>
      </c>
      <c r="E429" s="88">
        <v>607.793</v>
      </c>
    </row>
    <row r="430" ht="15.75" spans="1:5">
      <c r="A430" s="33">
        <v>3045348.099</v>
      </c>
      <c r="B430" s="33">
        <v>398913.477</v>
      </c>
      <c r="C430" s="33">
        <v>612.32</v>
      </c>
      <c r="D430" s="11">
        <v>45354</v>
      </c>
      <c r="E430" s="88">
        <v>607.792</v>
      </c>
    </row>
    <row r="431" ht="15.75" spans="1:5">
      <c r="A431" s="33">
        <v>3045348.099</v>
      </c>
      <c r="B431" s="33">
        <v>398913.477</v>
      </c>
      <c r="C431" s="33">
        <v>612.32</v>
      </c>
      <c r="D431" s="11">
        <v>45355</v>
      </c>
      <c r="E431" s="88">
        <v>607.773</v>
      </c>
    </row>
    <row r="432" ht="15.75" spans="1:5">
      <c r="A432" s="33">
        <v>3045348.099</v>
      </c>
      <c r="B432" s="33">
        <v>398913.477</v>
      </c>
      <c r="C432" s="33">
        <v>612.32</v>
      </c>
      <c r="D432" s="11">
        <v>45356</v>
      </c>
      <c r="E432" s="88">
        <v>607.735</v>
      </c>
    </row>
    <row r="433" ht="15.75" spans="1:5">
      <c r="A433" s="33">
        <v>3045348.099</v>
      </c>
      <c r="B433" s="33">
        <v>398913.477</v>
      </c>
      <c r="C433" s="33">
        <v>612.32</v>
      </c>
      <c r="D433" s="11">
        <v>45357</v>
      </c>
      <c r="E433" s="88">
        <v>607.748</v>
      </c>
    </row>
    <row r="434" ht="15.75" spans="1:5">
      <c r="A434" s="33">
        <v>3045348.099</v>
      </c>
      <c r="B434" s="33">
        <v>398913.477</v>
      </c>
      <c r="C434" s="33">
        <v>612.32</v>
      </c>
      <c r="D434" s="11">
        <v>45358</v>
      </c>
      <c r="E434" s="88">
        <v>607.767</v>
      </c>
    </row>
    <row r="435" ht="15.75" spans="1:5">
      <c r="A435" s="33">
        <v>3045348.099</v>
      </c>
      <c r="B435" s="33">
        <v>398913.477</v>
      </c>
      <c r="C435" s="33">
        <v>612.32</v>
      </c>
      <c r="D435" s="11">
        <v>45359</v>
      </c>
      <c r="E435" s="88">
        <v>607.804</v>
      </c>
    </row>
    <row r="436" ht="15.75" spans="1:5">
      <c r="A436" s="33">
        <v>3045348.099</v>
      </c>
      <c r="B436" s="33">
        <v>398913.477</v>
      </c>
      <c r="C436" s="33">
        <v>612.32</v>
      </c>
      <c r="D436" s="11">
        <v>45360</v>
      </c>
      <c r="E436" s="88">
        <v>607.85</v>
      </c>
    </row>
    <row r="437" ht="15.75" spans="1:5">
      <c r="A437" s="33">
        <v>3045348.099</v>
      </c>
      <c r="B437" s="33">
        <v>398913.477</v>
      </c>
      <c r="C437" s="33">
        <v>612.32</v>
      </c>
      <c r="D437" s="11">
        <v>45361</v>
      </c>
      <c r="E437" s="88">
        <v>607.832</v>
      </c>
    </row>
    <row r="438" ht="15.75" spans="1:5">
      <c r="A438" s="33">
        <v>3045348.099</v>
      </c>
      <c r="B438" s="33">
        <v>398913.477</v>
      </c>
      <c r="C438" s="33">
        <v>612.32</v>
      </c>
      <c r="D438" s="11">
        <v>45362</v>
      </c>
      <c r="E438" s="88">
        <v>607.826</v>
      </c>
    </row>
    <row r="439" ht="15.75" spans="1:5">
      <c r="A439" s="33">
        <v>3045348.099</v>
      </c>
      <c r="B439" s="33">
        <v>398913.477</v>
      </c>
      <c r="C439" s="33">
        <v>612.32</v>
      </c>
      <c r="D439" s="11">
        <v>45363</v>
      </c>
      <c r="E439" s="88">
        <v>607.883</v>
      </c>
    </row>
    <row r="440" ht="15.75" spans="1:5">
      <c r="A440" s="33">
        <v>3045348.099</v>
      </c>
      <c r="B440" s="33">
        <v>398913.477</v>
      </c>
      <c r="C440" s="33">
        <v>612.32</v>
      </c>
      <c r="D440" s="11">
        <v>45364</v>
      </c>
      <c r="E440" s="88">
        <v>607.927</v>
      </c>
    </row>
    <row r="441" ht="15.75" spans="1:5">
      <c r="A441" s="33">
        <v>3045348.099</v>
      </c>
      <c r="B441" s="33">
        <v>398913.477</v>
      </c>
      <c r="C441" s="33">
        <v>612.32</v>
      </c>
      <c r="D441" s="11">
        <v>45365</v>
      </c>
      <c r="E441" s="88">
        <v>607.947</v>
      </c>
    </row>
    <row r="442" ht="15.75" spans="1:5">
      <c r="A442" s="33">
        <v>3045348.099</v>
      </c>
      <c r="B442" s="33">
        <v>398913.477</v>
      </c>
      <c r="C442" s="33">
        <v>612.32</v>
      </c>
      <c r="D442" s="11">
        <v>45366</v>
      </c>
      <c r="E442" s="88">
        <v>607.951</v>
      </c>
    </row>
    <row r="443" ht="15.75" spans="1:5">
      <c r="A443" s="33">
        <v>3045348.099</v>
      </c>
      <c r="B443" s="33">
        <v>398913.477</v>
      </c>
      <c r="C443" s="33">
        <v>612.32</v>
      </c>
      <c r="D443" s="11">
        <v>45367</v>
      </c>
      <c r="E443" s="88">
        <v>607.865</v>
      </c>
    </row>
    <row r="444" ht="15.75" spans="1:5">
      <c r="A444" s="33">
        <v>3045348.099</v>
      </c>
      <c r="B444" s="33">
        <v>398913.477</v>
      </c>
      <c r="C444" s="33">
        <v>612.32</v>
      </c>
      <c r="D444" s="11">
        <v>45368</v>
      </c>
      <c r="E444" s="88">
        <v>607.875</v>
      </c>
    </row>
    <row r="445" ht="15.75" spans="1:5">
      <c r="A445" s="33">
        <v>3045348.099</v>
      </c>
      <c r="B445" s="33">
        <v>398913.477</v>
      </c>
      <c r="C445" s="33">
        <v>612.32</v>
      </c>
      <c r="D445" s="11">
        <v>45369</v>
      </c>
      <c r="E445" s="88">
        <v>607.863</v>
      </c>
    </row>
    <row r="446" ht="15.75" spans="1:5">
      <c r="A446" s="33">
        <v>3045348.099</v>
      </c>
      <c r="B446" s="33">
        <v>398913.477</v>
      </c>
      <c r="C446" s="33">
        <v>612.32</v>
      </c>
      <c r="D446" s="11">
        <v>45370</v>
      </c>
      <c r="E446" s="88">
        <v>607.86</v>
      </c>
    </row>
    <row r="447" ht="15.75" spans="1:5">
      <c r="A447" s="33">
        <v>3045348.099</v>
      </c>
      <c r="B447" s="33">
        <v>398913.477</v>
      </c>
      <c r="C447" s="33">
        <v>612.32</v>
      </c>
      <c r="D447" s="11">
        <v>45371</v>
      </c>
      <c r="E447" s="88">
        <v>607.828</v>
      </c>
    </row>
    <row r="448" ht="15.75" spans="1:5">
      <c r="A448" s="33">
        <v>3045348.099</v>
      </c>
      <c r="B448" s="33">
        <v>398913.477</v>
      </c>
      <c r="C448" s="33">
        <v>612.32</v>
      </c>
      <c r="D448" s="11">
        <v>45372</v>
      </c>
      <c r="E448" s="88">
        <v>607.853</v>
      </c>
    </row>
    <row r="449" ht="15.75" spans="1:5">
      <c r="A449" s="33">
        <v>3045348.099</v>
      </c>
      <c r="B449" s="33">
        <v>398913.477</v>
      </c>
      <c r="C449" s="33">
        <v>612.32</v>
      </c>
      <c r="D449" s="11">
        <v>45373</v>
      </c>
      <c r="E449" s="88">
        <v>607.887</v>
      </c>
    </row>
    <row r="450" ht="15.75" spans="1:5">
      <c r="A450" s="33">
        <v>3045348.099</v>
      </c>
      <c r="B450" s="33">
        <v>398913.477</v>
      </c>
      <c r="C450" s="33">
        <v>612.32</v>
      </c>
      <c r="D450" s="11">
        <v>45374</v>
      </c>
      <c r="E450" s="88"/>
    </row>
    <row r="451" ht="15.75" spans="1:5">
      <c r="A451" s="33">
        <v>3045348.099</v>
      </c>
      <c r="B451" s="33">
        <v>398913.477</v>
      </c>
      <c r="C451" s="33">
        <v>612.32</v>
      </c>
      <c r="D451" s="11">
        <v>45375</v>
      </c>
      <c r="E451" s="88"/>
    </row>
    <row r="452" ht="15.75" spans="1:5">
      <c r="A452" s="33">
        <v>3045348.099</v>
      </c>
      <c r="B452" s="33">
        <v>398913.477</v>
      </c>
      <c r="C452" s="33">
        <v>612.32</v>
      </c>
      <c r="D452" s="11">
        <v>45376</v>
      </c>
      <c r="E452" s="88"/>
    </row>
    <row r="453" ht="15.75" spans="1:5">
      <c r="A453" s="33">
        <v>3045348.099</v>
      </c>
      <c r="B453" s="33">
        <v>398913.477</v>
      </c>
      <c r="C453" s="33">
        <v>612.32</v>
      </c>
      <c r="D453" s="11">
        <v>45377</v>
      </c>
      <c r="E453" s="88"/>
    </row>
    <row r="454" ht="15.75" spans="1:5">
      <c r="A454" s="33">
        <v>3045348.099</v>
      </c>
      <c r="B454" s="33">
        <v>398913.477</v>
      </c>
      <c r="C454" s="33">
        <v>612.32</v>
      </c>
      <c r="D454" s="11">
        <v>45378</v>
      </c>
      <c r="E454" s="88"/>
    </row>
    <row r="455" ht="15.75" spans="1:5">
      <c r="A455" s="33">
        <v>3045348.099</v>
      </c>
      <c r="B455" s="33">
        <v>398913.477</v>
      </c>
      <c r="C455" s="33">
        <v>612.32</v>
      </c>
      <c r="D455" s="11">
        <v>45379</v>
      </c>
      <c r="E455" s="88"/>
    </row>
    <row r="456" ht="15.75" spans="1:5">
      <c r="A456" s="33">
        <v>3045348.099</v>
      </c>
      <c r="B456" s="33">
        <v>398913.477</v>
      </c>
      <c r="C456" s="33">
        <v>612.32</v>
      </c>
      <c r="D456" s="11">
        <v>45380</v>
      </c>
      <c r="E456" s="88"/>
    </row>
    <row r="457" ht="15.75" spans="1:5">
      <c r="A457" s="33">
        <v>3045348.099</v>
      </c>
      <c r="B457" s="33">
        <v>398913.477</v>
      </c>
      <c r="C457" s="33">
        <v>612.32</v>
      </c>
      <c r="D457" s="11">
        <v>45381</v>
      </c>
      <c r="E457" s="88">
        <v>607.94</v>
      </c>
    </row>
    <row r="458" ht="15.75" spans="1:5">
      <c r="A458" s="33">
        <v>3045348.099</v>
      </c>
      <c r="B458" s="33">
        <v>398913.477</v>
      </c>
      <c r="C458" s="33">
        <v>612.32</v>
      </c>
      <c r="D458" s="11">
        <v>45382</v>
      </c>
      <c r="E458" s="88">
        <v>607.965</v>
      </c>
    </row>
    <row r="459" ht="15.75" spans="1:5">
      <c r="A459" s="33">
        <v>3045348.099</v>
      </c>
      <c r="B459" s="33">
        <v>398913.477</v>
      </c>
      <c r="C459" s="33">
        <v>612.32</v>
      </c>
      <c r="D459" s="11">
        <v>45383</v>
      </c>
      <c r="E459" s="88">
        <v>608.008</v>
      </c>
    </row>
    <row r="460" ht="15.75" spans="1:5">
      <c r="A460" s="33">
        <v>3045348.099</v>
      </c>
      <c r="B460" s="33">
        <v>398913.477</v>
      </c>
      <c r="C460" s="33">
        <v>612.32</v>
      </c>
      <c r="D460" s="11">
        <v>45384</v>
      </c>
      <c r="E460" s="88">
        <v>608.011</v>
      </c>
    </row>
    <row r="461" ht="15.75" spans="1:5">
      <c r="A461" s="33">
        <v>3045348.099</v>
      </c>
      <c r="B461" s="33">
        <v>398913.477</v>
      </c>
      <c r="C461" s="33">
        <v>612.32</v>
      </c>
      <c r="D461" s="11">
        <v>45385</v>
      </c>
      <c r="E461" s="88">
        <v>607.999</v>
      </c>
    </row>
    <row r="462" ht="15.75" spans="1:5">
      <c r="A462" s="33">
        <v>3045348.099</v>
      </c>
      <c r="B462" s="33">
        <v>398913.477</v>
      </c>
      <c r="C462" s="33">
        <v>612.32</v>
      </c>
      <c r="D462" s="11">
        <v>45386</v>
      </c>
      <c r="E462" s="88">
        <v>607.991</v>
      </c>
    </row>
    <row r="463" ht="15.75" spans="1:5">
      <c r="A463" s="33">
        <v>3045348.099</v>
      </c>
      <c r="B463" s="33">
        <v>398913.477</v>
      </c>
      <c r="C463" s="33">
        <v>612.32</v>
      </c>
      <c r="D463" s="11">
        <v>45387</v>
      </c>
      <c r="E463" s="88">
        <v>608.008</v>
      </c>
    </row>
    <row r="464" ht="15.75" spans="1:5">
      <c r="A464" s="33">
        <v>3045348.099</v>
      </c>
      <c r="B464" s="33">
        <v>398913.477</v>
      </c>
      <c r="C464" s="33">
        <v>612.32</v>
      </c>
      <c r="D464" s="11">
        <v>45388</v>
      </c>
      <c r="E464" s="88">
        <v>608.001</v>
      </c>
    </row>
    <row r="465" ht="15.75" spans="1:5">
      <c r="A465" s="33">
        <v>3045348.099</v>
      </c>
      <c r="B465" s="33">
        <v>398913.477</v>
      </c>
      <c r="C465" s="33">
        <v>612.32</v>
      </c>
      <c r="D465" s="11">
        <v>45389</v>
      </c>
      <c r="E465" s="88">
        <v>607.983</v>
      </c>
    </row>
    <row r="466" ht="15.75" spans="1:5">
      <c r="A466" s="33">
        <v>3045348.099</v>
      </c>
      <c r="B466" s="33">
        <v>398913.477</v>
      </c>
      <c r="C466" s="33">
        <v>612.32</v>
      </c>
      <c r="D466" s="11">
        <v>45390</v>
      </c>
      <c r="E466" s="88">
        <v>607.965</v>
      </c>
    </row>
    <row r="467" ht="15.75" spans="1:5">
      <c r="A467" s="33">
        <v>3045348.099</v>
      </c>
      <c r="B467" s="33">
        <v>398913.477</v>
      </c>
      <c r="C467" s="33">
        <v>612.32</v>
      </c>
      <c r="D467" s="11">
        <v>45391</v>
      </c>
      <c r="E467" s="88">
        <v>607.966</v>
      </c>
    </row>
    <row r="468" ht="15.75" spans="1:5">
      <c r="A468" s="33">
        <v>3045348.099</v>
      </c>
      <c r="B468" s="33">
        <v>398913.477</v>
      </c>
      <c r="C468" s="33">
        <v>612.32</v>
      </c>
      <c r="D468" s="11">
        <v>45392</v>
      </c>
      <c r="E468" s="88">
        <v>607.978</v>
      </c>
    </row>
    <row r="469" ht="15.75" spans="1:5">
      <c r="A469" s="33">
        <v>3045348.099</v>
      </c>
      <c r="B469" s="33">
        <v>398913.477</v>
      </c>
      <c r="C469" s="33">
        <v>612.32</v>
      </c>
      <c r="D469" s="11">
        <v>45393</v>
      </c>
      <c r="E469" s="88">
        <v>607.975</v>
      </c>
    </row>
    <row r="470" ht="15.75" spans="1:5">
      <c r="A470" s="33">
        <v>3045348.099</v>
      </c>
      <c r="B470" s="33">
        <v>398913.477</v>
      </c>
      <c r="C470" s="33">
        <v>612.32</v>
      </c>
      <c r="D470" s="11">
        <v>45394</v>
      </c>
      <c r="E470" s="88">
        <v>607.98</v>
      </c>
    </row>
    <row r="471" ht="15.75" spans="1:5">
      <c r="A471" s="33">
        <v>3045348.099</v>
      </c>
      <c r="B471" s="33">
        <v>398913.477</v>
      </c>
      <c r="C471" s="33">
        <v>612.32</v>
      </c>
      <c r="D471" s="11">
        <v>45395</v>
      </c>
      <c r="E471" s="88">
        <v>607.985</v>
      </c>
    </row>
    <row r="472" ht="15.75" spans="1:5">
      <c r="A472" s="33">
        <v>3045348.099</v>
      </c>
      <c r="B472" s="33">
        <v>398913.477</v>
      </c>
      <c r="C472" s="33">
        <v>612.32</v>
      </c>
      <c r="D472" s="11">
        <v>45396</v>
      </c>
      <c r="E472" s="88">
        <v>607.969</v>
      </c>
    </row>
    <row r="473" ht="15.75" spans="1:5">
      <c r="A473" s="33">
        <v>3045348.099</v>
      </c>
      <c r="B473" s="33">
        <v>398913.477</v>
      </c>
      <c r="C473" s="33">
        <v>612.32</v>
      </c>
      <c r="D473" s="11">
        <v>45397</v>
      </c>
      <c r="E473" s="88">
        <v>607.996</v>
      </c>
    </row>
    <row r="474" ht="15.75" spans="1:5">
      <c r="A474" s="33">
        <v>3045348.099</v>
      </c>
      <c r="B474" s="33">
        <v>398913.477</v>
      </c>
      <c r="C474" s="33">
        <v>612.32</v>
      </c>
      <c r="D474" s="11">
        <v>45398</v>
      </c>
      <c r="E474" s="88">
        <v>608.004</v>
      </c>
    </row>
    <row r="475" ht="15.75" spans="1:5">
      <c r="A475" s="33">
        <v>3045348.099</v>
      </c>
      <c r="B475" s="33">
        <v>398913.477</v>
      </c>
      <c r="C475" s="33">
        <v>612.32</v>
      </c>
      <c r="D475" s="11">
        <v>45399</v>
      </c>
      <c r="E475" s="88">
        <v>607.851</v>
      </c>
    </row>
    <row r="476" ht="15.75" spans="1:5">
      <c r="A476" s="33">
        <v>3045348.099</v>
      </c>
      <c r="B476" s="33">
        <v>398913.477</v>
      </c>
      <c r="C476" s="33">
        <v>612.32</v>
      </c>
      <c r="D476" s="11">
        <v>45400</v>
      </c>
      <c r="E476" s="88">
        <v>607.849</v>
      </c>
    </row>
    <row r="477" ht="15.75" spans="1:5">
      <c r="A477" s="33">
        <v>3045348.099</v>
      </c>
      <c r="B477" s="33">
        <v>398913.477</v>
      </c>
      <c r="C477" s="33">
        <v>612.32</v>
      </c>
      <c r="D477" s="11">
        <v>45401</v>
      </c>
      <c r="E477" s="88">
        <v>607.816</v>
      </c>
    </row>
    <row r="478" ht="15.75" spans="1:5">
      <c r="A478" s="33">
        <v>3045348.099</v>
      </c>
      <c r="B478" s="33">
        <v>398913.477</v>
      </c>
      <c r="C478" s="33">
        <v>612.32</v>
      </c>
      <c r="D478" s="11">
        <v>45402</v>
      </c>
      <c r="E478" s="88">
        <v>607.796</v>
      </c>
    </row>
    <row r="479" ht="15.75" spans="1:5">
      <c r="A479" s="33">
        <v>3045348.099</v>
      </c>
      <c r="B479" s="33">
        <v>398913.477</v>
      </c>
      <c r="C479" s="33">
        <v>612.32</v>
      </c>
      <c r="D479" s="11">
        <v>45403</v>
      </c>
      <c r="E479" s="88">
        <v>607.837</v>
      </c>
    </row>
    <row r="480" ht="15.75" spans="1:5">
      <c r="A480" s="33">
        <v>3045348.099</v>
      </c>
      <c r="B480" s="33">
        <v>398913.477</v>
      </c>
      <c r="C480" s="33">
        <v>612.32</v>
      </c>
      <c r="D480" s="11">
        <v>45404</v>
      </c>
      <c r="E480" s="88">
        <v>607.861</v>
      </c>
    </row>
    <row r="481" ht="15.75" spans="1:5">
      <c r="A481" s="33">
        <v>3045348.099</v>
      </c>
      <c r="B481" s="33">
        <v>398913.477</v>
      </c>
      <c r="C481" s="33">
        <v>612.32</v>
      </c>
      <c r="D481" s="11">
        <v>45405</v>
      </c>
      <c r="E481" s="88">
        <v>607.831</v>
      </c>
    </row>
    <row r="482" ht="15.75" spans="1:5">
      <c r="A482" s="33">
        <v>3045348.099</v>
      </c>
      <c r="B482" s="33">
        <v>398913.477</v>
      </c>
      <c r="C482" s="33">
        <v>612.32</v>
      </c>
      <c r="D482" s="11">
        <v>45406</v>
      </c>
      <c r="E482" s="88">
        <v>607.849</v>
      </c>
    </row>
    <row r="483" ht="15.75" spans="1:5">
      <c r="A483" s="33">
        <v>3045348.099</v>
      </c>
      <c r="B483" s="33">
        <v>398913.477</v>
      </c>
      <c r="C483" s="33">
        <v>612.32</v>
      </c>
      <c r="D483" s="11">
        <v>45407</v>
      </c>
      <c r="E483" s="88">
        <v>607.861</v>
      </c>
    </row>
    <row r="484" ht="15.75" spans="1:5">
      <c r="A484" s="33">
        <v>3045348.099</v>
      </c>
      <c r="B484" s="33">
        <v>398913.477</v>
      </c>
      <c r="C484" s="33">
        <v>612.32</v>
      </c>
      <c r="D484" s="11">
        <v>45408</v>
      </c>
      <c r="E484" s="88">
        <v>607.871</v>
      </c>
    </row>
    <row r="485" ht="15.75" spans="1:5">
      <c r="A485" s="33">
        <v>3045348.099</v>
      </c>
      <c r="B485" s="33">
        <v>398913.477</v>
      </c>
      <c r="C485" s="33">
        <v>612.32</v>
      </c>
      <c r="D485" s="11">
        <v>45409</v>
      </c>
      <c r="E485" s="88">
        <v>607.881</v>
      </c>
    </row>
    <row r="486" ht="15.75" spans="1:5">
      <c r="A486" s="33">
        <v>3045348.099</v>
      </c>
      <c r="B486" s="33">
        <v>398913.477</v>
      </c>
      <c r="C486" s="33">
        <v>612.32</v>
      </c>
      <c r="D486" s="11">
        <v>45410</v>
      </c>
      <c r="E486" s="88">
        <v>607.9</v>
      </c>
    </row>
    <row r="487" ht="15.75" spans="1:5">
      <c r="A487" s="33">
        <v>3045348.099</v>
      </c>
      <c r="B487" s="33">
        <v>398913.477</v>
      </c>
      <c r="C487" s="33">
        <v>612.32</v>
      </c>
      <c r="D487" s="11">
        <v>45411</v>
      </c>
      <c r="E487" s="88">
        <v>607.861</v>
      </c>
    </row>
    <row r="488" ht="15.75" spans="1:5">
      <c r="A488" s="33">
        <v>3045348.099</v>
      </c>
      <c r="B488" s="33">
        <v>398913.477</v>
      </c>
      <c r="C488" s="33">
        <v>612.32</v>
      </c>
      <c r="D488" s="11">
        <v>45412</v>
      </c>
      <c r="E488" s="88">
        <v>607.848</v>
      </c>
    </row>
    <row r="489" ht="15.75" spans="1:5">
      <c r="A489" s="33">
        <v>3045348.099</v>
      </c>
      <c r="B489" s="33">
        <v>398913.477</v>
      </c>
      <c r="C489" s="33">
        <v>612.32</v>
      </c>
      <c r="D489" s="11">
        <v>45413</v>
      </c>
      <c r="E489" s="88">
        <v>607.859</v>
      </c>
    </row>
    <row r="490" ht="15.75" spans="1:5">
      <c r="A490" s="33">
        <v>3045348.099</v>
      </c>
      <c r="B490" s="33">
        <v>398913.477</v>
      </c>
      <c r="C490" s="33">
        <v>612.32</v>
      </c>
      <c r="D490" s="11">
        <v>45414</v>
      </c>
      <c r="E490" s="88">
        <v>607.868</v>
      </c>
    </row>
    <row r="491" ht="15.75" spans="1:5">
      <c r="A491" s="33">
        <v>3045348.099</v>
      </c>
      <c r="B491" s="33">
        <v>398913.477</v>
      </c>
      <c r="C491" s="33">
        <v>612.32</v>
      </c>
      <c r="D491" s="11">
        <v>45415</v>
      </c>
      <c r="E491" s="88">
        <v>607.873</v>
      </c>
    </row>
    <row r="492" ht="15.75" spans="1:5">
      <c r="A492" s="33">
        <v>3045348.099</v>
      </c>
      <c r="B492" s="33">
        <v>398913.477</v>
      </c>
      <c r="C492" s="33">
        <v>612.32</v>
      </c>
      <c r="D492" s="11">
        <v>45416</v>
      </c>
      <c r="E492" s="88">
        <v>607.858</v>
      </c>
    </row>
    <row r="493" ht="15.75" spans="1:5">
      <c r="A493" s="33">
        <v>3045348.099</v>
      </c>
      <c r="B493" s="33">
        <v>398913.477</v>
      </c>
      <c r="C493" s="33">
        <v>612.32</v>
      </c>
      <c r="D493" s="11">
        <v>45417</v>
      </c>
      <c r="E493" s="88">
        <v>607.866</v>
      </c>
    </row>
    <row r="494" ht="15.75" spans="1:5">
      <c r="A494" s="33">
        <v>3045348.099</v>
      </c>
      <c r="B494" s="33">
        <v>398913.477</v>
      </c>
      <c r="C494" s="33">
        <v>612.32</v>
      </c>
      <c r="D494" s="11">
        <v>45418</v>
      </c>
      <c r="E494" s="88">
        <v>607.874</v>
      </c>
    </row>
    <row r="495" ht="15.75" spans="1:5">
      <c r="A495" s="33">
        <v>3045348.099</v>
      </c>
      <c r="B495" s="33">
        <v>398913.477</v>
      </c>
      <c r="C495" s="33">
        <v>612.32</v>
      </c>
      <c r="D495" s="11">
        <v>45419</v>
      </c>
      <c r="E495" s="88">
        <v>608.026</v>
      </c>
    </row>
    <row r="496" ht="15.75" spans="1:5">
      <c r="A496" s="33">
        <v>3045348.099</v>
      </c>
      <c r="B496" s="33">
        <v>398913.477</v>
      </c>
      <c r="C496" s="33">
        <v>612.32</v>
      </c>
      <c r="D496" s="11">
        <v>45420</v>
      </c>
      <c r="E496" s="88">
        <v>608.139</v>
      </c>
    </row>
    <row r="497" ht="15.75" spans="1:5">
      <c r="A497" s="33">
        <v>3045348.099</v>
      </c>
      <c r="B497" s="33">
        <v>398913.477</v>
      </c>
      <c r="C497" s="33">
        <v>612.32</v>
      </c>
      <c r="D497" s="11">
        <v>45421</v>
      </c>
      <c r="E497" s="88">
        <v>608.193</v>
      </c>
    </row>
    <row r="498" ht="15.75" spans="1:5">
      <c r="A498" s="33">
        <v>3045348.099</v>
      </c>
      <c r="B498" s="33">
        <v>398913.477</v>
      </c>
      <c r="C498" s="33">
        <v>612.32</v>
      </c>
      <c r="D498" s="11">
        <v>45422</v>
      </c>
      <c r="E498" s="88">
        <v>608.266</v>
      </c>
    </row>
    <row r="499" ht="15.75" spans="1:5">
      <c r="A499" s="33">
        <v>3045348.099</v>
      </c>
      <c r="B499" s="33">
        <v>398913.477</v>
      </c>
      <c r="C499" s="33">
        <v>612.32</v>
      </c>
      <c r="D499" s="11">
        <v>45423</v>
      </c>
      <c r="E499" s="88">
        <v>608.261</v>
      </c>
    </row>
  </sheetData>
  <mergeCells count="1">
    <mergeCell ref="A1:C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9"/>
  <sheetViews>
    <sheetView workbookViewId="0">
      <selection activeCell="C5" sqref="C5"/>
    </sheetView>
  </sheetViews>
  <sheetFormatPr defaultColWidth="9" defaultRowHeight="15" outlineLevelCol="4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5">
      <c r="A3" s="33">
        <v>3045042.366</v>
      </c>
      <c r="B3" s="33">
        <v>399117.761</v>
      </c>
      <c r="C3" s="33">
        <v>610.38</v>
      </c>
      <c r="D3" s="34">
        <v>44927</v>
      </c>
      <c r="E3" s="86"/>
    </row>
    <row r="4" ht="15.75" spans="1:5">
      <c r="A4" s="33">
        <v>3045042.366</v>
      </c>
      <c r="B4" s="33">
        <v>399117.761</v>
      </c>
      <c r="C4" s="33">
        <v>610.38</v>
      </c>
      <c r="D4" s="11">
        <v>44928</v>
      </c>
      <c r="E4" s="86"/>
    </row>
    <row r="5" ht="15.75" spans="1:5">
      <c r="A5" s="33">
        <v>3045042.366</v>
      </c>
      <c r="B5" s="33">
        <v>399117.761</v>
      </c>
      <c r="C5" s="33">
        <v>610.38</v>
      </c>
      <c r="D5" s="11">
        <v>44929</v>
      </c>
      <c r="E5" s="86"/>
    </row>
    <row r="6" ht="15.75" spans="1:5">
      <c r="A6" s="33">
        <v>3045042.366</v>
      </c>
      <c r="B6" s="33">
        <v>399117.761</v>
      </c>
      <c r="C6" s="33">
        <v>610.38</v>
      </c>
      <c r="D6" s="11">
        <v>44930</v>
      </c>
      <c r="E6" s="86"/>
    </row>
    <row r="7" ht="15.75" spans="1:5">
      <c r="A7" s="33">
        <v>3045042.366</v>
      </c>
      <c r="B7" s="33">
        <v>399117.761</v>
      </c>
      <c r="C7" s="33">
        <v>610.38</v>
      </c>
      <c r="D7" s="11">
        <v>44931</v>
      </c>
      <c r="E7" s="86"/>
    </row>
    <row r="8" ht="15.75" spans="1:5">
      <c r="A8" s="33">
        <v>3045042.366</v>
      </c>
      <c r="B8" s="33">
        <v>399117.761</v>
      </c>
      <c r="C8" s="33">
        <v>610.38</v>
      </c>
      <c r="D8" s="11">
        <v>44932</v>
      </c>
      <c r="E8" s="86"/>
    </row>
    <row r="9" ht="15.75" spans="1:5">
      <c r="A9" s="33">
        <v>3045042.366</v>
      </c>
      <c r="B9" s="33">
        <v>399117.761</v>
      </c>
      <c r="C9" s="33">
        <v>610.38</v>
      </c>
      <c r="D9" s="11">
        <v>44933</v>
      </c>
      <c r="E9" s="86"/>
    </row>
    <row r="10" ht="15.75" spans="1:5">
      <c r="A10" s="33">
        <v>3045042.366</v>
      </c>
      <c r="B10" s="33">
        <v>399117.761</v>
      </c>
      <c r="C10" s="33">
        <v>610.38</v>
      </c>
      <c r="D10" s="11">
        <v>44934</v>
      </c>
      <c r="E10" s="86"/>
    </row>
    <row r="11" ht="15.75" spans="1:5">
      <c r="A11" s="33">
        <v>3045042.366</v>
      </c>
      <c r="B11" s="33">
        <v>399117.761</v>
      </c>
      <c r="C11" s="33">
        <v>610.38</v>
      </c>
      <c r="D11" s="11">
        <v>44935</v>
      </c>
      <c r="E11" s="86"/>
    </row>
    <row r="12" ht="15.75" spans="1:5">
      <c r="A12" s="33">
        <v>3045042.366</v>
      </c>
      <c r="B12" s="33">
        <v>399117.761</v>
      </c>
      <c r="C12" s="33">
        <v>610.38</v>
      </c>
      <c r="D12" s="11">
        <v>44936</v>
      </c>
      <c r="E12" s="86">
        <v>631</v>
      </c>
    </row>
    <row r="13" ht="15.75" spans="1:5">
      <c r="A13" s="33">
        <v>3045042.366</v>
      </c>
      <c r="B13" s="33">
        <v>399117.761</v>
      </c>
      <c r="C13" s="33">
        <v>610.38</v>
      </c>
      <c r="D13" s="11">
        <v>44937</v>
      </c>
      <c r="E13" s="86"/>
    </row>
    <row r="14" ht="15.75" spans="1:5">
      <c r="A14" s="33">
        <v>3045042.366</v>
      </c>
      <c r="B14" s="33">
        <v>399117.761</v>
      </c>
      <c r="C14" s="33">
        <v>610.38</v>
      </c>
      <c r="D14" s="11">
        <v>44938</v>
      </c>
      <c r="E14" s="86"/>
    </row>
    <row r="15" ht="15.75" spans="1:5">
      <c r="A15" s="33">
        <v>3045042.366</v>
      </c>
      <c r="B15" s="33">
        <v>399117.761</v>
      </c>
      <c r="C15" s="33">
        <v>610.38</v>
      </c>
      <c r="D15" s="11">
        <v>44939</v>
      </c>
      <c r="E15" s="86"/>
    </row>
    <row r="16" ht="15.75" spans="1:5">
      <c r="A16" s="33">
        <v>3045042.366</v>
      </c>
      <c r="B16" s="33">
        <v>399117.761</v>
      </c>
      <c r="C16" s="33">
        <v>610.38</v>
      </c>
      <c r="D16" s="11">
        <v>44940</v>
      </c>
      <c r="E16" s="86"/>
    </row>
    <row r="17" ht="15.75" spans="1:5">
      <c r="A17" s="33">
        <v>3045042.366</v>
      </c>
      <c r="B17" s="33">
        <v>399117.761</v>
      </c>
      <c r="C17" s="33">
        <v>610.38</v>
      </c>
      <c r="D17" s="11">
        <v>44941</v>
      </c>
      <c r="E17" s="86"/>
    </row>
    <row r="18" ht="15.75" spans="1:5">
      <c r="A18" s="33">
        <v>3045042.366</v>
      </c>
      <c r="B18" s="33">
        <v>399117.761</v>
      </c>
      <c r="C18" s="33">
        <v>610.38</v>
      </c>
      <c r="D18" s="11">
        <v>44942</v>
      </c>
      <c r="E18" s="86"/>
    </row>
    <row r="19" ht="15.75" spans="1:5">
      <c r="A19" s="33">
        <v>3045042.366</v>
      </c>
      <c r="B19" s="33">
        <v>399117.761</v>
      </c>
      <c r="C19" s="33">
        <v>610.38</v>
      </c>
      <c r="D19" s="11">
        <v>44943</v>
      </c>
      <c r="E19" s="86"/>
    </row>
    <row r="20" ht="15.75" spans="1:5">
      <c r="A20" s="33">
        <v>3045042.366</v>
      </c>
      <c r="B20" s="33">
        <v>399117.761</v>
      </c>
      <c r="C20" s="33">
        <v>610.38</v>
      </c>
      <c r="D20" s="11">
        <v>44944</v>
      </c>
      <c r="E20" s="86">
        <v>631</v>
      </c>
    </row>
    <row r="21" ht="15.75" spans="1:5">
      <c r="A21" s="33">
        <v>3045042.366</v>
      </c>
      <c r="B21" s="33">
        <v>399117.761</v>
      </c>
      <c r="C21" s="33">
        <v>610.38</v>
      </c>
      <c r="D21" s="11">
        <v>44945</v>
      </c>
      <c r="E21" s="86"/>
    </row>
    <row r="22" ht="15.75" spans="1:5">
      <c r="A22" s="33">
        <v>3045042.366</v>
      </c>
      <c r="B22" s="33">
        <v>399117.761</v>
      </c>
      <c r="C22" s="33">
        <v>610.38</v>
      </c>
      <c r="D22" s="11">
        <v>44946</v>
      </c>
      <c r="E22" s="86"/>
    </row>
    <row r="23" ht="15.75" spans="1:5">
      <c r="A23" s="33">
        <v>3045042.366</v>
      </c>
      <c r="B23" s="33">
        <v>399117.761</v>
      </c>
      <c r="C23" s="33">
        <v>610.38</v>
      </c>
      <c r="D23" s="11">
        <v>44947</v>
      </c>
      <c r="E23" s="86"/>
    </row>
    <row r="24" ht="15.75" spans="1:5">
      <c r="A24" s="33">
        <v>3045042.366</v>
      </c>
      <c r="B24" s="33">
        <v>399117.761</v>
      </c>
      <c r="C24" s="33">
        <v>610.38</v>
      </c>
      <c r="D24" s="11">
        <v>44948</v>
      </c>
      <c r="E24" s="86"/>
    </row>
    <row r="25" ht="15.75" spans="1:5">
      <c r="A25" s="33">
        <v>3045042.366</v>
      </c>
      <c r="B25" s="33">
        <v>399117.761</v>
      </c>
      <c r="C25" s="33">
        <v>610.38</v>
      </c>
      <c r="D25" s="11">
        <v>44949</v>
      </c>
      <c r="E25" s="86"/>
    </row>
    <row r="26" ht="15.75" spans="1:5">
      <c r="A26" s="33">
        <v>3045042.366</v>
      </c>
      <c r="B26" s="33">
        <v>399117.761</v>
      </c>
      <c r="C26" s="33">
        <v>610.38</v>
      </c>
      <c r="D26" s="11">
        <v>44950</v>
      </c>
      <c r="E26" s="86"/>
    </row>
    <row r="27" ht="15.75" spans="1:5">
      <c r="A27" s="33">
        <v>3045042.366</v>
      </c>
      <c r="B27" s="33">
        <v>399117.761</v>
      </c>
      <c r="C27" s="33">
        <v>610.38</v>
      </c>
      <c r="D27" s="11">
        <v>44951</v>
      </c>
      <c r="E27" s="86"/>
    </row>
    <row r="28" ht="15.75" spans="1:5">
      <c r="A28" s="33">
        <v>3045042.366</v>
      </c>
      <c r="B28" s="33">
        <v>399117.761</v>
      </c>
      <c r="C28" s="33">
        <v>610.38</v>
      </c>
      <c r="D28" s="11">
        <v>44952</v>
      </c>
      <c r="E28" s="86"/>
    </row>
    <row r="29" ht="15.75" spans="1:5">
      <c r="A29" s="33">
        <v>3045042.366</v>
      </c>
      <c r="B29" s="33">
        <v>399117.761</v>
      </c>
      <c r="C29" s="33">
        <v>610.38</v>
      </c>
      <c r="D29" s="11">
        <v>44953</v>
      </c>
      <c r="E29" s="86"/>
    </row>
    <row r="30" ht="15.75" spans="1:5">
      <c r="A30" s="33">
        <v>3045042.366</v>
      </c>
      <c r="B30" s="33">
        <v>399117.761</v>
      </c>
      <c r="C30" s="33">
        <v>610.38</v>
      </c>
      <c r="D30" s="11">
        <v>44954</v>
      </c>
      <c r="E30" s="86">
        <v>631</v>
      </c>
    </row>
    <row r="31" ht="15.75" spans="1:5">
      <c r="A31" s="33">
        <v>3045042.366</v>
      </c>
      <c r="B31" s="33">
        <v>399117.761</v>
      </c>
      <c r="C31" s="33">
        <v>610.38</v>
      </c>
      <c r="D31" s="11">
        <v>44955</v>
      </c>
      <c r="E31" s="86"/>
    </row>
    <row r="32" ht="15.75" spans="1:5">
      <c r="A32" s="33">
        <v>3045042.366</v>
      </c>
      <c r="B32" s="33">
        <v>399117.761</v>
      </c>
      <c r="C32" s="33">
        <v>610.38</v>
      </c>
      <c r="D32" s="11">
        <v>44956</v>
      </c>
      <c r="E32" s="86"/>
    </row>
    <row r="33" ht="15.75" spans="1:5">
      <c r="A33" s="33">
        <v>3045042.366</v>
      </c>
      <c r="B33" s="33">
        <v>399117.761</v>
      </c>
      <c r="C33" s="33">
        <v>610.38</v>
      </c>
      <c r="D33" s="11">
        <v>44957</v>
      </c>
      <c r="E33" s="86"/>
    </row>
    <row r="34" ht="15.75" spans="1:5">
      <c r="A34" s="33">
        <v>3045042.366</v>
      </c>
      <c r="B34" s="33">
        <v>399117.761</v>
      </c>
      <c r="C34" s="33">
        <v>610.38</v>
      </c>
      <c r="D34" s="11">
        <v>44958</v>
      </c>
      <c r="E34" s="86"/>
    </row>
    <row r="35" ht="15.75" spans="1:5">
      <c r="A35" s="33">
        <v>3045042.366</v>
      </c>
      <c r="B35" s="33">
        <v>399117.761</v>
      </c>
      <c r="C35" s="33">
        <v>610.38</v>
      </c>
      <c r="D35" s="11">
        <v>44959</v>
      </c>
      <c r="E35" s="86">
        <v>631</v>
      </c>
    </row>
    <row r="36" ht="15.75" spans="1:5">
      <c r="A36" s="33">
        <v>3045042.366</v>
      </c>
      <c r="B36" s="33">
        <v>399117.761</v>
      </c>
      <c r="C36" s="33">
        <v>610.38</v>
      </c>
      <c r="D36" s="11">
        <v>44960</v>
      </c>
      <c r="E36" s="86"/>
    </row>
    <row r="37" ht="15.75" spans="1:5">
      <c r="A37" s="33">
        <v>3045042.366</v>
      </c>
      <c r="B37" s="33">
        <v>399117.761</v>
      </c>
      <c r="C37" s="33">
        <v>610.38</v>
      </c>
      <c r="D37" s="11">
        <v>44961</v>
      </c>
      <c r="E37" s="86"/>
    </row>
    <row r="38" ht="15.75" spans="1:5">
      <c r="A38" s="33">
        <v>3045042.366</v>
      </c>
      <c r="B38" s="33">
        <v>399117.761</v>
      </c>
      <c r="C38" s="33">
        <v>610.38</v>
      </c>
      <c r="D38" s="11">
        <v>44962</v>
      </c>
      <c r="E38" s="86"/>
    </row>
    <row r="39" ht="15.75" spans="1:5">
      <c r="A39" s="33">
        <v>3045042.366</v>
      </c>
      <c r="B39" s="33">
        <v>399117.761</v>
      </c>
      <c r="C39" s="33">
        <v>610.38</v>
      </c>
      <c r="D39" s="11">
        <v>44963</v>
      </c>
      <c r="E39" s="86"/>
    </row>
    <row r="40" ht="15.75" spans="1:5">
      <c r="A40" s="33">
        <v>3045042.366</v>
      </c>
      <c r="B40" s="33">
        <v>399117.761</v>
      </c>
      <c r="C40" s="33">
        <v>610.38</v>
      </c>
      <c r="D40" s="11">
        <v>44964</v>
      </c>
      <c r="E40" s="86"/>
    </row>
    <row r="41" ht="15.75" spans="1:5">
      <c r="A41" s="33">
        <v>3045042.366</v>
      </c>
      <c r="B41" s="33">
        <v>399117.761</v>
      </c>
      <c r="C41" s="33">
        <v>610.38</v>
      </c>
      <c r="D41" s="11">
        <v>44965</v>
      </c>
      <c r="E41" s="86">
        <v>631</v>
      </c>
    </row>
    <row r="42" ht="15.75" spans="1:5">
      <c r="A42" s="33">
        <v>3045042.366</v>
      </c>
      <c r="B42" s="33">
        <v>399117.761</v>
      </c>
      <c r="C42" s="33">
        <v>610.38</v>
      </c>
      <c r="D42" s="11">
        <v>44966</v>
      </c>
      <c r="E42" s="86">
        <v>651.7</v>
      </c>
    </row>
    <row r="43" ht="15.75" spans="1:5">
      <c r="A43" s="33">
        <v>3045042.366</v>
      </c>
      <c r="B43" s="33">
        <v>399117.761</v>
      </c>
      <c r="C43" s="33">
        <v>610.38</v>
      </c>
      <c r="D43" s="11">
        <v>44967</v>
      </c>
      <c r="E43" s="86">
        <v>651.3</v>
      </c>
    </row>
    <row r="44" ht="15.75" spans="1:5">
      <c r="A44" s="33">
        <v>3045042.366</v>
      </c>
      <c r="B44" s="33">
        <v>399117.761</v>
      </c>
      <c r="C44" s="33">
        <v>610.38</v>
      </c>
      <c r="D44" s="11">
        <v>44968</v>
      </c>
      <c r="E44" s="86">
        <v>651</v>
      </c>
    </row>
    <row r="45" ht="15.75" spans="1:5">
      <c r="A45" s="33">
        <v>3045042.366</v>
      </c>
      <c r="B45" s="33">
        <v>399117.761</v>
      </c>
      <c r="C45" s="33">
        <v>610.38</v>
      </c>
      <c r="D45" s="11">
        <v>44969</v>
      </c>
      <c r="E45" s="86">
        <v>650.7</v>
      </c>
    </row>
    <row r="46" ht="15.75" spans="1:5">
      <c r="A46" s="33">
        <v>3045042.366</v>
      </c>
      <c r="B46" s="33">
        <v>399117.761</v>
      </c>
      <c r="C46" s="33">
        <v>610.38</v>
      </c>
      <c r="D46" s="11">
        <v>44970</v>
      </c>
      <c r="E46" s="86">
        <v>650.4</v>
      </c>
    </row>
    <row r="47" ht="15.75" spans="1:5">
      <c r="A47" s="33">
        <v>3045042.366</v>
      </c>
      <c r="B47" s="33">
        <v>399117.761</v>
      </c>
      <c r="C47" s="33">
        <v>610.38</v>
      </c>
      <c r="D47" s="11">
        <v>44971</v>
      </c>
      <c r="E47" s="86">
        <v>650.2</v>
      </c>
    </row>
    <row r="48" ht="15.75" spans="1:5">
      <c r="A48" s="33">
        <v>3045042.366</v>
      </c>
      <c r="B48" s="33">
        <v>399117.761</v>
      </c>
      <c r="C48" s="33">
        <v>610.38</v>
      </c>
      <c r="D48" s="11">
        <v>44972</v>
      </c>
      <c r="E48" s="86">
        <v>650.3</v>
      </c>
    </row>
    <row r="49" ht="15.75" spans="1:5">
      <c r="A49" s="33">
        <v>3045042.366</v>
      </c>
      <c r="B49" s="33">
        <v>399117.761</v>
      </c>
      <c r="C49" s="33">
        <v>610.38</v>
      </c>
      <c r="D49" s="11">
        <v>44973</v>
      </c>
      <c r="E49" s="86">
        <v>650.4</v>
      </c>
    </row>
    <row r="50" ht="15.75" spans="1:5">
      <c r="A50" s="33">
        <v>3045042.366</v>
      </c>
      <c r="B50" s="33">
        <v>399117.761</v>
      </c>
      <c r="C50" s="33">
        <v>610.38</v>
      </c>
      <c r="D50" s="11">
        <v>44974</v>
      </c>
      <c r="E50" s="86">
        <v>650.4</v>
      </c>
    </row>
    <row r="51" ht="15.75" spans="1:5">
      <c r="A51" s="33">
        <v>3045042.366</v>
      </c>
      <c r="B51" s="33">
        <v>399117.761</v>
      </c>
      <c r="C51" s="33">
        <v>610.38</v>
      </c>
      <c r="D51" s="11">
        <v>44975</v>
      </c>
      <c r="E51" s="86">
        <v>650.6</v>
      </c>
    </row>
    <row r="52" ht="15.75" spans="1:5">
      <c r="A52" s="33">
        <v>3045042.366</v>
      </c>
      <c r="B52" s="33">
        <v>399117.761</v>
      </c>
      <c r="C52" s="33">
        <v>610.38</v>
      </c>
      <c r="D52" s="11">
        <v>44976</v>
      </c>
      <c r="E52" s="86">
        <v>652</v>
      </c>
    </row>
    <row r="53" ht="15.75" spans="1:5">
      <c r="A53" s="33">
        <v>3045042.366</v>
      </c>
      <c r="B53" s="33">
        <v>399117.761</v>
      </c>
      <c r="C53" s="33">
        <v>610.38</v>
      </c>
      <c r="D53" s="11">
        <v>44977</v>
      </c>
      <c r="E53" s="86">
        <v>655</v>
      </c>
    </row>
    <row r="54" ht="15.75" spans="1:5">
      <c r="A54" s="33">
        <v>3045042.366</v>
      </c>
      <c r="B54" s="33">
        <v>399117.761</v>
      </c>
      <c r="C54" s="33">
        <v>610.38</v>
      </c>
      <c r="D54" s="11">
        <v>44978</v>
      </c>
      <c r="E54" s="86">
        <v>655.2</v>
      </c>
    </row>
    <row r="55" ht="15.75" spans="1:5">
      <c r="A55" s="33">
        <v>3045042.366</v>
      </c>
      <c r="B55" s="33">
        <v>399117.761</v>
      </c>
      <c r="C55" s="33">
        <v>610.38</v>
      </c>
      <c r="D55" s="11">
        <v>44979</v>
      </c>
      <c r="E55" s="86">
        <v>655.5</v>
      </c>
    </row>
    <row r="56" ht="15.75" spans="1:5">
      <c r="A56" s="33">
        <v>3045042.366</v>
      </c>
      <c r="B56" s="33">
        <v>399117.761</v>
      </c>
      <c r="C56" s="33">
        <v>610.38</v>
      </c>
      <c r="D56" s="11">
        <v>44980</v>
      </c>
      <c r="E56" s="86">
        <v>655.3</v>
      </c>
    </row>
    <row r="57" ht="15.75" spans="1:5">
      <c r="A57" s="33">
        <v>3045042.366</v>
      </c>
      <c r="B57" s="33">
        <v>399117.761</v>
      </c>
      <c r="C57" s="33">
        <v>610.38</v>
      </c>
      <c r="D57" s="11">
        <v>44981</v>
      </c>
      <c r="E57" s="86">
        <v>655.6</v>
      </c>
    </row>
    <row r="58" ht="15.75" spans="1:5">
      <c r="A58" s="33">
        <v>3045042.366</v>
      </c>
      <c r="B58" s="33">
        <v>399117.761</v>
      </c>
      <c r="C58" s="33">
        <v>610.38</v>
      </c>
      <c r="D58" s="11">
        <v>44982</v>
      </c>
      <c r="E58" s="86">
        <v>655.3</v>
      </c>
    </row>
    <row r="59" ht="15.75" spans="1:5">
      <c r="A59" s="33">
        <v>3045042.366</v>
      </c>
      <c r="B59" s="33">
        <v>399117.761</v>
      </c>
      <c r="C59" s="33">
        <v>610.38</v>
      </c>
      <c r="D59" s="11">
        <v>44983</v>
      </c>
      <c r="E59" s="86">
        <v>655</v>
      </c>
    </row>
    <row r="60" ht="15.75" spans="1:5">
      <c r="A60" s="33">
        <v>3045042.366</v>
      </c>
      <c r="B60" s="33">
        <v>399117.761</v>
      </c>
      <c r="C60" s="33">
        <v>610.38</v>
      </c>
      <c r="D60" s="11">
        <v>44984</v>
      </c>
      <c r="E60" s="86">
        <v>654.8</v>
      </c>
    </row>
    <row r="61" ht="15.75" spans="1:5">
      <c r="A61" s="33">
        <v>3045042.366</v>
      </c>
      <c r="B61" s="33">
        <v>399117.761</v>
      </c>
      <c r="C61" s="33">
        <v>610.38</v>
      </c>
      <c r="D61" s="11">
        <v>44985</v>
      </c>
      <c r="E61" s="86">
        <v>654.5</v>
      </c>
    </row>
    <row r="62" ht="15.75" spans="1:5">
      <c r="A62" s="33">
        <v>3045042.366</v>
      </c>
      <c r="B62" s="33">
        <v>399117.761</v>
      </c>
      <c r="C62" s="33">
        <v>610.38</v>
      </c>
      <c r="D62" s="11">
        <v>44986</v>
      </c>
      <c r="E62" s="86">
        <v>654.3</v>
      </c>
    </row>
    <row r="63" ht="15.75" spans="1:5">
      <c r="A63" s="33">
        <v>3045042.366</v>
      </c>
      <c r="B63" s="33">
        <v>399117.761</v>
      </c>
      <c r="C63" s="33">
        <v>610.38</v>
      </c>
      <c r="D63" s="11">
        <v>44987</v>
      </c>
      <c r="E63" s="86">
        <v>654.2</v>
      </c>
    </row>
    <row r="64" ht="15.75" spans="1:5">
      <c r="A64" s="33">
        <v>3045042.366</v>
      </c>
      <c r="B64" s="33">
        <v>399117.761</v>
      </c>
      <c r="C64" s="33">
        <v>610.38</v>
      </c>
      <c r="D64" s="11">
        <v>44988</v>
      </c>
      <c r="E64" s="86">
        <v>654.1</v>
      </c>
    </row>
    <row r="65" ht="15.75" spans="1:5">
      <c r="A65" s="33">
        <v>3045042.366</v>
      </c>
      <c r="B65" s="33">
        <v>399117.761</v>
      </c>
      <c r="C65" s="33">
        <v>610.38</v>
      </c>
      <c r="D65" s="11">
        <v>44989</v>
      </c>
      <c r="E65" s="86">
        <v>654</v>
      </c>
    </row>
    <row r="66" ht="15.75" spans="1:5">
      <c r="A66" s="33">
        <v>3045042.366</v>
      </c>
      <c r="B66" s="33">
        <v>399117.761</v>
      </c>
      <c r="C66" s="33">
        <v>610.38</v>
      </c>
      <c r="D66" s="11">
        <v>44990</v>
      </c>
      <c r="E66" s="86">
        <v>654</v>
      </c>
    </row>
    <row r="67" ht="15.75" spans="1:5">
      <c r="A67" s="33">
        <v>3045042.366</v>
      </c>
      <c r="B67" s="33">
        <v>399117.761</v>
      </c>
      <c r="C67" s="33">
        <v>610.38</v>
      </c>
      <c r="D67" s="11">
        <v>44991</v>
      </c>
      <c r="E67" s="86">
        <v>654</v>
      </c>
    </row>
    <row r="68" ht="15.75" spans="1:5">
      <c r="A68" s="33">
        <v>3045042.366</v>
      </c>
      <c r="B68" s="33">
        <v>399117.761</v>
      </c>
      <c r="C68" s="33">
        <v>610.38</v>
      </c>
      <c r="D68" s="11">
        <v>44992</v>
      </c>
      <c r="E68" s="86">
        <v>654</v>
      </c>
    </row>
    <row r="69" ht="15.75" spans="1:5">
      <c r="A69" s="33">
        <v>3045042.366</v>
      </c>
      <c r="B69" s="33">
        <v>399117.761</v>
      </c>
      <c r="C69" s="33">
        <v>610.38</v>
      </c>
      <c r="D69" s="11">
        <v>44993</v>
      </c>
      <c r="E69" s="86">
        <v>653.9</v>
      </c>
    </row>
    <row r="70" ht="15.75" spans="1:5">
      <c r="A70" s="33">
        <v>3045042.366</v>
      </c>
      <c r="B70" s="33">
        <v>399117.761</v>
      </c>
      <c r="C70" s="33">
        <v>610.38</v>
      </c>
      <c r="D70" s="11">
        <v>44994</v>
      </c>
      <c r="E70" s="86">
        <v>653.8</v>
      </c>
    </row>
    <row r="71" ht="15.75" spans="1:5">
      <c r="A71" s="33">
        <v>3045042.366</v>
      </c>
      <c r="B71" s="33">
        <v>399117.761</v>
      </c>
      <c r="C71" s="33">
        <v>610.38</v>
      </c>
      <c r="D71" s="11">
        <v>44995</v>
      </c>
      <c r="E71" s="86">
        <v>653.7</v>
      </c>
    </row>
    <row r="72" ht="15.75" spans="1:5">
      <c r="A72" s="33">
        <v>3045042.366</v>
      </c>
      <c r="B72" s="33">
        <v>399117.761</v>
      </c>
      <c r="C72" s="33">
        <v>610.38</v>
      </c>
      <c r="D72" s="11">
        <v>44996</v>
      </c>
      <c r="E72" s="86">
        <v>653.6</v>
      </c>
    </row>
    <row r="73" ht="15.75" spans="1:5">
      <c r="A73" s="33">
        <v>3045042.366</v>
      </c>
      <c r="B73" s="33">
        <v>399117.761</v>
      </c>
      <c r="C73" s="33">
        <v>610.38</v>
      </c>
      <c r="D73" s="11">
        <v>44997</v>
      </c>
      <c r="E73" s="86">
        <v>653.6</v>
      </c>
    </row>
    <row r="74" ht="15.75" spans="1:5">
      <c r="A74" s="33">
        <v>3045042.366</v>
      </c>
      <c r="B74" s="33">
        <v>399117.761</v>
      </c>
      <c r="C74" s="33">
        <v>610.38</v>
      </c>
      <c r="D74" s="11">
        <v>44998</v>
      </c>
      <c r="E74" s="86">
        <v>653.6</v>
      </c>
    </row>
    <row r="75" ht="15.75" spans="1:5">
      <c r="A75" s="33">
        <v>3045042.366</v>
      </c>
      <c r="B75" s="33">
        <v>399117.761</v>
      </c>
      <c r="C75" s="33">
        <v>610.38</v>
      </c>
      <c r="D75" s="11">
        <v>44999</v>
      </c>
      <c r="E75" s="86">
        <v>653.6</v>
      </c>
    </row>
    <row r="76" ht="15.75" spans="1:5">
      <c r="A76" s="33">
        <v>3045042.366</v>
      </c>
      <c r="B76" s="33">
        <v>399117.761</v>
      </c>
      <c r="C76" s="33">
        <v>610.38</v>
      </c>
      <c r="D76" s="11">
        <v>45000</v>
      </c>
      <c r="E76" s="86">
        <v>653.5</v>
      </c>
    </row>
    <row r="77" ht="15.75" spans="1:5">
      <c r="A77" s="33">
        <v>3045042.366</v>
      </c>
      <c r="B77" s="33">
        <v>399117.761</v>
      </c>
      <c r="C77" s="33">
        <v>610.38</v>
      </c>
      <c r="D77" s="11">
        <v>45001</v>
      </c>
      <c r="E77" s="86">
        <v>653.4</v>
      </c>
    </row>
    <row r="78" ht="15.75" spans="1:5">
      <c r="A78" s="33">
        <v>3045042.366</v>
      </c>
      <c r="B78" s="33">
        <v>399117.761</v>
      </c>
      <c r="C78" s="33">
        <v>610.38</v>
      </c>
      <c r="D78" s="11">
        <v>45002</v>
      </c>
      <c r="E78" s="90"/>
    </row>
    <row r="79" ht="15.75" spans="1:5">
      <c r="A79" s="33">
        <v>3045042.366</v>
      </c>
      <c r="B79" s="33">
        <v>399117.761</v>
      </c>
      <c r="C79" s="33">
        <v>610.38</v>
      </c>
      <c r="D79" s="11">
        <v>45003</v>
      </c>
      <c r="E79" s="91"/>
    </row>
    <row r="80" ht="15.75" spans="1:5">
      <c r="A80" s="33">
        <v>3045042.366</v>
      </c>
      <c r="B80" s="33">
        <v>399117.761</v>
      </c>
      <c r="C80" s="33">
        <v>610.38</v>
      </c>
      <c r="D80" s="11">
        <v>45004</v>
      </c>
      <c r="E80" s="86">
        <v>653.53</v>
      </c>
    </row>
    <row r="81" ht="15.75" spans="1:5">
      <c r="A81" s="33">
        <v>3045042.366</v>
      </c>
      <c r="B81" s="33">
        <v>399117.761</v>
      </c>
      <c r="C81" s="33">
        <v>610.38</v>
      </c>
      <c r="D81" s="11">
        <v>45005</v>
      </c>
      <c r="E81" s="86">
        <v>653.63</v>
      </c>
    </row>
    <row r="82" ht="15.75" spans="1:5">
      <c r="A82" s="33">
        <v>3045042.366</v>
      </c>
      <c r="B82" s="33">
        <v>399117.761</v>
      </c>
      <c r="C82" s="33">
        <v>610.38</v>
      </c>
      <c r="D82" s="11">
        <v>45006</v>
      </c>
      <c r="E82" s="86">
        <v>653.63</v>
      </c>
    </row>
    <row r="83" ht="15.75" spans="1:5">
      <c r="A83" s="33">
        <v>3045042.366</v>
      </c>
      <c r="B83" s="33">
        <v>399117.761</v>
      </c>
      <c r="C83" s="33">
        <v>610.38</v>
      </c>
      <c r="D83" s="11">
        <v>45007</v>
      </c>
      <c r="E83" s="86">
        <v>653.52</v>
      </c>
    </row>
    <row r="84" ht="15.75" spans="1:5">
      <c r="A84" s="33">
        <v>3045042.366</v>
      </c>
      <c r="B84" s="33">
        <v>399117.761</v>
      </c>
      <c r="C84" s="33">
        <v>610.38</v>
      </c>
      <c r="D84" s="11">
        <v>45008</v>
      </c>
      <c r="E84" s="86">
        <v>653.53</v>
      </c>
    </row>
    <row r="85" ht="15.75" spans="1:5">
      <c r="A85" s="33">
        <v>3045042.366</v>
      </c>
      <c r="B85" s="33">
        <v>399117.761</v>
      </c>
      <c r="C85" s="33">
        <v>610.38</v>
      </c>
      <c r="D85" s="11">
        <v>45009</v>
      </c>
      <c r="E85" s="86">
        <v>653.5</v>
      </c>
    </row>
    <row r="86" ht="15.75" spans="1:5">
      <c r="A86" s="33">
        <v>3045042.366</v>
      </c>
      <c r="B86" s="33">
        <v>399117.761</v>
      </c>
      <c r="C86" s="33">
        <v>610.38</v>
      </c>
      <c r="D86" s="11">
        <v>45010</v>
      </c>
      <c r="E86" s="86">
        <v>653.43</v>
      </c>
    </row>
    <row r="87" ht="15.75" spans="1:5">
      <c r="A87" s="33">
        <v>3045042.366</v>
      </c>
      <c r="B87" s="33">
        <v>399117.761</v>
      </c>
      <c r="C87" s="33">
        <v>610.38</v>
      </c>
      <c r="D87" s="11">
        <v>45011</v>
      </c>
      <c r="E87" s="86">
        <v>653.43</v>
      </c>
    </row>
    <row r="88" ht="15.75" spans="1:5">
      <c r="A88" s="33">
        <v>3045042.366</v>
      </c>
      <c r="B88" s="33">
        <v>399117.761</v>
      </c>
      <c r="C88" s="33">
        <v>610.38</v>
      </c>
      <c r="D88" s="11">
        <v>45012</v>
      </c>
      <c r="E88" s="86">
        <v>653.03</v>
      </c>
    </row>
    <row r="89" ht="15.75" spans="1:5">
      <c r="A89" s="33">
        <v>3045042.366</v>
      </c>
      <c r="B89" s="33">
        <v>399117.761</v>
      </c>
      <c r="C89" s="33">
        <v>610.38</v>
      </c>
      <c r="D89" s="11">
        <v>45013</v>
      </c>
      <c r="E89" s="85"/>
    </row>
    <row r="90" ht="15.75" spans="1:5">
      <c r="A90" s="33">
        <v>3045042.366</v>
      </c>
      <c r="B90" s="33">
        <v>399117.761</v>
      </c>
      <c r="C90" s="33">
        <v>610.38</v>
      </c>
      <c r="D90" s="11">
        <v>45014</v>
      </c>
      <c r="E90" s="85"/>
    </row>
    <row r="91" ht="15.75" spans="1:5">
      <c r="A91" s="33">
        <v>3045042.366</v>
      </c>
      <c r="B91" s="33">
        <v>399117.761</v>
      </c>
      <c r="C91" s="33">
        <v>610.38</v>
      </c>
      <c r="D91" s="11">
        <v>45015</v>
      </c>
      <c r="E91" s="87">
        <v>651.31</v>
      </c>
    </row>
    <row r="92" ht="15.75" spans="1:5">
      <c r="A92" s="33">
        <v>3045042.366</v>
      </c>
      <c r="B92" s="33">
        <v>399117.761</v>
      </c>
      <c r="C92" s="33">
        <v>610.38</v>
      </c>
      <c r="D92" s="11">
        <v>45016</v>
      </c>
      <c r="E92" s="85"/>
    </row>
    <row r="93" ht="15.75" spans="1:5">
      <c r="A93" s="33">
        <v>3045042.366</v>
      </c>
      <c r="B93" s="33">
        <v>399117.761</v>
      </c>
      <c r="C93" s="33">
        <v>610.38</v>
      </c>
      <c r="D93" s="11">
        <v>45017</v>
      </c>
      <c r="E93" s="86">
        <v>651.31</v>
      </c>
    </row>
    <row r="94" ht="15.75" spans="1:5">
      <c r="A94" s="33">
        <v>3045042.366</v>
      </c>
      <c r="B94" s="33">
        <v>399117.761</v>
      </c>
      <c r="C94" s="33">
        <v>610.38</v>
      </c>
      <c r="D94" s="11">
        <v>45018</v>
      </c>
      <c r="E94" s="86">
        <v>651.41</v>
      </c>
    </row>
    <row r="95" ht="15.75" spans="1:5">
      <c r="A95" s="33">
        <v>3045042.366</v>
      </c>
      <c r="B95" s="33">
        <v>399117.761</v>
      </c>
      <c r="C95" s="33">
        <v>610.38</v>
      </c>
      <c r="D95" s="11">
        <v>45019</v>
      </c>
      <c r="E95" s="86">
        <v>651.41</v>
      </c>
    </row>
    <row r="96" ht="15.75" spans="1:5">
      <c r="A96" s="33">
        <v>3045042.366</v>
      </c>
      <c r="B96" s="33">
        <v>399117.761</v>
      </c>
      <c r="C96" s="33">
        <v>610.38</v>
      </c>
      <c r="D96" s="11">
        <v>45020</v>
      </c>
      <c r="E96" s="86">
        <v>651.31</v>
      </c>
    </row>
    <row r="97" ht="15.75" spans="1:5">
      <c r="A97" s="33">
        <v>3045042.366</v>
      </c>
      <c r="B97" s="33">
        <v>399117.761</v>
      </c>
      <c r="C97" s="33">
        <v>610.38</v>
      </c>
      <c r="D97" s="11">
        <v>45021</v>
      </c>
      <c r="E97" s="86">
        <v>651.31</v>
      </c>
    </row>
    <row r="98" ht="15.75" spans="1:5">
      <c r="A98" s="33">
        <v>3045042.366</v>
      </c>
      <c r="B98" s="33">
        <v>399117.761</v>
      </c>
      <c r="C98" s="33">
        <v>610.38</v>
      </c>
      <c r="D98" s="11">
        <v>45022</v>
      </c>
      <c r="E98" s="86">
        <v>651.21</v>
      </c>
    </row>
    <row r="99" ht="15.75" spans="1:5">
      <c r="A99" s="33">
        <v>3045042.366</v>
      </c>
      <c r="B99" s="33">
        <v>399117.761</v>
      </c>
      <c r="C99" s="33">
        <v>610.38</v>
      </c>
      <c r="D99" s="11">
        <v>45023</v>
      </c>
      <c r="E99" s="86">
        <v>651.21</v>
      </c>
    </row>
    <row r="100" ht="15.75" spans="1:5">
      <c r="A100" s="33">
        <v>3045042.366</v>
      </c>
      <c r="B100" s="33">
        <v>399117.761</v>
      </c>
      <c r="C100" s="33">
        <v>610.38</v>
      </c>
      <c r="D100" s="11">
        <v>45024</v>
      </c>
      <c r="E100" s="86">
        <v>651.21</v>
      </c>
    </row>
    <row r="101" ht="15.75" spans="1:5">
      <c r="A101" s="33">
        <v>3045042.366</v>
      </c>
      <c r="B101" s="33">
        <v>399117.761</v>
      </c>
      <c r="C101" s="33">
        <v>610.38</v>
      </c>
      <c r="D101" s="11">
        <v>45025</v>
      </c>
      <c r="E101" s="86">
        <v>651.21</v>
      </c>
    </row>
    <row r="102" ht="15.75" spans="1:5">
      <c r="A102" s="33">
        <v>3045042.366</v>
      </c>
      <c r="B102" s="33">
        <v>399117.761</v>
      </c>
      <c r="C102" s="33">
        <v>610.38</v>
      </c>
      <c r="D102" s="11">
        <v>45026</v>
      </c>
      <c r="E102" s="86">
        <v>651.21</v>
      </c>
    </row>
    <row r="103" ht="15.75" spans="1:5">
      <c r="A103" s="33">
        <v>3045042.366</v>
      </c>
      <c r="B103" s="33">
        <v>399117.761</v>
      </c>
      <c r="C103" s="33">
        <v>610.38</v>
      </c>
      <c r="D103" s="11">
        <v>45027</v>
      </c>
      <c r="E103" s="86">
        <v>651.16</v>
      </c>
    </row>
    <row r="104" ht="15.75" spans="1:5">
      <c r="A104" s="33">
        <v>3045042.366</v>
      </c>
      <c r="B104" s="33">
        <v>399117.761</v>
      </c>
      <c r="C104" s="33">
        <v>610.38</v>
      </c>
      <c r="D104" s="11">
        <v>45028</v>
      </c>
      <c r="E104" s="86">
        <v>651.11</v>
      </c>
    </row>
    <row r="105" ht="15.75" spans="1:5">
      <c r="A105" s="33">
        <v>3045042.366</v>
      </c>
      <c r="B105" s="33">
        <v>399117.761</v>
      </c>
      <c r="C105" s="33">
        <v>610.38</v>
      </c>
      <c r="D105" s="11">
        <v>45029</v>
      </c>
      <c r="E105" s="86">
        <v>651.11</v>
      </c>
    </row>
    <row r="106" ht="15.75" spans="1:5">
      <c r="A106" s="33">
        <v>3045042.366</v>
      </c>
      <c r="B106" s="33">
        <v>399117.761</v>
      </c>
      <c r="C106" s="33">
        <v>610.38</v>
      </c>
      <c r="D106" s="11">
        <v>45030</v>
      </c>
      <c r="E106" s="86">
        <v>651.01</v>
      </c>
    </row>
    <row r="107" ht="15.75" spans="1:5">
      <c r="A107" s="33">
        <v>3045042.366</v>
      </c>
      <c r="B107" s="33">
        <v>399117.761</v>
      </c>
      <c r="C107" s="33">
        <v>610.38</v>
      </c>
      <c r="D107" s="11">
        <v>45031</v>
      </c>
      <c r="E107" s="86">
        <v>651.01</v>
      </c>
    </row>
    <row r="108" ht="15.75" spans="1:5">
      <c r="A108" s="33">
        <v>3045042.366</v>
      </c>
      <c r="B108" s="33">
        <v>399117.761</v>
      </c>
      <c r="C108" s="33">
        <v>610.38</v>
      </c>
      <c r="D108" s="11">
        <v>45032</v>
      </c>
      <c r="E108" s="86">
        <v>651.01</v>
      </c>
    </row>
    <row r="109" ht="15.75" spans="1:5">
      <c r="A109" s="33">
        <v>3045042.366</v>
      </c>
      <c r="B109" s="33">
        <v>399117.761</v>
      </c>
      <c r="C109" s="33">
        <v>610.38</v>
      </c>
      <c r="D109" s="11">
        <v>45033</v>
      </c>
      <c r="E109" s="86">
        <v>651.01</v>
      </c>
    </row>
    <row r="110" ht="15.75" spans="1:5">
      <c r="A110" s="33">
        <v>3045042.366</v>
      </c>
      <c r="B110" s="33">
        <v>399117.761</v>
      </c>
      <c r="C110" s="33">
        <v>610.38</v>
      </c>
      <c r="D110" s="11">
        <v>45034</v>
      </c>
      <c r="E110" s="86">
        <v>651.01</v>
      </c>
    </row>
    <row r="111" ht="15.75" spans="1:5">
      <c r="A111" s="33">
        <v>3045042.366</v>
      </c>
      <c r="B111" s="33">
        <v>399117.761</v>
      </c>
      <c r="C111" s="33">
        <v>610.38</v>
      </c>
      <c r="D111" s="11">
        <v>45035</v>
      </c>
      <c r="E111" s="86">
        <v>651.01</v>
      </c>
    </row>
    <row r="112" ht="15.75" spans="1:5">
      <c r="A112" s="33">
        <v>3045042.366</v>
      </c>
      <c r="B112" s="33">
        <v>399117.761</v>
      </c>
      <c r="C112" s="33">
        <v>610.38</v>
      </c>
      <c r="D112" s="11">
        <v>45036</v>
      </c>
      <c r="E112" s="86">
        <v>651.01</v>
      </c>
    </row>
    <row r="113" ht="15.75" spans="1:5">
      <c r="A113" s="33">
        <v>3045042.366</v>
      </c>
      <c r="B113" s="33">
        <v>399117.761</v>
      </c>
      <c r="C113" s="33">
        <v>610.38</v>
      </c>
      <c r="D113" s="11">
        <v>45037</v>
      </c>
      <c r="E113" s="86">
        <v>651.01</v>
      </c>
    </row>
    <row r="114" ht="15.75" spans="1:5">
      <c r="A114" s="33">
        <v>3045042.366</v>
      </c>
      <c r="B114" s="33">
        <v>399117.761</v>
      </c>
      <c r="C114" s="33">
        <v>610.38</v>
      </c>
      <c r="D114" s="11">
        <v>45038</v>
      </c>
      <c r="E114" s="86">
        <v>650.91</v>
      </c>
    </row>
    <row r="115" ht="15.75" spans="1:5">
      <c r="A115" s="33">
        <v>3045042.366</v>
      </c>
      <c r="B115" s="33">
        <v>399117.761</v>
      </c>
      <c r="C115" s="33">
        <v>610.38</v>
      </c>
      <c r="D115" s="11">
        <v>45039</v>
      </c>
      <c r="E115" s="86">
        <v>651.01</v>
      </c>
    </row>
    <row r="116" ht="15.75" spans="1:5">
      <c r="A116" s="33">
        <v>3045042.366</v>
      </c>
      <c r="B116" s="33">
        <v>399117.761</v>
      </c>
      <c r="C116" s="33">
        <v>610.38</v>
      </c>
      <c r="D116" s="11">
        <v>45040</v>
      </c>
      <c r="E116" s="86">
        <v>651.01</v>
      </c>
    </row>
    <row r="117" ht="15.75" spans="1:5">
      <c r="A117" s="33">
        <v>3045042.366</v>
      </c>
      <c r="B117" s="33">
        <v>399117.761</v>
      </c>
      <c r="C117" s="33">
        <v>610.38</v>
      </c>
      <c r="D117" s="11">
        <v>45041</v>
      </c>
      <c r="E117" s="86">
        <v>651.01</v>
      </c>
    </row>
    <row r="118" ht="15.75" spans="1:5">
      <c r="A118" s="33">
        <v>3045042.366</v>
      </c>
      <c r="B118" s="33">
        <v>399117.761</v>
      </c>
      <c r="C118" s="33">
        <v>610.38</v>
      </c>
      <c r="D118" s="11">
        <v>45042</v>
      </c>
      <c r="E118" s="86">
        <v>651.01</v>
      </c>
    </row>
    <row r="119" ht="15.75" spans="1:5">
      <c r="A119" s="33">
        <v>3045042.366</v>
      </c>
      <c r="B119" s="33">
        <v>399117.761</v>
      </c>
      <c r="C119" s="33">
        <v>610.38</v>
      </c>
      <c r="D119" s="11">
        <v>45043</v>
      </c>
      <c r="E119" s="86">
        <v>651.01</v>
      </c>
    </row>
    <row r="120" ht="15.75" spans="1:5">
      <c r="A120" s="33">
        <v>3045042.366</v>
      </c>
      <c r="B120" s="33">
        <v>399117.761</v>
      </c>
      <c r="C120" s="33">
        <v>610.38</v>
      </c>
      <c r="D120" s="11">
        <v>45044</v>
      </c>
      <c r="E120" s="86">
        <v>650.91</v>
      </c>
    </row>
    <row r="121" ht="15.75" spans="1:5">
      <c r="A121" s="33">
        <v>3045042.366</v>
      </c>
      <c r="B121" s="33">
        <v>399117.761</v>
      </c>
      <c r="C121" s="33">
        <v>610.38</v>
      </c>
      <c r="D121" s="11">
        <v>45045</v>
      </c>
      <c r="E121" s="86">
        <v>650.91</v>
      </c>
    </row>
    <row r="122" ht="15.75" spans="1:5">
      <c r="A122" s="33">
        <v>3045042.366</v>
      </c>
      <c r="B122" s="33">
        <v>399117.761</v>
      </c>
      <c r="C122" s="33">
        <v>610.38</v>
      </c>
      <c r="D122" s="11">
        <v>45046</v>
      </c>
      <c r="E122" s="86">
        <v>650.81</v>
      </c>
    </row>
    <row r="123" ht="15.75" spans="1:5">
      <c r="A123" s="33">
        <v>3045042.366</v>
      </c>
      <c r="B123" s="33">
        <v>399117.761</v>
      </c>
      <c r="C123" s="33">
        <v>610.38</v>
      </c>
      <c r="D123" s="11">
        <v>45047</v>
      </c>
      <c r="E123" s="86">
        <v>650.71</v>
      </c>
    </row>
    <row r="124" ht="15.75" spans="1:5">
      <c r="A124" s="33">
        <v>3045042.366</v>
      </c>
      <c r="B124" s="33">
        <v>399117.761</v>
      </c>
      <c r="C124" s="33">
        <v>610.38</v>
      </c>
      <c r="D124" s="11">
        <v>45048</v>
      </c>
      <c r="E124" s="86">
        <v>650.61</v>
      </c>
    </row>
    <row r="125" ht="15.75" spans="1:5">
      <c r="A125" s="33">
        <v>3045042.366</v>
      </c>
      <c r="B125" s="33">
        <v>399117.761</v>
      </c>
      <c r="C125" s="33">
        <v>610.38</v>
      </c>
      <c r="D125" s="11">
        <v>45049</v>
      </c>
      <c r="E125" s="86">
        <v>650.61</v>
      </c>
    </row>
    <row r="126" ht="15.75" spans="1:5">
      <c r="A126" s="33">
        <v>3045042.366</v>
      </c>
      <c r="B126" s="33">
        <v>399117.761</v>
      </c>
      <c r="C126" s="33">
        <v>610.38</v>
      </c>
      <c r="D126" s="11">
        <v>45050</v>
      </c>
      <c r="E126" s="86">
        <v>650.71</v>
      </c>
    </row>
    <row r="127" ht="15.75" spans="1:5">
      <c r="A127" s="33">
        <v>3045042.366</v>
      </c>
      <c r="B127" s="33">
        <v>399117.761</v>
      </c>
      <c r="C127" s="33">
        <v>610.38</v>
      </c>
      <c r="D127" s="11">
        <v>45051</v>
      </c>
      <c r="E127" s="86">
        <v>650.71</v>
      </c>
    </row>
    <row r="128" ht="15.75" spans="1:5">
      <c r="A128" s="33">
        <v>3045042.366</v>
      </c>
      <c r="B128" s="33">
        <v>399117.761</v>
      </c>
      <c r="C128" s="33">
        <v>610.38</v>
      </c>
      <c r="D128" s="11">
        <v>45052</v>
      </c>
      <c r="E128" s="86">
        <v>650.71</v>
      </c>
    </row>
    <row r="129" ht="15.75" spans="1:5">
      <c r="A129" s="33">
        <v>3045042.366</v>
      </c>
      <c r="B129" s="33">
        <v>399117.761</v>
      </c>
      <c r="C129" s="33">
        <v>610.38</v>
      </c>
      <c r="D129" s="11">
        <v>45053</v>
      </c>
      <c r="E129" s="86">
        <v>650.61</v>
      </c>
    </row>
    <row r="130" ht="15.75" spans="1:5">
      <c r="A130" s="33">
        <v>3045042.366</v>
      </c>
      <c r="B130" s="33">
        <v>399117.761</v>
      </c>
      <c r="C130" s="33">
        <v>610.38</v>
      </c>
      <c r="D130" s="11">
        <v>45054</v>
      </c>
      <c r="E130" s="86">
        <v>650.71</v>
      </c>
    </row>
    <row r="131" ht="15.75" spans="1:5">
      <c r="A131" s="33">
        <v>3045042.366</v>
      </c>
      <c r="B131" s="33">
        <v>399117.761</v>
      </c>
      <c r="C131" s="33">
        <v>610.38</v>
      </c>
      <c r="D131" s="11">
        <v>45055</v>
      </c>
      <c r="E131" s="86">
        <v>650.71</v>
      </c>
    </row>
    <row r="132" ht="15.75" spans="1:5">
      <c r="A132" s="33">
        <v>3045042.366</v>
      </c>
      <c r="B132" s="33">
        <v>399117.761</v>
      </c>
      <c r="C132" s="33">
        <v>610.38</v>
      </c>
      <c r="D132" s="11">
        <v>45056</v>
      </c>
      <c r="E132" s="86">
        <v>650.71</v>
      </c>
    </row>
    <row r="133" ht="15.75" spans="1:5">
      <c r="A133" s="33">
        <v>3045042.366</v>
      </c>
      <c r="B133" s="33">
        <v>399117.761</v>
      </c>
      <c r="C133" s="33">
        <v>610.38</v>
      </c>
      <c r="D133" s="11">
        <v>45057</v>
      </c>
      <c r="E133" s="86">
        <v>650.71</v>
      </c>
    </row>
    <row r="134" ht="15.75" spans="1:5">
      <c r="A134" s="33">
        <v>3045042.366</v>
      </c>
      <c r="B134" s="33">
        <v>399117.761</v>
      </c>
      <c r="C134" s="33">
        <v>610.38</v>
      </c>
      <c r="D134" s="11">
        <v>45058</v>
      </c>
      <c r="E134" s="86"/>
    </row>
    <row r="135" ht="15.75" spans="1:5">
      <c r="A135" s="33">
        <v>3045042.366</v>
      </c>
      <c r="B135" s="33">
        <v>399117.761</v>
      </c>
      <c r="C135" s="33">
        <v>610.38</v>
      </c>
      <c r="D135" s="11">
        <v>45059</v>
      </c>
      <c r="E135" s="86">
        <v>650.91</v>
      </c>
    </row>
    <row r="136" ht="15.75" spans="1:5">
      <c r="A136" s="33">
        <v>3045042.366</v>
      </c>
      <c r="B136" s="33">
        <v>399117.761</v>
      </c>
      <c r="C136" s="33">
        <v>610.38</v>
      </c>
      <c r="D136" s="11">
        <v>45060</v>
      </c>
      <c r="E136" s="86">
        <v>650.91</v>
      </c>
    </row>
    <row r="137" ht="15.75" spans="1:5">
      <c r="A137" s="33">
        <v>3045042.366</v>
      </c>
      <c r="B137" s="33">
        <v>399117.761</v>
      </c>
      <c r="C137" s="33">
        <v>610.38</v>
      </c>
      <c r="D137" s="11">
        <v>45061</v>
      </c>
      <c r="E137" s="86">
        <v>651.01</v>
      </c>
    </row>
    <row r="138" ht="15.75" spans="1:5">
      <c r="A138" s="33">
        <v>3045042.366</v>
      </c>
      <c r="B138" s="33">
        <v>399117.761</v>
      </c>
      <c r="C138" s="33">
        <v>610.38</v>
      </c>
      <c r="D138" s="11">
        <v>45062</v>
      </c>
      <c r="E138" s="86">
        <v>650.91</v>
      </c>
    </row>
    <row r="139" ht="15.75" spans="1:5">
      <c r="A139" s="33">
        <v>3045042.366</v>
      </c>
      <c r="B139" s="33">
        <v>399117.761</v>
      </c>
      <c r="C139" s="33">
        <v>610.38</v>
      </c>
      <c r="D139" s="11">
        <v>45063</v>
      </c>
      <c r="E139" s="86">
        <v>650.91</v>
      </c>
    </row>
    <row r="140" ht="15.75" spans="1:5">
      <c r="A140" s="33">
        <v>3045042.366</v>
      </c>
      <c r="B140" s="33">
        <v>399117.761</v>
      </c>
      <c r="C140" s="33">
        <v>610.38</v>
      </c>
      <c r="D140" s="11">
        <v>45064</v>
      </c>
      <c r="E140" s="86">
        <v>651.01</v>
      </c>
    </row>
    <row r="141" ht="15.75" spans="1:5">
      <c r="A141" s="33">
        <v>3045042.366</v>
      </c>
      <c r="B141" s="33">
        <v>399117.761</v>
      </c>
      <c r="C141" s="33">
        <v>610.38</v>
      </c>
      <c r="D141" s="11">
        <v>45065</v>
      </c>
      <c r="E141" s="86">
        <v>651.01</v>
      </c>
    </row>
    <row r="142" ht="15.75" spans="1:5">
      <c r="A142" s="33">
        <v>3045042.366</v>
      </c>
      <c r="B142" s="33">
        <v>399117.761</v>
      </c>
      <c r="C142" s="33">
        <v>610.38</v>
      </c>
      <c r="D142" s="11">
        <v>45066</v>
      </c>
      <c r="E142" s="86">
        <v>651.11</v>
      </c>
    </row>
    <row r="143" ht="15.75" spans="1:5">
      <c r="A143" s="33">
        <v>3045042.366</v>
      </c>
      <c r="B143" s="33">
        <v>399117.761</v>
      </c>
      <c r="C143" s="33">
        <v>610.38</v>
      </c>
      <c r="D143" s="11">
        <v>45067</v>
      </c>
      <c r="E143" s="86">
        <v>651.21</v>
      </c>
    </row>
    <row r="144" ht="15.75" spans="1:5">
      <c r="A144" s="33">
        <v>3045042.366</v>
      </c>
      <c r="B144" s="33">
        <v>399117.761</v>
      </c>
      <c r="C144" s="33">
        <v>610.38</v>
      </c>
      <c r="D144" s="11">
        <v>45068</v>
      </c>
      <c r="E144" s="86">
        <v>651.08</v>
      </c>
    </row>
    <row r="145" ht="15.75" spans="1:5">
      <c r="A145" s="33">
        <v>3045042.366</v>
      </c>
      <c r="B145" s="33">
        <v>399117.761</v>
      </c>
      <c r="C145" s="33">
        <v>610.38</v>
      </c>
      <c r="D145" s="11">
        <v>45069</v>
      </c>
      <c r="E145" s="86">
        <v>651.11</v>
      </c>
    </row>
    <row r="146" ht="15.75" spans="1:5">
      <c r="A146" s="33">
        <v>3045042.366</v>
      </c>
      <c r="B146" s="33">
        <v>399117.761</v>
      </c>
      <c r="C146" s="33">
        <v>610.38</v>
      </c>
      <c r="D146" s="11">
        <v>45070</v>
      </c>
      <c r="E146" s="86">
        <v>651.21</v>
      </c>
    </row>
    <row r="147" ht="15.75" spans="1:5">
      <c r="A147" s="33">
        <v>3045042.366</v>
      </c>
      <c r="B147" s="33">
        <v>399117.761</v>
      </c>
      <c r="C147" s="33">
        <v>610.38</v>
      </c>
      <c r="D147" s="11">
        <v>45071</v>
      </c>
      <c r="E147" s="86">
        <v>651.31</v>
      </c>
    </row>
    <row r="148" ht="15.75" spans="1:5">
      <c r="A148" s="33">
        <v>3045042.366</v>
      </c>
      <c r="B148" s="33">
        <v>399117.761</v>
      </c>
      <c r="C148" s="33">
        <v>610.38</v>
      </c>
      <c r="D148" s="11">
        <v>45072</v>
      </c>
      <c r="E148" s="86">
        <v>651.31</v>
      </c>
    </row>
    <row r="149" ht="15.75" spans="1:5">
      <c r="A149" s="33">
        <v>3045042.366</v>
      </c>
      <c r="B149" s="33">
        <v>399117.761</v>
      </c>
      <c r="C149" s="33">
        <v>610.38</v>
      </c>
      <c r="D149" s="11">
        <v>45073</v>
      </c>
      <c r="E149" s="86">
        <v>651.31</v>
      </c>
    </row>
    <row r="150" ht="15.75" spans="1:5">
      <c r="A150" s="33">
        <v>3045042.366</v>
      </c>
      <c r="B150" s="33">
        <v>399117.761</v>
      </c>
      <c r="C150" s="33">
        <v>610.38</v>
      </c>
      <c r="D150" s="11">
        <v>45074</v>
      </c>
      <c r="E150" s="86">
        <v>651.41</v>
      </c>
    </row>
    <row r="151" ht="15.75" spans="1:5">
      <c r="A151" s="33">
        <v>3045042.366</v>
      </c>
      <c r="B151" s="33">
        <v>399117.761</v>
      </c>
      <c r="C151" s="33">
        <v>610.38</v>
      </c>
      <c r="D151" s="11">
        <v>45075</v>
      </c>
      <c r="E151" s="86">
        <v>651.41</v>
      </c>
    </row>
    <row r="152" ht="15.75" spans="1:5">
      <c r="A152" s="33">
        <v>3045042.366</v>
      </c>
      <c r="B152" s="33">
        <v>399117.761</v>
      </c>
      <c r="C152" s="33">
        <v>610.38</v>
      </c>
      <c r="D152" s="11">
        <v>45076</v>
      </c>
      <c r="E152" s="86">
        <v>651.31</v>
      </c>
    </row>
    <row r="153" ht="15.75" spans="1:5">
      <c r="A153" s="33">
        <v>3045042.366</v>
      </c>
      <c r="B153" s="33">
        <v>399117.761</v>
      </c>
      <c r="C153" s="33">
        <v>610.38</v>
      </c>
      <c r="D153" s="11">
        <v>45077</v>
      </c>
      <c r="E153" s="86">
        <v>651.31</v>
      </c>
    </row>
    <row r="154" ht="15.75" spans="1:5">
      <c r="A154" s="33">
        <v>3045042.366</v>
      </c>
      <c r="B154" s="33">
        <v>399117.761</v>
      </c>
      <c r="C154" s="33">
        <v>610.38</v>
      </c>
      <c r="D154" s="11">
        <v>45078</v>
      </c>
      <c r="E154" s="86">
        <v>651.31</v>
      </c>
    </row>
    <row r="155" ht="15.75" spans="1:5">
      <c r="A155" s="33">
        <v>3045042.366</v>
      </c>
      <c r="B155" s="33">
        <v>399117.761</v>
      </c>
      <c r="C155" s="33">
        <v>610.38</v>
      </c>
      <c r="D155" s="11">
        <v>45079</v>
      </c>
      <c r="E155" s="86">
        <v>651.31</v>
      </c>
    </row>
    <row r="156" ht="15.75" spans="1:5">
      <c r="A156" s="33">
        <v>3045042.366</v>
      </c>
      <c r="B156" s="33">
        <v>399117.761</v>
      </c>
      <c r="C156" s="33">
        <v>610.38</v>
      </c>
      <c r="D156" s="11">
        <v>45080</v>
      </c>
      <c r="E156" s="86">
        <v>651.31</v>
      </c>
    </row>
    <row r="157" ht="15.75" spans="1:5">
      <c r="A157" s="33">
        <v>3045042.366</v>
      </c>
      <c r="B157" s="33">
        <v>399117.761</v>
      </c>
      <c r="C157" s="33">
        <v>610.38</v>
      </c>
      <c r="D157" s="11">
        <v>45081</v>
      </c>
      <c r="E157" s="86">
        <v>651.31</v>
      </c>
    </row>
    <row r="158" ht="15.75" spans="1:5">
      <c r="A158" s="33">
        <v>3045042.366</v>
      </c>
      <c r="B158" s="33">
        <v>399117.761</v>
      </c>
      <c r="C158" s="33">
        <v>610.38</v>
      </c>
      <c r="D158" s="11">
        <v>45082</v>
      </c>
      <c r="E158" s="86">
        <v>651.41</v>
      </c>
    </row>
    <row r="159" ht="15.75" spans="1:5">
      <c r="A159" s="33">
        <v>3045042.366</v>
      </c>
      <c r="B159" s="33">
        <v>399117.761</v>
      </c>
      <c r="C159" s="33">
        <v>610.38</v>
      </c>
      <c r="D159" s="11">
        <v>45083</v>
      </c>
      <c r="E159" s="86">
        <v>651.41</v>
      </c>
    </row>
    <row r="160" ht="15.75" spans="1:5">
      <c r="A160" s="33">
        <v>3045042.366</v>
      </c>
      <c r="B160" s="33">
        <v>399117.761</v>
      </c>
      <c r="C160" s="33">
        <v>610.38</v>
      </c>
      <c r="D160" s="11">
        <v>45084</v>
      </c>
      <c r="E160" s="86">
        <v>651.51</v>
      </c>
    </row>
    <row r="161" ht="15.75" spans="1:5">
      <c r="A161" s="33">
        <v>3045042.366</v>
      </c>
      <c r="B161" s="33">
        <v>399117.761</v>
      </c>
      <c r="C161" s="33">
        <v>610.38</v>
      </c>
      <c r="D161" s="11">
        <v>45085</v>
      </c>
      <c r="E161" s="86">
        <v>651.51</v>
      </c>
    </row>
    <row r="162" ht="15.75" spans="1:5">
      <c r="A162" s="33">
        <v>3045042.366</v>
      </c>
      <c r="B162" s="33">
        <v>399117.761</v>
      </c>
      <c r="C162" s="33">
        <v>610.38</v>
      </c>
      <c r="D162" s="11">
        <v>45086</v>
      </c>
      <c r="E162" s="86">
        <v>651.51</v>
      </c>
    </row>
    <row r="163" ht="15.75" spans="1:5">
      <c r="A163" s="33">
        <v>3045042.366</v>
      </c>
      <c r="B163" s="33">
        <v>399117.761</v>
      </c>
      <c r="C163" s="33">
        <v>610.38</v>
      </c>
      <c r="D163" s="11">
        <v>45087</v>
      </c>
      <c r="E163" s="86">
        <v>651.51</v>
      </c>
    </row>
    <row r="164" ht="15.75" spans="1:5">
      <c r="A164" s="33">
        <v>3045042.366</v>
      </c>
      <c r="B164" s="33">
        <v>399117.761</v>
      </c>
      <c r="C164" s="33">
        <v>610.38</v>
      </c>
      <c r="D164" s="11">
        <v>45088</v>
      </c>
      <c r="E164" s="86">
        <v>651.61</v>
      </c>
    </row>
    <row r="165" ht="15.75" spans="1:5">
      <c r="A165" s="33">
        <v>3045042.366</v>
      </c>
      <c r="B165" s="33">
        <v>399117.761</v>
      </c>
      <c r="C165" s="33">
        <v>610.38</v>
      </c>
      <c r="D165" s="11">
        <v>45089</v>
      </c>
      <c r="E165" s="86">
        <v>651.61</v>
      </c>
    </row>
    <row r="166" ht="15.75" spans="1:5">
      <c r="A166" s="33">
        <v>3045042.366</v>
      </c>
      <c r="B166" s="33">
        <v>399117.761</v>
      </c>
      <c r="C166" s="33">
        <v>610.38</v>
      </c>
      <c r="D166" s="11">
        <v>45090</v>
      </c>
      <c r="E166" s="86">
        <v>651.71</v>
      </c>
    </row>
    <row r="167" ht="15.75" spans="1:5">
      <c r="A167" s="33">
        <v>3045042.366</v>
      </c>
      <c r="B167" s="33">
        <v>399117.761</v>
      </c>
      <c r="C167" s="33">
        <v>610.38</v>
      </c>
      <c r="D167" s="11">
        <v>45091</v>
      </c>
      <c r="E167" s="86">
        <v>651.51</v>
      </c>
    </row>
    <row r="168" ht="15.75" spans="1:5">
      <c r="A168" s="33">
        <v>3045042.366</v>
      </c>
      <c r="B168" s="33">
        <v>399117.761</v>
      </c>
      <c r="C168" s="33">
        <v>610.38</v>
      </c>
      <c r="D168" s="11">
        <v>45092</v>
      </c>
      <c r="E168" s="86">
        <v>651.61</v>
      </c>
    </row>
    <row r="169" ht="15.75" spans="1:5">
      <c r="A169" s="33">
        <v>3045042.366</v>
      </c>
      <c r="B169" s="33">
        <v>399117.761</v>
      </c>
      <c r="C169" s="33">
        <v>610.38</v>
      </c>
      <c r="D169" s="11">
        <v>45093</v>
      </c>
      <c r="E169" s="86">
        <v>651.61</v>
      </c>
    </row>
    <row r="170" ht="15.75" spans="1:5">
      <c r="A170" s="33">
        <v>3045042.366</v>
      </c>
      <c r="B170" s="33">
        <v>399117.761</v>
      </c>
      <c r="C170" s="33">
        <v>610.38</v>
      </c>
      <c r="D170" s="11">
        <v>45094</v>
      </c>
      <c r="E170" s="86">
        <v>651.61</v>
      </c>
    </row>
    <row r="171" ht="15.75" spans="1:5">
      <c r="A171" s="33">
        <v>3045042.366</v>
      </c>
      <c r="B171" s="33">
        <v>399117.761</v>
      </c>
      <c r="C171" s="33">
        <v>610.38</v>
      </c>
      <c r="D171" s="11">
        <v>45095</v>
      </c>
      <c r="E171" s="86">
        <v>651.31</v>
      </c>
    </row>
    <row r="172" ht="15.75" spans="1:5">
      <c r="A172" s="33">
        <v>3045042.366</v>
      </c>
      <c r="B172" s="33">
        <v>399117.761</v>
      </c>
      <c r="C172" s="33">
        <v>610.38</v>
      </c>
      <c r="D172" s="11">
        <v>45096</v>
      </c>
      <c r="E172" s="86">
        <v>651.41</v>
      </c>
    </row>
    <row r="173" ht="15.75" spans="1:5">
      <c r="A173" s="33">
        <v>3045042.366</v>
      </c>
      <c r="B173" s="33">
        <v>399117.761</v>
      </c>
      <c r="C173" s="33">
        <v>610.38</v>
      </c>
      <c r="D173" s="11">
        <v>45097</v>
      </c>
      <c r="E173" s="86">
        <v>651.41</v>
      </c>
    </row>
    <row r="174" ht="15.75" spans="1:5">
      <c r="A174" s="33">
        <v>3045042.366</v>
      </c>
      <c r="B174" s="33">
        <v>399117.761</v>
      </c>
      <c r="C174" s="33">
        <v>610.38</v>
      </c>
      <c r="D174" s="11">
        <v>45098</v>
      </c>
      <c r="E174" s="86">
        <v>651.51</v>
      </c>
    </row>
    <row r="175" ht="15.75" spans="1:5">
      <c r="A175" s="33">
        <v>3045042.366</v>
      </c>
      <c r="B175" s="33">
        <v>399117.761</v>
      </c>
      <c r="C175" s="33">
        <v>610.38</v>
      </c>
      <c r="D175" s="11">
        <v>45099</v>
      </c>
      <c r="E175" s="86">
        <v>651.51</v>
      </c>
    </row>
    <row r="176" ht="15.75" spans="1:5">
      <c r="A176" s="33">
        <v>3045042.366</v>
      </c>
      <c r="B176" s="33">
        <v>399117.761</v>
      </c>
      <c r="C176" s="33">
        <v>610.38</v>
      </c>
      <c r="D176" s="11">
        <v>45100</v>
      </c>
      <c r="E176" s="86">
        <v>651.51</v>
      </c>
    </row>
    <row r="177" ht="15.75" spans="1:5">
      <c r="A177" s="33">
        <v>3045042.366</v>
      </c>
      <c r="B177" s="33">
        <v>399117.761</v>
      </c>
      <c r="C177" s="33">
        <v>610.38</v>
      </c>
      <c r="D177" s="11">
        <v>45101</v>
      </c>
      <c r="E177" s="86">
        <v>651.61</v>
      </c>
    </row>
    <row r="178" ht="15.75" spans="1:5">
      <c r="A178" s="33">
        <v>3045042.366</v>
      </c>
      <c r="B178" s="33">
        <v>399117.761</v>
      </c>
      <c r="C178" s="33">
        <v>610.38</v>
      </c>
      <c r="D178" s="11">
        <v>45102</v>
      </c>
      <c r="E178" s="86">
        <v>651.61</v>
      </c>
    </row>
    <row r="179" ht="15.75" spans="1:5">
      <c r="A179" s="33">
        <v>3045042.366</v>
      </c>
      <c r="B179" s="33">
        <v>399117.761</v>
      </c>
      <c r="C179" s="33">
        <v>610.38</v>
      </c>
      <c r="D179" s="11">
        <v>45103</v>
      </c>
      <c r="E179" s="86">
        <v>651.71</v>
      </c>
    </row>
    <row r="180" ht="15.75" spans="1:5">
      <c r="A180" s="33">
        <v>3045042.366</v>
      </c>
      <c r="B180" s="33">
        <v>399117.761</v>
      </c>
      <c r="C180" s="33">
        <v>610.38</v>
      </c>
      <c r="D180" s="11">
        <v>45104</v>
      </c>
      <c r="E180" s="86">
        <v>651.71</v>
      </c>
    </row>
    <row r="181" ht="15.75" spans="1:5">
      <c r="A181" s="33">
        <v>3045042.366</v>
      </c>
      <c r="B181" s="33">
        <v>399117.761</v>
      </c>
      <c r="C181" s="33">
        <v>610.38</v>
      </c>
      <c r="D181" s="11">
        <v>45105</v>
      </c>
      <c r="E181" s="86">
        <v>651.71</v>
      </c>
    </row>
    <row r="182" ht="15.75" spans="1:5">
      <c r="A182" s="33">
        <v>3045042.366</v>
      </c>
      <c r="B182" s="33">
        <v>399117.761</v>
      </c>
      <c r="C182" s="33">
        <v>610.38</v>
      </c>
      <c r="D182" s="11">
        <v>45106</v>
      </c>
      <c r="E182" s="86">
        <v>651.81</v>
      </c>
    </row>
    <row r="183" ht="15.75" spans="1:5">
      <c r="A183" s="33">
        <v>3045042.366</v>
      </c>
      <c r="B183" s="33">
        <v>399117.761</v>
      </c>
      <c r="C183" s="33">
        <v>610.38</v>
      </c>
      <c r="D183" s="11">
        <v>45107</v>
      </c>
      <c r="E183" s="86">
        <v>651.81</v>
      </c>
    </row>
    <row r="184" ht="15.75" spans="1:5">
      <c r="A184" s="33">
        <v>3045042.366</v>
      </c>
      <c r="B184" s="33">
        <v>399117.761</v>
      </c>
      <c r="C184" s="33">
        <v>610.38</v>
      </c>
      <c r="D184" s="11">
        <v>45108</v>
      </c>
      <c r="E184" s="86">
        <v>652.01</v>
      </c>
    </row>
    <row r="185" ht="15.75" spans="1:5">
      <c r="A185" s="33">
        <v>3045042.366</v>
      </c>
      <c r="B185" s="33">
        <v>399117.761</v>
      </c>
      <c r="C185" s="33">
        <v>610.38</v>
      </c>
      <c r="D185" s="11">
        <v>45109</v>
      </c>
      <c r="E185" s="86">
        <v>652.01</v>
      </c>
    </row>
    <row r="186" ht="15.75" spans="1:5">
      <c r="A186" s="33">
        <v>3045042.366</v>
      </c>
      <c r="B186" s="33">
        <v>399117.761</v>
      </c>
      <c r="C186" s="33">
        <v>610.38</v>
      </c>
      <c r="D186" s="11">
        <v>45110</v>
      </c>
      <c r="E186" s="86">
        <v>652.01</v>
      </c>
    </row>
    <row r="187" ht="15.75" spans="1:5">
      <c r="A187" s="33">
        <v>3045042.366</v>
      </c>
      <c r="B187" s="33">
        <v>399117.761</v>
      </c>
      <c r="C187" s="33">
        <v>610.38</v>
      </c>
      <c r="D187" s="11">
        <v>45111</v>
      </c>
      <c r="E187" s="86">
        <v>652.01</v>
      </c>
    </row>
    <row r="188" ht="15.75" spans="1:5">
      <c r="A188" s="33">
        <v>3045042.366</v>
      </c>
      <c r="B188" s="33">
        <v>399117.761</v>
      </c>
      <c r="C188" s="33">
        <v>610.38</v>
      </c>
      <c r="D188" s="11">
        <v>45112</v>
      </c>
      <c r="E188" s="86">
        <v>652.11</v>
      </c>
    </row>
    <row r="189" ht="15.75" spans="1:5">
      <c r="A189" s="33">
        <v>3045042.366</v>
      </c>
      <c r="B189" s="33">
        <v>399117.761</v>
      </c>
      <c r="C189" s="33">
        <v>610.38</v>
      </c>
      <c r="D189" s="11">
        <v>45113</v>
      </c>
      <c r="E189" s="86">
        <v>652.21</v>
      </c>
    </row>
    <row r="190" ht="15.75" spans="1:5">
      <c r="A190" s="33">
        <v>3045042.366</v>
      </c>
      <c r="B190" s="33">
        <v>399117.761</v>
      </c>
      <c r="C190" s="33">
        <v>610.38</v>
      </c>
      <c r="D190" s="11">
        <v>45114</v>
      </c>
      <c r="E190" s="86">
        <v>652.21</v>
      </c>
    </row>
    <row r="191" ht="15.75" spans="1:5">
      <c r="A191" s="33">
        <v>3045042.366</v>
      </c>
      <c r="B191" s="33">
        <v>399117.761</v>
      </c>
      <c r="C191" s="33">
        <v>610.38</v>
      </c>
      <c r="D191" s="11">
        <v>45115</v>
      </c>
      <c r="E191" s="86">
        <v>652.21</v>
      </c>
    </row>
    <row r="192" ht="15.75" spans="1:5">
      <c r="A192" s="33">
        <v>3045042.366</v>
      </c>
      <c r="B192" s="33">
        <v>399117.761</v>
      </c>
      <c r="C192" s="33">
        <v>610.38</v>
      </c>
      <c r="D192" s="11">
        <v>45116</v>
      </c>
      <c r="E192" s="86">
        <v>652.31</v>
      </c>
    </row>
    <row r="193" ht="15.75" spans="1:5">
      <c r="A193" s="33">
        <v>3045042.366</v>
      </c>
      <c r="B193" s="33">
        <v>399117.761</v>
      </c>
      <c r="C193" s="33">
        <v>610.38</v>
      </c>
      <c r="D193" s="11">
        <v>45117</v>
      </c>
      <c r="E193" s="86">
        <v>652.31</v>
      </c>
    </row>
    <row r="194" ht="15.75" spans="1:5">
      <c r="A194" s="33">
        <v>3045042.366</v>
      </c>
      <c r="B194" s="33">
        <v>399117.761</v>
      </c>
      <c r="C194" s="33">
        <v>610.38</v>
      </c>
      <c r="D194" s="11">
        <v>45118</v>
      </c>
      <c r="E194" s="86">
        <v>652.31</v>
      </c>
    </row>
    <row r="195" ht="15.75" spans="1:5">
      <c r="A195" s="33">
        <v>3045042.366</v>
      </c>
      <c r="B195" s="33">
        <v>399117.761</v>
      </c>
      <c r="C195" s="33">
        <v>610.38</v>
      </c>
      <c r="D195" s="11">
        <v>45119</v>
      </c>
      <c r="E195" s="86">
        <v>652.41</v>
      </c>
    </row>
    <row r="196" ht="15.75" spans="1:5">
      <c r="A196" s="33">
        <v>3045042.366</v>
      </c>
      <c r="B196" s="33">
        <v>399117.761</v>
      </c>
      <c r="C196" s="33">
        <v>610.38</v>
      </c>
      <c r="D196" s="11">
        <v>45120</v>
      </c>
      <c r="E196" s="86">
        <v>652.314</v>
      </c>
    </row>
    <row r="197" ht="15.75" spans="1:5">
      <c r="A197" s="33">
        <v>3045042.366</v>
      </c>
      <c r="B197" s="33">
        <v>399117.761</v>
      </c>
      <c r="C197" s="33">
        <v>610.38</v>
      </c>
      <c r="D197" s="11">
        <v>45121</v>
      </c>
      <c r="E197" s="86">
        <v>652.214</v>
      </c>
    </row>
    <row r="198" ht="15.75" spans="1:5">
      <c r="A198" s="33">
        <v>3045042.366</v>
      </c>
      <c r="B198" s="33">
        <v>399117.761</v>
      </c>
      <c r="C198" s="33">
        <v>610.38</v>
      </c>
      <c r="D198" s="11">
        <v>45122</v>
      </c>
      <c r="E198" s="86">
        <v>652.314</v>
      </c>
    </row>
    <row r="199" ht="15.75" spans="1:5">
      <c r="A199" s="33">
        <v>3045042.366</v>
      </c>
      <c r="B199" s="33">
        <v>399117.761</v>
      </c>
      <c r="C199" s="33">
        <v>610.38</v>
      </c>
      <c r="D199" s="11">
        <v>45123</v>
      </c>
      <c r="E199" s="86">
        <v>652.414</v>
      </c>
    </row>
    <row r="200" ht="15.75" spans="1:5">
      <c r="A200" s="33">
        <v>3045042.366</v>
      </c>
      <c r="B200" s="33">
        <v>399117.761</v>
      </c>
      <c r="C200" s="33">
        <v>610.38</v>
      </c>
      <c r="D200" s="11">
        <v>45124</v>
      </c>
      <c r="E200" s="86">
        <v>652.514</v>
      </c>
    </row>
    <row r="201" ht="15.75" spans="1:5">
      <c r="A201" s="33">
        <v>3045042.366</v>
      </c>
      <c r="B201" s="33">
        <v>399117.761</v>
      </c>
      <c r="C201" s="33">
        <v>610.38</v>
      </c>
      <c r="D201" s="11">
        <v>45125</v>
      </c>
      <c r="E201" s="86">
        <v>652.614</v>
      </c>
    </row>
    <row r="202" ht="15.75" spans="1:5">
      <c r="A202" s="33">
        <v>3045042.366</v>
      </c>
      <c r="B202" s="33">
        <v>399117.761</v>
      </c>
      <c r="C202" s="33">
        <v>610.38</v>
      </c>
      <c r="D202" s="11">
        <v>45126</v>
      </c>
      <c r="E202" s="86">
        <v>652.714</v>
      </c>
    </row>
    <row r="203" ht="15.75" spans="1:5">
      <c r="A203" s="33">
        <v>3045042.366</v>
      </c>
      <c r="B203" s="33">
        <v>399117.761</v>
      </c>
      <c r="C203" s="33">
        <v>610.38</v>
      </c>
      <c r="D203" s="11">
        <v>45127</v>
      </c>
      <c r="E203" s="86">
        <v>652.81</v>
      </c>
    </row>
    <row r="204" ht="15.75" spans="1:5">
      <c r="A204" s="33">
        <v>3045042.366</v>
      </c>
      <c r="B204" s="33">
        <v>399117.761</v>
      </c>
      <c r="C204" s="33">
        <v>610.38</v>
      </c>
      <c r="D204" s="11">
        <v>45128</v>
      </c>
      <c r="E204" s="86">
        <v>652.91</v>
      </c>
    </row>
    <row r="205" ht="15.75" spans="1:5">
      <c r="A205" s="33">
        <v>3045042.366</v>
      </c>
      <c r="B205" s="33">
        <v>399117.761</v>
      </c>
      <c r="C205" s="33">
        <v>610.38</v>
      </c>
      <c r="D205" s="11">
        <v>45129</v>
      </c>
      <c r="E205" s="86">
        <v>652.91</v>
      </c>
    </row>
    <row r="206" ht="15.75" spans="1:5">
      <c r="A206" s="33">
        <v>3045042.366</v>
      </c>
      <c r="B206" s="33">
        <v>399117.761</v>
      </c>
      <c r="C206" s="33">
        <v>610.38</v>
      </c>
      <c r="D206" s="11">
        <v>45130</v>
      </c>
      <c r="E206" s="86">
        <v>653.01</v>
      </c>
    </row>
    <row r="207" ht="15.75" spans="1:5">
      <c r="A207" s="33">
        <v>3045042.366</v>
      </c>
      <c r="B207" s="33">
        <v>399117.761</v>
      </c>
      <c r="C207" s="33">
        <v>610.38</v>
      </c>
      <c r="D207" s="11">
        <v>45131</v>
      </c>
      <c r="E207" s="86">
        <v>653.11</v>
      </c>
    </row>
    <row r="208" ht="15.75" spans="1:5">
      <c r="A208" s="33">
        <v>3045042.366</v>
      </c>
      <c r="B208" s="33">
        <v>399117.761</v>
      </c>
      <c r="C208" s="33">
        <v>610.38</v>
      </c>
      <c r="D208" s="11">
        <v>45132</v>
      </c>
      <c r="E208" s="86">
        <v>653.31</v>
      </c>
    </row>
    <row r="209" ht="15.75" spans="1:5">
      <c r="A209" s="33">
        <v>3045042.366</v>
      </c>
      <c r="B209" s="33">
        <v>399117.761</v>
      </c>
      <c r="C209" s="33">
        <v>610.38</v>
      </c>
      <c r="D209" s="11">
        <v>45133</v>
      </c>
      <c r="E209" s="86">
        <v>653.51</v>
      </c>
    </row>
    <row r="210" ht="15.75" spans="1:5">
      <c r="A210" s="33">
        <v>3045042.366</v>
      </c>
      <c r="B210" s="33">
        <v>399117.761</v>
      </c>
      <c r="C210" s="33">
        <v>610.38</v>
      </c>
      <c r="D210" s="11">
        <v>45134</v>
      </c>
      <c r="E210" s="86">
        <v>653.414</v>
      </c>
    </row>
    <row r="211" ht="15.75" spans="1:5">
      <c r="A211" s="33">
        <v>3045042.366</v>
      </c>
      <c r="B211" s="33">
        <v>399117.761</v>
      </c>
      <c r="C211" s="33">
        <v>610.38</v>
      </c>
      <c r="D211" s="11">
        <v>45135</v>
      </c>
      <c r="E211" s="86">
        <v>653.614</v>
      </c>
    </row>
    <row r="212" ht="15.75" spans="1:5">
      <c r="A212" s="33">
        <v>3045042.366</v>
      </c>
      <c r="B212" s="33">
        <v>399117.761</v>
      </c>
      <c r="C212" s="33">
        <v>610.38</v>
      </c>
      <c r="D212" s="11">
        <v>45136</v>
      </c>
      <c r="E212" s="86">
        <v>653.614</v>
      </c>
    </row>
    <row r="213" ht="15.75" spans="1:5">
      <c r="A213" s="33">
        <v>3045042.366</v>
      </c>
      <c r="B213" s="33">
        <v>399117.761</v>
      </c>
      <c r="C213" s="33">
        <v>610.38</v>
      </c>
      <c r="D213" s="11">
        <v>45137</v>
      </c>
      <c r="E213" s="86">
        <v>653.714</v>
      </c>
    </row>
    <row r="214" ht="15.75" spans="1:5">
      <c r="A214" s="33">
        <v>3045042.366</v>
      </c>
      <c r="B214" s="33">
        <v>399117.761</v>
      </c>
      <c r="C214" s="33">
        <v>610.38</v>
      </c>
      <c r="D214" s="11">
        <v>45138</v>
      </c>
      <c r="E214" s="86">
        <v>653.814</v>
      </c>
    </row>
    <row r="215" ht="15.75" spans="1:5">
      <c r="A215" s="33">
        <v>3045042.366</v>
      </c>
      <c r="B215" s="33">
        <v>399117.761</v>
      </c>
      <c r="C215" s="33">
        <v>610.38</v>
      </c>
      <c r="D215" s="11">
        <v>45139</v>
      </c>
      <c r="E215" s="86">
        <v>654.114</v>
      </c>
    </row>
    <row r="216" ht="15.75" spans="1:5">
      <c r="A216" s="33">
        <v>3045042.366</v>
      </c>
      <c r="B216" s="33">
        <v>399117.761</v>
      </c>
      <c r="C216" s="33">
        <v>610.38</v>
      </c>
      <c r="D216" s="11">
        <v>45140</v>
      </c>
      <c r="E216" s="86">
        <v>655.014</v>
      </c>
    </row>
    <row r="217" ht="15.75" spans="1:5">
      <c r="A217" s="33">
        <v>3045042.366</v>
      </c>
      <c r="B217" s="33">
        <v>399117.761</v>
      </c>
      <c r="C217" s="33">
        <v>610.38</v>
      </c>
      <c r="D217" s="11">
        <v>45141</v>
      </c>
      <c r="E217" s="86">
        <v>655.714</v>
      </c>
    </row>
    <row r="218" ht="15.75" spans="1:5">
      <c r="A218" s="33">
        <v>3045042.366</v>
      </c>
      <c r="B218" s="33">
        <v>399117.761</v>
      </c>
      <c r="C218" s="33">
        <v>610.38</v>
      </c>
      <c r="D218" s="11">
        <v>45142</v>
      </c>
      <c r="E218" s="86">
        <v>642.514</v>
      </c>
    </row>
    <row r="219" ht="15.75" spans="1:5">
      <c r="A219" s="33">
        <v>3045042.366</v>
      </c>
      <c r="B219" s="33">
        <v>399117.761</v>
      </c>
      <c r="C219" s="33">
        <v>610.38</v>
      </c>
      <c r="D219" s="11">
        <v>45143</v>
      </c>
      <c r="E219" s="86">
        <v>637.914</v>
      </c>
    </row>
    <row r="220" ht="15.75" spans="1:5">
      <c r="A220" s="33">
        <v>3045042.366</v>
      </c>
      <c r="B220" s="33">
        <v>399117.761</v>
      </c>
      <c r="C220" s="33">
        <v>610.38</v>
      </c>
      <c r="D220" s="11">
        <v>45144</v>
      </c>
      <c r="E220" s="86">
        <v>637.714</v>
      </c>
    </row>
    <row r="221" ht="15.75" spans="1:5">
      <c r="A221" s="33">
        <v>3045042.366</v>
      </c>
      <c r="B221" s="33">
        <v>399117.761</v>
      </c>
      <c r="C221" s="33">
        <v>610.38</v>
      </c>
      <c r="D221" s="11">
        <v>45145</v>
      </c>
      <c r="E221" s="86">
        <v>637.714</v>
      </c>
    </row>
    <row r="222" ht="15.75" spans="1:5">
      <c r="A222" s="33">
        <v>3045042.366</v>
      </c>
      <c r="B222" s="33">
        <v>399117.761</v>
      </c>
      <c r="C222" s="33">
        <v>610.38</v>
      </c>
      <c r="D222" s="11">
        <v>45146</v>
      </c>
      <c r="E222" s="86">
        <v>637.814</v>
      </c>
    </row>
    <row r="223" ht="15.75" spans="1:5">
      <c r="A223" s="33">
        <v>3045042.366</v>
      </c>
      <c r="B223" s="33">
        <v>399117.761</v>
      </c>
      <c r="C223" s="33">
        <v>610.38</v>
      </c>
      <c r="D223" s="11">
        <v>45147</v>
      </c>
      <c r="E223" s="86">
        <v>637.914</v>
      </c>
    </row>
    <row r="224" ht="15.75" spans="1:5">
      <c r="A224" s="33">
        <v>3045042.366</v>
      </c>
      <c r="B224" s="33">
        <v>399117.761</v>
      </c>
      <c r="C224" s="33">
        <v>610.38</v>
      </c>
      <c r="D224" s="11">
        <v>45148</v>
      </c>
      <c r="E224" s="85"/>
    </row>
    <row r="225" ht="15.75" spans="1:5">
      <c r="A225" s="33">
        <v>3045042.366</v>
      </c>
      <c r="B225" s="33">
        <v>399117.761</v>
      </c>
      <c r="C225" s="33">
        <v>610.38</v>
      </c>
      <c r="D225" s="11">
        <v>45149</v>
      </c>
      <c r="E225" s="86">
        <v>638.014</v>
      </c>
    </row>
    <row r="226" ht="15.75" spans="1:5">
      <c r="A226" s="33">
        <v>3045042.366</v>
      </c>
      <c r="B226" s="33">
        <v>399117.761</v>
      </c>
      <c r="C226" s="33">
        <v>610.38</v>
      </c>
      <c r="D226" s="11">
        <v>45150</v>
      </c>
      <c r="E226" s="86">
        <v>638.014</v>
      </c>
    </row>
    <row r="227" ht="15.75" spans="1:5">
      <c r="A227" s="33">
        <v>3045042.366</v>
      </c>
      <c r="B227" s="33">
        <v>399117.761</v>
      </c>
      <c r="C227" s="33">
        <v>610.38</v>
      </c>
      <c r="D227" s="11">
        <v>45151</v>
      </c>
      <c r="E227" s="86">
        <v>638.114</v>
      </c>
    </row>
    <row r="228" ht="15.75" spans="1:5">
      <c r="A228" s="33">
        <v>3045042.366</v>
      </c>
      <c r="B228" s="33">
        <v>399117.761</v>
      </c>
      <c r="C228" s="33">
        <v>610.38</v>
      </c>
      <c r="D228" s="11">
        <v>45152</v>
      </c>
      <c r="E228" s="86">
        <v>638.114</v>
      </c>
    </row>
    <row r="229" ht="15.75" spans="1:5">
      <c r="A229" s="33">
        <v>3045042.366</v>
      </c>
      <c r="B229" s="33">
        <v>399117.761</v>
      </c>
      <c r="C229" s="33">
        <v>610.38</v>
      </c>
      <c r="D229" s="11">
        <v>45153</v>
      </c>
      <c r="E229" s="87">
        <v>611.014</v>
      </c>
    </row>
    <row r="230" ht="15.75" spans="1:5">
      <c r="A230" s="33">
        <v>3045042.366</v>
      </c>
      <c r="B230" s="33">
        <v>399117.761</v>
      </c>
      <c r="C230" s="33">
        <v>610.38</v>
      </c>
      <c r="D230" s="11">
        <v>45154</v>
      </c>
      <c r="E230" s="86">
        <v>611.014</v>
      </c>
    </row>
    <row r="231" ht="15.75" spans="1:5">
      <c r="A231" s="33">
        <v>3045042.366</v>
      </c>
      <c r="B231" s="33">
        <v>399117.761</v>
      </c>
      <c r="C231" s="33">
        <v>610.38</v>
      </c>
      <c r="D231" s="11">
        <v>45155</v>
      </c>
      <c r="E231" s="86">
        <v>648.514</v>
      </c>
    </row>
    <row r="232" ht="15.75" spans="1:5">
      <c r="A232" s="33">
        <v>3045042.366</v>
      </c>
      <c r="B232" s="33">
        <v>399117.761</v>
      </c>
      <c r="C232" s="33">
        <v>610.38</v>
      </c>
      <c r="D232" s="11">
        <v>45156</v>
      </c>
      <c r="E232" s="86">
        <v>660.314</v>
      </c>
    </row>
    <row r="233" ht="15.75" spans="1:5">
      <c r="A233" s="33">
        <v>3045042.366</v>
      </c>
      <c r="B233" s="33">
        <v>399117.761</v>
      </c>
      <c r="C233" s="33">
        <v>610.38</v>
      </c>
      <c r="D233" s="11">
        <v>45157</v>
      </c>
      <c r="E233" s="86">
        <v>665.314</v>
      </c>
    </row>
    <row r="234" ht="15.75" spans="1:5">
      <c r="A234" s="33">
        <v>3045042.366</v>
      </c>
      <c r="B234" s="33">
        <v>399117.761</v>
      </c>
      <c r="C234" s="33">
        <v>610.38</v>
      </c>
      <c r="D234" s="11">
        <v>45158</v>
      </c>
      <c r="E234" s="86">
        <v>668.314</v>
      </c>
    </row>
    <row r="235" ht="15.75" spans="1:5">
      <c r="A235" s="33">
        <v>3045042.366</v>
      </c>
      <c r="B235" s="33">
        <v>399117.761</v>
      </c>
      <c r="C235" s="33">
        <v>610.38</v>
      </c>
      <c r="D235" s="11">
        <v>45159</v>
      </c>
      <c r="E235" s="86">
        <v>670.314</v>
      </c>
    </row>
    <row r="236" ht="15.75" spans="1:5">
      <c r="A236" s="33">
        <v>3045042.366</v>
      </c>
      <c r="B236" s="33">
        <v>399117.761</v>
      </c>
      <c r="C236" s="33">
        <v>610.38</v>
      </c>
      <c r="D236" s="11">
        <v>45160</v>
      </c>
      <c r="E236" s="86">
        <v>671.614</v>
      </c>
    </row>
    <row r="237" ht="15.75" spans="1:5">
      <c r="A237" s="33">
        <v>3045042.366</v>
      </c>
      <c r="B237" s="33">
        <v>399117.761</v>
      </c>
      <c r="C237" s="33">
        <v>610.38</v>
      </c>
      <c r="D237" s="11">
        <v>45161</v>
      </c>
      <c r="E237" s="86">
        <v>672.939</v>
      </c>
    </row>
    <row r="238" ht="15.75" spans="1:5">
      <c r="A238" s="33">
        <v>3045042.366</v>
      </c>
      <c r="B238" s="33">
        <v>399117.761</v>
      </c>
      <c r="C238" s="33">
        <v>610.38</v>
      </c>
      <c r="D238" s="11">
        <v>45162</v>
      </c>
      <c r="E238" s="86">
        <v>673.514</v>
      </c>
    </row>
    <row r="239" ht="15.75" spans="1:5">
      <c r="A239" s="33">
        <v>3045042.366</v>
      </c>
      <c r="B239" s="33">
        <v>399117.761</v>
      </c>
      <c r="C239" s="33">
        <v>610.38</v>
      </c>
      <c r="D239" s="11">
        <v>45163</v>
      </c>
      <c r="E239" s="86">
        <v>674.214</v>
      </c>
    </row>
    <row r="240" ht="15.75" spans="1:5">
      <c r="A240" s="33">
        <v>3045042.366</v>
      </c>
      <c r="B240" s="33">
        <v>399117.761</v>
      </c>
      <c r="C240" s="33">
        <v>610.38</v>
      </c>
      <c r="D240" s="11">
        <v>45164</v>
      </c>
      <c r="E240" s="86">
        <v>674.714</v>
      </c>
    </row>
    <row r="241" ht="15.75" spans="1:5">
      <c r="A241" s="33">
        <v>3045042.366</v>
      </c>
      <c r="B241" s="33">
        <v>399117.761</v>
      </c>
      <c r="C241" s="33">
        <v>610.38</v>
      </c>
      <c r="D241" s="11">
        <v>45165</v>
      </c>
      <c r="E241" s="86">
        <v>675.314</v>
      </c>
    </row>
    <row r="242" ht="15.75" spans="1:5">
      <c r="A242" s="33">
        <v>3045042.366</v>
      </c>
      <c r="B242" s="33">
        <v>399117.761</v>
      </c>
      <c r="C242" s="33">
        <v>610.38</v>
      </c>
      <c r="D242" s="11">
        <v>45166</v>
      </c>
      <c r="E242" s="86">
        <v>675.614</v>
      </c>
    </row>
    <row r="243" ht="15.75" spans="1:5">
      <c r="A243" s="33">
        <v>3045042.366</v>
      </c>
      <c r="B243" s="33">
        <v>399117.761</v>
      </c>
      <c r="C243" s="33">
        <v>610.38</v>
      </c>
      <c r="D243" s="11">
        <v>45167</v>
      </c>
      <c r="E243" s="86">
        <v>676.014</v>
      </c>
    </row>
    <row r="244" ht="15.75" spans="1:5">
      <c r="A244" s="33">
        <v>3045042.366</v>
      </c>
      <c r="B244" s="33">
        <v>399117.761</v>
      </c>
      <c r="C244" s="33">
        <v>610.38</v>
      </c>
      <c r="D244" s="11">
        <v>45168</v>
      </c>
      <c r="E244" s="86">
        <v>676.314</v>
      </c>
    </row>
    <row r="245" ht="15.75" spans="1:5">
      <c r="A245" s="33">
        <v>3045042.366</v>
      </c>
      <c r="B245" s="33">
        <v>399117.761</v>
      </c>
      <c r="C245" s="33">
        <v>610.38</v>
      </c>
      <c r="D245" s="11">
        <v>45169</v>
      </c>
      <c r="E245" s="86"/>
    </row>
    <row r="246" ht="15.75" spans="1:5">
      <c r="A246" s="33">
        <v>3045042.366</v>
      </c>
      <c r="B246" s="33">
        <v>399117.761</v>
      </c>
      <c r="C246" s="33">
        <v>610.38</v>
      </c>
      <c r="D246" s="11">
        <v>45170</v>
      </c>
      <c r="E246" s="86">
        <v>677.014</v>
      </c>
    </row>
    <row r="247" ht="15.75" spans="1:5">
      <c r="A247" s="33">
        <v>3045042.366</v>
      </c>
      <c r="B247" s="33">
        <v>399117.761</v>
      </c>
      <c r="C247" s="33">
        <v>610.38</v>
      </c>
      <c r="D247" s="11">
        <v>45171</v>
      </c>
      <c r="E247" s="86">
        <v>677.214</v>
      </c>
    </row>
    <row r="248" ht="15.75" spans="1:5">
      <c r="A248" s="33">
        <v>3045042.366</v>
      </c>
      <c r="B248" s="33">
        <v>399117.761</v>
      </c>
      <c r="C248" s="33">
        <v>610.38</v>
      </c>
      <c r="D248" s="11">
        <v>45172</v>
      </c>
      <c r="E248" s="86">
        <v>677.414</v>
      </c>
    </row>
    <row r="249" ht="15.75" spans="1:5">
      <c r="A249" s="33">
        <v>3045042.366</v>
      </c>
      <c r="B249" s="33">
        <v>399117.761</v>
      </c>
      <c r="C249" s="33">
        <v>610.38</v>
      </c>
      <c r="D249" s="11">
        <v>45173</v>
      </c>
      <c r="E249" s="86">
        <v>677.614</v>
      </c>
    </row>
    <row r="250" ht="15.75" spans="1:5">
      <c r="A250" s="33">
        <v>3045042.366</v>
      </c>
      <c r="B250" s="33">
        <v>399117.761</v>
      </c>
      <c r="C250" s="33">
        <v>610.38</v>
      </c>
      <c r="D250" s="11">
        <v>45174</v>
      </c>
      <c r="E250" s="86">
        <v>669.664</v>
      </c>
    </row>
    <row r="251" ht="15.75" spans="1:5">
      <c r="A251" s="33">
        <v>3045042.366</v>
      </c>
      <c r="B251" s="33">
        <v>399117.761</v>
      </c>
      <c r="C251" s="33">
        <v>610.38</v>
      </c>
      <c r="D251" s="11">
        <v>45175</v>
      </c>
      <c r="E251" s="86">
        <v>664.014</v>
      </c>
    </row>
    <row r="252" ht="15.75" spans="1:5">
      <c r="A252" s="33">
        <v>3045042.366</v>
      </c>
      <c r="B252" s="33">
        <v>399117.761</v>
      </c>
      <c r="C252" s="33">
        <v>610.38</v>
      </c>
      <c r="D252" s="11">
        <v>45176</v>
      </c>
      <c r="E252" s="86">
        <v>661.714</v>
      </c>
    </row>
    <row r="253" ht="15.75" spans="1:5">
      <c r="A253" s="33">
        <v>3045042.366</v>
      </c>
      <c r="B253" s="33">
        <v>399117.761</v>
      </c>
      <c r="C253" s="33">
        <v>610.38</v>
      </c>
      <c r="D253" s="11">
        <v>45177</v>
      </c>
      <c r="E253" s="86">
        <v>656.114</v>
      </c>
    </row>
    <row r="254" ht="15.75" spans="1:5">
      <c r="A254" s="33">
        <v>3045042.366</v>
      </c>
      <c r="B254" s="33">
        <v>399117.761</v>
      </c>
      <c r="C254" s="33">
        <v>610.38</v>
      </c>
      <c r="D254" s="11">
        <v>45178</v>
      </c>
      <c r="E254" s="86">
        <v>671.164</v>
      </c>
    </row>
    <row r="255" ht="15.75" spans="1:5">
      <c r="A255" s="33">
        <v>3045042.366</v>
      </c>
      <c r="B255" s="33">
        <v>399117.761</v>
      </c>
      <c r="C255" s="33">
        <v>610.38</v>
      </c>
      <c r="D255" s="11">
        <v>45179</v>
      </c>
      <c r="E255" s="86">
        <v>674.414</v>
      </c>
    </row>
    <row r="256" ht="15.75" spans="1:5">
      <c r="A256" s="33">
        <v>3045042.366</v>
      </c>
      <c r="B256" s="33">
        <v>399117.761</v>
      </c>
      <c r="C256" s="33">
        <v>610.38</v>
      </c>
      <c r="D256" s="11">
        <v>45180</v>
      </c>
      <c r="E256" s="86"/>
    </row>
    <row r="257" ht="15.75" spans="1:5">
      <c r="A257" s="33">
        <v>3045042.366</v>
      </c>
      <c r="B257" s="33">
        <v>399117.761</v>
      </c>
      <c r="C257" s="33">
        <v>610.38</v>
      </c>
      <c r="D257" s="11">
        <v>45181</v>
      </c>
      <c r="E257" s="86"/>
    </row>
    <row r="258" ht="15.75" spans="1:5">
      <c r="A258" s="33">
        <v>3045042.366</v>
      </c>
      <c r="B258" s="33">
        <v>399117.761</v>
      </c>
      <c r="C258" s="33">
        <v>610.38</v>
      </c>
      <c r="D258" s="11">
        <v>45182</v>
      </c>
      <c r="E258" s="86"/>
    </row>
    <row r="259" ht="15.75" spans="1:5">
      <c r="A259" s="33">
        <v>3045042.366</v>
      </c>
      <c r="B259" s="33">
        <v>399117.761</v>
      </c>
      <c r="C259" s="33">
        <v>610.38</v>
      </c>
      <c r="D259" s="11">
        <v>45183</v>
      </c>
      <c r="E259" s="86">
        <v>676.234</v>
      </c>
    </row>
    <row r="260" ht="15.75" spans="1:5">
      <c r="A260" s="33">
        <v>3045042.366</v>
      </c>
      <c r="B260" s="33">
        <v>399117.761</v>
      </c>
      <c r="C260" s="33">
        <v>610.38</v>
      </c>
      <c r="D260" s="11">
        <v>45184</v>
      </c>
      <c r="E260" s="85"/>
    </row>
    <row r="261" ht="15.75" spans="1:5">
      <c r="A261" s="33">
        <v>3045042.366</v>
      </c>
      <c r="B261" s="33">
        <v>399117.761</v>
      </c>
      <c r="C261" s="33">
        <v>610.38</v>
      </c>
      <c r="D261" s="11">
        <v>45185</v>
      </c>
      <c r="E261" s="85"/>
    </row>
    <row r="262" ht="15.75" spans="1:5">
      <c r="A262" s="33">
        <v>3045042.366</v>
      </c>
      <c r="B262" s="33">
        <v>399117.761</v>
      </c>
      <c r="C262" s="33">
        <v>610.38</v>
      </c>
      <c r="D262" s="11">
        <v>45186</v>
      </c>
      <c r="E262" s="85"/>
    </row>
    <row r="263" ht="15.75" spans="1:5">
      <c r="A263" s="33">
        <v>3045042.366</v>
      </c>
      <c r="B263" s="33">
        <v>399117.761</v>
      </c>
      <c r="C263" s="33">
        <v>610.38</v>
      </c>
      <c r="D263" s="11">
        <v>45187</v>
      </c>
      <c r="E263" s="85"/>
    </row>
    <row r="264" ht="15.75" spans="1:5">
      <c r="A264" s="33">
        <v>3045042.366</v>
      </c>
      <c r="B264" s="33">
        <v>399117.761</v>
      </c>
      <c r="C264" s="33">
        <v>610.38</v>
      </c>
      <c r="D264" s="11">
        <v>45188</v>
      </c>
      <c r="E264" s="85"/>
    </row>
    <row r="265" ht="15.75" spans="1:5">
      <c r="A265" s="33">
        <v>3045042.366</v>
      </c>
      <c r="B265" s="33">
        <v>399117.761</v>
      </c>
      <c r="C265" s="33">
        <v>610.38</v>
      </c>
      <c r="D265" s="11">
        <v>45189</v>
      </c>
      <c r="E265" s="86">
        <v>676.234</v>
      </c>
    </row>
    <row r="266" ht="15.75" spans="1:5">
      <c r="A266" s="33">
        <v>3045042.366</v>
      </c>
      <c r="B266" s="33">
        <v>399117.761</v>
      </c>
      <c r="C266" s="33">
        <v>610.38</v>
      </c>
      <c r="D266" s="11">
        <v>45190</v>
      </c>
      <c r="E266" s="86">
        <v>628.814</v>
      </c>
    </row>
    <row r="267" ht="15.75" spans="1:5">
      <c r="A267" s="33">
        <v>3045042.366</v>
      </c>
      <c r="B267" s="33">
        <v>399117.761</v>
      </c>
      <c r="C267" s="33">
        <v>610.38</v>
      </c>
      <c r="D267" s="11">
        <v>45191</v>
      </c>
      <c r="E267" s="86"/>
    </row>
    <row r="268" ht="15.75" spans="1:5">
      <c r="A268" s="33">
        <v>3045042.366</v>
      </c>
      <c r="B268" s="33">
        <v>399117.761</v>
      </c>
      <c r="C268" s="33">
        <v>610.38</v>
      </c>
      <c r="D268" s="11">
        <v>45192</v>
      </c>
      <c r="E268" s="86"/>
    </row>
    <row r="269" ht="15.75" spans="1:5">
      <c r="A269" s="33">
        <v>3045042.366</v>
      </c>
      <c r="B269" s="33">
        <v>399117.761</v>
      </c>
      <c r="C269" s="33">
        <v>610.38</v>
      </c>
      <c r="D269" s="11">
        <v>45193</v>
      </c>
      <c r="E269" s="86"/>
    </row>
    <row r="270" ht="15.75" spans="1:5">
      <c r="A270" s="33">
        <v>3045042.366</v>
      </c>
      <c r="B270" s="33">
        <v>399117.761</v>
      </c>
      <c r="C270" s="33">
        <v>610.38</v>
      </c>
      <c r="D270" s="11">
        <v>45194</v>
      </c>
      <c r="E270" s="86"/>
    </row>
    <row r="271" ht="15.75" spans="1:5">
      <c r="A271" s="33">
        <v>3045042.366</v>
      </c>
      <c r="B271" s="33">
        <v>399117.761</v>
      </c>
      <c r="C271" s="33">
        <v>610.38</v>
      </c>
      <c r="D271" s="11">
        <v>45195</v>
      </c>
      <c r="E271" s="86"/>
    </row>
    <row r="272" ht="15.75" spans="1:5">
      <c r="A272" s="33">
        <v>3045042.366</v>
      </c>
      <c r="B272" s="33">
        <v>399117.761</v>
      </c>
      <c r="C272" s="33">
        <v>610.38</v>
      </c>
      <c r="D272" s="11">
        <v>45196</v>
      </c>
      <c r="E272" s="86"/>
    </row>
    <row r="273" ht="15.75" spans="1:5">
      <c r="A273" s="33">
        <v>3045042.366</v>
      </c>
      <c r="B273" s="33">
        <v>399117.761</v>
      </c>
      <c r="C273" s="33">
        <v>610.38</v>
      </c>
      <c r="D273" s="11">
        <v>45197</v>
      </c>
      <c r="E273" s="86">
        <v>672.863</v>
      </c>
    </row>
    <row r="274" ht="15.75" spans="1:5">
      <c r="A274" s="33">
        <v>3045042.366</v>
      </c>
      <c r="B274" s="33">
        <v>399117.761</v>
      </c>
      <c r="C274" s="33">
        <v>610.38</v>
      </c>
      <c r="D274" s="11">
        <v>45198</v>
      </c>
      <c r="E274" s="86">
        <v>672.641</v>
      </c>
    </row>
    <row r="275" ht="15.75" spans="1:5">
      <c r="A275" s="33">
        <v>3045042.366</v>
      </c>
      <c r="B275" s="33">
        <v>399117.761</v>
      </c>
      <c r="C275" s="33">
        <v>610.38</v>
      </c>
      <c r="D275" s="11">
        <v>45199</v>
      </c>
      <c r="E275" s="86"/>
    </row>
    <row r="276" ht="15.75" spans="1:5">
      <c r="A276" s="33">
        <v>3045042.366</v>
      </c>
      <c r="B276" s="33">
        <v>399117.761</v>
      </c>
      <c r="C276" s="33">
        <v>610.38</v>
      </c>
      <c r="D276" s="11">
        <v>45200</v>
      </c>
      <c r="E276" s="86"/>
    </row>
    <row r="277" ht="15.75" spans="1:5">
      <c r="A277" s="33">
        <v>3045042.366</v>
      </c>
      <c r="B277" s="33">
        <v>399117.761</v>
      </c>
      <c r="C277" s="33">
        <v>610.38</v>
      </c>
      <c r="D277" s="11">
        <v>45201</v>
      </c>
      <c r="E277" s="86">
        <v>671.908</v>
      </c>
    </row>
    <row r="278" ht="15.75" spans="1:5">
      <c r="A278" s="33">
        <v>3045042.366</v>
      </c>
      <c r="B278" s="33">
        <v>399117.761</v>
      </c>
      <c r="C278" s="33">
        <v>610.38</v>
      </c>
      <c r="D278" s="11">
        <v>45202</v>
      </c>
      <c r="E278" s="86">
        <v>671.706</v>
      </c>
    </row>
    <row r="279" ht="15.75" spans="1:5">
      <c r="A279" s="33">
        <v>3045042.366</v>
      </c>
      <c r="B279" s="33">
        <v>399117.761</v>
      </c>
      <c r="C279" s="33">
        <v>610.38</v>
      </c>
      <c r="D279" s="11">
        <v>45203</v>
      </c>
      <c r="E279" s="86">
        <v>671.615</v>
      </c>
    </row>
    <row r="280" ht="15.75" spans="1:5">
      <c r="A280" s="33">
        <v>3045042.366</v>
      </c>
      <c r="B280" s="33">
        <v>399117.761</v>
      </c>
      <c r="C280" s="33">
        <v>610.38</v>
      </c>
      <c r="D280" s="11">
        <v>45204</v>
      </c>
      <c r="E280" s="86">
        <v>671.574</v>
      </c>
    </row>
    <row r="281" ht="15.75" spans="1:5">
      <c r="A281" s="33">
        <v>3045042.366</v>
      </c>
      <c r="B281" s="33">
        <v>399117.761</v>
      </c>
      <c r="C281" s="33">
        <v>610.38</v>
      </c>
      <c r="D281" s="11">
        <v>45205</v>
      </c>
      <c r="E281" s="86">
        <v>671.574</v>
      </c>
    </row>
    <row r="282" ht="15.75" spans="1:5">
      <c r="A282" s="33">
        <v>3045042.366</v>
      </c>
      <c r="B282" s="33">
        <v>399117.761</v>
      </c>
      <c r="C282" s="33">
        <v>610.38</v>
      </c>
      <c r="D282" s="11">
        <v>45206</v>
      </c>
      <c r="E282" s="86">
        <v>671.551</v>
      </c>
    </row>
    <row r="283" ht="15.75" spans="1:5">
      <c r="A283" s="33">
        <v>3045042.366</v>
      </c>
      <c r="B283" s="33">
        <v>399117.761</v>
      </c>
      <c r="C283" s="33">
        <v>610.38</v>
      </c>
      <c r="D283" s="11">
        <v>45207</v>
      </c>
      <c r="E283" s="86">
        <v>671.551</v>
      </c>
    </row>
    <row r="284" ht="15.75" spans="1:5">
      <c r="A284" s="33">
        <v>3045042.366</v>
      </c>
      <c r="B284" s="33">
        <v>399117.761</v>
      </c>
      <c r="C284" s="33">
        <v>610.38</v>
      </c>
      <c r="D284" s="11">
        <v>45208</v>
      </c>
      <c r="E284" s="86">
        <v>671.551</v>
      </c>
    </row>
    <row r="285" ht="15.75" spans="1:5">
      <c r="A285" s="33">
        <v>3045042.366</v>
      </c>
      <c r="B285" s="33">
        <v>399117.761</v>
      </c>
      <c r="C285" s="33">
        <v>610.38</v>
      </c>
      <c r="D285" s="11">
        <v>45209</v>
      </c>
      <c r="E285" s="86">
        <v>671.551</v>
      </c>
    </row>
    <row r="286" ht="15.75" spans="1:5">
      <c r="A286" s="33">
        <v>3045042.366</v>
      </c>
      <c r="B286" s="33">
        <v>399117.761</v>
      </c>
      <c r="C286" s="33">
        <v>610.38</v>
      </c>
      <c r="D286" s="11">
        <v>45210</v>
      </c>
      <c r="E286" s="86">
        <v>671.551</v>
      </c>
    </row>
    <row r="287" ht="15.75" spans="1:5">
      <c r="A287" s="33">
        <v>3045042.366</v>
      </c>
      <c r="B287" s="33">
        <v>399117.761</v>
      </c>
      <c r="C287" s="33">
        <v>610.38</v>
      </c>
      <c r="D287" s="11">
        <v>45211</v>
      </c>
      <c r="E287" s="86">
        <v>671.551</v>
      </c>
    </row>
    <row r="288" ht="15.75" spans="1:5">
      <c r="A288" s="33">
        <v>3045042.366</v>
      </c>
      <c r="B288" s="33">
        <v>399117.761</v>
      </c>
      <c r="C288" s="33">
        <v>610.38</v>
      </c>
      <c r="D288" s="11">
        <v>45212</v>
      </c>
      <c r="E288" s="86">
        <v>671.551</v>
      </c>
    </row>
    <row r="289" ht="15.75" spans="1:5">
      <c r="A289" s="33">
        <v>3045042.366</v>
      </c>
      <c r="B289" s="33">
        <v>399117.761</v>
      </c>
      <c r="C289" s="33">
        <v>610.38</v>
      </c>
      <c r="D289" s="11">
        <v>45213</v>
      </c>
      <c r="E289" s="86">
        <v>671.551</v>
      </c>
    </row>
    <row r="290" ht="15.75" spans="1:5">
      <c r="A290" s="33">
        <v>3045042.366</v>
      </c>
      <c r="B290" s="33">
        <v>399117.761</v>
      </c>
      <c r="C290" s="33">
        <v>610.38</v>
      </c>
      <c r="D290" s="11">
        <v>45214</v>
      </c>
      <c r="E290" s="86">
        <v>671.551</v>
      </c>
    </row>
    <row r="291" ht="15.75" spans="1:5">
      <c r="A291" s="33">
        <v>3045042.366</v>
      </c>
      <c r="B291" s="33">
        <v>399117.761</v>
      </c>
      <c r="C291" s="33">
        <v>610.38</v>
      </c>
      <c r="D291" s="11">
        <v>45215</v>
      </c>
      <c r="E291" s="86">
        <v>671.551</v>
      </c>
    </row>
    <row r="292" ht="15.75" spans="1:5">
      <c r="A292" s="33">
        <v>3045042.366</v>
      </c>
      <c r="B292" s="33">
        <v>399117.761</v>
      </c>
      <c r="C292" s="33">
        <v>610.38</v>
      </c>
      <c r="D292" s="11">
        <v>45216</v>
      </c>
      <c r="E292" s="86">
        <v>671.551</v>
      </c>
    </row>
    <row r="293" ht="15.75" spans="1:5">
      <c r="A293" s="33">
        <v>3045042.366</v>
      </c>
      <c r="B293" s="33">
        <v>399117.761</v>
      </c>
      <c r="C293" s="33">
        <v>610.38</v>
      </c>
      <c r="D293" s="11">
        <v>45217</v>
      </c>
      <c r="E293" s="86">
        <v>671.58</v>
      </c>
    </row>
    <row r="294" ht="15.75" spans="1:5">
      <c r="A294" s="33">
        <v>3045042.366</v>
      </c>
      <c r="B294" s="33">
        <v>399117.761</v>
      </c>
      <c r="C294" s="33">
        <v>610.38</v>
      </c>
      <c r="D294" s="11">
        <v>45218</v>
      </c>
      <c r="E294" s="86"/>
    </row>
    <row r="295" ht="15.75" spans="1:5">
      <c r="A295" s="33">
        <v>3045042.366</v>
      </c>
      <c r="B295" s="33">
        <v>399117.761</v>
      </c>
      <c r="C295" s="33">
        <v>610.38</v>
      </c>
      <c r="D295" s="11">
        <v>45219</v>
      </c>
      <c r="E295" s="86">
        <v>671.58</v>
      </c>
    </row>
    <row r="296" ht="15.75" spans="1:5">
      <c r="A296" s="33">
        <v>3045042.366</v>
      </c>
      <c r="B296" s="33">
        <v>399117.761</v>
      </c>
      <c r="C296" s="33">
        <v>610.38</v>
      </c>
      <c r="D296" s="11">
        <v>45220</v>
      </c>
      <c r="E296" s="86"/>
    </row>
    <row r="297" ht="15.75" spans="1:5">
      <c r="A297" s="33">
        <v>3045042.366</v>
      </c>
      <c r="B297" s="33">
        <v>399117.761</v>
      </c>
      <c r="C297" s="33">
        <v>610.38</v>
      </c>
      <c r="D297" s="11">
        <v>45221</v>
      </c>
      <c r="E297" s="86"/>
    </row>
    <row r="298" ht="15.75" spans="1:5">
      <c r="A298" s="33">
        <v>3045042.366</v>
      </c>
      <c r="B298" s="33">
        <v>399117.761</v>
      </c>
      <c r="C298" s="33">
        <v>610.38</v>
      </c>
      <c r="D298" s="11">
        <v>45222</v>
      </c>
      <c r="E298" s="86"/>
    </row>
    <row r="299" ht="15.75" spans="1:5">
      <c r="A299" s="33">
        <v>3045042.366</v>
      </c>
      <c r="B299" s="33">
        <v>399117.761</v>
      </c>
      <c r="C299" s="33">
        <v>610.38</v>
      </c>
      <c r="D299" s="11">
        <v>45223</v>
      </c>
      <c r="E299" s="86"/>
    </row>
    <row r="300" ht="15.75" spans="1:5">
      <c r="A300" s="33">
        <v>3045042.366</v>
      </c>
      <c r="B300" s="33">
        <v>399117.761</v>
      </c>
      <c r="C300" s="33">
        <v>610.38</v>
      </c>
      <c r="D300" s="11">
        <v>45224</v>
      </c>
      <c r="E300" s="86"/>
    </row>
    <row r="301" ht="15.75" spans="1:5">
      <c r="A301" s="33">
        <v>3045042.366</v>
      </c>
      <c r="B301" s="33">
        <v>399117.761</v>
      </c>
      <c r="C301" s="33">
        <v>610.38</v>
      </c>
      <c r="D301" s="11">
        <v>45225</v>
      </c>
      <c r="E301" s="86"/>
    </row>
    <row r="302" ht="15.75" spans="1:5">
      <c r="A302" s="33">
        <v>3045042.366</v>
      </c>
      <c r="B302" s="33">
        <v>399117.761</v>
      </c>
      <c r="C302" s="33">
        <v>610.38</v>
      </c>
      <c r="D302" s="11">
        <v>45226</v>
      </c>
      <c r="E302" s="85"/>
    </row>
    <row r="303" ht="15.75" spans="1:5">
      <c r="A303" s="33">
        <v>3045042.366</v>
      </c>
      <c r="B303" s="33">
        <v>399117.761</v>
      </c>
      <c r="C303" s="33">
        <v>610.38</v>
      </c>
      <c r="D303" s="11">
        <v>45227</v>
      </c>
      <c r="E303" s="85"/>
    </row>
    <row r="304" ht="15.75" spans="1:5">
      <c r="A304" s="33">
        <v>3045042.366</v>
      </c>
      <c r="B304" s="33">
        <v>399117.761</v>
      </c>
      <c r="C304" s="33">
        <v>610.38</v>
      </c>
      <c r="D304" s="11">
        <v>45228</v>
      </c>
      <c r="E304" s="85"/>
    </row>
    <row r="305" ht="15.75" spans="1:5">
      <c r="A305" s="33">
        <v>3045042.366</v>
      </c>
      <c r="B305" s="33">
        <v>399117.761</v>
      </c>
      <c r="C305" s="33">
        <v>610.38</v>
      </c>
      <c r="D305" s="11">
        <v>45229</v>
      </c>
      <c r="E305" s="85"/>
    </row>
    <row r="306" ht="15.75" spans="1:5">
      <c r="A306" s="33">
        <v>3045042.366</v>
      </c>
      <c r="B306" s="33">
        <v>399117.761</v>
      </c>
      <c r="C306" s="33">
        <v>610.38</v>
      </c>
      <c r="D306" s="11">
        <v>45230</v>
      </c>
      <c r="E306" s="85"/>
    </row>
    <row r="307" ht="15.75" spans="1:5">
      <c r="A307" s="33">
        <v>3045042.366</v>
      </c>
      <c r="B307" s="33">
        <v>399117.761</v>
      </c>
      <c r="C307" s="33">
        <v>610.38</v>
      </c>
      <c r="D307" s="11">
        <v>45231</v>
      </c>
      <c r="E307" s="85"/>
    </row>
    <row r="308" ht="15.75" spans="1:5">
      <c r="A308" s="33">
        <v>3045042.366</v>
      </c>
      <c r="B308" s="33">
        <v>399117.761</v>
      </c>
      <c r="C308" s="33">
        <v>610.38</v>
      </c>
      <c r="D308" s="11">
        <v>45232</v>
      </c>
      <c r="E308" s="86">
        <v>652.914</v>
      </c>
    </row>
    <row r="309" ht="15.75" spans="1:5">
      <c r="A309" s="33">
        <v>3045042.366</v>
      </c>
      <c r="B309" s="33">
        <v>399117.761</v>
      </c>
      <c r="C309" s="33">
        <v>610.38</v>
      </c>
      <c r="D309" s="11">
        <v>45233</v>
      </c>
      <c r="E309" s="85"/>
    </row>
    <row r="310" ht="15.75" spans="1:5">
      <c r="A310" s="33">
        <v>3045042.366</v>
      </c>
      <c r="B310" s="33">
        <v>399117.761</v>
      </c>
      <c r="C310" s="33">
        <v>610.38</v>
      </c>
      <c r="D310" s="11">
        <v>45234</v>
      </c>
      <c r="E310" s="85"/>
    </row>
    <row r="311" ht="15.75" spans="1:5">
      <c r="A311" s="33">
        <v>3045042.366</v>
      </c>
      <c r="B311" s="33">
        <v>399117.761</v>
      </c>
      <c r="C311" s="33">
        <v>610.38</v>
      </c>
      <c r="D311" s="11">
        <v>45235</v>
      </c>
      <c r="E311" s="85"/>
    </row>
    <row r="312" ht="15.75" spans="1:5">
      <c r="A312" s="33">
        <v>3045042.366</v>
      </c>
      <c r="B312" s="33">
        <v>399117.761</v>
      </c>
      <c r="C312" s="33">
        <v>610.38</v>
      </c>
      <c r="D312" s="11">
        <v>45236</v>
      </c>
      <c r="E312" s="85"/>
    </row>
    <row r="313" ht="15.75" spans="1:5">
      <c r="A313" s="33">
        <v>3045042.366</v>
      </c>
      <c r="B313" s="33">
        <v>399117.761</v>
      </c>
      <c r="C313" s="33">
        <v>610.38</v>
      </c>
      <c r="D313" s="11">
        <v>45237</v>
      </c>
      <c r="E313" s="85"/>
    </row>
    <row r="314" ht="15.75" spans="1:5">
      <c r="A314" s="33">
        <v>3045042.366</v>
      </c>
      <c r="B314" s="33">
        <v>399117.761</v>
      </c>
      <c r="C314" s="33">
        <v>610.38</v>
      </c>
      <c r="D314" s="11">
        <v>45238</v>
      </c>
      <c r="E314" s="85"/>
    </row>
    <row r="315" ht="15.75" spans="1:5">
      <c r="A315" s="33">
        <v>3045042.366</v>
      </c>
      <c r="B315" s="33">
        <v>399117.761</v>
      </c>
      <c r="C315" s="33">
        <v>610.38</v>
      </c>
      <c r="D315" s="11">
        <v>45239</v>
      </c>
      <c r="E315" s="85"/>
    </row>
    <row r="316" ht="15.75" spans="1:5">
      <c r="A316" s="33">
        <v>3045042.366</v>
      </c>
      <c r="B316" s="33">
        <v>399117.761</v>
      </c>
      <c r="C316" s="33">
        <v>610.38</v>
      </c>
      <c r="D316" s="11">
        <v>45240</v>
      </c>
      <c r="E316" s="86">
        <v>649.814</v>
      </c>
    </row>
    <row r="317" ht="15.75" spans="1:5">
      <c r="A317" s="33">
        <v>3045042.366</v>
      </c>
      <c r="B317" s="33">
        <v>399117.761</v>
      </c>
      <c r="C317" s="33">
        <v>610.38</v>
      </c>
      <c r="D317" s="11">
        <v>45241</v>
      </c>
      <c r="E317" s="86"/>
    </row>
    <row r="318" ht="15.75" spans="1:5">
      <c r="A318" s="33">
        <v>3045042.366</v>
      </c>
      <c r="B318" s="33">
        <v>399117.761</v>
      </c>
      <c r="C318" s="33">
        <v>610.38</v>
      </c>
      <c r="D318" s="11">
        <v>45242</v>
      </c>
      <c r="E318" s="86"/>
    </row>
    <row r="319" ht="15.75" spans="1:5">
      <c r="A319" s="33">
        <v>3045042.366</v>
      </c>
      <c r="B319" s="33">
        <v>399117.761</v>
      </c>
      <c r="C319" s="33">
        <v>610.38</v>
      </c>
      <c r="D319" s="11">
        <v>45243</v>
      </c>
      <c r="E319" s="86"/>
    </row>
    <row r="320" ht="15.75" spans="1:5">
      <c r="A320" s="33">
        <v>3045042.366</v>
      </c>
      <c r="B320" s="33">
        <v>399117.761</v>
      </c>
      <c r="C320" s="33">
        <v>610.38</v>
      </c>
      <c r="D320" s="11">
        <v>45244</v>
      </c>
      <c r="E320" s="86"/>
    </row>
    <row r="321" ht="15.75" spans="1:5">
      <c r="A321" s="33">
        <v>3045042.366</v>
      </c>
      <c r="B321" s="33">
        <v>399117.761</v>
      </c>
      <c r="C321" s="33">
        <v>610.38</v>
      </c>
      <c r="D321" s="11">
        <v>45245</v>
      </c>
      <c r="E321" s="86"/>
    </row>
    <row r="322" ht="15.75" spans="1:5">
      <c r="A322" s="33">
        <v>3045042.366</v>
      </c>
      <c r="B322" s="33">
        <v>399117.761</v>
      </c>
      <c r="C322" s="33">
        <v>610.38</v>
      </c>
      <c r="D322" s="11">
        <v>45246</v>
      </c>
      <c r="E322" s="86">
        <v>649.614</v>
      </c>
    </row>
    <row r="323" ht="15.75" spans="1:5">
      <c r="A323" s="33">
        <v>3045042.366</v>
      </c>
      <c r="B323" s="33">
        <v>399117.761</v>
      </c>
      <c r="C323" s="33">
        <v>610.38</v>
      </c>
      <c r="D323" s="11">
        <v>45247</v>
      </c>
      <c r="E323" s="86"/>
    </row>
    <row r="324" ht="15.75" spans="1:5">
      <c r="A324" s="33">
        <v>3045042.366</v>
      </c>
      <c r="B324" s="33">
        <v>399117.761</v>
      </c>
      <c r="C324" s="33">
        <v>610.38</v>
      </c>
      <c r="D324" s="11">
        <v>45248</v>
      </c>
      <c r="E324" s="86"/>
    </row>
    <row r="325" ht="15.75" spans="1:5">
      <c r="A325" s="33">
        <v>3045042.366</v>
      </c>
      <c r="B325" s="33">
        <v>399117.761</v>
      </c>
      <c r="C325" s="33">
        <v>610.38</v>
      </c>
      <c r="D325" s="11">
        <v>45249</v>
      </c>
      <c r="E325" s="86"/>
    </row>
    <row r="326" ht="15.75" spans="1:5">
      <c r="A326" s="33">
        <v>3045042.366</v>
      </c>
      <c r="B326" s="33">
        <v>399117.761</v>
      </c>
      <c r="C326" s="33">
        <v>610.38</v>
      </c>
      <c r="D326" s="11">
        <v>45250</v>
      </c>
      <c r="E326" s="86"/>
    </row>
    <row r="327" ht="15.75" spans="1:5">
      <c r="A327" s="33">
        <v>3045042.366</v>
      </c>
      <c r="B327" s="33">
        <v>399117.761</v>
      </c>
      <c r="C327" s="33">
        <v>610.38</v>
      </c>
      <c r="D327" s="11">
        <v>45251</v>
      </c>
      <c r="E327" s="86"/>
    </row>
    <row r="328" ht="15.75" spans="1:5">
      <c r="A328" s="33">
        <v>3045042.366</v>
      </c>
      <c r="B328" s="33">
        <v>399117.761</v>
      </c>
      <c r="C328" s="33">
        <v>610.38</v>
      </c>
      <c r="D328" s="11">
        <v>45252</v>
      </c>
      <c r="E328" s="86"/>
    </row>
    <row r="329" ht="15.75" spans="1:5">
      <c r="A329" s="33">
        <v>3045042.366</v>
      </c>
      <c r="B329" s="33">
        <v>399117.761</v>
      </c>
      <c r="C329" s="33">
        <v>610.38</v>
      </c>
      <c r="D329" s="11">
        <v>45253</v>
      </c>
      <c r="E329" s="86"/>
    </row>
    <row r="330" ht="15.75" spans="1:5">
      <c r="A330" s="33">
        <v>3045042.366</v>
      </c>
      <c r="B330" s="33">
        <v>399117.761</v>
      </c>
      <c r="C330" s="33">
        <v>610.38</v>
      </c>
      <c r="D330" s="11">
        <v>45254</v>
      </c>
      <c r="E330" s="86"/>
    </row>
    <row r="331" ht="15.75" spans="1:5">
      <c r="A331" s="33">
        <v>3045042.366</v>
      </c>
      <c r="B331" s="33">
        <v>399117.761</v>
      </c>
      <c r="C331" s="33">
        <v>610.38</v>
      </c>
      <c r="D331" s="11">
        <v>45255</v>
      </c>
      <c r="E331" s="86"/>
    </row>
    <row r="332" ht="15.75" spans="1:5">
      <c r="A332" s="33">
        <v>3045042.366</v>
      </c>
      <c r="B332" s="33">
        <v>399117.761</v>
      </c>
      <c r="C332" s="33">
        <v>610.38</v>
      </c>
      <c r="D332" s="11">
        <v>45256</v>
      </c>
      <c r="E332" s="86"/>
    </row>
    <row r="333" ht="15.75" spans="1:5">
      <c r="A333" s="33">
        <v>3045042.366</v>
      </c>
      <c r="B333" s="33">
        <v>399117.761</v>
      </c>
      <c r="C333" s="33">
        <v>610.38</v>
      </c>
      <c r="D333" s="11">
        <v>45257</v>
      </c>
      <c r="E333" s="86"/>
    </row>
    <row r="334" ht="15.75" spans="1:5">
      <c r="A334" s="33">
        <v>3045042.366</v>
      </c>
      <c r="B334" s="33">
        <v>399117.761</v>
      </c>
      <c r="C334" s="33">
        <v>610.38</v>
      </c>
      <c r="D334" s="11">
        <v>45258</v>
      </c>
      <c r="E334" s="86"/>
    </row>
    <row r="335" ht="15.75" spans="1:5">
      <c r="A335" s="33">
        <v>3045042.366</v>
      </c>
      <c r="B335" s="33">
        <v>399117.761</v>
      </c>
      <c r="C335" s="33">
        <v>610.38</v>
      </c>
      <c r="D335" s="11">
        <v>45259</v>
      </c>
      <c r="E335" s="86"/>
    </row>
    <row r="336" ht="15.75" spans="1:5">
      <c r="A336" s="33">
        <v>3045042.366</v>
      </c>
      <c r="B336" s="33">
        <v>399117.761</v>
      </c>
      <c r="C336" s="33">
        <v>610.38</v>
      </c>
      <c r="D336" s="11">
        <v>45260</v>
      </c>
      <c r="E336" s="86"/>
    </row>
    <row r="337" ht="15.75" spans="1:5">
      <c r="A337" s="33">
        <v>3045042.366</v>
      </c>
      <c r="B337" s="33">
        <v>399117.761</v>
      </c>
      <c r="C337" s="33">
        <v>610.38</v>
      </c>
      <c r="D337" s="11">
        <v>45261</v>
      </c>
      <c r="E337" s="86"/>
    </row>
    <row r="338" ht="15.75" spans="1:5">
      <c r="A338" s="33">
        <v>3045042.366</v>
      </c>
      <c r="B338" s="33">
        <v>399117.761</v>
      </c>
      <c r="C338" s="33">
        <v>610.38</v>
      </c>
      <c r="D338" s="11">
        <v>45262</v>
      </c>
      <c r="E338" s="86"/>
    </row>
    <row r="339" ht="15.75" spans="1:5">
      <c r="A339" s="33">
        <v>3045042.366</v>
      </c>
      <c r="B339" s="33">
        <v>399117.761</v>
      </c>
      <c r="C339" s="33">
        <v>610.38</v>
      </c>
      <c r="D339" s="11">
        <v>45263</v>
      </c>
      <c r="E339" s="86"/>
    </row>
    <row r="340" ht="15.75" spans="1:5">
      <c r="A340" s="33">
        <v>3045042.366</v>
      </c>
      <c r="B340" s="33">
        <v>399117.761</v>
      </c>
      <c r="C340" s="33">
        <v>610.38</v>
      </c>
      <c r="D340" s="11">
        <v>45264</v>
      </c>
      <c r="E340" s="86"/>
    </row>
    <row r="341" ht="15.75" spans="1:5">
      <c r="A341" s="33">
        <v>3045042.366</v>
      </c>
      <c r="B341" s="33">
        <v>399117.761</v>
      </c>
      <c r="C341" s="33">
        <v>610.38</v>
      </c>
      <c r="D341" s="11">
        <v>45265</v>
      </c>
      <c r="E341" s="86"/>
    </row>
    <row r="342" ht="15.75" spans="1:5">
      <c r="A342" s="33">
        <v>3045042.366</v>
      </c>
      <c r="B342" s="33">
        <v>399117.761</v>
      </c>
      <c r="C342" s="33">
        <v>610.38</v>
      </c>
      <c r="D342" s="11">
        <v>45266</v>
      </c>
      <c r="E342" s="86"/>
    </row>
    <row r="343" ht="15.75" spans="1:5">
      <c r="A343" s="33">
        <v>3045042.366</v>
      </c>
      <c r="B343" s="33">
        <v>399117.761</v>
      </c>
      <c r="C343" s="33">
        <v>610.38</v>
      </c>
      <c r="D343" s="11">
        <v>45267</v>
      </c>
      <c r="E343" s="86"/>
    </row>
    <row r="344" ht="15.75" spans="1:5">
      <c r="A344" s="33">
        <v>3045042.366</v>
      </c>
      <c r="B344" s="33">
        <v>399117.761</v>
      </c>
      <c r="C344" s="33">
        <v>610.38</v>
      </c>
      <c r="D344" s="11">
        <v>45268</v>
      </c>
      <c r="E344" s="86"/>
    </row>
    <row r="345" ht="15.75" spans="1:5">
      <c r="A345" s="33">
        <v>3045042.366</v>
      </c>
      <c r="B345" s="33">
        <v>399117.761</v>
      </c>
      <c r="C345" s="33">
        <v>610.38</v>
      </c>
      <c r="D345" s="11">
        <v>45269</v>
      </c>
      <c r="E345" s="86"/>
    </row>
    <row r="346" ht="15.75" spans="1:5">
      <c r="A346" s="33">
        <v>3045042.366</v>
      </c>
      <c r="B346" s="33">
        <v>399117.761</v>
      </c>
      <c r="C346" s="33">
        <v>610.38</v>
      </c>
      <c r="D346" s="11">
        <v>45270</v>
      </c>
      <c r="E346" s="86"/>
    </row>
    <row r="347" ht="15.75" spans="1:5">
      <c r="A347" s="33">
        <v>3045042.366</v>
      </c>
      <c r="B347" s="33">
        <v>399117.761</v>
      </c>
      <c r="C347" s="33">
        <v>610.38</v>
      </c>
      <c r="D347" s="11">
        <v>45271</v>
      </c>
      <c r="E347" s="86"/>
    </row>
    <row r="348" ht="15.75" spans="1:5">
      <c r="A348" s="33">
        <v>3045042.366</v>
      </c>
      <c r="B348" s="33">
        <v>399117.761</v>
      </c>
      <c r="C348" s="33">
        <v>610.38</v>
      </c>
      <c r="D348" s="11">
        <v>45272</v>
      </c>
      <c r="E348" s="86"/>
    </row>
    <row r="349" ht="15.75" spans="1:5">
      <c r="A349" s="33">
        <v>3045042.366</v>
      </c>
      <c r="B349" s="33">
        <v>399117.761</v>
      </c>
      <c r="C349" s="33">
        <v>610.38</v>
      </c>
      <c r="D349" s="11">
        <v>45273</v>
      </c>
      <c r="E349" s="86">
        <v>648.314</v>
      </c>
    </row>
    <row r="350" ht="15.75" spans="1:5">
      <c r="A350" s="33">
        <v>3045042.366</v>
      </c>
      <c r="B350" s="33">
        <v>399117.761</v>
      </c>
      <c r="C350" s="33">
        <v>610.38</v>
      </c>
      <c r="D350" s="11">
        <v>45274</v>
      </c>
      <c r="E350" s="86">
        <v>648.414</v>
      </c>
    </row>
    <row r="351" ht="15.75" spans="1:5">
      <c r="A351" s="33">
        <v>3045042.366</v>
      </c>
      <c r="B351" s="33">
        <v>399117.761</v>
      </c>
      <c r="C351" s="33">
        <v>610.38</v>
      </c>
      <c r="D351" s="11">
        <v>45275</v>
      </c>
      <c r="E351" s="86">
        <v>648.514</v>
      </c>
    </row>
    <row r="352" ht="15.75" spans="1:5">
      <c r="A352" s="33">
        <v>3045042.366</v>
      </c>
      <c r="B352" s="33">
        <v>399117.761</v>
      </c>
      <c r="C352" s="33">
        <v>610.38</v>
      </c>
      <c r="D352" s="11">
        <v>45276</v>
      </c>
      <c r="E352" s="86">
        <v>648.714</v>
      </c>
    </row>
    <row r="353" ht="15.75" spans="1:5">
      <c r="A353" s="33">
        <v>3045042.366</v>
      </c>
      <c r="B353" s="33">
        <v>399117.761</v>
      </c>
      <c r="C353" s="33">
        <v>610.38</v>
      </c>
      <c r="D353" s="11">
        <v>45277</v>
      </c>
      <c r="E353" s="86">
        <v>648.914</v>
      </c>
    </row>
    <row r="354" ht="15.75" spans="1:5">
      <c r="A354" s="33">
        <v>3045042.366</v>
      </c>
      <c r="B354" s="33">
        <v>399117.761</v>
      </c>
      <c r="C354" s="33">
        <v>610.38</v>
      </c>
      <c r="D354" s="11">
        <v>45278</v>
      </c>
      <c r="E354" s="86">
        <v>649.014</v>
      </c>
    </row>
    <row r="355" ht="15.75" spans="1:5">
      <c r="A355" s="33">
        <v>3045042.366</v>
      </c>
      <c r="B355" s="33">
        <v>399117.761</v>
      </c>
      <c r="C355" s="33">
        <v>610.38</v>
      </c>
      <c r="D355" s="11">
        <v>45279</v>
      </c>
      <c r="E355" s="86">
        <v>649.114</v>
      </c>
    </row>
    <row r="356" ht="15.75" spans="1:5">
      <c r="A356" s="33">
        <v>3045042.366</v>
      </c>
      <c r="B356" s="33">
        <v>399117.761</v>
      </c>
      <c r="C356" s="33">
        <v>610.38</v>
      </c>
      <c r="D356" s="11">
        <v>45280</v>
      </c>
      <c r="E356" s="86">
        <v>649.314</v>
      </c>
    </row>
    <row r="357" ht="15.75" spans="1:5">
      <c r="A357" s="33">
        <v>3045042.366</v>
      </c>
      <c r="B357" s="33">
        <v>399117.761</v>
      </c>
      <c r="C357" s="33">
        <v>610.38</v>
      </c>
      <c r="D357" s="11">
        <v>45281</v>
      </c>
      <c r="E357" s="86">
        <v>649.414</v>
      </c>
    </row>
    <row r="358" ht="15.75" spans="1:5">
      <c r="A358" s="33">
        <v>3045042.366</v>
      </c>
      <c r="B358" s="33">
        <v>399117.761</v>
      </c>
      <c r="C358" s="33">
        <v>610.38</v>
      </c>
      <c r="D358" s="11">
        <v>45282</v>
      </c>
      <c r="E358" s="86">
        <v>649.514</v>
      </c>
    </row>
    <row r="359" ht="15.75" spans="1:5">
      <c r="A359" s="33">
        <v>3045042.366</v>
      </c>
      <c r="B359" s="33">
        <v>399117.761</v>
      </c>
      <c r="C359" s="33">
        <v>610.38</v>
      </c>
      <c r="D359" s="11">
        <v>45283</v>
      </c>
      <c r="E359" s="86">
        <v>649.614</v>
      </c>
    </row>
    <row r="360" ht="15.75" spans="1:5">
      <c r="A360" s="33">
        <v>3045042.366</v>
      </c>
      <c r="B360" s="33">
        <v>399117.761</v>
      </c>
      <c r="C360" s="33">
        <v>610.38</v>
      </c>
      <c r="D360" s="11">
        <v>45284</v>
      </c>
      <c r="E360" s="86">
        <v>649.714</v>
      </c>
    </row>
    <row r="361" ht="15.75" spans="1:5">
      <c r="A361" s="33">
        <v>3045042.366</v>
      </c>
      <c r="B361" s="33">
        <v>399117.761</v>
      </c>
      <c r="C361" s="33">
        <v>610.38</v>
      </c>
      <c r="D361" s="11">
        <v>45285</v>
      </c>
      <c r="E361" s="86">
        <v>649.914</v>
      </c>
    </row>
    <row r="362" ht="15.75" spans="1:5">
      <c r="A362" s="33">
        <v>3045042.366</v>
      </c>
      <c r="B362" s="33">
        <v>399117.761</v>
      </c>
      <c r="C362" s="33">
        <v>610.38</v>
      </c>
      <c r="D362" s="11">
        <v>45286</v>
      </c>
      <c r="E362" s="86">
        <v>650.014</v>
      </c>
    </row>
    <row r="363" ht="15.75" spans="1:5">
      <c r="A363" s="33">
        <v>3045042.366</v>
      </c>
      <c r="B363" s="33">
        <v>399117.761</v>
      </c>
      <c r="C363" s="33">
        <v>610.38</v>
      </c>
      <c r="D363" s="11">
        <v>45287</v>
      </c>
      <c r="E363" s="86">
        <v>650.114</v>
      </c>
    </row>
    <row r="364" ht="15.75" spans="1:5">
      <c r="A364" s="33">
        <v>3045042.366</v>
      </c>
      <c r="B364" s="33">
        <v>399117.761</v>
      </c>
      <c r="C364" s="33">
        <v>610.38</v>
      </c>
      <c r="D364" s="11">
        <v>45288</v>
      </c>
      <c r="E364" s="86">
        <v>650.214</v>
      </c>
    </row>
    <row r="365" ht="15.75" spans="1:5">
      <c r="A365" s="33">
        <v>3045042.366</v>
      </c>
      <c r="B365" s="33">
        <v>399117.761</v>
      </c>
      <c r="C365" s="33">
        <v>610.38</v>
      </c>
      <c r="D365" s="11">
        <v>45289</v>
      </c>
      <c r="E365" s="86">
        <v>650.314</v>
      </c>
    </row>
    <row r="366" ht="15.75" spans="1:5">
      <c r="A366" s="33">
        <v>3045042.366</v>
      </c>
      <c r="B366" s="33">
        <v>399117.761</v>
      </c>
      <c r="C366" s="33">
        <v>610.38</v>
      </c>
      <c r="D366" s="11">
        <v>45290</v>
      </c>
      <c r="E366" s="86">
        <v>650.414</v>
      </c>
    </row>
    <row r="367" ht="15.75" spans="1:5">
      <c r="A367" s="33">
        <v>3045042.366</v>
      </c>
      <c r="B367" s="33">
        <v>399117.761</v>
      </c>
      <c r="C367" s="33">
        <v>610.38</v>
      </c>
      <c r="D367" s="11">
        <v>45291</v>
      </c>
      <c r="E367" s="86">
        <v>650.614</v>
      </c>
    </row>
    <row r="368" ht="15.75" spans="1:5">
      <c r="A368" s="33">
        <v>3045042.366</v>
      </c>
      <c r="B368" s="33">
        <v>399117.761</v>
      </c>
      <c r="C368" s="33">
        <v>610.38</v>
      </c>
      <c r="D368" s="11">
        <v>45292</v>
      </c>
      <c r="E368" s="86">
        <v>650.614</v>
      </c>
    </row>
    <row r="369" ht="15.75" spans="1:5">
      <c r="A369" s="33">
        <v>3045042.366</v>
      </c>
      <c r="B369" s="33">
        <v>399117.761</v>
      </c>
      <c r="C369" s="33">
        <v>610.38</v>
      </c>
      <c r="D369" s="11">
        <v>45293</v>
      </c>
      <c r="E369" s="86">
        <v>650.714</v>
      </c>
    </row>
    <row r="370" ht="15.75" spans="1:5">
      <c r="A370" s="33">
        <v>3045042.366</v>
      </c>
      <c r="B370" s="33">
        <v>399117.761</v>
      </c>
      <c r="C370" s="33">
        <v>610.38</v>
      </c>
      <c r="D370" s="11">
        <v>45294</v>
      </c>
      <c r="E370" s="86">
        <v>649.914</v>
      </c>
    </row>
    <row r="371" ht="15.75" spans="1:5">
      <c r="A371" s="33">
        <v>3045042.366</v>
      </c>
      <c r="B371" s="33">
        <v>399117.761</v>
      </c>
      <c r="C371" s="33">
        <v>610.38</v>
      </c>
      <c r="D371" s="11">
        <v>45295</v>
      </c>
      <c r="E371" s="88">
        <v>649.914</v>
      </c>
    </row>
    <row r="372" ht="15.75" spans="1:5">
      <c r="A372" s="33">
        <v>3045042.366</v>
      </c>
      <c r="B372" s="33">
        <v>399117.761</v>
      </c>
      <c r="C372" s="33">
        <v>610.38</v>
      </c>
      <c r="D372" s="11">
        <v>45296</v>
      </c>
      <c r="E372" s="88">
        <v>650.114</v>
      </c>
    </row>
    <row r="373" ht="15.75" spans="1:5">
      <c r="A373" s="33">
        <v>3045042.366</v>
      </c>
      <c r="B373" s="33">
        <v>399117.761</v>
      </c>
      <c r="C373" s="33">
        <v>610.38</v>
      </c>
      <c r="D373" s="11">
        <v>45297</v>
      </c>
      <c r="E373" s="88">
        <v>650.514</v>
      </c>
    </row>
    <row r="374" ht="15.75" spans="1:5">
      <c r="A374" s="33">
        <v>3045042.366</v>
      </c>
      <c r="B374" s="33">
        <v>399117.761</v>
      </c>
      <c r="C374" s="33">
        <v>610.38</v>
      </c>
      <c r="D374" s="11">
        <v>45298</v>
      </c>
      <c r="E374" s="88">
        <v>650.714</v>
      </c>
    </row>
    <row r="375" ht="15.75" spans="1:5">
      <c r="A375" s="33">
        <v>3045042.366</v>
      </c>
      <c r="B375" s="33">
        <v>399117.761</v>
      </c>
      <c r="C375" s="33">
        <v>610.38</v>
      </c>
      <c r="D375" s="11">
        <v>45299</v>
      </c>
      <c r="E375" s="88">
        <v>650.914</v>
      </c>
    </row>
    <row r="376" ht="15.75" spans="1:5">
      <c r="A376" s="33">
        <v>3045042.366</v>
      </c>
      <c r="B376" s="33">
        <v>399117.761</v>
      </c>
      <c r="C376" s="33">
        <v>610.38</v>
      </c>
      <c r="D376" s="11">
        <v>45300</v>
      </c>
      <c r="E376" s="88">
        <v>651.114</v>
      </c>
    </row>
    <row r="377" ht="15.75" spans="1:5">
      <c r="A377" s="33">
        <v>3045042.366</v>
      </c>
      <c r="B377" s="33">
        <v>399117.761</v>
      </c>
      <c r="C377" s="33">
        <v>610.38</v>
      </c>
      <c r="D377" s="11">
        <v>45301</v>
      </c>
      <c r="E377" s="88">
        <v>651.314</v>
      </c>
    </row>
    <row r="378" ht="15.75" spans="1:5">
      <c r="A378" s="33">
        <v>3045042.366</v>
      </c>
      <c r="B378" s="33">
        <v>399117.761</v>
      </c>
      <c r="C378" s="33">
        <v>610.38</v>
      </c>
      <c r="D378" s="11">
        <v>45302</v>
      </c>
      <c r="E378" s="88">
        <v>651.414</v>
      </c>
    </row>
    <row r="379" ht="15.75" spans="1:5">
      <c r="A379" s="33">
        <v>3045042.366</v>
      </c>
      <c r="B379" s="33">
        <v>399117.761</v>
      </c>
      <c r="C379" s="33">
        <v>610.38</v>
      </c>
      <c r="D379" s="11">
        <v>45303</v>
      </c>
      <c r="E379" s="88">
        <v>651.514</v>
      </c>
    </row>
    <row r="380" ht="15.75" spans="1:5">
      <c r="A380" s="33">
        <v>3045042.366</v>
      </c>
      <c r="B380" s="33">
        <v>399117.761</v>
      </c>
      <c r="C380" s="33">
        <v>610.38</v>
      </c>
      <c r="D380" s="11">
        <v>45304</v>
      </c>
      <c r="E380" s="88">
        <v>651.614</v>
      </c>
    </row>
    <row r="381" ht="15.75" spans="1:5">
      <c r="A381" s="33">
        <v>3045042.366</v>
      </c>
      <c r="B381" s="33">
        <v>399117.761</v>
      </c>
      <c r="C381" s="33">
        <v>610.38</v>
      </c>
      <c r="D381" s="11">
        <v>45305</v>
      </c>
      <c r="E381" s="88">
        <v>651.814</v>
      </c>
    </row>
    <row r="382" ht="15.75" spans="1:5">
      <c r="A382" s="33">
        <v>3045042.366</v>
      </c>
      <c r="B382" s="33">
        <v>399117.761</v>
      </c>
      <c r="C382" s="33">
        <v>610.38</v>
      </c>
      <c r="D382" s="11">
        <v>45306</v>
      </c>
      <c r="E382" s="88">
        <v>651.914</v>
      </c>
    </row>
    <row r="383" ht="15.75" spans="1:5">
      <c r="A383" s="33">
        <v>3045042.366</v>
      </c>
      <c r="B383" s="33">
        <v>399117.761</v>
      </c>
      <c r="C383" s="33">
        <v>610.38</v>
      </c>
      <c r="D383" s="11">
        <v>45307</v>
      </c>
      <c r="E383" s="88">
        <v>652.014</v>
      </c>
    </row>
    <row r="384" ht="15.75" spans="1:5">
      <c r="A384" s="33">
        <v>3045042.366</v>
      </c>
      <c r="B384" s="33">
        <v>399117.761</v>
      </c>
      <c r="C384" s="33">
        <v>610.38</v>
      </c>
      <c r="D384" s="11">
        <v>45308</v>
      </c>
      <c r="E384" s="88">
        <v>652.014</v>
      </c>
    </row>
    <row r="385" ht="15.75" spans="1:5">
      <c r="A385" s="33">
        <v>3045042.366</v>
      </c>
      <c r="B385" s="33">
        <v>399117.761</v>
      </c>
      <c r="C385" s="33">
        <v>610.38</v>
      </c>
      <c r="D385" s="11">
        <v>45309</v>
      </c>
      <c r="E385" s="88">
        <v>652.114</v>
      </c>
    </row>
    <row r="386" ht="15.75" spans="1:5">
      <c r="A386" s="33">
        <v>3045042.366</v>
      </c>
      <c r="B386" s="33">
        <v>399117.761</v>
      </c>
      <c r="C386" s="33">
        <v>610.38</v>
      </c>
      <c r="D386" s="11">
        <v>45310</v>
      </c>
      <c r="E386" s="88">
        <v>652.214</v>
      </c>
    </row>
    <row r="387" ht="15.75" spans="1:5">
      <c r="A387" s="33">
        <v>3045042.366</v>
      </c>
      <c r="B387" s="33">
        <v>399117.761</v>
      </c>
      <c r="C387" s="33">
        <v>610.38</v>
      </c>
      <c r="D387" s="11">
        <v>45311</v>
      </c>
      <c r="E387" s="88">
        <v>652.314</v>
      </c>
    </row>
    <row r="388" ht="15.75" spans="1:5">
      <c r="A388" s="33">
        <v>3045042.366</v>
      </c>
      <c r="B388" s="33">
        <v>399117.761</v>
      </c>
      <c r="C388" s="33">
        <v>610.38</v>
      </c>
      <c r="D388" s="11">
        <v>45312</v>
      </c>
      <c r="E388" s="88">
        <v>652.314</v>
      </c>
    </row>
    <row r="389" ht="15.75" spans="1:5">
      <c r="A389" s="33">
        <v>3045042.366</v>
      </c>
      <c r="B389" s="33">
        <v>399117.761</v>
      </c>
      <c r="C389" s="33">
        <v>610.38</v>
      </c>
      <c r="D389" s="11">
        <v>45313</v>
      </c>
      <c r="E389" s="88">
        <v>652.414</v>
      </c>
    </row>
    <row r="390" ht="15.75" spans="1:5">
      <c r="A390" s="33">
        <v>3045042.366</v>
      </c>
      <c r="B390" s="33">
        <v>399117.761</v>
      </c>
      <c r="C390" s="33">
        <v>610.38</v>
      </c>
      <c r="D390" s="11">
        <v>45314</v>
      </c>
      <c r="E390" s="88">
        <v>652.514</v>
      </c>
    </row>
    <row r="391" ht="15.75" spans="1:5">
      <c r="A391" s="33">
        <v>3045042.366</v>
      </c>
      <c r="B391" s="33">
        <v>399117.761</v>
      </c>
      <c r="C391" s="33">
        <v>610.38</v>
      </c>
      <c r="D391" s="11">
        <v>45315</v>
      </c>
      <c r="E391" s="88">
        <v>652.614</v>
      </c>
    </row>
    <row r="392" ht="15.75" spans="1:5">
      <c r="A392" s="33">
        <v>3045042.366</v>
      </c>
      <c r="B392" s="33">
        <v>399117.761</v>
      </c>
      <c r="C392" s="33">
        <v>610.38</v>
      </c>
      <c r="D392" s="11">
        <v>45316</v>
      </c>
      <c r="E392" s="88">
        <v>652.614</v>
      </c>
    </row>
    <row r="393" ht="15.75" spans="1:5">
      <c r="A393" s="33">
        <v>3045042.366</v>
      </c>
      <c r="B393" s="33">
        <v>399117.761</v>
      </c>
      <c r="C393" s="33">
        <v>610.38</v>
      </c>
      <c r="D393" s="11">
        <v>45317</v>
      </c>
      <c r="E393" s="88">
        <v>652.714</v>
      </c>
    </row>
    <row r="394" ht="15.75" spans="1:5">
      <c r="A394" s="33">
        <v>3045042.366</v>
      </c>
      <c r="B394" s="33">
        <v>399117.761</v>
      </c>
      <c r="C394" s="33">
        <v>610.38</v>
      </c>
      <c r="D394" s="11">
        <v>45318</v>
      </c>
      <c r="E394" s="88">
        <v>652.814</v>
      </c>
    </row>
    <row r="395" ht="15.75" spans="1:5">
      <c r="A395" s="33">
        <v>3045042.366</v>
      </c>
      <c r="B395" s="33">
        <v>399117.761</v>
      </c>
      <c r="C395" s="33">
        <v>610.38</v>
      </c>
      <c r="D395" s="11">
        <v>45319</v>
      </c>
      <c r="E395" s="88">
        <v>652.914</v>
      </c>
    </row>
    <row r="396" ht="15.75" spans="1:5">
      <c r="A396" s="33">
        <v>3045042.366</v>
      </c>
      <c r="B396" s="33">
        <v>399117.761</v>
      </c>
      <c r="C396" s="33">
        <v>610.38</v>
      </c>
      <c r="D396" s="11">
        <v>45320</v>
      </c>
      <c r="E396" s="88">
        <v>652.914</v>
      </c>
    </row>
    <row r="397" ht="15.75" spans="1:5">
      <c r="A397" s="33">
        <v>3045042.366</v>
      </c>
      <c r="B397" s="33">
        <v>399117.761</v>
      </c>
      <c r="C397" s="33">
        <v>610.38</v>
      </c>
      <c r="D397" s="11">
        <v>45321</v>
      </c>
      <c r="E397" s="88">
        <v>653.014</v>
      </c>
    </row>
    <row r="398" ht="15.75" spans="1:5">
      <c r="A398" s="33">
        <v>3045042.366</v>
      </c>
      <c r="B398" s="33">
        <v>399117.761</v>
      </c>
      <c r="C398" s="33">
        <v>610.38</v>
      </c>
      <c r="D398" s="11">
        <v>45322</v>
      </c>
      <c r="E398" s="88">
        <v>653.114</v>
      </c>
    </row>
    <row r="399" ht="15.75" spans="1:5">
      <c r="A399" s="33">
        <v>3045042.366</v>
      </c>
      <c r="B399" s="33">
        <v>399117.761</v>
      </c>
      <c r="C399" s="33">
        <v>610.38</v>
      </c>
      <c r="D399" s="11">
        <v>45323</v>
      </c>
      <c r="E399" s="88">
        <v>653.114</v>
      </c>
    </row>
    <row r="400" ht="15.75" spans="1:5">
      <c r="A400" s="33">
        <v>3045042.366</v>
      </c>
      <c r="B400" s="33">
        <v>399117.761</v>
      </c>
      <c r="C400" s="33">
        <v>610.38</v>
      </c>
      <c r="D400" s="11">
        <v>45324</v>
      </c>
      <c r="E400" s="88">
        <v>653.214</v>
      </c>
    </row>
    <row r="401" ht="15.75" spans="1:5">
      <c r="A401" s="33">
        <v>3045042.366</v>
      </c>
      <c r="B401" s="33">
        <v>399117.761</v>
      </c>
      <c r="C401" s="33">
        <v>610.38</v>
      </c>
      <c r="D401" s="11">
        <v>45325</v>
      </c>
      <c r="E401" s="88">
        <v>653.314</v>
      </c>
    </row>
    <row r="402" ht="15.75" spans="1:5">
      <c r="A402" s="33">
        <v>3045042.366</v>
      </c>
      <c r="B402" s="33">
        <v>399117.761</v>
      </c>
      <c r="C402" s="33">
        <v>610.38</v>
      </c>
      <c r="D402" s="11">
        <v>45326</v>
      </c>
      <c r="E402" s="88">
        <v>653.514</v>
      </c>
    </row>
    <row r="403" ht="15.75" spans="1:5">
      <c r="A403" s="33">
        <v>3045042.366</v>
      </c>
      <c r="B403" s="33">
        <v>399117.761</v>
      </c>
      <c r="C403" s="33">
        <v>610.38</v>
      </c>
      <c r="D403" s="11">
        <v>45327</v>
      </c>
      <c r="E403" s="88">
        <v>653.414</v>
      </c>
    </row>
    <row r="404" ht="15.75" spans="1:5">
      <c r="A404" s="33">
        <v>3045042.366</v>
      </c>
      <c r="B404" s="33">
        <v>399117.761</v>
      </c>
      <c r="C404" s="33">
        <v>610.38</v>
      </c>
      <c r="D404" s="11">
        <v>45328</v>
      </c>
      <c r="E404" s="88">
        <v>653.414</v>
      </c>
    </row>
    <row r="405" ht="15.75" spans="1:5">
      <c r="A405" s="33">
        <v>3045042.366</v>
      </c>
      <c r="B405" s="33">
        <v>399117.761</v>
      </c>
      <c r="C405" s="33">
        <v>610.38</v>
      </c>
      <c r="D405" s="11">
        <v>45329</v>
      </c>
      <c r="E405" s="88">
        <v>653.514</v>
      </c>
    </row>
    <row r="406" ht="15.75" spans="1:5">
      <c r="A406" s="33">
        <v>3045042.366</v>
      </c>
      <c r="B406" s="33">
        <v>399117.761</v>
      </c>
      <c r="C406" s="33">
        <v>610.38</v>
      </c>
      <c r="D406" s="11">
        <v>45330</v>
      </c>
      <c r="E406" s="88">
        <v>653.614</v>
      </c>
    </row>
    <row r="407" ht="15.75" spans="1:5">
      <c r="A407" s="33">
        <v>3045042.366</v>
      </c>
      <c r="B407" s="33">
        <v>399117.761</v>
      </c>
      <c r="C407" s="33">
        <v>610.38</v>
      </c>
      <c r="D407" s="11">
        <v>45331</v>
      </c>
      <c r="E407" s="88">
        <v>653.714</v>
      </c>
    </row>
    <row r="408" ht="15.75" spans="1:5">
      <c r="A408" s="33">
        <v>3045042.366</v>
      </c>
      <c r="B408" s="33">
        <v>399117.761</v>
      </c>
      <c r="C408" s="33">
        <v>610.38</v>
      </c>
      <c r="D408" s="11">
        <v>45332</v>
      </c>
      <c r="E408" s="88">
        <v>653.714</v>
      </c>
    </row>
    <row r="409" ht="15.75" spans="1:5">
      <c r="A409" s="33">
        <v>3045042.366</v>
      </c>
      <c r="B409" s="33">
        <v>399117.761</v>
      </c>
      <c r="C409" s="33">
        <v>610.38</v>
      </c>
      <c r="D409" s="11">
        <v>45333</v>
      </c>
      <c r="E409" s="88">
        <v>653.814</v>
      </c>
    </row>
    <row r="410" ht="15.75" spans="1:5">
      <c r="A410" s="33">
        <v>3045042.366</v>
      </c>
      <c r="B410" s="33">
        <v>399117.761</v>
      </c>
      <c r="C410" s="33">
        <v>610.38</v>
      </c>
      <c r="D410" s="11">
        <v>45334</v>
      </c>
      <c r="E410" s="88">
        <v>653.914</v>
      </c>
    </row>
    <row r="411" ht="15.75" spans="1:5">
      <c r="A411" s="33">
        <v>3045042.366</v>
      </c>
      <c r="B411" s="33">
        <v>399117.761</v>
      </c>
      <c r="C411" s="33">
        <v>610.38</v>
      </c>
      <c r="D411" s="11">
        <v>45335</v>
      </c>
      <c r="E411" s="88">
        <v>654.014</v>
      </c>
    </row>
    <row r="412" ht="15.75" spans="1:5">
      <c r="A412" s="33">
        <v>3045042.366</v>
      </c>
      <c r="B412" s="33">
        <v>399117.761</v>
      </c>
      <c r="C412" s="33">
        <v>610.38</v>
      </c>
      <c r="D412" s="11">
        <v>45336</v>
      </c>
      <c r="E412" s="89">
        <v>654.114</v>
      </c>
    </row>
    <row r="413" ht="15.75" spans="1:5">
      <c r="A413" s="33">
        <v>3045042.366</v>
      </c>
      <c r="B413" s="33">
        <v>399117.761</v>
      </c>
      <c r="C413" s="33">
        <v>610.38</v>
      </c>
      <c r="D413" s="11">
        <v>45337</v>
      </c>
      <c r="E413" s="85"/>
    </row>
    <row r="414" ht="15.75" spans="1:5">
      <c r="A414" s="33">
        <v>3045042.366</v>
      </c>
      <c r="B414" s="33">
        <v>399117.761</v>
      </c>
      <c r="C414" s="33">
        <v>610.38</v>
      </c>
      <c r="D414" s="11">
        <v>45338</v>
      </c>
      <c r="E414" s="85"/>
    </row>
    <row r="415" ht="15.75" spans="1:5">
      <c r="A415" s="33">
        <v>3045042.366</v>
      </c>
      <c r="B415" s="33">
        <v>399117.761</v>
      </c>
      <c r="C415" s="33">
        <v>610.38</v>
      </c>
      <c r="D415" s="11">
        <v>45339</v>
      </c>
      <c r="E415" s="85"/>
    </row>
    <row r="416" ht="15.75" spans="1:5">
      <c r="A416" s="33">
        <v>3045042.366</v>
      </c>
      <c r="B416" s="33">
        <v>399117.761</v>
      </c>
      <c r="C416" s="33">
        <v>610.38</v>
      </c>
      <c r="D416" s="11">
        <v>45340</v>
      </c>
      <c r="E416" s="85"/>
    </row>
    <row r="417" ht="15.75" spans="1:5">
      <c r="A417" s="33">
        <v>3045042.366</v>
      </c>
      <c r="B417" s="33">
        <v>399117.761</v>
      </c>
      <c r="C417" s="33">
        <v>610.38</v>
      </c>
      <c r="D417" s="11">
        <v>45341</v>
      </c>
      <c r="E417" s="88">
        <v>654.514</v>
      </c>
    </row>
    <row r="418" ht="15.75" spans="1:5">
      <c r="A418" s="33">
        <v>3045042.366</v>
      </c>
      <c r="B418" s="33">
        <v>399117.761</v>
      </c>
      <c r="C418" s="33">
        <v>610.38</v>
      </c>
      <c r="D418" s="11">
        <v>45342</v>
      </c>
      <c r="E418" s="88">
        <v>654.614</v>
      </c>
    </row>
    <row r="419" ht="15.75" spans="1:5">
      <c r="A419" s="33">
        <v>3045042.366</v>
      </c>
      <c r="B419" s="33">
        <v>399117.761</v>
      </c>
      <c r="C419" s="33">
        <v>610.38</v>
      </c>
      <c r="D419" s="11">
        <v>45343</v>
      </c>
      <c r="E419" s="88">
        <v>654.614</v>
      </c>
    </row>
    <row r="420" ht="15.75" spans="1:5">
      <c r="A420" s="33">
        <v>3045042.366</v>
      </c>
      <c r="B420" s="33">
        <v>399117.761</v>
      </c>
      <c r="C420" s="33">
        <v>610.38</v>
      </c>
      <c r="D420" s="11">
        <v>45344</v>
      </c>
      <c r="E420" s="88">
        <v>654.714</v>
      </c>
    </row>
    <row r="421" ht="15.75" spans="1:5">
      <c r="A421" s="33">
        <v>3045042.366</v>
      </c>
      <c r="B421" s="33">
        <v>399117.761</v>
      </c>
      <c r="C421" s="33">
        <v>610.38</v>
      </c>
      <c r="D421" s="11">
        <v>45345</v>
      </c>
      <c r="E421" s="88">
        <v>654.814</v>
      </c>
    </row>
    <row r="422" ht="15.75" spans="1:5">
      <c r="A422" s="33">
        <v>3045042.366</v>
      </c>
      <c r="B422" s="33">
        <v>399117.761</v>
      </c>
      <c r="C422" s="33">
        <v>610.38</v>
      </c>
      <c r="D422" s="11">
        <v>45346</v>
      </c>
      <c r="E422" s="88">
        <v>654.814</v>
      </c>
    </row>
    <row r="423" ht="15.75" spans="1:5">
      <c r="A423" s="33">
        <v>3045042.366</v>
      </c>
      <c r="B423" s="33">
        <v>399117.761</v>
      </c>
      <c r="C423" s="33">
        <v>610.38</v>
      </c>
      <c r="D423" s="11">
        <v>45347</v>
      </c>
      <c r="E423" s="88">
        <v>654.914</v>
      </c>
    </row>
    <row r="424" ht="15.75" spans="1:5">
      <c r="A424" s="33">
        <v>3045042.366</v>
      </c>
      <c r="B424" s="33">
        <v>399117.761</v>
      </c>
      <c r="C424" s="33">
        <v>610.38</v>
      </c>
      <c r="D424" s="11">
        <v>45348</v>
      </c>
      <c r="E424" s="88">
        <v>654.914</v>
      </c>
    </row>
    <row r="425" ht="15.75" spans="1:5">
      <c r="A425" s="33">
        <v>3045042.366</v>
      </c>
      <c r="B425" s="33">
        <v>399117.761</v>
      </c>
      <c r="C425" s="33">
        <v>610.38</v>
      </c>
      <c r="D425" s="11">
        <v>45349</v>
      </c>
      <c r="E425" s="88">
        <v>655.114</v>
      </c>
    </row>
    <row r="426" ht="15.75" spans="1:5">
      <c r="A426" s="33">
        <v>3045042.366</v>
      </c>
      <c r="B426" s="33">
        <v>399117.761</v>
      </c>
      <c r="C426" s="33">
        <v>610.38</v>
      </c>
      <c r="D426" s="11">
        <v>45350</v>
      </c>
      <c r="E426" s="88">
        <v>655.114</v>
      </c>
    </row>
    <row r="427" ht="15.75" spans="1:5">
      <c r="A427" s="33">
        <v>3045042.366</v>
      </c>
      <c r="B427" s="33">
        <v>399117.761</v>
      </c>
      <c r="C427" s="33">
        <v>610.38</v>
      </c>
      <c r="D427" s="11">
        <v>45351</v>
      </c>
      <c r="E427" s="88">
        <v>655.214</v>
      </c>
    </row>
    <row r="428" ht="15.75" spans="1:5">
      <c r="A428" s="33">
        <v>3045042.366</v>
      </c>
      <c r="B428" s="33">
        <v>399117.761</v>
      </c>
      <c r="C428" s="33">
        <v>610.38</v>
      </c>
      <c r="D428" s="11">
        <v>45352</v>
      </c>
      <c r="E428" s="88">
        <v>655.314</v>
      </c>
    </row>
    <row r="429" ht="15.75" spans="1:5">
      <c r="A429" s="33">
        <v>3045042.366</v>
      </c>
      <c r="B429" s="33">
        <v>399117.761</v>
      </c>
      <c r="C429" s="33">
        <v>610.38</v>
      </c>
      <c r="D429" s="11">
        <v>45353</v>
      </c>
      <c r="E429" s="88">
        <v>655.214</v>
      </c>
    </row>
    <row r="430" ht="15.75" spans="1:5">
      <c r="A430" s="33">
        <v>3045042.366</v>
      </c>
      <c r="B430" s="33">
        <v>399117.761</v>
      </c>
      <c r="C430" s="33">
        <v>610.38</v>
      </c>
      <c r="D430" s="11">
        <v>45354</v>
      </c>
      <c r="E430" s="88">
        <v>655.314</v>
      </c>
    </row>
    <row r="431" ht="15.75" spans="1:5">
      <c r="A431" s="33">
        <v>3045042.366</v>
      </c>
      <c r="B431" s="33">
        <v>399117.761</v>
      </c>
      <c r="C431" s="33">
        <v>610.38</v>
      </c>
      <c r="D431" s="11">
        <v>45355</v>
      </c>
      <c r="E431" s="88">
        <v>655.414</v>
      </c>
    </row>
    <row r="432" ht="15.75" spans="1:5">
      <c r="A432" s="33">
        <v>3045042.366</v>
      </c>
      <c r="B432" s="33">
        <v>399117.761</v>
      </c>
      <c r="C432" s="33">
        <v>610.38</v>
      </c>
      <c r="D432" s="11">
        <v>45356</v>
      </c>
      <c r="E432" s="88">
        <v>655.514</v>
      </c>
    </row>
    <row r="433" ht="15.75" spans="1:5">
      <c r="A433" s="33">
        <v>3045042.366</v>
      </c>
      <c r="B433" s="33">
        <v>399117.761</v>
      </c>
      <c r="C433" s="33">
        <v>610.38</v>
      </c>
      <c r="D433" s="11">
        <v>45357</v>
      </c>
      <c r="E433" s="88">
        <v>655.514</v>
      </c>
    </row>
    <row r="434" ht="15.75" spans="1:5">
      <c r="A434" s="33">
        <v>3045042.366</v>
      </c>
      <c r="B434" s="33">
        <v>399117.761</v>
      </c>
      <c r="C434" s="33">
        <v>610.38</v>
      </c>
      <c r="D434" s="11">
        <v>45358</v>
      </c>
      <c r="E434" s="88">
        <v>655.614</v>
      </c>
    </row>
    <row r="435" ht="15.75" spans="1:5">
      <c r="A435" s="33">
        <v>3045042.366</v>
      </c>
      <c r="B435" s="33">
        <v>399117.761</v>
      </c>
      <c r="C435" s="33">
        <v>610.38</v>
      </c>
      <c r="D435" s="11">
        <v>45359</v>
      </c>
      <c r="E435" s="88">
        <v>655.814</v>
      </c>
    </row>
    <row r="436" ht="15.75" spans="1:5">
      <c r="A436" s="33">
        <v>3045042.366</v>
      </c>
      <c r="B436" s="33">
        <v>399117.761</v>
      </c>
      <c r="C436" s="33">
        <v>610.38</v>
      </c>
      <c r="D436" s="11">
        <v>45360</v>
      </c>
      <c r="E436" s="88">
        <v>655.814</v>
      </c>
    </row>
    <row r="437" ht="15.75" spans="1:5">
      <c r="A437" s="33">
        <v>3045042.366</v>
      </c>
      <c r="B437" s="33">
        <v>399117.761</v>
      </c>
      <c r="C437" s="33">
        <v>610.38</v>
      </c>
      <c r="D437" s="11">
        <v>45361</v>
      </c>
      <c r="E437" s="88">
        <v>655.914</v>
      </c>
    </row>
    <row r="438" ht="15.75" spans="1:5">
      <c r="A438" s="33">
        <v>3045042.366</v>
      </c>
      <c r="B438" s="33">
        <v>399117.761</v>
      </c>
      <c r="C438" s="33">
        <v>610.38</v>
      </c>
      <c r="D438" s="11">
        <v>45362</v>
      </c>
      <c r="E438" s="88">
        <v>656.014</v>
      </c>
    </row>
    <row r="439" ht="15.75" spans="1:5">
      <c r="A439" s="33">
        <v>3045042.366</v>
      </c>
      <c r="B439" s="33">
        <v>399117.761</v>
      </c>
      <c r="C439" s="33">
        <v>610.38</v>
      </c>
      <c r="D439" s="11">
        <v>45363</v>
      </c>
      <c r="E439" s="88">
        <v>656.114</v>
      </c>
    </row>
    <row r="440" ht="15.75" spans="1:5">
      <c r="A440" s="33">
        <v>3045042.366</v>
      </c>
      <c r="B440" s="33">
        <v>399117.761</v>
      </c>
      <c r="C440" s="33">
        <v>610.38</v>
      </c>
      <c r="D440" s="11">
        <v>45364</v>
      </c>
      <c r="E440" s="88">
        <v>656.214</v>
      </c>
    </row>
    <row r="441" ht="15.75" spans="1:5">
      <c r="A441" s="33">
        <v>3045042.366</v>
      </c>
      <c r="B441" s="33">
        <v>399117.761</v>
      </c>
      <c r="C441" s="33">
        <v>610.38</v>
      </c>
      <c r="D441" s="11">
        <v>45365</v>
      </c>
      <c r="E441" s="88">
        <v>656.314</v>
      </c>
    </row>
    <row r="442" ht="15.75" spans="1:5">
      <c r="A442" s="33">
        <v>3045042.366</v>
      </c>
      <c r="B442" s="33">
        <v>399117.761</v>
      </c>
      <c r="C442" s="33">
        <v>610.38</v>
      </c>
      <c r="D442" s="11">
        <v>45366</v>
      </c>
      <c r="E442" s="88">
        <v>656.514</v>
      </c>
    </row>
    <row r="443" ht="15.75" spans="1:5">
      <c r="A443" s="33">
        <v>3045042.366</v>
      </c>
      <c r="B443" s="33">
        <v>399117.761</v>
      </c>
      <c r="C443" s="33">
        <v>610.38</v>
      </c>
      <c r="D443" s="11">
        <v>45367</v>
      </c>
      <c r="E443" s="88">
        <v>656.514</v>
      </c>
    </row>
    <row r="444" ht="15.75" spans="1:5">
      <c r="A444" s="33">
        <v>3045042.366</v>
      </c>
      <c r="B444" s="33">
        <v>399117.761</v>
      </c>
      <c r="C444" s="33">
        <v>610.38</v>
      </c>
      <c r="D444" s="11">
        <v>45368</v>
      </c>
      <c r="E444" s="88">
        <v>656.614</v>
      </c>
    </row>
    <row r="445" ht="15.75" spans="1:5">
      <c r="A445" s="33">
        <v>3045042.366</v>
      </c>
      <c r="B445" s="33">
        <v>399117.761</v>
      </c>
      <c r="C445" s="33">
        <v>610.38</v>
      </c>
      <c r="D445" s="11">
        <v>45369</v>
      </c>
      <c r="E445" s="88">
        <v>656.714</v>
      </c>
    </row>
    <row r="446" ht="15.75" spans="1:5">
      <c r="A446" s="33">
        <v>3045042.366</v>
      </c>
      <c r="B446" s="33">
        <v>399117.761</v>
      </c>
      <c r="C446" s="33">
        <v>610.38</v>
      </c>
      <c r="D446" s="11">
        <v>45370</v>
      </c>
      <c r="E446" s="88">
        <v>656.814</v>
      </c>
    </row>
    <row r="447" ht="15.75" spans="1:5">
      <c r="A447" s="33">
        <v>3045042.366</v>
      </c>
      <c r="B447" s="33">
        <v>399117.761</v>
      </c>
      <c r="C447" s="33">
        <v>610.38</v>
      </c>
      <c r="D447" s="11">
        <v>45371</v>
      </c>
      <c r="E447" s="88">
        <v>656.914</v>
      </c>
    </row>
    <row r="448" ht="15.75" spans="1:5">
      <c r="A448" s="33">
        <v>3045042.366</v>
      </c>
      <c r="B448" s="33">
        <v>399117.761</v>
      </c>
      <c r="C448" s="33">
        <v>610.38</v>
      </c>
      <c r="D448" s="11">
        <v>45372</v>
      </c>
      <c r="E448" s="88">
        <v>657.114</v>
      </c>
    </row>
    <row r="449" ht="15.75" spans="1:5">
      <c r="A449" s="33">
        <v>3045042.366</v>
      </c>
      <c r="B449" s="33">
        <v>399117.761</v>
      </c>
      <c r="C449" s="33">
        <v>610.38</v>
      </c>
      <c r="D449" s="11">
        <v>45373</v>
      </c>
      <c r="E449" s="88">
        <v>657.214</v>
      </c>
    </row>
    <row r="450" ht="15.75" spans="1:5">
      <c r="A450" s="33">
        <v>3045042.366</v>
      </c>
      <c r="B450" s="33">
        <v>399117.761</v>
      </c>
      <c r="C450" s="33">
        <v>610.38</v>
      </c>
      <c r="D450" s="11">
        <v>45374</v>
      </c>
      <c r="E450" s="88">
        <v>657.314</v>
      </c>
    </row>
    <row r="451" ht="15.75" spans="1:5">
      <c r="A451" s="33">
        <v>3045042.366</v>
      </c>
      <c r="B451" s="33">
        <v>399117.761</v>
      </c>
      <c r="C451" s="33">
        <v>610.38</v>
      </c>
      <c r="D451" s="11">
        <v>45375</v>
      </c>
      <c r="E451" s="88">
        <v>657.414</v>
      </c>
    </row>
    <row r="452" ht="15.75" spans="1:5">
      <c r="A452" s="33">
        <v>3045042.366</v>
      </c>
      <c r="B452" s="33">
        <v>399117.761</v>
      </c>
      <c r="C452" s="33">
        <v>610.38</v>
      </c>
      <c r="D452" s="11">
        <v>45376</v>
      </c>
      <c r="E452" s="88">
        <v>657.414</v>
      </c>
    </row>
    <row r="453" ht="15.75" spans="1:5">
      <c r="A453" s="33">
        <v>3045042.366</v>
      </c>
      <c r="B453" s="33">
        <v>399117.761</v>
      </c>
      <c r="C453" s="33">
        <v>610.38</v>
      </c>
      <c r="D453" s="11">
        <v>45377</v>
      </c>
      <c r="E453" s="88">
        <v>657.614</v>
      </c>
    </row>
    <row r="454" ht="15.75" spans="1:5">
      <c r="A454" s="33">
        <v>3045042.366</v>
      </c>
      <c r="B454" s="33">
        <v>399117.761</v>
      </c>
      <c r="C454" s="33">
        <v>610.38</v>
      </c>
      <c r="D454" s="11">
        <v>45378</v>
      </c>
      <c r="E454" s="88">
        <v>657.714</v>
      </c>
    </row>
    <row r="455" ht="15.75" spans="1:5">
      <c r="A455" s="33">
        <v>3045042.366</v>
      </c>
      <c r="B455" s="33">
        <v>399117.761</v>
      </c>
      <c r="C455" s="33">
        <v>610.38</v>
      </c>
      <c r="D455" s="11">
        <v>45379</v>
      </c>
      <c r="E455" s="88">
        <v>657.814</v>
      </c>
    </row>
    <row r="456" ht="15.75" spans="1:5">
      <c r="A456" s="33">
        <v>3045042.366</v>
      </c>
      <c r="B456" s="33">
        <v>399117.761</v>
      </c>
      <c r="C456" s="33">
        <v>610.38</v>
      </c>
      <c r="D456" s="11">
        <v>45380</v>
      </c>
      <c r="E456" s="88">
        <v>658.014</v>
      </c>
    </row>
    <row r="457" ht="15.75" spans="1:5">
      <c r="A457" s="33">
        <v>3045042.366</v>
      </c>
      <c r="B457" s="33">
        <v>399117.761</v>
      </c>
      <c r="C457" s="33">
        <v>610.38</v>
      </c>
      <c r="D457" s="11">
        <v>45381</v>
      </c>
      <c r="E457" s="88">
        <v>658.114</v>
      </c>
    </row>
    <row r="458" ht="15.75" spans="1:5">
      <c r="A458" s="33">
        <v>3045042.366</v>
      </c>
      <c r="B458" s="33">
        <v>399117.761</v>
      </c>
      <c r="C458" s="33">
        <v>610.38</v>
      </c>
      <c r="D458" s="11">
        <v>45382</v>
      </c>
      <c r="E458" s="88">
        <v>658.214</v>
      </c>
    </row>
    <row r="459" ht="15.75" spans="1:5">
      <c r="A459" s="33">
        <v>3045042.366</v>
      </c>
      <c r="B459" s="33">
        <v>399117.761</v>
      </c>
      <c r="C459" s="33">
        <v>610.38</v>
      </c>
      <c r="D459" s="11">
        <v>45383</v>
      </c>
      <c r="E459" s="88">
        <v>658.414</v>
      </c>
    </row>
    <row r="460" ht="15.75" spans="1:5">
      <c r="A460" s="33">
        <v>3045042.366</v>
      </c>
      <c r="B460" s="33">
        <v>399117.761</v>
      </c>
      <c r="C460" s="33">
        <v>610.38</v>
      </c>
      <c r="D460" s="11">
        <v>45384</v>
      </c>
      <c r="E460" s="88">
        <v>658.414</v>
      </c>
    </row>
    <row r="461" ht="15.75" spans="1:5">
      <c r="A461" s="33">
        <v>3045042.366</v>
      </c>
      <c r="B461" s="33">
        <v>399117.761</v>
      </c>
      <c r="C461" s="33">
        <v>610.38</v>
      </c>
      <c r="D461" s="11">
        <v>45385</v>
      </c>
      <c r="E461" s="88">
        <v>658.514</v>
      </c>
    </row>
    <row r="462" ht="15.75" spans="1:5">
      <c r="A462" s="33">
        <v>3045042.366</v>
      </c>
      <c r="B462" s="33">
        <v>399117.761</v>
      </c>
      <c r="C462" s="33">
        <v>610.38</v>
      </c>
      <c r="D462" s="11">
        <v>45386</v>
      </c>
      <c r="E462" s="88">
        <v>658.614</v>
      </c>
    </row>
    <row r="463" ht="15.75" spans="1:5">
      <c r="A463" s="33">
        <v>3045042.366</v>
      </c>
      <c r="B463" s="33">
        <v>399117.761</v>
      </c>
      <c r="C463" s="33">
        <v>610.38</v>
      </c>
      <c r="D463" s="11">
        <v>45387</v>
      </c>
      <c r="E463" s="88">
        <v>658.714</v>
      </c>
    </row>
    <row r="464" ht="15.75" spans="1:5">
      <c r="A464" s="33">
        <v>3045042.366</v>
      </c>
      <c r="B464" s="33">
        <v>399117.761</v>
      </c>
      <c r="C464" s="33">
        <v>610.38</v>
      </c>
      <c r="D464" s="11">
        <v>45388</v>
      </c>
      <c r="E464" s="88">
        <v>658.814</v>
      </c>
    </row>
    <row r="465" ht="15.75" spans="1:5">
      <c r="A465" s="33">
        <v>3045042.366</v>
      </c>
      <c r="B465" s="33">
        <v>399117.761</v>
      </c>
      <c r="C465" s="33">
        <v>610.38</v>
      </c>
      <c r="D465" s="11">
        <v>45389</v>
      </c>
      <c r="E465" s="88">
        <v>658.914</v>
      </c>
    </row>
    <row r="466" ht="15.75" spans="1:5">
      <c r="A466" s="33">
        <v>3045042.366</v>
      </c>
      <c r="B466" s="33">
        <v>399117.761</v>
      </c>
      <c r="C466" s="33">
        <v>610.38</v>
      </c>
      <c r="D466" s="11">
        <v>45390</v>
      </c>
      <c r="E466" s="88">
        <v>659.014</v>
      </c>
    </row>
    <row r="467" ht="15.75" spans="1:5">
      <c r="A467" s="33">
        <v>3045042.366</v>
      </c>
      <c r="B467" s="33">
        <v>399117.761</v>
      </c>
      <c r="C467" s="33">
        <v>610.38</v>
      </c>
      <c r="D467" s="11">
        <v>45391</v>
      </c>
      <c r="E467" s="88">
        <v>659.214</v>
      </c>
    </row>
    <row r="468" ht="15.75" spans="1:5">
      <c r="A468" s="33">
        <v>3045042.366</v>
      </c>
      <c r="B468" s="33">
        <v>399117.761</v>
      </c>
      <c r="C468" s="33">
        <v>610.38</v>
      </c>
      <c r="D468" s="11">
        <v>45392</v>
      </c>
      <c r="E468" s="88">
        <v>659.314</v>
      </c>
    </row>
    <row r="469" ht="15.75" spans="1:5">
      <c r="A469" s="33">
        <v>3045042.366</v>
      </c>
      <c r="B469" s="33">
        <v>399117.761</v>
      </c>
      <c r="C469" s="33">
        <v>610.38</v>
      </c>
      <c r="D469" s="11">
        <v>45393</v>
      </c>
      <c r="E469" s="88">
        <v>659.414</v>
      </c>
    </row>
    <row r="470" ht="15.75" spans="1:5">
      <c r="A470" s="33">
        <v>3045042.366</v>
      </c>
      <c r="B470" s="33">
        <v>399117.761</v>
      </c>
      <c r="C470" s="33">
        <v>610.38</v>
      </c>
      <c r="D470" s="11">
        <v>45394</v>
      </c>
      <c r="E470" s="88">
        <v>659.514</v>
      </c>
    </row>
    <row r="471" ht="15.75" spans="1:5">
      <c r="A471" s="33">
        <v>3045042.366</v>
      </c>
      <c r="B471" s="33">
        <v>399117.761</v>
      </c>
      <c r="C471" s="33">
        <v>610.38</v>
      </c>
      <c r="D471" s="11">
        <v>45395</v>
      </c>
      <c r="E471" s="88">
        <v>659.714</v>
      </c>
    </row>
    <row r="472" ht="15.75" spans="1:5">
      <c r="A472" s="33">
        <v>3045042.366</v>
      </c>
      <c r="B472" s="33">
        <v>399117.761</v>
      </c>
      <c r="C472" s="33">
        <v>610.38</v>
      </c>
      <c r="D472" s="11">
        <v>45396</v>
      </c>
      <c r="E472" s="88">
        <v>659.814</v>
      </c>
    </row>
    <row r="473" ht="15.75" spans="1:5">
      <c r="A473" s="33">
        <v>3045042.366</v>
      </c>
      <c r="B473" s="33">
        <v>399117.761</v>
      </c>
      <c r="C473" s="33">
        <v>610.38</v>
      </c>
      <c r="D473" s="11">
        <v>45397</v>
      </c>
      <c r="E473" s="88">
        <v>660.014</v>
      </c>
    </row>
    <row r="474" ht="15.75" spans="1:5">
      <c r="A474" s="33">
        <v>3045042.366</v>
      </c>
      <c r="B474" s="33">
        <v>399117.761</v>
      </c>
      <c r="C474" s="33">
        <v>610.38</v>
      </c>
      <c r="D474" s="11">
        <v>45398</v>
      </c>
      <c r="E474" s="88">
        <v>660.214</v>
      </c>
    </row>
    <row r="475" ht="15.75" spans="1:5">
      <c r="A475" s="33">
        <v>3045042.366</v>
      </c>
      <c r="B475" s="33">
        <v>399117.761</v>
      </c>
      <c r="C475" s="33">
        <v>610.38</v>
      </c>
      <c r="D475" s="11">
        <v>45399</v>
      </c>
      <c r="E475" s="88">
        <v>660.314</v>
      </c>
    </row>
    <row r="476" ht="15.75" spans="1:5">
      <c r="A476" s="33">
        <v>3045042.366</v>
      </c>
      <c r="B476" s="33">
        <v>399117.761</v>
      </c>
      <c r="C476" s="33">
        <v>610.38</v>
      </c>
      <c r="D476" s="11">
        <v>45400</v>
      </c>
      <c r="E476" s="88">
        <v>660.514</v>
      </c>
    </row>
    <row r="477" ht="15.75" spans="1:5">
      <c r="A477" s="33">
        <v>3045042.366</v>
      </c>
      <c r="B477" s="33">
        <v>399117.761</v>
      </c>
      <c r="C477" s="33">
        <v>610.38</v>
      </c>
      <c r="D477" s="11">
        <v>45401</v>
      </c>
      <c r="E477" s="88">
        <v>660.614</v>
      </c>
    </row>
    <row r="478" ht="15.75" spans="1:5">
      <c r="A478" s="33">
        <v>3045042.366</v>
      </c>
      <c r="B478" s="33">
        <v>399117.761</v>
      </c>
      <c r="C478" s="33">
        <v>610.38</v>
      </c>
      <c r="D478" s="11">
        <v>45402</v>
      </c>
      <c r="E478" s="88">
        <v>660.714</v>
      </c>
    </row>
    <row r="479" ht="15.75" spans="1:5">
      <c r="A479" s="33">
        <v>3045042.366</v>
      </c>
      <c r="B479" s="33">
        <v>399117.761</v>
      </c>
      <c r="C479" s="33">
        <v>610.38</v>
      </c>
      <c r="D479" s="11">
        <v>45403</v>
      </c>
      <c r="E479" s="88">
        <v>660.814</v>
      </c>
    </row>
    <row r="480" ht="15.75" spans="1:5">
      <c r="A480" s="33">
        <v>3045042.366</v>
      </c>
      <c r="B480" s="33">
        <v>399117.761</v>
      </c>
      <c r="C480" s="33">
        <v>610.38</v>
      </c>
      <c r="D480" s="11">
        <v>45404</v>
      </c>
      <c r="E480" s="88">
        <v>661.014</v>
      </c>
    </row>
    <row r="481" ht="15.75" spans="1:5">
      <c r="A481" s="33">
        <v>3045042.366</v>
      </c>
      <c r="B481" s="33">
        <v>399117.761</v>
      </c>
      <c r="C481" s="33">
        <v>610.38</v>
      </c>
      <c r="D481" s="11">
        <v>45405</v>
      </c>
      <c r="E481" s="88">
        <v>661.114</v>
      </c>
    </row>
    <row r="482" ht="15.75" spans="1:5">
      <c r="A482" s="33">
        <v>3045042.366</v>
      </c>
      <c r="B482" s="33">
        <v>399117.761</v>
      </c>
      <c r="C482" s="33">
        <v>610.38</v>
      </c>
      <c r="D482" s="11">
        <v>45406</v>
      </c>
      <c r="E482" s="88">
        <v>661.314</v>
      </c>
    </row>
    <row r="483" ht="15.75" spans="1:5">
      <c r="A483" s="33">
        <v>3045042.366</v>
      </c>
      <c r="B483" s="33">
        <v>399117.761</v>
      </c>
      <c r="C483" s="33">
        <v>610.38</v>
      </c>
      <c r="D483" s="11">
        <v>45407</v>
      </c>
      <c r="E483" s="88">
        <v>661.414</v>
      </c>
    </row>
    <row r="484" ht="15.75" spans="1:5">
      <c r="A484" s="33">
        <v>3045042.366</v>
      </c>
      <c r="B484" s="33">
        <v>399117.761</v>
      </c>
      <c r="C484" s="33">
        <v>610.38</v>
      </c>
      <c r="D484" s="11">
        <v>45408</v>
      </c>
      <c r="E484" s="88">
        <v>661.614</v>
      </c>
    </row>
    <row r="485" ht="15.75" spans="1:5">
      <c r="A485" s="33">
        <v>3045042.366</v>
      </c>
      <c r="B485" s="33">
        <v>399117.761</v>
      </c>
      <c r="C485" s="33">
        <v>610.38</v>
      </c>
      <c r="D485" s="11">
        <v>45409</v>
      </c>
      <c r="E485" s="88">
        <v>661.814</v>
      </c>
    </row>
    <row r="486" ht="15.75" spans="1:5">
      <c r="A486" s="33">
        <v>3045042.366</v>
      </c>
      <c r="B486" s="33">
        <v>399117.761</v>
      </c>
      <c r="C486" s="33">
        <v>610.38</v>
      </c>
      <c r="D486" s="11">
        <v>45410</v>
      </c>
      <c r="E486" s="88">
        <v>662.014</v>
      </c>
    </row>
    <row r="487" ht="15.75" spans="1:5">
      <c r="A487" s="33">
        <v>3045042.366</v>
      </c>
      <c r="B487" s="33">
        <v>399117.761</v>
      </c>
      <c r="C487" s="33">
        <v>610.38</v>
      </c>
      <c r="D487" s="11">
        <v>45411</v>
      </c>
      <c r="E487" s="88">
        <v>662.114</v>
      </c>
    </row>
    <row r="488" ht="15.75" spans="1:5">
      <c r="A488" s="33">
        <v>3045042.366</v>
      </c>
      <c r="B488" s="33">
        <v>399117.761</v>
      </c>
      <c r="C488" s="33">
        <v>610.38</v>
      </c>
      <c r="D488" s="11">
        <v>45412</v>
      </c>
      <c r="E488" s="88">
        <v>662.214</v>
      </c>
    </row>
    <row r="489" ht="15.75" spans="1:5">
      <c r="A489" s="33">
        <v>3045042.366</v>
      </c>
      <c r="B489" s="33">
        <v>399117.761</v>
      </c>
      <c r="C489" s="33">
        <v>610.38</v>
      </c>
      <c r="D489" s="11">
        <v>45413</v>
      </c>
      <c r="E489" s="88">
        <v>662.414</v>
      </c>
    </row>
    <row r="490" ht="15.75" spans="1:5">
      <c r="A490" s="33">
        <v>3045042.366</v>
      </c>
      <c r="B490" s="33">
        <v>399117.761</v>
      </c>
      <c r="C490" s="33">
        <v>610.38</v>
      </c>
      <c r="D490" s="11">
        <v>45414</v>
      </c>
      <c r="E490" s="88">
        <v>662.514</v>
      </c>
    </row>
    <row r="491" ht="15.75" spans="1:5">
      <c r="A491" s="33">
        <v>3045042.366</v>
      </c>
      <c r="B491" s="33">
        <v>399117.761</v>
      </c>
      <c r="C491" s="33">
        <v>610.38</v>
      </c>
      <c r="D491" s="11">
        <v>45415</v>
      </c>
      <c r="E491" s="88">
        <v>662.614</v>
      </c>
    </row>
    <row r="492" ht="15.75" spans="1:5">
      <c r="A492" s="33">
        <v>3045042.366</v>
      </c>
      <c r="B492" s="33">
        <v>399117.761</v>
      </c>
      <c r="C492" s="33">
        <v>610.38</v>
      </c>
      <c r="D492" s="11">
        <v>45416</v>
      </c>
      <c r="E492" s="88">
        <v>662.814</v>
      </c>
    </row>
    <row r="493" ht="15.75" spans="1:5">
      <c r="A493" s="33">
        <v>3045042.366</v>
      </c>
      <c r="B493" s="33">
        <v>399117.761</v>
      </c>
      <c r="C493" s="33">
        <v>610.38</v>
      </c>
      <c r="D493" s="11">
        <v>45417</v>
      </c>
      <c r="E493" s="88">
        <v>662.914</v>
      </c>
    </row>
    <row r="494" ht="15.75" spans="1:5">
      <c r="A494" s="33">
        <v>3045042.366</v>
      </c>
      <c r="B494" s="33">
        <v>399117.761</v>
      </c>
      <c r="C494" s="33">
        <v>610.38</v>
      </c>
      <c r="D494" s="11">
        <v>45418</v>
      </c>
      <c r="E494" s="88">
        <v>663.114</v>
      </c>
    </row>
    <row r="495" ht="15.75" spans="1:5">
      <c r="A495" s="33">
        <v>3045042.366</v>
      </c>
      <c r="B495" s="33">
        <v>399117.761</v>
      </c>
      <c r="C495" s="33">
        <v>610.38</v>
      </c>
      <c r="D495" s="11">
        <v>45419</v>
      </c>
      <c r="E495" s="88">
        <v>663.214</v>
      </c>
    </row>
    <row r="496" ht="15.75" spans="1:5">
      <c r="A496" s="33">
        <v>3045042.366</v>
      </c>
      <c r="B496" s="33">
        <v>399117.761</v>
      </c>
      <c r="C496" s="33">
        <v>610.38</v>
      </c>
      <c r="D496" s="11">
        <v>45420</v>
      </c>
      <c r="E496" s="88">
        <v>663.414</v>
      </c>
    </row>
    <row r="497" ht="15.75" spans="1:5">
      <c r="A497" s="33">
        <v>3045042.366</v>
      </c>
      <c r="B497" s="33">
        <v>399117.761</v>
      </c>
      <c r="C497" s="33">
        <v>610.38</v>
      </c>
      <c r="D497" s="11">
        <v>45421</v>
      </c>
      <c r="E497" s="88">
        <v>663.514</v>
      </c>
    </row>
    <row r="498" ht="15.75" spans="1:5">
      <c r="A498" s="33">
        <v>3045042.366</v>
      </c>
      <c r="B498" s="33">
        <v>399117.761</v>
      </c>
      <c r="C498" s="33">
        <v>610.38</v>
      </c>
      <c r="D498" s="11">
        <v>45422</v>
      </c>
      <c r="E498" s="88">
        <v>663.714</v>
      </c>
    </row>
    <row r="499" ht="15.75" spans="1:5">
      <c r="A499" s="33">
        <v>3045042.366</v>
      </c>
      <c r="B499" s="33">
        <v>399117.761</v>
      </c>
      <c r="C499" s="33">
        <v>610.38</v>
      </c>
      <c r="D499" s="11">
        <v>45423</v>
      </c>
      <c r="E499" s="88">
        <v>663.814</v>
      </c>
    </row>
  </sheetData>
  <mergeCells count="1">
    <mergeCell ref="A1:C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9"/>
  <sheetViews>
    <sheetView workbookViewId="0">
      <selection activeCell="D1" sqref="D$1:D$1048576"/>
    </sheetView>
  </sheetViews>
  <sheetFormatPr defaultColWidth="9" defaultRowHeight="15" outlineLevelCol="4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5">
      <c r="A3" s="33">
        <v>3045111.715</v>
      </c>
      <c r="B3" s="33">
        <v>399697.412</v>
      </c>
      <c r="C3" s="33">
        <v>673.69</v>
      </c>
      <c r="D3" s="34">
        <v>44927</v>
      </c>
      <c r="E3" s="85"/>
    </row>
    <row r="4" ht="15.75" spans="1:5">
      <c r="A4" s="33">
        <v>3045111.715</v>
      </c>
      <c r="B4" s="33">
        <v>399697.412</v>
      </c>
      <c r="C4" s="33">
        <v>673.69</v>
      </c>
      <c r="D4" s="11">
        <v>44928</v>
      </c>
      <c r="E4" s="85"/>
    </row>
    <row r="5" ht="15.75" spans="1:5">
      <c r="A5" s="33">
        <v>3045111.715</v>
      </c>
      <c r="B5" s="33">
        <v>399697.412</v>
      </c>
      <c r="C5" s="33">
        <v>673.69</v>
      </c>
      <c r="D5" s="11">
        <v>44929</v>
      </c>
      <c r="E5" s="85"/>
    </row>
    <row r="6" ht="15.75" spans="1:5">
      <c r="A6" s="33">
        <v>3045111.715</v>
      </c>
      <c r="B6" s="33">
        <v>399697.412</v>
      </c>
      <c r="C6" s="33">
        <v>673.69</v>
      </c>
      <c r="D6" s="11">
        <v>44930</v>
      </c>
      <c r="E6" s="85"/>
    </row>
    <row r="7" ht="15.75" spans="1:5">
      <c r="A7" s="33">
        <v>3045111.715</v>
      </c>
      <c r="B7" s="33">
        <v>399697.412</v>
      </c>
      <c r="C7" s="33">
        <v>673.69</v>
      </c>
      <c r="D7" s="11">
        <v>44931</v>
      </c>
      <c r="E7" s="85"/>
    </row>
    <row r="8" ht="15.75" spans="1:5">
      <c r="A8" s="33">
        <v>3045111.715</v>
      </c>
      <c r="B8" s="33">
        <v>399697.412</v>
      </c>
      <c r="C8" s="33">
        <v>673.69</v>
      </c>
      <c r="D8" s="11">
        <v>44932</v>
      </c>
      <c r="E8" s="85"/>
    </row>
    <row r="9" ht="15.75" spans="1:5">
      <c r="A9" s="33">
        <v>3045111.715</v>
      </c>
      <c r="B9" s="33">
        <v>399697.412</v>
      </c>
      <c r="C9" s="33">
        <v>673.69</v>
      </c>
      <c r="D9" s="11">
        <v>44933</v>
      </c>
      <c r="E9" s="85"/>
    </row>
    <row r="10" ht="15.75" spans="1:5">
      <c r="A10" s="33">
        <v>3045111.715</v>
      </c>
      <c r="B10" s="33">
        <v>399697.412</v>
      </c>
      <c r="C10" s="33">
        <v>673.69</v>
      </c>
      <c r="D10" s="11">
        <v>44934</v>
      </c>
      <c r="E10" s="85"/>
    </row>
    <row r="11" ht="15.75" spans="1:5">
      <c r="A11" s="33">
        <v>3045111.715</v>
      </c>
      <c r="B11" s="33">
        <v>399697.412</v>
      </c>
      <c r="C11" s="33">
        <v>673.69</v>
      </c>
      <c r="D11" s="11">
        <v>44935</v>
      </c>
      <c r="E11" s="85"/>
    </row>
    <row r="12" ht="15.75" spans="1:5">
      <c r="A12" s="33">
        <v>3045111.715</v>
      </c>
      <c r="B12" s="33">
        <v>399697.412</v>
      </c>
      <c r="C12" s="33">
        <v>673.69</v>
      </c>
      <c r="D12" s="11">
        <v>44936</v>
      </c>
      <c r="E12" s="85"/>
    </row>
    <row r="13" ht="15.75" spans="1:5">
      <c r="A13" s="33">
        <v>3045111.715</v>
      </c>
      <c r="B13" s="33">
        <v>399697.412</v>
      </c>
      <c r="C13" s="33">
        <v>673.69</v>
      </c>
      <c r="D13" s="11">
        <v>44937</v>
      </c>
      <c r="E13" s="85"/>
    </row>
    <row r="14" ht="15.75" spans="1:5">
      <c r="A14" s="33">
        <v>3045111.715</v>
      </c>
      <c r="B14" s="33">
        <v>399697.412</v>
      </c>
      <c r="C14" s="33">
        <v>673.69</v>
      </c>
      <c r="D14" s="11">
        <v>44938</v>
      </c>
      <c r="E14" s="85"/>
    </row>
    <row r="15" ht="15.75" spans="1:5">
      <c r="A15" s="33">
        <v>3045111.715</v>
      </c>
      <c r="B15" s="33">
        <v>399697.412</v>
      </c>
      <c r="C15" s="33">
        <v>673.69</v>
      </c>
      <c r="D15" s="11">
        <v>44939</v>
      </c>
      <c r="E15" s="85"/>
    </row>
    <row r="16" ht="15.75" spans="1:5">
      <c r="A16" s="33">
        <v>3045111.715</v>
      </c>
      <c r="B16" s="33">
        <v>399697.412</v>
      </c>
      <c r="C16" s="33">
        <v>673.69</v>
      </c>
      <c r="D16" s="11">
        <v>44940</v>
      </c>
      <c r="E16" s="85"/>
    </row>
    <row r="17" ht="15.75" spans="1:5">
      <c r="A17" s="33">
        <v>3045111.715</v>
      </c>
      <c r="B17" s="33">
        <v>399697.412</v>
      </c>
      <c r="C17" s="33">
        <v>673.69</v>
      </c>
      <c r="D17" s="11">
        <v>44941</v>
      </c>
      <c r="E17" s="85"/>
    </row>
    <row r="18" ht="15.75" spans="1:5">
      <c r="A18" s="33">
        <v>3045111.715</v>
      </c>
      <c r="B18" s="33">
        <v>399697.412</v>
      </c>
      <c r="C18" s="33">
        <v>673.69</v>
      </c>
      <c r="D18" s="11">
        <v>44942</v>
      </c>
      <c r="E18" s="85"/>
    </row>
    <row r="19" ht="15.75" spans="1:5">
      <c r="A19" s="33">
        <v>3045111.715</v>
      </c>
      <c r="B19" s="33">
        <v>399697.412</v>
      </c>
      <c r="C19" s="33">
        <v>673.69</v>
      </c>
      <c r="D19" s="11">
        <v>44943</v>
      </c>
      <c r="E19" s="85"/>
    </row>
    <row r="20" ht="15.75" spans="1:5">
      <c r="A20" s="33">
        <v>3045111.715</v>
      </c>
      <c r="B20" s="33">
        <v>399697.412</v>
      </c>
      <c r="C20" s="33">
        <v>673.69</v>
      </c>
      <c r="D20" s="11">
        <v>44944</v>
      </c>
      <c r="E20" s="85"/>
    </row>
    <row r="21" ht="15.75" spans="1:5">
      <c r="A21" s="33">
        <v>3045111.715</v>
      </c>
      <c r="B21" s="33">
        <v>399697.412</v>
      </c>
      <c r="C21" s="33">
        <v>673.69</v>
      </c>
      <c r="D21" s="11">
        <v>44945</v>
      </c>
      <c r="E21" s="85"/>
    </row>
    <row r="22" ht="15.75" spans="1:5">
      <c r="A22" s="33">
        <v>3045111.715</v>
      </c>
      <c r="B22" s="33">
        <v>399697.412</v>
      </c>
      <c r="C22" s="33">
        <v>673.69</v>
      </c>
      <c r="D22" s="11">
        <v>44946</v>
      </c>
      <c r="E22" s="85"/>
    </row>
    <row r="23" ht="15.75" spans="1:5">
      <c r="A23" s="33">
        <v>3045111.715</v>
      </c>
      <c r="B23" s="33">
        <v>399697.412</v>
      </c>
      <c r="C23" s="33">
        <v>673.69</v>
      </c>
      <c r="D23" s="11">
        <v>44947</v>
      </c>
      <c r="E23" s="85"/>
    </row>
    <row r="24" ht="15.75" spans="1:5">
      <c r="A24" s="33">
        <v>3045111.715</v>
      </c>
      <c r="B24" s="33">
        <v>399697.412</v>
      </c>
      <c r="C24" s="33">
        <v>673.69</v>
      </c>
      <c r="D24" s="11">
        <v>44948</v>
      </c>
      <c r="E24" s="85"/>
    </row>
    <row r="25" ht="15.75" spans="1:5">
      <c r="A25" s="33">
        <v>3045111.715</v>
      </c>
      <c r="B25" s="33">
        <v>399697.412</v>
      </c>
      <c r="C25" s="33">
        <v>673.69</v>
      </c>
      <c r="D25" s="11">
        <v>44949</v>
      </c>
      <c r="E25" s="85"/>
    </row>
    <row r="26" ht="15.75" spans="1:5">
      <c r="A26" s="33">
        <v>3045111.715</v>
      </c>
      <c r="B26" s="33">
        <v>399697.412</v>
      </c>
      <c r="C26" s="33">
        <v>673.69</v>
      </c>
      <c r="D26" s="11">
        <v>44950</v>
      </c>
      <c r="E26" s="85"/>
    </row>
    <row r="27" ht="15.75" spans="1:5">
      <c r="A27" s="33">
        <v>3045111.715</v>
      </c>
      <c r="B27" s="33">
        <v>399697.412</v>
      </c>
      <c r="C27" s="33">
        <v>673.69</v>
      </c>
      <c r="D27" s="11">
        <v>44951</v>
      </c>
      <c r="E27" s="85"/>
    </row>
    <row r="28" ht="15.75" spans="1:5">
      <c r="A28" s="33">
        <v>3045111.715</v>
      </c>
      <c r="B28" s="33">
        <v>399697.412</v>
      </c>
      <c r="C28" s="33">
        <v>673.69</v>
      </c>
      <c r="D28" s="11">
        <v>44952</v>
      </c>
      <c r="E28" s="85"/>
    </row>
    <row r="29" ht="15.75" spans="1:5">
      <c r="A29" s="33">
        <v>3045111.715</v>
      </c>
      <c r="B29" s="33">
        <v>399697.412</v>
      </c>
      <c r="C29" s="33">
        <v>673.69</v>
      </c>
      <c r="D29" s="11">
        <v>44953</v>
      </c>
      <c r="E29" s="85"/>
    </row>
    <row r="30" ht="15.75" spans="1:5">
      <c r="A30" s="33">
        <v>3045111.715</v>
      </c>
      <c r="B30" s="33">
        <v>399697.412</v>
      </c>
      <c r="C30" s="33">
        <v>673.69</v>
      </c>
      <c r="D30" s="11">
        <v>44954</v>
      </c>
      <c r="E30" s="85"/>
    </row>
    <row r="31" ht="15.75" spans="1:5">
      <c r="A31" s="33">
        <v>3045111.715</v>
      </c>
      <c r="B31" s="33">
        <v>399697.412</v>
      </c>
      <c r="C31" s="33">
        <v>673.69</v>
      </c>
      <c r="D31" s="11">
        <v>44955</v>
      </c>
      <c r="E31" s="85"/>
    </row>
    <row r="32" ht="15.75" spans="1:5">
      <c r="A32" s="33">
        <v>3045111.715</v>
      </c>
      <c r="B32" s="33">
        <v>399697.412</v>
      </c>
      <c r="C32" s="33">
        <v>673.69</v>
      </c>
      <c r="D32" s="11">
        <v>44956</v>
      </c>
      <c r="E32" s="85"/>
    </row>
    <row r="33" ht="15.75" spans="1:5">
      <c r="A33" s="33">
        <v>3045111.715</v>
      </c>
      <c r="B33" s="33">
        <v>399697.412</v>
      </c>
      <c r="C33" s="33">
        <v>673.69</v>
      </c>
      <c r="D33" s="11">
        <v>44957</v>
      </c>
      <c r="E33" s="85"/>
    </row>
    <row r="34" ht="15.75" spans="1:5">
      <c r="A34" s="33">
        <v>3045111.715</v>
      </c>
      <c r="B34" s="33">
        <v>399697.412</v>
      </c>
      <c r="C34" s="33">
        <v>673.69</v>
      </c>
      <c r="D34" s="11">
        <v>44958</v>
      </c>
      <c r="E34" s="85"/>
    </row>
    <row r="35" ht="15.75" spans="1:5">
      <c r="A35" s="33">
        <v>3045111.715</v>
      </c>
      <c r="B35" s="33">
        <v>399697.412</v>
      </c>
      <c r="C35" s="33">
        <v>673.69</v>
      </c>
      <c r="D35" s="11">
        <v>44959</v>
      </c>
      <c r="E35" s="85"/>
    </row>
    <row r="36" ht="15.75" spans="1:5">
      <c r="A36" s="33">
        <v>3045111.715</v>
      </c>
      <c r="B36" s="33">
        <v>399697.412</v>
      </c>
      <c r="C36" s="33">
        <v>673.69</v>
      </c>
      <c r="D36" s="11">
        <v>44960</v>
      </c>
      <c r="E36" s="85"/>
    </row>
    <row r="37" ht="15.75" spans="1:5">
      <c r="A37" s="33">
        <v>3045111.715</v>
      </c>
      <c r="B37" s="33">
        <v>399697.412</v>
      </c>
      <c r="C37" s="33">
        <v>673.69</v>
      </c>
      <c r="D37" s="11">
        <v>44961</v>
      </c>
      <c r="E37" s="85"/>
    </row>
    <row r="38" ht="15.75" spans="1:5">
      <c r="A38" s="33">
        <v>3045111.715</v>
      </c>
      <c r="B38" s="33">
        <v>399697.412</v>
      </c>
      <c r="C38" s="33">
        <v>673.69</v>
      </c>
      <c r="D38" s="11">
        <v>44962</v>
      </c>
      <c r="E38" s="85"/>
    </row>
    <row r="39" ht="15.75" spans="1:5">
      <c r="A39" s="33">
        <v>3045111.715</v>
      </c>
      <c r="B39" s="33">
        <v>399697.412</v>
      </c>
      <c r="C39" s="33">
        <v>673.69</v>
      </c>
      <c r="D39" s="11">
        <v>44963</v>
      </c>
      <c r="E39" s="85"/>
    </row>
    <row r="40" ht="15.75" spans="1:5">
      <c r="A40" s="33">
        <v>3045111.715</v>
      </c>
      <c r="B40" s="33">
        <v>399697.412</v>
      </c>
      <c r="C40" s="33">
        <v>673.69</v>
      </c>
      <c r="D40" s="11">
        <v>44964</v>
      </c>
      <c r="E40" s="85"/>
    </row>
    <row r="41" ht="15.75" spans="1:5">
      <c r="A41" s="33">
        <v>3045111.715</v>
      </c>
      <c r="B41" s="33">
        <v>399697.412</v>
      </c>
      <c r="C41" s="33">
        <v>673.69</v>
      </c>
      <c r="D41" s="11">
        <v>44965</v>
      </c>
      <c r="E41" s="85"/>
    </row>
    <row r="42" ht="15.75" spans="1:5">
      <c r="A42" s="33">
        <v>3045111.715</v>
      </c>
      <c r="B42" s="33">
        <v>399697.412</v>
      </c>
      <c r="C42" s="33">
        <v>673.69</v>
      </c>
      <c r="D42" s="11">
        <v>44966</v>
      </c>
      <c r="E42" s="85"/>
    </row>
    <row r="43" ht="15.75" spans="1:5">
      <c r="A43" s="33">
        <v>3045111.715</v>
      </c>
      <c r="B43" s="33">
        <v>399697.412</v>
      </c>
      <c r="C43" s="33">
        <v>673.69</v>
      </c>
      <c r="D43" s="11">
        <v>44967</v>
      </c>
      <c r="E43" s="85"/>
    </row>
    <row r="44" ht="15.75" spans="1:5">
      <c r="A44" s="33">
        <v>3045111.715</v>
      </c>
      <c r="B44" s="33">
        <v>399697.412</v>
      </c>
      <c r="C44" s="33">
        <v>673.69</v>
      </c>
      <c r="D44" s="11">
        <v>44968</v>
      </c>
      <c r="E44" s="85"/>
    </row>
    <row r="45" ht="15.75" spans="1:5">
      <c r="A45" s="33">
        <v>3045111.715</v>
      </c>
      <c r="B45" s="33">
        <v>399697.412</v>
      </c>
      <c r="C45" s="33">
        <v>673.69</v>
      </c>
      <c r="D45" s="11">
        <v>44969</v>
      </c>
      <c r="E45" s="85"/>
    </row>
    <row r="46" ht="15.75" spans="1:5">
      <c r="A46" s="33">
        <v>3045111.715</v>
      </c>
      <c r="B46" s="33">
        <v>399697.412</v>
      </c>
      <c r="C46" s="33">
        <v>673.69</v>
      </c>
      <c r="D46" s="11">
        <v>44970</v>
      </c>
      <c r="E46" s="85"/>
    </row>
    <row r="47" ht="15.75" spans="1:5">
      <c r="A47" s="33">
        <v>3045111.715</v>
      </c>
      <c r="B47" s="33">
        <v>399697.412</v>
      </c>
      <c r="C47" s="33">
        <v>673.69</v>
      </c>
      <c r="D47" s="11">
        <v>44971</v>
      </c>
      <c r="E47" s="85"/>
    </row>
    <row r="48" ht="15.75" spans="1:5">
      <c r="A48" s="33">
        <v>3045111.715</v>
      </c>
      <c r="B48" s="33">
        <v>399697.412</v>
      </c>
      <c r="C48" s="33">
        <v>673.69</v>
      </c>
      <c r="D48" s="11">
        <v>44972</v>
      </c>
      <c r="E48" s="85"/>
    </row>
    <row r="49" ht="15.75" spans="1:5">
      <c r="A49" s="33">
        <v>3045111.715</v>
      </c>
      <c r="B49" s="33">
        <v>399697.412</v>
      </c>
      <c r="C49" s="33">
        <v>673.69</v>
      </c>
      <c r="D49" s="11">
        <v>44973</v>
      </c>
      <c r="E49" s="85"/>
    </row>
    <row r="50" ht="15.75" spans="1:5">
      <c r="A50" s="33">
        <v>3045111.715</v>
      </c>
      <c r="B50" s="33">
        <v>399697.412</v>
      </c>
      <c r="C50" s="33">
        <v>673.69</v>
      </c>
      <c r="D50" s="11">
        <v>44974</v>
      </c>
      <c r="E50" s="85"/>
    </row>
    <row r="51" ht="15.75" spans="1:5">
      <c r="A51" s="33">
        <v>3045111.715</v>
      </c>
      <c r="B51" s="33">
        <v>399697.412</v>
      </c>
      <c r="C51" s="33">
        <v>673.69</v>
      </c>
      <c r="D51" s="11">
        <v>44975</v>
      </c>
      <c r="E51" s="85"/>
    </row>
    <row r="52" ht="15.75" spans="1:5">
      <c r="A52" s="33">
        <v>3045111.715</v>
      </c>
      <c r="B52" s="33">
        <v>399697.412</v>
      </c>
      <c r="C52" s="33">
        <v>673.69</v>
      </c>
      <c r="D52" s="11">
        <v>44976</v>
      </c>
      <c r="E52" s="85"/>
    </row>
    <row r="53" ht="15.75" spans="1:5">
      <c r="A53" s="33">
        <v>3045111.715</v>
      </c>
      <c r="B53" s="33">
        <v>399697.412</v>
      </c>
      <c r="C53" s="33">
        <v>673.69</v>
      </c>
      <c r="D53" s="11">
        <v>44977</v>
      </c>
      <c r="E53" s="85"/>
    </row>
    <row r="54" ht="15.75" spans="1:5">
      <c r="A54" s="33">
        <v>3045111.715</v>
      </c>
      <c r="B54" s="33">
        <v>399697.412</v>
      </c>
      <c r="C54" s="33">
        <v>673.69</v>
      </c>
      <c r="D54" s="11">
        <v>44978</v>
      </c>
      <c r="E54" s="85"/>
    </row>
    <row r="55" ht="15.75" spans="1:5">
      <c r="A55" s="33">
        <v>3045111.715</v>
      </c>
      <c r="B55" s="33">
        <v>399697.412</v>
      </c>
      <c r="C55" s="33">
        <v>673.69</v>
      </c>
      <c r="D55" s="11">
        <v>44979</v>
      </c>
      <c r="E55" s="85"/>
    </row>
    <row r="56" ht="15.75" spans="1:5">
      <c r="A56" s="33">
        <v>3045111.715</v>
      </c>
      <c r="B56" s="33">
        <v>399697.412</v>
      </c>
      <c r="C56" s="33">
        <v>673.69</v>
      </c>
      <c r="D56" s="11">
        <v>44980</v>
      </c>
      <c r="E56" s="85"/>
    </row>
    <row r="57" ht="15.75" spans="1:5">
      <c r="A57" s="33">
        <v>3045111.715</v>
      </c>
      <c r="B57" s="33">
        <v>399697.412</v>
      </c>
      <c r="C57" s="33">
        <v>673.69</v>
      </c>
      <c r="D57" s="11">
        <v>44981</v>
      </c>
      <c r="E57" s="85"/>
    </row>
    <row r="58" ht="15.75" spans="1:5">
      <c r="A58" s="33">
        <v>3045111.715</v>
      </c>
      <c r="B58" s="33">
        <v>399697.412</v>
      </c>
      <c r="C58" s="33">
        <v>673.69</v>
      </c>
      <c r="D58" s="11">
        <v>44982</v>
      </c>
      <c r="E58" s="85"/>
    </row>
    <row r="59" ht="15.75" spans="1:5">
      <c r="A59" s="33">
        <v>3045111.715</v>
      </c>
      <c r="B59" s="33">
        <v>399697.412</v>
      </c>
      <c r="C59" s="33">
        <v>673.69</v>
      </c>
      <c r="D59" s="11">
        <v>44983</v>
      </c>
      <c r="E59" s="85"/>
    </row>
    <row r="60" ht="15.75" spans="1:5">
      <c r="A60" s="33">
        <v>3045111.715</v>
      </c>
      <c r="B60" s="33">
        <v>399697.412</v>
      </c>
      <c r="C60" s="33">
        <v>673.69</v>
      </c>
      <c r="D60" s="11">
        <v>44984</v>
      </c>
      <c r="E60" s="85"/>
    </row>
    <row r="61" ht="15.75" spans="1:5">
      <c r="A61" s="33">
        <v>3045111.715</v>
      </c>
      <c r="B61" s="33">
        <v>399697.412</v>
      </c>
      <c r="C61" s="33">
        <v>673.69</v>
      </c>
      <c r="D61" s="11">
        <v>44985</v>
      </c>
      <c r="E61" s="85"/>
    </row>
    <row r="62" ht="15.75" spans="1:5">
      <c r="A62" s="33">
        <v>3045111.715</v>
      </c>
      <c r="B62" s="33">
        <v>399697.412</v>
      </c>
      <c r="C62" s="33">
        <v>673.69</v>
      </c>
      <c r="D62" s="11">
        <v>44986</v>
      </c>
      <c r="E62" s="85"/>
    </row>
    <row r="63" ht="15.75" spans="1:5">
      <c r="A63" s="33">
        <v>3045111.715</v>
      </c>
      <c r="B63" s="33">
        <v>399697.412</v>
      </c>
      <c r="C63" s="33">
        <v>673.69</v>
      </c>
      <c r="D63" s="11">
        <v>44987</v>
      </c>
      <c r="E63" s="85"/>
    </row>
    <row r="64" ht="15.75" spans="1:5">
      <c r="A64" s="33">
        <v>3045111.715</v>
      </c>
      <c r="B64" s="33">
        <v>399697.412</v>
      </c>
      <c r="C64" s="33">
        <v>673.69</v>
      </c>
      <c r="D64" s="11">
        <v>44988</v>
      </c>
      <c r="E64" s="85"/>
    </row>
    <row r="65" ht="15.75" spans="1:5">
      <c r="A65" s="33">
        <v>3045111.715</v>
      </c>
      <c r="B65" s="33">
        <v>399697.412</v>
      </c>
      <c r="C65" s="33">
        <v>673.69</v>
      </c>
      <c r="D65" s="11">
        <v>44989</v>
      </c>
      <c r="E65" s="85"/>
    </row>
    <row r="66" ht="15.75" spans="1:5">
      <c r="A66" s="33">
        <v>3045111.715</v>
      </c>
      <c r="B66" s="33">
        <v>399697.412</v>
      </c>
      <c r="C66" s="33">
        <v>673.69</v>
      </c>
      <c r="D66" s="11">
        <v>44990</v>
      </c>
      <c r="E66" s="85"/>
    </row>
    <row r="67" ht="15.75" spans="1:5">
      <c r="A67" s="33">
        <v>3045111.715</v>
      </c>
      <c r="B67" s="33">
        <v>399697.412</v>
      </c>
      <c r="C67" s="33">
        <v>673.69</v>
      </c>
      <c r="D67" s="11">
        <v>44991</v>
      </c>
      <c r="E67" s="85"/>
    </row>
    <row r="68" ht="15.75" spans="1:5">
      <c r="A68" s="33">
        <v>3045111.715</v>
      </c>
      <c r="B68" s="33">
        <v>399697.412</v>
      </c>
      <c r="C68" s="33">
        <v>673.69</v>
      </c>
      <c r="D68" s="11">
        <v>44992</v>
      </c>
      <c r="E68" s="85"/>
    </row>
    <row r="69" ht="15.75" spans="1:5">
      <c r="A69" s="33">
        <v>3045111.715</v>
      </c>
      <c r="B69" s="33">
        <v>399697.412</v>
      </c>
      <c r="C69" s="33">
        <v>673.69</v>
      </c>
      <c r="D69" s="11">
        <v>44993</v>
      </c>
      <c r="E69" s="85"/>
    </row>
    <row r="70" ht="15.75" spans="1:5">
      <c r="A70" s="33">
        <v>3045111.715</v>
      </c>
      <c r="B70" s="33">
        <v>399697.412</v>
      </c>
      <c r="C70" s="33">
        <v>673.69</v>
      </c>
      <c r="D70" s="11">
        <v>44994</v>
      </c>
      <c r="E70" s="85"/>
    </row>
    <row r="71" ht="15.75" spans="1:5">
      <c r="A71" s="33">
        <v>3045111.715</v>
      </c>
      <c r="B71" s="33">
        <v>399697.412</v>
      </c>
      <c r="C71" s="33">
        <v>673.69</v>
      </c>
      <c r="D71" s="11">
        <v>44995</v>
      </c>
      <c r="E71" s="85"/>
    </row>
    <row r="72" ht="15.75" spans="1:5">
      <c r="A72" s="33">
        <v>3045111.715</v>
      </c>
      <c r="B72" s="33">
        <v>399697.412</v>
      </c>
      <c r="C72" s="33">
        <v>673.69</v>
      </c>
      <c r="D72" s="11">
        <v>44996</v>
      </c>
      <c r="E72" s="85"/>
    </row>
    <row r="73" ht="15.75" spans="1:5">
      <c r="A73" s="33">
        <v>3045111.715</v>
      </c>
      <c r="B73" s="33">
        <v>399697.412</v>
      </c>
      <c r="C73" s="33">
        <v>673.69</v>
      </c>
      <c r="D73" s="11">
        <v>44997</v>
      </c>
      <c r="E73" s="85"/>
    </row>
    <row r="74" ht="15.75" spans="1:5">
      <c r="A74" s="33">
        <v>3045111.715</v>
      </c>
      <c r="B74" s="33">
        <v>399697.412</v>
      </c>
      <c r="C74" s="33">
        <v>673.69</v>
      </c>
      <c r="D74" s="11">
        <v>44998</v>
      </c>
      <c r="E74" s="85"/>
    </row>
    <row r="75" ht="15.75" spans="1:5">
      <c r="A75" s="33">
        <v>3045111.715</v>
      </c>
      <c r="B75" s="33">
        <v>399697.412</v>
      </c>
      <c r="C75" s="33">
        <v>673.69</v>
      </c>
      <c r="D75" s="11">
        <v>44999</v>
      </c>
      <c r="E75" s="85"/>
    </row>
    <row r="76" ht="15.75" spans="1:5">
      <c r="A76" s="33">
        <v>3045111.715</v>
      </c>
      <c r="B76" s="33">
        <v>399697.412</v>
      </c>
      <c r="C76" s="33">
        <v>673.69</v>
      </c>
      <c r="D76" s="11">
        <v>45000</v>
      </c>
      <c r="E76" s="85"/>
    </row>
    <row r="77" ht="15.75" spans="1:5">
      <c r="A77" s="33">
        <v>3045111.715</v>
      </c>
      <c r="B77" s="33">
        <v>399697.412</v>
      </c>
      <c r="C77" s="33">
        <v>673.69</v>
      </c>
      <c r="D77" s="11">
        <v>45001</v>
      </c>
      <c r="E77" s="85"/>
    </row>
    <row r="78" ht="15.75" spans="1:5">
      <c r="A78" s="33">
        <v>3045111.715</v>
      </c>
      <c r="B78" s="33">
        <v>399697.412</v>
      </c>
      <c r="C78" s="33">
        <v>673.69</v>
      </c>
      <c r="D78" s="11">
        <v>45002</v>
      </c>
      <c r="E78" s="85"/>
    </row>
    <row r="79" ht="15.75" spans="1:5">
      <c r="A79" s="33">
        <v>3045111.715</v>
      </c>
      <c r="B79" s="33">
        <v>399697.412</v>
      </c>
      <c r="C79" s="33">
        <v>673.69</v>
      </c>
      <c r="D79" s="11">
        <v>45003</v>
      </c>
      <c r="E79" s="85"/>
    </row>
    <row r="80" ht="15.75" spans="1:5">
      <c r="A80" s="33">
        <v>3045111.715</v>
      </c>
      <c r="B80" s="33">
        <v>399697.412</v>
      </c>
      <c r="C80" s="33">
        <v>673.69</v>
      </c>
      <c r="D80" s="11">
        <v>45004</v>
      </c>
      <c r="E80" s="85"/>
    </row>
    <row r="81" ht="15.75" spans="1:5">
      <c r="A81" s="33">
        <v>3045111.715</v>
      </c>
      <c r="B81" s="33">
        <v>399697.412</v>
      </c>
      <c r="C81" s="33">
        <v>673.69</v>
      </c>
      <c r="D81" s="11">
        <v>45005</v>
      </c>
      <c r="E81" s="85"/>
    </row>
    <row r="82" ht="15.75" spans="1:5">
      <c r="A82" s="33">
        <v>3045111.715</v>
      </c>
      <c r="B82" s="33">
        <v>399697.412</v>
      </c>
      <c r="C82" s="33">
        <v>673.69</v>
      </c>
      <c r="D82" s="11">
        <v>45006</v>
      </c>
      <c r="E82" s="85"/>
    </row>
    <row r="83" ht="15.75" spans="1:5">
      <c r="A83" s="33">
        <v>3045111.715</v>
      </c>
      <c r="B83" s="33">
        <v>399697.412</v>
      </c>
      <c r="C83" s="33">
        <v>673.69</v>
      </c>
      <c r="D83" s="11">
        <v>45007</v>
      </c>
      <c r="E83" s="85"/>
    </row>
    <row r="84" ht="15.75" spans="1:5">
      <c r="A84" s="33">
        <v>3045111.715</v>
      </c>
      <c r="B84" s="33">
        <v>399697.412</v>
      </c>
      <c r="C84" s="33">
        <v>673.69</v>
      </c>
      <c r="D84" s="11">
        <v>45008</v>
      </c>
      <c r="E84" s="85"/>
    </row>
    <row r="85" ht="15.75" spans="1:5">
      <c r="A85" s="33">
        <v>3045111.715</v>
      </c>
      <c r="B85" s="33">
        <v>399697.412</v>
      </c>
      <c r="C85" s="33">
        <v>673.69</v>
      </c>
      <c r="D85" s="11">
        <v>45009</v>
      </c>
      <c r="E85" s="85"/>
    </row>
    <row r="86" ht="15.75" spans="1:5">
      <c r="A86" s="33">
        <v>3045111.715</v>
      </c>
      <c r="B86" s="33">
        <v>399697.412</v>
      </c>
      <c r="C86" s="33">
        <v>673.69</v>
      </c>
      <c r="D86" s="11">
        <v>45010</v>
      </c>
      <c r="E86" s="85"/>
    </row>
    <row r="87" ht="15.75" spans="1:5">
      <c r="A87" s="33">
        <v>3045111.715</v>
      </c>
      <c r="B87" s="33">
        <v>399697.412</v>
      </c>
      <c r="C87" s="33">
        <v>673.69</v>
      </c>
      <c r="D87" s="11">
        <v>45011</v>
      </c>
      <c r="E87" s="85"/>
    </row>
    <row r="88" ht="15.75" spans="1:5">
      <c r="A88" s="33">
        <v>3045111.715</v>
      </c>
      <c r="B88" s="33">
        <v>399697.412</v>
      </c>
      <c r="C88" s="33">
        <v>673.69</v>
      </c>
      <c r="D88" s="11">
        <v>45012</v>
      </c>
      <c r="E88" s="85"/>
    </row>
    <row r="89" ht="15.75" spans="1:5">
      <c r="A89" s="33">
        <v>3045111.715</v>
      </c>
      <c r="B89" s="33">
        <v>399697.412</v>
      </c>
      <c r="C89" s="33">
        <v>673.69</v>
      </c>
      <c r="D89" s="11">
        <v>45013</v>
      </c>
      <c r="E89" s="85"/>
    </row>
    <row r="90" ht="15.75" spans="1:5">
      <c r="A90" s="33">
        <v>3045111.715</v>
      </c>
      <c r="B90" s="33">
        <v>399697.412</v>
      </c>
      <c r="C90" s="33">
        <v>673.69</v>
      </c>
      <c r="D90" s="11">
        <v>45014</v>
      </c>
      <c r="E90" s="85"/>
    </row>
    <row r="91" ht="15.75" spans="1:5">
      <c r="A91" s="33">
        <v>3045111.715</v>
      </c>
      <c r="B91" s="33">
        <v>399697.412</v>
      </c>
      <c r="C91" s="33">
        <v>673.69</v>
      </c>
      <c r="D91" s="11">
        <v>45015</v>
      </c>
      <c r="E91" s="85"/>
    </row>
    <row r="92" ht="15.75" spans="1:5">
      <c r="A92" s="33">
        <v>3045111.715</v>
      </c>
      <c r="B92" s="33">
        <v>399697.412</v>
      </c>
      <c r="C92" s="33">
        <v>673.69</v>
      </c>
      <c r="D92" s="11">
        <v>45016</v>
      </c>
      <c r="E92" s="85"/>
    </row>
    <row r="93" ht="15.75" spans="1:5">
      <c r="A93" s="33">
        <v>3045111.715</v>
      </c>
      <c r="B93" s="33">
        <v>399697.412</v>
      </c>
      <c r="C93" s="33">
        <v>673.69</v>
      </c>
      <c r="D93" s="11">
        <v>45017</v>
      </c>
      <c r="E93" s="85"/>
    </row>
    <row r="94" ht="15.75" spans="1:5">
      <c r="A94" s="33">
        <v>3045111.715</v>
      </c>
      <c r="B94" s="33">
        <v>399697.412</v>
      </c>
      <c r="C94" s="33">
        <v>673.69</v>
      </c>
      <c r="D94" s="11">
        <v>45018</v>
      </c>
      <c r="E94" s="85"/>
    </row>
    <row r="95" ht="15.75" spans="1:5">
      <c r="A95" s="33">
        <v>3045111.715</v>
      </c>
      <c r="B95" s="33">
        <v>399697.412</v>
      </c>
      <c r="C95" s="33">
        <v>673.69</v>
      </c>
      <c r="D95" s="11">
        <v>45019</v>
      </c>
      <c r="E95" s="85"/>
    </row>
    <row r="96" ht="15.75" spans="1:5">
      <c r="A96" s="33">
        <v>3045111.715</v>
      </c>
      <c r="B96" s="33">
        <v>399697.412</v>
      </c>
      <c r="C96" s="33">
        <v>673.69</v>
      </c>
      <c r="D96" s="11">
        <v>45020</v>
      </c>
      <c r="E96" s="85"/>
    </row>
    <row r="97" ht="15.75" spans="1:5">
      <c r="A97" s="33">
        <v>3045111.715</v>
      </c>
      <c r="B97" s="33">
        <v>399697.412</v>
      </c>
      <c r="C97" s="33">
        <v>673.69</v>
      </c>
      <c r="D97" s="11">
        <v>45021</v>
      </c>
      <c r="E97" s="85"/>
    </row>
    <row r="98" ht="15.75" spans="1:5">
      <c r="A98" s="33">
        <v>3045111.715</v>
      </c>
      <c r="B98" s="33">
        <v>399697.412</v>
      </c>
      <c r="C98" s="33">
        <v>673.69</v>
      </c>
      <c r="D98" s="11">
        <v>45022</v>
      </c>
      <c r="E98" s="85"/>
    </row>
    <row r="99" ht="15.75" spans="1:5">
      <c r="A99" s="33">
        <v>3045111.715</v>
      </c>
      <c r="B99" s="33">
        <v>399697.412</v>
      </c>
      <c r="C99" s="33">
        <v>673.69</v>
      </c>
      <c r="D99" s="11">
        <v>45023</v>
      </c>
      <c r="E99" s="85"/>
    </row>
    <row r="100" ht="15.75" spans="1:5">
      <c r="A100" s="33">
        <v>3045111.715</v>
      </c>
      <c r="B100" s="33">
        <v>399697.412</v>
      </c>
      <c r="C100" s="33">
        <v>673.69</v>
      </c>
      <c r="D100" s="11">
        <v>45024</v>
      </c>
      <c r="E100" s="85"/>
    </row>
    <row r="101" ht="15.75" spans="1:5">
      <c r="A101" s="33">
        <v>3045111.715</v>
      </c>
      <c r="B101" s="33">
        <v>399697.412</v>
      </c>
      <c r="C101" s="33">
        <v>673.69</v>
      </c>
      <c r="D101" s="11">
        <v>45025</v>
      </c>
      <c r="E101" s="85"/>
    </row>
    <row r="102" ht="15.75" spans="1:5">
      <c r="A102" s="33">
        <v>3045111.715</v>
      </c>
      <c r="B102" s="33">
        <v>399697.412</v>
      </c>
      <c r="C102" s="33">
        <v>673.69</v>
      </c>
      <c r="D102" s="11">
        <v>45026</v>
      </c>
      <c r="E102" s="85"/>
    </row>
    <row r="103" ht="15.75" spans="1:5">
      <c r="A103" s="33">
        <v>3045111.715</v>
      </c>
      <c r="B103" s="33">
        <v>399697.412</v>
      </c>
      <c r="C103" s="33">
        <v>673.69</v>
      </c>
      <c r="D103" s="11">
        <v>45027</v>
      </c>
      <c r="E103" s="85"/>
    </row>
    <row r="104" ht="15.75" spans="1:5">
      <c r="A104" s="33">
        <v>3045111.715</v>
      </c>
      <c r="B104" s="33">
        <v>399697.412</v>
      </c>
      <c r="C104" s="33">
        <v>673.69</v>
      </c>
      <c r="D104" s="11">
        <v>45028</v>
      </c>
      <c r="E104" s="85"/>
    </row>
    <row r="105" ht="15.75" spans="1:5">
      <c r="A105" s="33">
        <v>3045111.715</v>
      </c>
      <c r="B105" s="33">
        <v>399697.412</v>
      </c>
      <c r="C105" s="33">
        <v>673.69</v>
      </c>
      <c r="D105" s="11">
        <v>45029</v>
      </c>
      <c r="E105" s="85"/>
    </row>
    <row r="106" ht="15.75" spans="1:5">
      <c r="A106" s="33">
        <v>3045111.715</v>
      </c>
      <c r="B106" s="33">
        <v>399697.412</v>
      </c>
      <c r="C106" s="33">
        <v>673.69</v>
      </c>
      <c r="D106" s="11">
        <v>45030</v>
      </c>
      <c r="E106" s="85"/>
    </row>
    <row r="107" ht="15.75" spans="1:5">
      <c r="A107" s="33">
        <v>3045111.715</v>
      </c>
      <c r="B107" s="33">
        <v>399697.412</v>
      </c>
      <c r="C107" s="33">
        <v>673.69</v>
      </c>
      <c r="D107" s="11">
        <v>45031</v>
      </c>
      <c r="E107" s="86">
        <v>687</v>
      </c>
    </row>
    <row r="108" ht="15.75" spans="1:5">
      <c r="A108" s="33">
        <v>3045111.715</v>
      </c>
      <c r="B108" s="33">
        <v>399697.412</v>
      </c>
      <c r="C108" s="33">
        <v>673.69</v>
      </c>
      <c r="D108" s="11">
        <v>45032</v>
      </c>
      <c r="E108" s="86"/>
    </row>
    <row r="109" ht="15.75" spans="1:5">
      <c r="A109" s="33">
        <v>3045111.715</v>
      </c>
      <c r="B109" s="33">
        <v>399697.412</v>
      </c>
      <c r="C109" s="33">
        <v>673.69</v>
      </c>
      <c r="D109" s="11">
        <v>45033</v>
      </c>
      <c r="E109" s="86"/>
    </row>
    <row r="110" ht="15.75" spans="1:5">
      <c r="A110" s="33">
        <v>3045111.715</v>
      </c>
      <c r="B110" s="33">
        <v>399697.412</v>
      </c>
      <c r="C110" s="33">
        <v>673.69</v>
      </c>
      <c r="D110" s="11">
        <v>45034</v>
      </c>
      <c r="E110" s="86"/>
    </row>
    <row r="111" ht="15.75" spans="1:5">
      <c r="A111" s="33">
        <v>3045111.715</v>
      </c>
      <c r="B111" s="33">
        <v>399697.412</v>
      </c>
      <c r="C111" s="33">
        <v>673.69</v>
      </c>
      <c r="D111" s="11">
        <v>45035</v>
      </c>
      <c r="E111" s="86"/>
    </row>
    <row r="112" ht="15.75" spans="1:5">
      <c r="A112" s="33">
        <v>3045111.715</v>
      </c>
      <c r="B112" s="33">
        <v>399697.412</v>
      </c>
      <c r="C112" s="33">
        <v>673.69</v>
      </c>
      <c r="D112" s="11">
        <v>45036</v>
      </c>
      <c r="E112" s="86">
        <v>688</v>
      </c>
    </row>
    <row r="113" ht="15.75" spans="1:5">
      <c r="A113" s="33">
        <v>3045111.715</v>
      </c>
      <c r="B113" s="33">
        <v>399697.412</v>
      </c>
      <c r="C113" s="33">
        <v>673.69</v>
      </c>
      <c r="D113" s="11">
        <v>45037</v>
      </c>
      <c r="E113" s="86"/>
    </row>
    <row r="114" ht="15.75" spans="1:5">
      <c r="A114" s="33">
        <v>3045111.715</v>
      </c>
      <c r="B114" s="33">
        <v>399697.412</v>
      </c>
      <c r="C114" s="33">
        <v>673.69</v>
      </c>
      <c r="D114" s="11">
        <v>45038</v>
      </c>
      <c r="E114" s="86"/>
    </row>
    <row r="115" ht="15.75" spans="1:5">
      <c r="A115" s="33">
        <v>3045111.715</v>
      </c>
      <c r="B115" s="33">
        <v>399697.412</v>
      </c>
      <c r="C115" s="33">
        <v>673.69</v>
      </c>
      <c r="D115" s="11">
        <v>45039</v>
      </c>
      <c r="E115" s="86"/>
    </row>
    <row r="116" ht="15.75" spans="1:5">
      <c r="A116" s="33">
        <v>3045111.715</v>
      </c>
      <c r="B116" s="33">
        <v>399697.412</v>
      </c>
      <c r="C116" s="33">
        <v>673.69</v>
      </c>
      <c r="D116" s="11">
        <v>45040</v>
      </c>
      <c r="E116" s="86"/>
    </row>
    <row r="117" ht="15.75" spans="1:5">
      <c r="A117" s="33">
        <v>3045111.715</v>
      </c>
      <c r="B117" s="33">
        <v>399697.412</v>
      </c>
      <c r="C117" s="33">
        <v>673.69</v>
      </c>
      <c r="D117" s="11">
        <v>45041</v>
      </c>
      <c r="E117" s="86">
        <v>688</v>
      </c>
    </row>
    <row r="118" ht="15.75" spans="1:5">
      <c r="A118" s="33">
        <v>3045111.715</v>
      </c>
      <c r="B118" s="33">
        <v>399697.412</v>
      </c>
      <c r="C118" s="33">
        <v>673.69</v>
      </c>
      <c r="D118" s="11">
        <v>45042</v>
      </c>
      <c r="E118" s="86"/>
    </row>
    <row r="119" ht="15.75" spans="1:5">
      <c r="A119" s="33">
        <v>3045111.715</v>
      </c>
      <c r="B119" s="33">
        <v>399697.412</v>
      </c>
      <c r="C119" s="33">
        <v>673.69</v>
      </c>
      <c r="D119" s="11">
        <v>45043</v>
      </c>
      <c r="E119" s="86"/>
    </row>
    <row r="120" ht="15.75" spans="1:5">
      <c r="A120" s="33">
        <v>3045111.715</v>
      </c>
      <c r="B120" s="33">
        <v>399697.412</v>
      </c>
      <c r="C120" s="33">
        <v>673.69</v>
      </c>
      <c r="D120" s="11">
        <v>45044</v>
      </c>
      <c r="E120" s="86"/>
    </row>
    <row r="121" ht="15.75" spans="1:5">
      <c r="A121" s="33">
        <v>3045111.715</v>
      </c>
      <c r="B121" s="33">
        <v>399697.412</v>
      </c>
      <c r="C121" s="33">
        <v>673.69</v>
      </c>
      <c r="D121" s="11">
        <v>45045</v>
      </c>
      <c r="E121" s="86"/>
    </row>
    <row r="122" ht="15.75" spans="1:5">
      <c r="A122" s="33">
        <v>3045111.715</v>
      </c>
      <c r="B122" s="33">
        <v>399697.412</v>
      </c>
      <c r="C122" s="33">
        <v>673.69</v>
      </c>
      <c r="D122" s="11">
        <v>45046</v>
      </c>
      <c r="E122" s="86">
        <v>688</v>
      </c>
    </row>
    <row r="123" ht="15.75" spans="1:5">
      <c r="A123" s="33">
        <v>3045111.715</v>
      </c>
      <c r="B123" s="33">
        <v>399697.412</v>
      </c>
      <c r="C123" s="33">
        <v>673.69</v>
      </c>
      <c r="D123" s="11">
        <v>45047</v>
      </c>
      <c r="E123" s="86"/>
    </row>
    <row r="124" ht="15.75" spans="1:5">
      <c r="A124" s="33">
        <v>3045111.715</v>
      </c>
      <c r="B124" s="33">
        <v>399697.412</v>
      </c>
      <c r="C124" s="33">
        <v>673.69</v>
      </c>
      <c r="D124" s="11">
        <v>45048</v>
      </c>
      <c r="E124" s="86"/>
    </row>
    <row r="125" ht="15.75" spans="1:5">
      <c r="A125" s="33">
        <v>3045111.715</v>
      </c>
      <c r="B125" s="33">
        <v>399697.412</v>
      </c>
      <c r="C125" s="33">
        <v>673.69</v>
      </c>
      <c r="D125" s="11">
        <v>45049</v>
      </c>
      <c r="E125" s="86"/>
    </row>
    <row r="126" ht="15.75" spans="1:5">
      <c r="A126" s="33">
        <v>3045111.715</v>
      </c>
      <c r="B126" s="33">
        <v>399697.412</v>
      </c>
      <c r="C126" s="33">
        <v>673.69</v>
      </c>
      <c r="D126" s="11">
        <v>45050</v>
      </c>
      <c r="E126" s="86"/>
    </row>
    <row r="127" ht="15.75" spans="1:5">
      <c r="A127" s="33">
        <v>3045111.715</v>
      </c>
      <c r="B127" s="33">
        <v>399697.412</v>
      </c>
      <c r="C127" s="33">
        <v>673.69</v>
      </c>
      <c r="D127" s="11">
        <v>45051</v>
      </c>
      <c r="E127" s="86">
        <v>688</v>
      </c>
    </row>
    <row r="128" ht="15.75" spans="1:5">
      <c r="A128" s="33">
        <v>3045111.715</v>
      </c>
      <c r="B128" s="33">
        <v>399697.412</v>
      </c>
      <c r="C128" s="33">
        <v>673.69</v>
      </c>
      <c r="D128" s="11">
        <v>45052</v>
      </c>
      <c r="E128" s="86"/>
    </row>
    <row r="129" ht="15.75" spans="1:5">
      <c r="A129" s="33">
        <v>3045111.715</v>
      </c>
      <c r="B129" s="33">
        <v>399697.412</v>
      </c>
      <c r="C129" s="33">
        <v>673.69</v>
      </c>
      <c r="D129" s="11">
        <v>45053</v>
      </c>
      <c r="E129" s="86"/>
    </row>
    <row r="130" ht="15.75" spans="1:5">
      <c r="A130" s="33">
        <v>3045111.715</v>
      </c>
      <c r="B130" s="33">
        <v>399697.412</v>
      </c>
      <c r="C130" s="33">
        <v>673.69</v>
      </c>
      <c r="D130" s="11">
        <v>45054</v>
      </c>
      <c r="E130" s="86"/>
    </row>
    <row r="131" ht="15.75" spans="1:5">
      <c r="A131" s="33">
        <v>3045111.715</v>
      </c>
      <c r="B131" s="33">
        <v>399697.412</v>
      </c>
      <c r="C131" s="33">
        <v>673.69</v>
      </c>
      <c r="D131" s="11">
        <v>45055</v>
      </c>
      <c r="E131" s="86"/>
    </row>
    <row r="132" ht="15.75" spans="1:5">
      <c r="A132" s="33">
        <v>3045111.715</v>
      </c>
      <c r="B132" s="33">
        <v>399697.412</v>
      </c>
      <c r="C132" s="33">
        <v>673.69</v>
      </c>
      <c r="D132" s="11">
        <v>45056</v>
      </c>
      <c r="E132" s="86">
        <v>688</v>
      </c>
    </row>
    <row r="133" ht="15.75" spans="1:5">
      <c r="A133" s="33">
        <v>3045111.715</v>
      </c>
      <c r="B133" s="33">
        <v>399697.412</v>
      </c>
      <c r="C133" s="33">
        <v>673.69</v>
      </c>
      <c r="D133" s="11">
        <v>45057</v>
      </c>
      <c r="E133" s="85"/>
    </row>
    <row r="134" ht="15.75" spans="1:5">
      <c r="A134" s="33">
        <v>3045111.715</v>
      </c>
      <c r="B134" s="33">
        <v>399697.412</v>
      </c>
      <c r="C134" s="33">
        <v>673.69</v>
      </c>
      <c r="D134" s="11">
        <v>45058</v>
      </c>
      <c r="E134" s="85"/>
    </row>
    <row r="135" ht="15.75" spans="1:5">
      <c r="A135" s="33">
        <v>3045111.715</v>
      </c>
      <c r="B135" s="33">
        <v>399697.412</v>
      </c>
      <c r="C135" s="33">
        <v>673.69</v>
      </c>
      <c r="D135" s="11">
        <v>45059</v>
      </c>
      <c r="E135" s="85"/>
    </row>
    <row r="136" ht="15.75" spans="1:5">
      <c r="A136" s="33">
        <v>3045111.715</v>
      </c>
      <c r="B136" s="33">
        <v>399697.412</v>
      </c>
      <c r="C136" s="33">
        <v>673.69</v>
      </c>
      <c r="D136" s="11">
        <v>45060</v>
      </c>
      <c r="E136" s="85"/>
    </row>
    <row r="137" ht="15.75" spans="1:5">
      <c r="A137" s="33">
        <v>3045111.715</v>
      </c>
      <c r="B137" s="33">
        <v>399697.412</v>
      </c>
      <c r="C137" s="33">
        <v>673.69</v>
      </c>
      <c r="D137" s="11">
        <v>45061</v>
      </c>
      <c r="E137" s="85"/>
    </row>
    <row r="138" ht="15.75" spans="1:5">
      <c r="A138" s="33">
        <v>3045111.715</v>
      </c>
      <c r="B138" s="33">
        <v>399697.412</v>
      </c>
      <c r="C138" s="33">
        <v>673.69</v>
      </c>
      <c r="D138" s="11">
        <v>45062</v>
      </c>
      <c r="E138" s="85"/>
    </row>
    <row r="139" ht="15.75" spans="1:5">
      <c r="A139" s="33">
        <v>3045111.715</v>
      </c>
      <c r="B139" s="33">
        <v>399697.412</v>
      </c>
      <c r="C139" s="33">
        <v>673.69</v>
      </c>
      <c r="D139" s="11">
        <v>45063</v>
      </c>
      <c r="E139" s="85"/>
    </row>
    <row r="140" ht="15.75" spans="1:5">
      <c r="A140" s="33">
        <v>3045111.715</v>
      </c>
      <c r="B140" s="33">
        <v>399697.412</v>
      </c>
      <c r="C140" s="33">
        <v>673.69</v>
      </c>
      <c r="D140" s="11">
        <v>45064</v>
      </c>
      <c r="E140" s="86">
        <v>688</v>
      </c>
    </row>
    <row r="141" ht="15.75" spans="1:5">
      <c r="A141" s="33">
        <v>3045111.715</v>
      </c>
      <c r="B141" s="33">
        <v>399697.412</v>
      </c>
      <c r="C141" s="33">
        <v>673.69</v>
      </c>
      <c r="D141" s="11">
        <v>45065</v>
      </c>
      <c r="E141" s="85"/>
    </row>
    <row r="142" ht="15.75" spans="1:5">
      <c r="A142" s="33">
        <v>3045111.715</v>
      </c>
      <c r="B142" s="33">
        <v>399697.412</v>
      </c>
      <c r="C142" s="33">
        <v>673.69</v>
      </c>
      <c r="D142" s="11">
        <v>45066</v>
      </c>
      <c r="E142" s="85"/>
    </row>
    <row r="143" ht="15.75" spans="1:5">
      <c r="A143" s="33">
        <v>3045111.715</v>
      </c>
      <c r="B143" s="33">
        <v>399697.412</v>
      </c>
      <c r="C143" s="33">
        <v>673.69</v>
      </c>
      <c r="D143" s="11">
        <v>45067</v>
      </c>
      <c r="E143" s="85"/>
    </row>
    <row r="144" ht="15.75" spans="1:5">
      <c r="A144" s="33">
        <v>3045111.715</v>
      </c>
      <c r="B144" s="33">
        <v>399697.412</v>
      </c>
      <c r="C144" s="33">
        <v>673.69</v>
      </c>
      <c r="D144" s="11">
        <v>45068</v>
      </c>
      <c r="E144" s="85"/>
    </row>
    <row r="145" ht="15.75" spans="1:5">
      <c r="A145" s="33">
        <v>3045111.715</v>
      </c>
      <c r="B145" s="33">
        <v>399697.412</v>
      </c>
      <c r="C145" s="33">
        <v>673.69</v>
      </c>
      <c r="D145" s="11">
        <v>45069</v>
      </c>
      <c r="E145" s="85"/>
    </row>
    <row r="146" ht="15.75" spans="1:5">
      <c r="A146" s="33">
        <v>3045111.715</v>
      </c>
      <c r="B146" s="33">
        <v>399697.412</v>
      </c>
      <c r="C146" s="33">
        <v>673.69</v>
      </c>
      <c r="D146" s="11">
        <v>45070</v>
      </c>
      <c r="E146" s="85"/>
    </row>
    <row r="147" ht="15.75" spans="1:5">
      <c r="A147" s="33">
        <v>3045111.715</v>
      </c>
      <c r="B147" s="33">
        <v>399697.412</v>
      </c>
      <c r="C147" s="33">
        <v>673.69</v>
      </c>
      <c r="D147" s="11">
        <v>45071</v>
      </c>
      <c r="E147" s="86">
        <v>688</v>
      </c>
    </row>
    <row r="148" ht="15.75" spans="1:5">
      <c r="A148" s="33">
        <v>3045111.715</v>
      </c>
      <c r="B148" s="33">
        <v>399697.412</v>
      </c>
      <c r="C148" s="33">
        <v>673.69</v>
      </c>
      <c r="D148" s="11">
        <v>45072</v>
      </c>
      <c r="E148" s="85"/>
    </row>
    <row r="149" ht="15.75" spans="1:5">
      <c r="A149" s="33">
        <v>3045111.715</v>
      </c>
      <c r="B149" s="33">
        <v>399697.412</v>
      </c>
      <c r="C149" s="33">
        <v>673.69</v>
      </c>
      <c r="D149" s="11">
        <v>45073</v>
      </c>
      <c r="E149" s="85"/>
    </row>
    <row r="150" ht="15.75" spans="1:5">
      <c r="A150" s="33">
        <v>3045111.715</v>
      </c>
      <c r="B150" s="33">
        <v>399697.412</v>
      </c>
      <c r="C150" s="33">
        <v>673.69</v>
      </c>
      <c r="D150" s="11">
        <v>45074</v>
      </c>
      <c r="E150" s="85"/>
    </row>
    <row r="151" ht="15.75" spans="1:5">
      <c r="A151" s="33">
        <v>3045111.715</v>
      </c>
      <c r="B151" s="33">
        <v>399697.412</v>
      </c>
      <c r="C151" s="33">
        <v>673.69</v>
      </c>
      <c r="D151" s="11">
        <v>45075</v>
      </c>
      <c r="E151" s="85"/>
    </row>
    <row r="152" ht="15.75" spans="1:5">
      <c r="A152" s="33">
        <v>3045111.715</v>
      </c>
      <c r="B152" s="33">
        <v>399697.412</v>
      </c>
      <c r="C152" s="33">
        <v>673.69</v>
      </c>
      <c r="D152" s="11">
        <v>45076</v>
      </c>
      <c r="E152" s="85"/>
    </row>
    <row r="153" ht="15.75" spans="1:5">
      <c r="A153" s="33">
        <v>3045111.715</v>
      </c>
      <c r="B153" s="33">
        <v>399697.412</v>
      </c>
      <c r="C153" s="33">
        <v>673.69</v>
      </c>
      <c r="D153" s="11">
        <v>45077</v>
      </c>
      <c r="E153" s="85"/>
    </row>
    <row r="154" ht="15.75" spans="1:5">
      <c r="A154" s="33">
        <v>3045111.715</v>
      </c>
      <c r="B154" s="33">
        <v>399697.412</v>
      </c>
      <c r="C154" s="33">
        <v>673.69</v>
      </c>
      <c r="D154" s="11">
        <v>45078</v>
      </c>
      <c r="E154" s="86">
        <v>686</v>
      </c>
    </row>
    <row r="155" ht="15.75" spans="1:5">
      <c r="A155" s="33">
        <v>3045111.715</v>
      </c>
      <c r="B155" s="33">
        <v>399697.412</v>
      </c>
      <c r="C155" s="33">
        <v>673.69</v>
      </c>
      <c r="D155" s="11">
        <v>45079</v>
      </c>
      <c r="E155" s="85"/>
    </row>
    <row r="156" ht="15.75" spans="1:5">
      <c r="A156" s="33">
        <v>3045111.715</v>
      </c>
      <c r="B156" s="33">
        <v>399697.412</v>
      </c>
      <c r="C156" s="33">
        <v>673.69</v>
      </c>
      <c r="D156" s="11">
        <v>45080</v>
      </c>
      <c r="E156" s="85"/>
    </row>
    <row r="157" ht="15.75" spans="1:5">
      <c r="A157" s="33">
        <v>3045111.715</v>
      </c>
      <c r="B157" s="33">
        <v>399697.412</v>
      </c>
      <c r="C157" s="33">
        <v>673.69</v>
      </c>
      <c r="D157" s="11">
        <v>45081</v>
      </c>
      <c r="E157" s="85"/>
    </row>
    <row r="158" ht="15.75" spans="1:5">
      <c r="A158" s="33">
        <v>3045111.715</v>
      </c>
      <c r="B158" s="33">
        <v>399697.412</v>
      </c>
      <c r="C158" s="33">
        <v>673.69</v>
      </c>
      <c r="D158" s="11">
        <v>45082</v>
      </c>
      <c r="E158" s="85"/>
    </row>
    <row r="159" ht="15.75" spans="1:5">
      <c r="A159" s="33">
        <v>3045111.715</v>
      </c>
      <c r="B159" s="33">
        <v>399697.412</v>
      </c>
      <c r="C159" s="33">
        <v>673.69</v>
      </c>
      <c r="D159" s="11">
        <v>45083</v>
      </c>
      <c r="E159" s="85"/>
    </row>
    <row r="160" ht="15.75" spans="1:5">
      <c r="A160" s="33">
        <v>3045111.715</v>
      </c>
      <c r="B160" s="33">
        <v>399697.412</v>
      </c>
      <c r="C160" s="33">
        <v>673.69</v>
      </c>
      <c r="D160" s="11">
        <v>45084</v>
      </c>
      <c r="E160" s="85"/>
    </row>
    <row r="161" ht="15.75" spans="1:5">
      <c r="A161" s="33">
        <v>3045111.715</v>
      </c>
      <c r="B161" s="33">
        <v>399697.412</v>
      </c>
      <c r="C161" s="33">
        <v>673.69</v>
      </c>
      <c r="D161" s="11">
        <v>45085</v>
      </c>
      <c r="E161" s="86">
        <v>687.68</v>
      </c>
    </row>
    <row r="162" ht="15.75" spans="1:5">
      <c r="A162" s="33">
        <v>3045111.715</v>
      </c>
      <c r="B162" s="33">
        <v>399697.412</v>
      </c>
      <c r="C162" s="33">
        <v>673.69</v>
      </c>
      <c r="D162" s="11">
        <v>45086</v>
      </c>
      <c r="E162" s="86"/>
    </row>
    <row r="163" ht="15.75" spans="1:5">
      <c r="A163" s="33">
        <v>3045111.715</v>
      </c>
      <c r="B163" s="33">
        <v>399697.412</v>
      </c>
      <c r="C163" s="33">
        <v>673.69</v>
      </c>
      <c r="D163" s="11">
        <v>45087</v>
      </c>
      <c r="E163" s="86"/>
    </row>
    <row r="164" ht="15.75" spans="1:5">
      <c r="A164" s="33">
        <v>3045111.715</v>
      </c>
      <c r="B164" s="33">
        <v>399697.412</v>
      </c>
      <c r="C164" s="33">
        <v>673.69</v>
      </c>
      <c r="D164" s="11">
        <v>45088</v>
      </c>
      <c r="E164" s="86"/>
    </row>
    <row r="165" ht="15.75" spans="1:5">
      <c r="A165" s="33">
        <v>3045111.715</v>
      </c>
      <c r="B165" s="33">
        <v>399697.412</v>
      </c>
      <c r="C165" s="33">
        <v>673.69</v>
      </c>
      <c r="D165" s="11">
        <v>45089</v>
      </c>
      <c r="E165" s="86"/>
    </row>
    <row r="166" ht="15.75" spans="1:5">
      <c r="A166" s="33">
        <v>3045111.715</v>
      </c>
      <c r="B166" s="33">
        <v>399697.412</v>
      </c>
      <c r="C166" s="33">
        <v>673.69</v>
      </c>
      <c r="D166" s="11">
        <v>45090</v>
      </c>
      <c r="E166" s="86"/>
    </row>
    <row r="167" ht="15.75" spans="1:5">
      <c r="A167" s="33">
        <v>3045111.715</v>
      </c>
      <c r="B167" s="33">
        <v>399697.412</v>
      </c>
      <c r="C167" s="33">
        <v>673.69</v>
      </c>
      <c r="D167" s="11">
        <v>45091</v>
      </c>
      <c r="E167" s="86"/>
    </row>
    <row r="168" ht="15.75" spans="1:5">
      <c r="A168" s="33">
        <v>3045111.715</v>
      </c>
      <c r="B168" s="33">
        <v>399697.412</v>
      </c>
      <c r="C168" s="33">
        <v>673.69</v>
      </c>
      <c r="D168" s="11">
        <v>45092</v>
      </c>
      <c r="E168" s="86">
        <v>689.08</v>
      </c>
    </row>
    <row r="169" ht="15.75" spans="1:5">
      <c r="A169" s="33">
        <v>3045111.715</v>
      </c>
      <c r="B169" s="33">
        <v>399697.412</v>
      </c>
      <c r="C169" s="33">
        <v>673.69</v>
      </c>
      <c r="D169" s="11">
        <v>45093</v>
      </c>
      <c r="E169" s="86">
        <v>689.58</v>
      </c>
    </row>
    <row r="170" ht="15.75" spans="1:5">
      <c r="A170" s="33">
        <v>3045111.715</v>
      </c>
      <c r="B170" s="33">
        <v>399697.412</v>
      </c>
      <c r="C170" s="33">
        <v>673.69</v>
      </c>
      <c r="D170" s="11">
        <v>45094</v>
      </c>
      <c r="E170" s="86">
        <v>689.58</v>
      </c>
    </row>
    <row r="171" ht="15.75" spans="1:5">
      <c r="A171" s="33">
        <v>3045111.715</v>
      </c>
      <c r="B171" s="33">
        <v>399697.412</v>
      </c>
      <c r="C171" s="33">
        <v>673.69</v>
      </c>
      <c r="D171" s="11">
        <v>45095</v>
      </c>
      <c r="E171" s="86">
        <v>689.48</v>
      </c>
    </row>
    <row r="172" ht="15.75" spans="1:5">
      <c r="A172" s="33">
        <v>3045111.715</v>
      </c>
      <c r="B172" s="33">
        <v>399697.412</v>
      </c>
      <c r="C172" s="33">
        <v>673.69</v>
      </c>
      <c r="D172" s="11">
        <v>45096</v>
      </c>
      <c r="E172" s="86">
        <v>689.38</v>
      </c>
    </row>
    <row r="173" ht="15.75" spans="1:5">
      <c r="A173" s="33">
        <v>3045111.715</v>
      </c>
      <c r="B173" s="33">
        <v>399697.412</v>
      </c>
      <c r="C173" s="33">
        <v>673.69</v>
      </c>
      <c r="D173" s="11">
        <v>45097</v>
      </c>
      <c r="E173" s="86">
        <v>689.38</v>
      </c>
    </row>
    <row r="174" ht="15.75" spans="1:5">
      <c r="A174" s="33">
        <v>3045111.715</v>
      </c>
      <c r="B174" s="33">
        <v>399697.412</v>
      </c>
      <c r="C174" s="33">
        <v>673.69</v>
      </c>
      <c r="D174" s="11">
        <v>45098</v>
      </c>
      <c r="E174" s="86">
        <v>689.28</v>
      </c>
    </row>
    <row r="175" ht="15.75" spans="1:5">
      <c r="A175" s="33">
        <v>3045111.715</v>
      </c>
      <c r="B175" s="33">
        <v>399697.412</v>
      </c>
      <c r="C175" s="33">
        <v>673.69</v>
      </c>
      <c r="D175" s="11">
        <v>45099</v>
      </c>
      <c r="E175" s="86">
        <v>689.18</v>
      </c>
    </row>
    <row r="176" ht="15.75" spans="1:5">
      <c r="A176" s="33">
        <v>3045111.715</v>
      </c>
      <c r="B176" s="33">
        <v>399697.412</v>
      </c>
      <c r="C176" s="33">
        <v>673.69</v>
      </c>
      <c r="D176" s="11">
        <v>45100</v>
      </c>
      <c r="E176" s="86">
        <v>689.18</v>
      </c>
    </row>
    <row r="177" ht="15.75" spans="1:5">
      <c r="A177" s="33">
        <v>3045111.715</v>
      </c>
      <c r="B177" s="33">
        <v>399697.412</v>
      </c>
      <c r="C177" s="33">
        <v>673.69</v>
      </c>
      <c r="D177" s="11">
        <v>45101</v>
      </c>
      <c r="E177" s="86">
        <v>689.08</v>
      </c>
    </row>
    <row r="178" ht="15.75" spans="1:5">
      <c r="A178" s="33">
        <v>3045111.715</v>
      </c>
      <c r="B178" s="33">
        <v>399697.412</v>
      </c>
      <c r="C178" s="33">
        <v>673.69</v>
      </c>
      <c r="D178" s="11">
        <v>45102</v>
      </c>
      <c r="E178" s="86">
        <v>689.08</v>
      </c>
    </row>
    <row r="179" ht="15.75" spans="1:5">
      <c r="A179" s="33">
        <v>3045111.715</v>
      </c>
      <c r="B179" s="33">
        <v>399697.412</v>
      </c>
      <c r="C179" s="33">
        <v>673.69</v>
      </c>
      <c r="D179" s="11">
        <v>45103</v>
      </c>
      <c r="E179" s="86">
        <v>688.98</v>
      </c>
    </row>
    <row r="180" ht="15.75" spans="1:5">
      <c r="A180" s="33">
        <v>3045111.715</v>
      </c>
      <c r="B180" s="33">
        <v>399697.412</v>
      </c>
      <c r="C180" s="33">
        <v>673.69</v>
      </c>
      <c r="D180" s="11">
        <v>45104</v>
      </c>
      <c r="E180" s="86">
        <v>688.98</v>
      </c>
    </row>
    <row r="181" ht="15.75" spans="1:5">
      <c r="A181" s="33">
        <v>3045111.715</v>
      </c>
      <c r="B181" s="33">
        <v>399697.412</v>
      </c>
      <c r="C181" s="33">
        <v>673.69</v>
      </c>
      <c r="D181" s="11">
        <v>45105</v>
      </c>
      <c r="E181" s="86">
        <v>688.88</v>
      </c>
    </row>
    <row r="182" ht="15.75" spans="1:5">
      <c r="A182" s="33">
        <v>3045111.715</v>
      </c>
      <c r="B182" s="33">
        <v>399697.412</v>
      </c>
      <c r="C182" s="33">
        <v>673.69</v>
      </c>
      <c r="D182" s="11">
        <v>45106</v>
      </c>
      <c r="E182" s="86">
        <v>688.78</v>
      </c>
    </row>
    <row r="183" ht="15.75" spans="1:5">
      <c r="A183" s="33">
        <v>3045111.715</v>
      </c>
      <c r="B183" s="33">
        <v>399697.412</v>
      </c>
      <c r="C183" s="33">
        <v>673.69</v>
      </c>
      <c r="D183" s="11">
        <v>45107</v>
      </c>
      <c r="E183" s="86">
        <v>688.78</v>
      </c>
    </row>
    <row r="184" ht="15.75" spans="1:5">
      <c r="A184" s="33">
        <v>3045111.715</v>
      </c>
      <c r="B184" s="33">
        <v>399697.412</v>
      </c>
      <c r="C184" s="33">
        <v>673.69</v>
      </c>
      <c r="D184" s="11">
        <v>45108</v>
      </c>
      <c r="E184" s="86">
        <v>688.68</v>
      </c>
    </row>
    <row r="185" ht="15.75" spans="1:5">
      <c r="A185" s="33">
        <v>3045111.715</v>
      </c>
      <c r="B185" s="33">
        <v>399697.412</v>
      </c>
      <c r="C185" s="33">
        <v>673.69</v>
      </c>
      <c r="D185" s="11">
        <v>45109</v>
      </c>
      <c r="E185" s="86">
        <v>688.68</v>
      </c>
    </row>
    <row r="186" ht="15.75" spans="1:5">
      <c r="A186" s="33">
        <v>3045111.715</v>
      </c>
      <c r="B186" s="33">
        <v>399697.412</v>
      </c>
      <c r="C186" s="33">
        <v>673.69</v>
      </c>
      <c r="D186" s="11">
        <v>45110</v>
      </c>
      <c r="E186" s="86">
        <v>688.58</v>
      </c>
    </row>
    <row r="187" ht="15.75" spans="1:5">
      <c r="A187" s="33">
        <v>3045111.715</v>
      </c>
      <c r="B187" s="33">
        <v>399697.412</v>
      </c>
      <c r="C187" s="33">
        <v>673.69</v>
      </c>
      <c r="D187" s="11">
        <v>45111</v>
      </c>
      <c r="E187" s="86">
        <v>688.48</v>
      </c>
    </row>
    <row r="188" ht="15.75" spans="1:5">
      <c r="A188" s="33">
        <v>3045111.715</v>
      </c>
      <c r="B188" s="33">
        <v>399697.412</v>
      </c>
      <c r="C188" s="33">
        <v>673.69</v>
      </c>
      <c r="D188" s="11">
        <v>45112</v>
      </c>
      <c r="E188" s="86">
        <v>688.48</v>
      </c>
    </row>
    <row r="189" ht="15.75" spans="1:5">
      <c r="A189" s="33">
        <v>3045111.715</v>
      </c>
      <c r="B189" s="33">
        <v>399697.412</v>
      </c>
      <c r="C189" s="33">
        <v>673.69</v>
      </c>
      <c r="D189" s="11">
        <v>45113</v>
      </c>
      <c r="E189" s="86">
        <v>688.38</v>
      </c>
    </row>
    <row r="190" ht="15.75" spans="1:5">
      <c r="A190" s="33">
        <v>3045111.715</v>
      </c>
      <c r="B190" s="33">
        <v>399697.412</v>
      </c>
      <c r="C190" s="33">
        <v>673.69</v>
      </c>
      <c r="D190" s="11">
        <v>45114</v>
      </c>
      <c r="E190" s="86">
        <v>688.38</v>
      </c>
    </row>
    <row r="191" ht="15.75" spans="1:5">
      <c r="A191" s="33">
        <v>3045111.715</v>
      </c>
      <c r="B191" s="33">
        <v>399697.412</v>
      </c>
      <c r="C191" s="33">
        <v>673.69</v>
      </c>
      <c r="D191" s="11">
        <v>45115</v>
      </c>
      <c r="E191" s="86">
        <v>688.28</v>
      </c>
    </row>
    <row r="192" ht="15.75" spans="1:5">
      <c r="A192" s="33">
        <v>3045111.715</v>
      </c>
      <c r="B192" s="33">
        <v>399697.412</v>
      </c>
      <c r="C192" s="33">
        <v>673.69</v>
      </c>
      <c r="D192" s="11">
        <v>45116</v>
      </c>
      <c r="E192" s="86">
        <v>688.18</v>
      </c>
    </row>
    <row r="193" ht="15.75" spans="1:5">
      <c r="A193" s="33">
        <v>3045111.715</v>
      </c>
      <c r="B193" s="33">
        <v>399697.412</v>
      </c>
      <c r="C193" s="33">
        <v>673.69</v>
      </c>
      <c r="D193" s="11">
        <v>45117</v>
      </c>
      <c r="E193" s="86">
        <v>688.18</v>
      </c>
    </row>
    <row r="194" ht="15.75" spans="1:5">
      <c r="A194" s="33">
        <v>3045111.715</v>
      </c>
      <c r="B194" s="33">
        <v>399697.412</v>
      </c>
      <c r="C194" s="33">
        <v>673.69</v>
      </c>
      <c r="D194" s="11">
        <v>45118</v>
      </c>
      <c r="E194" s="86">
        <v>688.08</v>
      </c>
    </row>
    <row r="195" ht="15.75" spans="1:5">
      <c r="A195" s="33">
        <v>3045111.715</v>
      </c>
      <c r="B195" s="33">
        <v>399697.412</v>
      </c>
      <c r="C195" s="33">
        <v>673.69</v>
      </c>
      <c r="D195" s="11">
        <v>45119</v>
      </c>
      <c r="E195" s="86">
        <v>687.98</v>
      </c>
    </row>
    <row r="196" ht="15.75" spans="1:5">
      <c r="A196" s="33">
        <v>3045111.715</v>
      </c>
      <c r="B196" s="33">
        <v>399697.412</v>
      </c>
      <c r="C196" s="33">
        <v>673.69</v>
      </c>
      <c r="D196" s="11">
        <v>45120</v>
      </c>
      <c r="E196" s="86">
        <v>687.985</v>
      </c>
    </row>
    <row r="197" ht="15.75" spans="1:5">
      <c r="A197" s="33">
        <v>3045111.715</v>
      </c>
      <c r="B197" s="33">
        <v>399697.412</v>
      </c>
      <c r="C197" s="33">
        <v>673.69</v>
      </c>
      <c r="D197" s="11">
        <v>45121</v>
      </c>
      <c r="E197" s="86">
        <v>687.785</v>
      </c>
    </row>
    <row r="198" ht="15.75" spans="1:5">
      <c r="A198" s="33">
        <v>3045111.715</v>
      </c>
      <c r="B198" s="33">
        <v>399697.412</v>
      </c>
      <c r="C198" s="33">
        <v>673.69</v>
      </c>
      <c r="D198" s="11">
        <v>45122</v>
      </c>
      <c r="E198" s="86">
        <v>687.785</v>
      </c>
    </row>
    <row r="199" ht="15.75" spans="1:5">
      <c r="A199" s="33">
        <v>3045111.715</v>
      </c>
      <c r="B199" s="33">
        <v>399697.412</v>
      </c>
      <c r="C199" s="33">
        <v>673.69</v>
      </c>
      <c r="D199" s="11">
        <v>45123</v>
      </c>
      <c r="E199" s="86">
        <v>687.785</v>
      </c>
    </row>
    <row r="200" ht="15.75" spans="1:5">
      <c r="A200" s="33">
        <v>3045111.715</v>
      </c>
      <c r="B200" s="33">
        <v>399697.412</v>
      </c>
      <c r="C200" s="33">
        <v>673.69</v>
      </c>
      <c r="D200" s="11">
        <v>45124</v>
      </c>
      <c r="E200" s="86">
        <v>687.685</v>
      </c>
    </row>
    <row r="201" ht="15.75" spans="1:5">
      <c r="A201" s="33">
        <v>3045111.715</v>
      </c>
      <c r="B201" s="33">
        <v>399697.412</v>
      </c>
      <c r="C201" s="33">
        <v>673.69</v>
      </c>
      <c r="D201" s="11">
        <v>45125</v>
      </c>
      <c r="E201" s="86">
        <v>687.585</v>
      </c>
    </row>
    <row r="202" ht="15.75" spans="1:5">
      <c r="A202" s="33">
        <v>3045111.715</v>
      </c>
      <c r="B202" s="33">
        <v>399697.412</v>
      </c>
      <c r="C202" s="33">
        <v>673.69</v>
      </c>
      <c r="D202" s="11">
        <v>45126</v>
      </c>
      <c r="E202" s="86">
        <v>687.585</v>
      </c>
    </row>
    <row r="203" ht="15.75" spans="1:5">
      <c r="A203" s="33">
        <v>3045111.715</v>
      </c>
      <c r="B203" s="33">
        <v>399697.412</v>
      </c>
      <c r="C203" s="33">
        <v>673.69</v>
      </c>
      <c r="D203" s="11">
        <v>45127</v>
      </c>
      <c r="E203" s="86">
        <v>687.48</v>
      </c>
    </row>
    <row r="204" ht="15.75" spans="1:5">
      <c r="A204" s="33">
        <v>3045111.715</v>
      </c>
      <c r="B204" s="33">
        <v>399697.412</v>
      </c>
      <c r="C204" s="33">
        <v>673.69</v>
      </c>
      <c r="D204" s="11">
        <v>45128</v>
      </c>
      <c r="E204" s="86">
        <v>687.38</v>
      </c>
    </row>
    <row r="205" ht="15.75" spans="1:5">
      <c r="A205" s="33">
        <v>3045111.715</v>
      </c>
      <c r="B205" s="33">
        <v>399697.412</v>
      </c>
      <c r="C205" s="33">
        <v>673.69</v>
      </c>
      <c r="D205" s="11">
        <v>45129</v>
      </c>
      <c r="E205" s="86">
        <v>687.38</v>
      </c>
    </row>
    <row r="206" ht="15.75" spans="1:5">
      <c r="A206" s="33">
        <v>3045111.715</v>
      </c>
      <c r="B206" s="33">
        <v>399697.412</v>
      </c>
      <c r="C206" s="33">
        <v>673.69</v>
      </c>
      <c r="D206" s="11">
        <v>45130</v>
      </c>
      <c r="E206" s="86">
        <v>687.28</v>
      </c>
    </row>
    <row r="207" ht="15.75" spans="1:5">
      <c r="A207" s="33">
        <v>3045111.715</v>
      </c>
      <c r="B207" s="33">
        <v>399697.412</v>
      </c>
      <c r="C207" s="33">
        <v>673.69</v>
      </c>
      <c r="D207" s="11">
        <v>45131</v>
      </c>
      <c r="E207" s="86">
        <v>687.28</v>
      </c>
    </row>
    <row r="208" ht="15.75" spans="1:5">
      <c r="A208" s="33">
        <v>3045111.715</v>
      </c>
      <c r="B208" s="33">
        <v>399697.412</v>
      </c>
      <c r="C208" s="33">
        <v>673.69</v>
      </c>
      <c r="D208" s="11">
        <v>45132</v>
      </c>
      <c r="E208" s="86">
        <v>687.18</v>
      </c>
    </row>
    <row r="209" ht="15.75" spans="1:5">
      <c r="A209" s="33">
        <v>3045111.715</v>
      </c>
      <c r="B209" s="33">
        <v>399697.412</v>
      </c>
      <c r="C209" s="33">
        <v>673.69</v>
      </c>
      <c r="D209" s="11">
        <v>45133</v>
      </c>
      <c r="E209" s="86">
        <v>687.08</v>
      </c>
    </row>
    <row r="210" ht="15.75" spans="1:5">
      <c r="A210" s="33">
        <v>3045111.715</v>
      </c>
      <c r="B210" s="33">
        <v>399697.412</v>
      </c>
      <c r="C210" s="33">
        <v>673.69</v>
      </c>
      <c r="D210" s="11">
        <v>45134</v>
      </c>
      <c r="E210" s="86">
        <v>686.985</v>
      </c>
    </row>
    <row r="211" ht="15.75" spans="1:5">
      <c r="A211" s="33">
        <v>3045111.715</v>
      </c>
      <c r="B211" s="33">
        <v>399697.412</v>
      </c>
      <c r="C211" s="33">
        <v>673.69</v>
      </c>
      <c r="D211" s="11">
        <v>45135</v>
      </c>
      <c r="E211" s="86">
        <v>686.885</v>
      </c>
    </row>
    <row r="212" ht="15.75" spans="1:5">
      <c r="A212" s="33">
        <v>3045111.715</v>
      </c>
      <c r="B212" s="33">
        <v>399697.412</v>
      </c>
      <c r="C212" s="33">
        <v>673.69</v>
      </c>
      <c r="D212" s="11">
        <v>45136</v>
      </c>
      <c r="E212" s="86">
        <v>686.785</v>
      </c>
    </row>
    <row r="213" ht="15.75" spans="1:5">
      <c r="A213" s="33">
        <v>3045111.715</v>
      </c>
      <c r="B213" s="33">
        <v>399697.412</v>
      </c>
      <c r="C213" s="33">
        <v>673.69</v>
      </c>
      <c r="D213" s="11">
        <v>45137</v>
      </c>
      <c r="E213" s="86">
        <v>686.785</v>
      </c>
    </row>
    <row r="214" ht="15.75" spans="1:5">
      <c r="A214" s="33">
        <v>3045111.715</v>
      </c>
      <c r="B214" s="33">
        <v>399697.412</v>
      </c>
      <c r="C214" s="33">
        <v>673.69</v>
      </c>
      <c r="D214" s="11">
        <v>45138</v>
      </c>
      <c r="E214" s="86">
        <v>686.685</v>
      </c>
    </row>
    <row r="215" ht="15.75" spans="1:5">
      <c r="A215" s="33">
        <v>3045111.715</v>
      </c>
      <c r="B215" s="33">
        <v>399697.412</v>
      </c>
      <c r="C215" s="33">
        <v>673.69</v>
      </c>
      <c r="D215" s="11">
        <v>45139</v>
      </c>
      <c r="E215" s="86">
        <v>686.585</v>
      </c>
    </row>
    <row r="216" ht="15.75" spans="1:5">
      <c r="A216" s="33">
        <v>3045111.715</v>
      </c>
      <c r="B216" s="33">
        <v>399697.412</v>
      </c>
      <c r="C216" s="33">
        <v>673.69</v>
      </c>
      <c r="D216" s="11">
        <v>45140</v>
      </c>
      <c r="E216" s="86">
        <v>686.485</v>
      </c>
    </row>
    <row r="217" ht="15.75" spans="1:5">
      <c r="A217" s="33">
        <v>3045111.715</v>
      </c>
      <c r="B217" s="33">
        <v>399697.412</v>
      </c>
      <c r="C217" s="33">
        <v>673.69</v>
      </c>
      <c r="D217" s="11">
        <v>45141</v>
      </c>
      <c r="E217" s="86">
        <v>686.485</v>
      </c>
    </row>
    <row r="218" ht="15.75" spans="1:5">
      <c r="A218" s="33">
        <v>3045111.715</v>
      </c>
      <c r="B218" s="33">
        <v>399697.412</v>
      </c>
      <c r="C218" s="33">
        <v>673.69</v>
      </c>
      <c r="D218" s="11">
        <v>45142</v>
      </c>
      <c r="E218" s="86">
        <v>686.385</v>
      </c>
    </row>
    <row r="219" ht="15.75" spans="1:5">
      <c r="A219" s="33">
        <v>3045111.715</v>
      </c>
      <c r="B219" s="33">
        <v>399697.412</v>
      </c>
      <c r="C219" s="33">
        <v>673.69</v>
      </c>
      <c r="D219" s="11">
        <v>45143</v>
      </c>
      <c r="E219" s="86">
        <v>686.385</v>
      </c>
    </row>
    <row r="220" ht="15.75" spans="1:5">
      <c r="A220" s="33">
        <v>3045111.715</v>
      </c>
      <c r="B220" s="33">
        <v>399697.412</v>
      </c>
      <c r="C220" s="33">
        <v>673.69</v>
      </c>
      <c r="D220" s="11">
        <v>45144</v>
      </c>
      <c r="E220" s="86">
        <v>686.285</v>
      </c>
    </row>
    <row r="221" ht="15.75" spans="1:5">
      <c r="A221" s="33">
        <v>3045111.715</v>
      </c>
      <c r="B221" s="33">
        <v>399697.412</v>
      </c>
      <c r="C221" s="33">
        <v>673.69</v>
      </c>
      <c r="D221" s="11">
        <v>45145</v>
      </c>
      <c r="E221" s="86">
        <v>686.185</v>
      </c>
    </row>
    <row r="222" ht="15.75" spans="1:5">
      <c r="A222" s="33">
        <v>3045111.715</v>
      </c>
      <c r="B222" s="33">
        <v>399697.412</v>
      </c>
      <c r="C222" s="33">
        <v>673.69</v>
      </c>
      <c r="D222" s="11">
        <v>45146</v>
      </c>
      <c r="E222" s="86">
        <v>686.085</v>
      </c>
    </row>
    <row r="223" ht="15.75" spans="1:5">
      <c r="A223" s="33">
        <v>3045111.715</v>
      </c>
      <c r="B223" s="33">
        <v>399697.412</v>
      </c>
      <c r="C223" s="33">
        <v>673.69</v>
      </c>
      <c r="D223" s="11">
        <v>45147</v>
      </c>
      <c r="E223" s="86">
        <v>686.085</v>
      </c>
    </row>
    <row r="224" ht="15.75" spans="1:5">
      <c r="A224" s="33">
        <v>3045111.715</v>
      </c>
      <c r="B224" s="33">
        <v>399697.412</v>
      </c>
      <c r="C224" s="33">
        <v>673.69</v>
      </c>
      <c r="D224" s="11">
        <v>45148</v>
      </c>
      <c r="E224" s="85"/>
    </row>
    <row r="225" ht="15.75" spans="1:5">
      <c r="A225" s="33">
        <v>3045111.715</v>
      </c>
      <c r="B225" s="33">
        <v>399697.412</v>
      </c>
      <c r="C225" s="33">
        <v>673.69</v>
      </c>
      <c r="D225" s="11">
        <v>45149</v>
      </c>
      <c r="E225" s="86">
        <v>685.885</v>
      </c>
    </row>
    <row r="226" ht="15.75" spans="1:5">
      <c r="A226" s="33">
        <v>3045111.715</v>
      </c>
      <c r="B226" s="33">
        <v>399697.412</v>
      </c>
      <c r="C226" s="33">
        <v>673.69</v>
      </c>
      <c r="D226" s="11">
        <v>45150</v>
      </c>
      <c r="E226" s="86">
        <v>685.785</v>
      </c>
    </row>
    <row r="227" ht="15.75" spans="1:5">
      <c r="A227" s="33">
        <v>3045111.715</v>
      </c>
      <c r="B227" s="33">
        <v>399697.412</v>
      </c>
      <c r="C227" s="33">
        <v>673.69</v>
      </c>
      <c r="D227" s="11">
        <v>45151</v>
      </c>
      <c r="E227" s="86">
        <v>685.685</v>
      </c>
    </row>
    <row r="228" ht="15.75" spans="1:5">
      <c r="A228" s="33">
        <v>3045111.715</v>
      </c>
      <c r="B228" s="33">
        <v>399697.412</v>
      </c>
      <c r="C228" s="33">
        <v>673.69</v>
      </c>
      <c r="D228" s="11">
        <v>45152</v>
      </c>
      <c r="E228" s="86">
        <v>685.585</v>
      </c>
    </row>
    <row r="229" ht="15.75" spans="1:5">
      <c r="A229" s="33">
        <v>3045111.715</v>
      </c>
      <c r="B229" s="33">
        <v>399697.412</v>
      </c>
      <c r="C229" s="33">
        <v>673.69</v>
      </c>
      <c r="D229" s="11">
        <v>45153</v>
      </c>
      <c r="E229" s="87">
        <v>685.485</v>
      </c>
    </row>
    <row r="230" ht="15.75" spans="1:5">
      <c r="A230" s="33">
        <v>3045111.715</v>
      </c>
      <c r="B230" s="33">
        <v>399697.412</v>
      </c>
      <c r="C230" s="33">
        <v>673.69</v>
      </c>
      <c r="D230" s="11">
        <v>45154</v>
      </c>
      <c r="E230" s="86">
        <v>685.485</v>
      </c>
    </row>
    <row r="231" ht="15.75" spans="1:5">
      <c r="A231" s="33">
        <v>3045111.715</v>
      </c>
      <c r="B231" s="33">
        <v>399697.412</v>
      </c>
      <c r="C231" s="33">
        <v>673.69</v>
      </c>
      <c r="D231" s="11">
        <v>45155</v>
      </c>
      <c r="E231" s="86">
        <v>685.385</v>
      </c>
    </row>
    <row r="232" ht="15.75" spans="1:5">
      <c r="A232" s="33">
        <v>3045111.715</v>
      </c>
      <c r="B232" s="33">
        <v>399697.412</v>
      </c>
      <c r="C232" s="33">
        <v>673.69</v>
      </c>
      <c r="D232" s="11">
        <v>45156</v>
      </c>
      <c r="E232" s="86">
        <v>685.385</v>
      </c>
    </row>
    <row r="233" ht="15.75" spans="1:5">
      <c r="A233" s="33">
        <v>3045111.715</v>
      </c>
      <c r="B233" s="33">
        <v>399697.412</v>
      </c>
      <c r="C233" s="33">
        <v>673.69</v>
      </c>
      <c r="D233" s="11">
        <v>45157</v>
      </c>
      <c r="E233" s="86">
        <v>685.285</v>
      </c>
    </row>
    <row r="234" ht="15.75" spans="1:5">
      <c r="A234" s="33">
        <v>3045111.715</v>
      </c>
      <c r="B234" s="33">
        <v>399697.412</v>
      </c>
      <c r="C234" s="33">
        <v>673.69</v>
      </c>
      <c r="D234" s="11">
        <v>45158</v>
      </c>
      <c r="E234" s="86">
        <v>685.285</v>
      </c>
    </row>
    <row r="235" ht="15.75" spans="1:5">
      <c r="A235" s="33">
        <v>3045111.715</v>
      </c>
      <c r="B235" s="33">
        <v>399697.412</v>
      </c>
      <c r="C235" s="33">
        <v>673.69</v>
      </c>
      <c r="D235" s="11">
        <v>45159</v>
      </c>
      <c r="E235" s="86">
        <v>685.185</v>
      </c>
    </row>
    <row r="236" ht="15.75" spans="1:5">
      <c r="A236" s="33">
        <v>3045111.715</v>
      </c>
      <c r="B236" s="33">
        <v>399697.412</v>
      </c>
      <c r="C236" s="33">
        <v>673.69</v>
      </c>
      <c r="D236" s="11">
        <v>45160</v>
      </c>
      <c r="E236" s="86">
        <v>685.085</v>
      </c>
    </row>
    <row r="237" ht="15.75" spans="1:5">
      <c r="A237" s="33">
        <v>3045111.715</v>
      </c>
      <c r="B237" s="33">
        <v>399697.412</v>
      </c>
      <c r="C237" s="33">
        <v>673.69</v>
      </c>
      <c r="D237" s="11">
        <v>45161</v>
      </c>
      <c r="E237" s="86">
        <v>685.01</v>
      </c>
    </row>
    <row r="238" ht="15.75" spans="1:5">
      <c r="A238" s="33">
        <v>3045111.715</v>
      </c>
      <c r="B238" s="33">
        <v>399697.412</v>
      </c>
      <c r="C238" s="33">
        <v>673.69</v>
      </c>
      <c r="D238" s="11">
        <v>45162</v>
      </c>
      <c r="E238" s="86">
        <v>684.985</v>
      </c>
    </row>
    <row r="239" ht="15.75" spans="1:5">
      <c r="A239" s="33">
        <v>3045111.715</v>
      </c>
      <c r="B239" s="33">
        <v>399697.412</v>
      </c>
      <c r="C239" s="33">
        <v>673.69</v>
      </c>
      <c r="D239" s="11">
        <v>45163</v>
      </c>
      <c r="E239" s="86">
        <v>684.985</v>
      </c>
    </row>
    <row r="240" ht="15.75" spans="1:5">
      <c r="A240" s="33">
        <v>3045111.715</v>
      </c>
      <c r="B240" s="33">
        <v>399697.412</v>
      </c>
      <c r="C240" s="33">
        <v>673.69</v>
      </c>
      <c r="D240" s="11">
        <v>45164</v>
      </c>
      <c r="E240" s="86">
        <v>684.885</v>
      </c>
    </row>
    <row r="241" ht="15.75" spans="1:5">
      <c r="A241" s="33">
        <v>3045111.715</v>
      </c>
      <c r="B241" s="33">
        <v>399697.412</v>
      </c>
      <c r="C241" s="33">
        <v>673.69</v>
      </c>
      <c r="D241" s="11">
        <v>45165</v>
      </c>
      <c r="E241" s="86">
        <v>684.785</v>
      </c>
    </row>
    <row r="242" ht="15.75" spans="1:5">
      <c r="A242" s="33">
        <v>3045111.715</v>
      </c>
      <c r="B242" s="33">
        <v>399697.412</v>
      </c>
      <c r="C242" s="33">
        <v>673.69</v>
      </c>
      <c r="D242" s="11">
        <v>45166</v>
      </c>
      <c r="E242" s="86">
        <v>684.685</v>
      </c>
    </row>
    <row r="243" ht="15.75" spans="1:5">
      <c r="A243" s="33">
        <v>3045111.715</v>
      </c>
      <c r="B243" s="33">
        <v>399697.412</v>
      </c>
      <c r="C243" s="33">
        <v>673.69</v>
      </c>
      <c r="D243" s="11">
        <v>45167</v>
      </c>
      <c r="E243" s="86">
        <v>684.685</v>
      </c>
    </row>
    <row r="244" ht="15.75" spans="1:5">
      <c r="A244" s="33">
        <v>3045111.715</v>
      </c>
      <c r="B244" s="33">
        <v>399697.412</v>
      </c>
      <c r="C244" s="33">
        <v>673.69</v>
      </c>
      <c r="D244" s="11">
        <v>45168</v>
      </c>
      <c r="E244" s="86">
        <v>684.585</v>
      </c>
    </row>
    <row r="245" ht="15.75" spans="1:5">
      <c r="A245" s="33">
        <v>3045111.715</v>
      </c>
      <c r="B245" s="33">
        <v>399697.412</v>
      </c>
      <c r="C245" s="33">
        <v>673.69</v>
      </c>
      <c r="D245" s="11">
        <v>45169</v>
      </c>
      <c r="E245" s="86"/>
    </row>
    <row r="246" ht="15.75" spans="1:5">
      <c r="A246" s="33">
        <v>3045111.715</v>
      </c>
      <c r="B246" s="33">
        <v>399697.412</v>
      </c>
      <c r="C246" s="33">
        <v>673.69</v>
      </c>
      <c r="D246" s="11">
        <v>45170</v>
      </c>
      <c r="E246" s="86">
        <v>684.485</v>
      </c>
    </row>
    <row r="247" ht="15.75" spans="1:5">
      <c r="A247" s="33">
        <v>3045111.715</v>
      </c>
      <c r="B247" s="33">
        <v>399697.412</v>
      </c>
      <c r="C247" s="33">
        <v>673.69</v>
      </c>
      <c r="D247" s="11">
        <v>45171</v>
      </c>
      <c r="E247" s="86">
        <v>684.385</v>
      </c>
    </row>
    <row r="248" ht="15.75" spans="1:5">
      <c r="A248" s="33">
        <v>3045111.715</v>
      </c>
      <c r="B248" s="33">
        <v>399697.412</v>
      </c>
      <c r="C248" s="33">
        <v>673.69</v>
      </c>
      <c r="D248" s="11">
        <v>45172</v>
      </c>
      <c r="E248" s="86">
        <v>684.385</v>
      </c>
    </row>
    <row r="249" ht="15.75" spans="1:5">
      <c r="A249" s="33">
        <v>3045111.715</v>
      </c>
      <c r="B249" s="33">
        <v>399697.412</v>
      </c>
      <c r="C249" s="33">
        <v>673.69</v>
      </c>
      <c r="D249" s="11">
        <v>45173</v>
      </c>
      <c r="E249" s="86">
        <v>684.285</v>
      </c>
    </row>
    <row r="250" ht="15.75" spans="1:5">
      <c r="A250" s="33">
        <v>3045111.715</v>
      </c>
      <c r="B250" s="33">
        <v>399697.412</v>
      </c>
      <c r="C250" s="33">
        <v>673.69</v>
      </c>
      <c r="D250" s="11">
        <v>45174</v>
      </c>
      <c r="E250" s="86">
        <v>673.785</v>
      </c>
    </row>
    <row r="251" ht="15.75" spans="1:5">
      <c r="A251" s="33">
        <v>3045111.715</v>
      </c>
      <c r="B251" s="33">
        <v>399697.412</v>
      </c>
      <c r="C251" s="33">
        <v>673.69</v>
      </c>
      <c r="D251" s="11">
        <v>45175</v>
      </c>
      <c r="E251" s="86">
        <v>683.885</v>
      </c>
    </row>
    <row r="252" ht="15.75" spans="1:5">
      <c r="A252" s="33">
        <v>3045111.715</v>
      </c>
      <c r="B252" s="33">
        <v>399697.412</v>
      </c>
      <c r="C252" s="33">
        <v>673.69</v>
      </c>
      <c r="D252" s="11">
        <v>45176</v>
      </c>
      <c r="E252" s="86">
        <v>683.985</v>
      </c>
    </row>
    <row r="253" ht="15.75" spans="1:5">
      <c r="A253" s="33">
        <v>3045111.715</v>
      </c>
      <c r="B253" s="33">
        <v>399697.412</v>
      </c>
      <c r="C253" s="33">
        <v>673.69</v>
      </c>
      <c r="D253" s="11">
        <v>45177</v>
      </c>
      <c r="E253" s="86">
        <v>683.985</v>
      </c>
    </row>
    <row r="254" ht="15.75" spans="1:5">
      <c r="A254" s="33">
        <v>3045111.715</v>
      </c>
      <c r="B254" s="33">
        <v>399697.412</v>
      </c>
      <c r="C254" s="33">
        <v>673.69</v>
      </c>
      <c r="D254" s="11">
        <v>45178</v>
      </c>
      <c r="E254" s="86">
        <v>683.885</v>
      </c>
    </row>
    <row r="255" ht="15.75" spans="1:5">
      <c r="A255" s="33">
        <v>3045111.715</v>
      </c>
      <c r="B255" s="33">
        <v>399697.412</v>
      </c>
      <c r="C255" s="33">
        <v>673.69</v>
      </c>
      <c r="D255" s="11">
        <v>45179</v>
      </c>
      <c r="E255" s="86">
        <v>683.885</v>
      </c>
    </row>
    <row r="256" ht="15.75" spans="1:5">
      <c r="A256" s="33">
        <v>3045111.715</v>
      </c>
      <c r="B256" s="33">
        <v>399697.412</v>
      </c>
      <c r="C256" s="33">
        <v>673.69</v>
      </c>
      <c r="D256" s="11">
        <v>45180</v>
      </c>
      <c r="E256" s="86">
        <v>683.885</v>
      </c>
    </row>
    <row r="257" ht="15.75" spans="1:5">
      <c r="A257" s="33">
        <v>3045111.715</v>
      </c>
      <c r="B257" s="33">
        <v>399697.412</v>
      </c>
      <c r="C257" s="33">
        <v>673.69</v>
      </c>
      <c r="D257" s="11">
        <v>45181</v>
      </c>
      <c r="E257" s="86">
        <v>683.785</v>
      </c>
    </row>
    <row r="258" ht="15.75" spans="1:5">
      <c r="A258" s="33">
        <v>3045111.715</v>
      </c>
      <c r="B258" s="33">
        <v>399697.412</v>
      </c>
      <c r="C258" s="33">
        <v>673.69</v>
      </c>
      <c r="D258" s="11">
        <v>45182</v>
      </c>
      <c r="E258" s="86">
        <v>683.685</v>
      </c>
    </row>
    <row r="259" ht="15.75" spans="1:5">
      <c r="A259" s="33">
        <v>3045111.715</v>
      </c>
      <c r="B259" s="33">
        <v>399697.412</v>
      </c>
      <c r="C259" s="33">
        <v>673.69</v>
      </c>
      <c r="D259" s="11">
        <v>45183</v>
      </c>
      <c r="E259" s="86">
        <v>683.685</v>
      </c>
    </row>
    <row r="260" ht="15.75" spans="1:5">
      <c r="A260" s="33">
        <v>3045111.715</v>
      </c>
      <c r="B260" s="33">
        <v>399697.412</v>
      </c>
      <c r="C260" s="33">
        <v>673.69</v>
      </c>
      <c r="D260" s="11">
        <v>45184</v>
      </c>
      <c r="E260" s="85"/>
    </row>
    <row r="261" ht="15.75" spans="1:5">
      <c r="A261" s="33">
        <v>3045111.715</v>
      </c>
      <c r="B261" s="33">
        <v>399697.412</v>
      </c>
      <c r="C261" s="33">
        <v>673.69</v>
      </c>
      <c r="D261" s="11">
        <v>45185</v>
      </c>
      <c r="E261" s="85"/>
    </row>
    <row r="262" ht="15.75" spans="1:5">
      <c r="A262" s="33">
        <v>3045111.715</v>
      </c>
      <c r="B262" s="33">
        <v>399697.412</v>
      </c>
      <c r="C262" s="33">
        <v>673.69</v>
      </c>
      <c r="D262" s="11">
        <v>45186</v>
      </c>
      <c r="E262" s="85"/>
    </row>
    <row r="263" ht="15.75" spans="1:5">
      <c r="A263" s="33">
        <v>3045111.715</v>
      </c>
      <c r="B263" s="33">
        <v>399697.412</v>
      </c>
      <c r="C263" s="33">
        <v>673.69</v>
      </c>
      <c r="D263" s="11">
        <v>45187</v>
      </c>
      <c r="E263" s="85"/>
    </row>
    <row r="264" ht="15.75" spans="1:5">
      <c r="A264" s="33">
        <v>3045111.715</v>
      </c>
      <c r="B264" s="33">
        <v>399697.412</v>
      </c>
      <c r="C264" s="33">
        <v>673.69</v>
      </c>
      <c r="D264" s="11">
        <v>45188</v>
      </c>
      <c r="E264" s="85"/>
    </row>
    <row r="265" ht="15.75" spans="1:5">
      <c r="A265" s="33">
        <v>3045111.715</v>
      </c>
      <c r="B265" s="33">
        <v>399697.412</v>
      </c>
      <c r="C265" s="33">
        <v>673.69</v>
      </c>
      <c r="D265" s="11">
        <v>45189</v>
      </c>
      <c r="E265" s="86">
        <v>683.385</v>
      </c>
    </row>
    <row r="266" ht="15.75" spans="1:5">
      <c r="A266" s="33">
        <v>3045111.715</v>
      </c>
      <c r="B266" s="33">
        <v>399697.412</v>
      </c>
      <c r="C266" s="33">
        <v>673.69</v>
      </c>
      <c r="D266" s="11">
        <v>45190</v>
      </c>
      <c r="E266" s="86">
        <v>683.235</v>
      </c>
    </row>
    <row r="267" ht="15.75" spans="1:5">
      <c r="A267" s="33">
        <v>3045111.715</v>
      </c>
      <c r="B267" s="33">
        <v>399697.412</v>
      </c>
      <c r="C267" s="33">
        <v>673.69</v>
      </c>
      <c r="D267" s="11">
        <v>45191</v>
      </c>
      <c r="E267" s="86">
        <v>683.185</v>
      </c>
    </row>
    <row r="268" ht="15.75" spans="1:5">
      <c r="A268" s="33">
        <v>3045111.715</v>
      </c>
      <c r="B268" s="33">
        <v>399697.412</v>
      </c>
      <c r="C268" s="33">
        <v>673.69</v>
      </c>
      <c r="D268" s="11">
        <v>45192</v>
      </c>
      <c r="E268" s="86">
        <v>683.185</v>
      </c>
    </row>
    <row r="269" ht="15.75" spans="1:5">
      <c r="A269" s="33">
        <v>3045111.715</v>
      </c>
      <c r="B269" s="33">
        <v>399697.412</v>
      </c>
      <c r="C269" s="33">
        <v>673.69</v>
      </c>
      <c r="D269" s="11">
        <v>45193</v>
      </c>
      <c r="E269" s="86">
        <v>683.085</v>
      </c>
    </row>
    <row r="270" ht="15.75" spans="1:5">
      <c r="A270" s="33">
        <v>3045111.715</v>
      </c>
      <c r="B270" s="33">
        <v>399697.412</v>
      </c>
      <c r="C270" s="33">
        <v>673.69</v>
      </c>
      <c r="D270" s="11">
        <v>45194</v>
      </c>
      <c r="E270" s="86">
        <v>682.985</v>
      </c>
    </row>
    <row r="271" ht="15.75" spans="1:5">
      <c r="A271" s="33">
        <v>3045111.715</v>
      </c>
      <c r="B271" s="33">
        <v>399697.412</v>
      </c>
      <c r="C271" s="33">
        <v>673.69</v>
      </c>
      <c r="D271" s="11">
        <v>45195</v>
      </c>
      <c r="E271" s="86">
        <v>682.885</v>
      </c>
    </row>
    <row r="272" ht="15.75" spans="1:5">
      <c r="A272" s="33">
        <v>3045111.715</v>
      </c>
      <c r="B272" s="33">
        <v>399697.412</v>
      </c>
      <c r="C272" s="33">
        <v>673.69</v>
      </c>
      <c r="D272" s="11">
        <v>45196</v>
      </c>
      <c r="E272" s="86">
        <v>682.885</v>
      </c>
    </row>
    <row r="273" ht="15.75" spans="1:5">
      <c r="A273" s="33">
        <v>3045111.715</v>
      </c>
      <c r="B273" s="33">
        <v>399697.412</v>
      </c>
      <c r="C273" s="33">
        <v>673.69</v>
      </c>
      <c r="D273" s="11">
        <v>45197</v>
      </c>
      <c r="E273" s="86">
        <v>682.785</v>
      </c>
    </row>
    <row r="274" ht="15.75" spans="1:5">
      <c r="A274" s="33">
        <v>3045111.715</v>
      </c>
      <c r="B274" s="33">
        <v>399697.412</v>
      </c>
      <c r="C274" s="33">
        <v>673.69</v>
      </c>
      <c r="D274" s="11">
        <v>45198</v>
      </c>
      <c r="E274" s="86">
        <v>682.685</v>
      </c>
    </row>
    <row r="275" ht="15.75" spans="1:5">
      <c r="A275" s="33">
        <v>3045111.715</v>
      </c>
      <c r="B275" s="33">
        <v>399697.412</v>
      </c>
      <c r="C275" s="33">
        <v>673.69</v>
      </c>
      <c r="D275" s="11">
        <v>45199</v>
      </c>
      <c r="E275" s="86">
        <v>682.685</v>
      </c>
    </row>
    <row r="276" ht="15.75" spans="1:5">
      <c r="A276" s="33">
        <v>3045111.715</v>
      </c>
      <c r="B276" s="33">
        <v>399697.412</v>
      </c>
      <c r="C276" s="33">
        <v>673.69</v>
      </c>
      <c r="D276" s="11">
        <v>45200</v>
      </c>
      <c r="E276" s="86">
        <v>682.685</v>
      </c>
    </row>
    <row r="277" ht="15.75" spans="1:5">
      <c r="A277" s="33">
        <v>3045111.715</v>
      </c>
      <c r="B277" s="33">
        <v>399697.412</v>
      </c>
      <c r="C277" s="33">
        <v>673.69</v>
      </c>
      <c r="D277" s="11">
        <v>45201</v>
      </c>
      <c r="E277" s="86">
        <v>682.585</v>
      </c>
    </row>
    <row r="278" ht="15.75" spans="1:5">
      <c r="A278" s="33">
        <v>3045111.715</v>
      </c>
      <c r="B278" s="33">
        <v>399697.412</v>
      </c>
      <c r="C278" s="33">
        <v>673.69</v>
      </c>
      <c r="D278" s="11">
        <v>45202</v>
      </c>
      <c r="E278" s="86">
        <v>682.485</v>
      </c>
    </row>
    <row r="279" ht="15.75" spans="1:5">
      <c r="A279" s="33">
        <v>3045111.715</v>
      </c>
      <c r="B279" s="33">
        <v>399697.412</v>
      </c>
      <c r="C279" s="33">
        <v>673.69</v>
      </c>
      <c r="D279" s="11">
        <v>45203</v>
      </c>
      <c r="E279" s="86">
        <v>682.485</v>
      </c>
    </row>
    <row r="280" ht="15.75" spans="1:5">
      <c r="A280" s="33">
        <v>3045111.715</v>
      </c>
      <c r="B280" s="33">
        <v>399697.412</v>
      </c>
      <c r="C280" s="33">
        <v>673.69</v>
      </c>
      <c r="D280" s="11">
        <v>45204</v>
      </c>
      <c r="E280" s="86">
        <v>682.385</v>
      </c>
    </row>
    <row r="281" ht="15.75" spans="1:5">
      <c r="A281" s="33">
        <v>3045111.715</v>
      </c>
      <c r="B281" s="33">
        <v>399697.412</v>
      </c>
      <c r="C281" s="33">
        <v>673.69</v>
      </c>
      <c r="D281" s="11">
        <v>45205</v>
      </c>
      <c r="E281" s="86">
        <v>682.385</v>
      </c>
    </row>
    <row r="282" ht="15.75" spans="1:5">
      <c r="A282" s="33">
        <v>3045111.715</v>
      </c>
      <c r="B282" s="33">
        <v>399697.412</v>
      </c>
      <c r="C282" s="33">
        <v>673.69</v>
      </c>
      <c r="D282" s="11">
        <v>45206</v>
      </c>
      <c r="E282" s="86">
        <v>682.185</v>
      </c>
    </row>
    <row r="283" ht="15.75" spans="1:5">
      <c r="A283" s="33">
        <v>3045111.715</v>
      </c>
      <c r="B283" s="33">
        <v>399697.412</v>
      </c>
      <c r="C283" s="33">
        <v>673.69</v>
      </c>
      <c r="D283" s="11">
        <v>45207</v>
      </c>
      <c r="E283" s="86">
        <v>682.085</v>
      </c>
    </row>
    <row r="284" ht="15.75" spans="1:5">
      <c r="A284" s="33">
        <v>3045111.715</v>
      </c>
      <c r="B284" s="33">
        <v>399697.412</v>
      </c>
      <c r="C284" s="33">
        <v>673.69</v>
      </c>
      <c r="D284" s="11">
        <v>45208</v>
      </c>
      <c r="E284" s="86">
        <v>681.985</v>
      </c>
    </row>
    <row r="285" ht="15.75" spans="1:5">
      <c r="A285" s="33">
        <v>3045111.715</v>
      </c>
      <c r="B285" s="33">
        <v>399697.412</v>
      </c>
      <c r="C285" s="33">
        <v>673.69</v>
      </c>
      <c r="D285" s="11">
        <v>45209</v>
      </c>
      <c r="E285" s="86">
        <v>681.985</v>
      </c>
    </row>
    <row r="286" ht="15.75" spans="1:5">
      <c r="A286" s="33">
        <v>3045111.715</v>
      </c>
      <c r="B286" s="33">
        <v>399697.412</v>
      </c>
      <c r="C286" s="33">
        <v>673.69</v>
      </c>
      <c r="D286" s="11">
        <v>45210</v>
      </c>
      <c r="E286" s="86">
        <v>681.885</v>
      </c>
    </row>
    <row r="287" ht="15.75" spans="1:5">
      <c r="A287" s="33">
        <v>3045111.715</v>
      </c>
      <c r="B287" s="33">
        <v>399697.412</v>
      </c>
      <c r="C287" s="33">
        <v>673.69</v>
      </c>
      <c r="D287" s="11">
        <v>45211</v>
      </c>
      <c r="E287" s="86">
        <v>681.585</v>
      </c>
    </row>
    <row r="288" ht="15.75" spans="1:5">
      <c r="A288" s="33">
        <v>3045111.715</v>
      </c>
      <c r="B288" s="33">
        <v>399697.412</v>
      </c>
      <c r="C288" s="33">
        <v>673.69</v>
      </c>
      <c r="D288" s="11">
        <v>45212</v>
      </c>
      <c r="E288" s="86">
        <v>680.985</v>
      </c>
    </row>
    <row r="289" ht="15.75" spans="1:5">
      <c r="A289" s="33">
        <v>3045111.715</v>
      </c>
      <c r="B289" s="33">
        <v>399697.412</v>
      </c>
      <c r="C289" s="33">
        <v>673.69</v>
      </c>
      <c r="D289" s="11">
        <v>45213</v>
      </c>
      <c r="E289" s="86">
        <v>680.285</v>
      </c>
    </row>
    <row r="290" ht="15.75" spans="1:5">
      <c r="A290" s="33">
        <v>3045111.715</v>
      </c>
      <c r="B290" s="33">
        <v>399697.412</v>
      </c>
      <c r="C290" s="33">
        <v>673.69</v>
      </c>
      <c r="D290" s="11">
        <v>45214</v>
      </c>
      <c r="E290" s="86">
        <v>679.485</v>
      </c>
    </row>
    <row r="291" ht="15.75" spans="1:5">
      <c r="A291" s="33">
        <v>3045111.715</v>
      </c>
      <c r="B291" s="33">
        <v>399697.412</v>
      </c>
      <c r="C291" s="33">
        <v>673.69</v>
      </c>
      <c r="D291" s="11">
        <v>45215</v>
      </c>
      <c r="E291" s="86">
        <v>678.685</v>
      </c>
    </row>
    <row r="292" ht="15.75" spans="1:5">
      <c r="A292" s="33">
        <v>3045111.715</v>
      </c>
      <c r="B292" s="33">
        <v>399697.412</v>
      </c>
      <c r="C292" s="33">
        <v>673.69</v>
      </c>
      <c r="D292" s="11">
        <v>45216</v>
      </c>
      <c r="E292" s="86">
        <v>677.885</v>
      </c>
    </row>
    <row r="293" ht="15.75" spans="1:5">
      <c r="A293" s="33">
        <v>3045111.715</v>
      </c>
      <c r="B293" s="33">
        <v>399697.412</v>
      </c>
      <c r="C293" s="33">
        <v>673.69</v>
      </c>
      <c r="D293" s="11">
        <v>45217</v>
      </c>
      <c r="E293" s="86">
        <v>677.085</v>
      </c>
    </row>
    <row r="294" ht="15.75" spans="1:5">
      <c r="A294" s="33">
        <v>3045111.715</v>
      </c>
      <c r="B294" s="33">
        <v>399697.412</v>
      </c>
      <c r="C294" s="33">
        <v>673.69</v>
      </c>
      <c r="D294" s="11">
        <v>45218</v>
      </c>
      <c r="E294" s="86"/>
    </row>
    <row r="295" ht="15.75" spans="1:5">
      <c r="A295" s="33">
        <v>3045111.715</v>
      </c>
      <c r="B295" s="33">
        <v>399697.412</v>
      </c>
      <c r="C295" s="33">
        <v>673.69</v>
      </c>
      <c r="D295" s="11">
        <v>45219</v>
      </c>
      <c r="E295" s="86">
        <v>675.685</v>
      </c>
    </row>
    <row r="296" ht="15.75" spans="1:5">
      <c r="A296" s="33">
        <v>3045111.715</v>
      </c>
      <c r="B296" s="33">
        <v>399697.412</v>
      </c>
      <c r="C296" s="33">
        <v>673.69</v>
      </c>
      <c r="D296" s="11">
        <v>45220</v>
      </c>
      <c r="E296" s="86">
        <v>675.285</v>
      </c>
    </row>
    <row r="297" ht="15.75" spans="1:5">
      <c r="A297" s="33">
        <v>3045111.715</v>
      </c>
      <c r="B297" s="33">
        <v>399697.412</v>
      </c>
      <c r="C297" s="33">
        <v>673.69</v>
      </c>
      <c r="D297" s="11">
        <v>45221</v>
      </c>
      <c r="E297" s="86">
        <v>675.285</v>
      </c>
    </row>
    <row r="298" ht="15.75" spans="1:5">
      <c r="A298" s="33">
        <v>3045111.715</v>
      </c>
      <c r="B298" s="33">
        <v>399697.412</v>
      </c>
      <c r="C298" s="33">
        <v>673.69</v>
      </c>
      <c r="D298" s="11">
        <v>45222</v>
      </c>
      <c r="E298" s="86">
        <v>674.385</v>
      </c>
    </row>
    <row r="299" ht="15.75" spans="1:5">
      <c r="A299" s="33">
        <v>3045111.715</v>
      </c>
      <c r="B299" s="33">
        <v>399697.412</v>
      </c>
      <c r="C299" s="33">
        <v>673.69</v>
      </c>
      <c r="D299" s="11">
        <v>45223</v>
      </c>
      <c r="E299" s="86">
        <v>673.885</v>
      </c>
    </row>
    <row r="300" ht="15.75" spans="1:5">
      <c r="A300" s="33">
        <v>3045111.715</v>
      </c>
      <c r="B300" s="33">
        <v>399697.412</v>
      </c>
      <c r="C300" s="33">
        <v>673.69</v>
      </c>
      <c r="D300" s="11">
        <v>45224</v>
      </c>
      <c r="E300" s="86">
        <v>673.785</v>
      </c>
    </row>
    <row r="301" ht="15.75" spans="1:5">
      <c r="A301" s="33">
        <v>3045111.715</v>
      </c>
      <c r="B301" s="33">
        <v>399697.412</v>
      </c>
      <c r="C301" s="33">
        <v>673.69</v>
      </c>
      <c r="D301" s="11">
        <v>45225</v>
      </c>
      <c r="E301" s="86">
        <v>673.785</v>
      </c>
    </row>
    <row r="302" ht="15.75" spans="1:5">
      <c r="A302" s="33">
        <v>3045111.715</v>
      </c>
      <c r="B302" s="33">
        <v>399697.412</v>
      </c>
      <c r="C302" s="33">
        <v>673.69</v>
      </c>
      <c r="D302" s="11">
        <v>45226</v>
      </c>
      <c r="E302" s="85"/>
    </row>
    <row r="303" ht="15.75" spans="1:5">
      <c r="A303" s="33">
        <v>3045111.715</v>
      </c>
      <c r="B303" s="33">
        <v>399697.412</v>
      </c>
      <c r="C303" s="33">
        <v>673.69</v>
      </c>
      <c r="D303" s="11">
        <v>45227</v>
      </c>
      <c r="E303" s="85"/>
    </row>
    <row r="304" ht="15.75" spans="1:5">
      <c r="A304" s="33">
        <v>3045111.715</v>
      </c>
      <c r="B304" s="33">
        <v>399697.412</v>
      </c>
      <c r="C304" s="33">
        <v>673.69</v>
      </c>
      <c r="D304" s="11">
        <v>45228</v>
      </c>
      <c r="E304" s="85"/>
    </row>
    <row r="305" ht="15.75" spans="1:5">
      <c r="A305" s="33">
        <v>3045111.715</v>
      </c>
      <c r="B305" s="33">
        <v>399697.412</v>
      </c>
      <c r="C305" s="33">
        <v>673.69</v>
      </c>
      <c r="D305" s="11">
        <v>45229</v>
      </c>
      <c r="E305" s="85"/>
    </row>
    <row r="306" ht="15.75" spans="1:5">
      <c r="A306" s="33">
        <v>3045111.715</v>
      </c>
      <c r="B306" s="33">
        <v>399697.412</v>
      </c>
      <c r="C306" s="33">
        <v>673.69</v>
      </c>
      <c r="D306" s="11">
        <v>45230</v>
      </c>
      <c r="E306" s="85"/>
    </row>
    <row r="307" ht="15.75" spans="1:5">
      <c r="A307" s="33">
        <v>3045111.715</v>
      </c>
      <c r="B307" s="33">
        <v>399697.412</v>
      </c>
      <c r="C307" s="33">
        <v>673.69</v>
      </c>
      <c r="D307" s="11">
        <v>45231</v>
      </c>
      <c r="E307" s="85"/>
    </row>
    <row r="308" ht="15.75" spans="1:5">
      <c r="A308" s="33">
        <v>3045111.715</v>
      </c>
      <c r="B308" s="33">
        <v>399697.412</v>
      </c>
      <c r="C308" s="33">
        <v>673.69</v>
      </c>
      <c r="D308" s="11">
        <v>45232</v>
      </c>
      <c r="E308" s="86"/>
    </row>
    <row r="309" ht="15.75" spans="1:5">
      <c r="A309" s="33">
        <v>3045111.715</v>
      </c>
      <c r="B309" s="33">
        <v>399697.412</v>
      </c>
      <c r="C309" s="33">
        <v>673.69</v>
      </c>
      <c r="D309" s="11">
        <v>45233</v>
      </c>
      <c r="E309" s="85"/>
    </row>
    <row r="310" ht="15.75" spans="1:5">
      <c r="A310" s="33">
        <v>3045111.715</v>
      </c>
      <c r="B310" s="33">
        <v>399697.412</v>
      </c>
      <c r="C310" s="33">
        <v>673.69</v>
      </c>
      <c r="D310" s="11">
        <v>45234</v>
      </c>
      <c r="E310" s="85"/>
    </row>
    <row r="311" ht="15.75" spans="1:5">
      <c r="A311" s="33">
        <v>3045111.715</v>
      </c>
      <c r="B311" s="33">
        <v>399697.412</v>
      </c>
      <c r="C311" s="33">
        <v>673.69</v>
      </c>
      <c r="D311" s="11">
        <v>45235</v>
      </c>
      <c r="E311" s="85"/>
    </row>
    <row r="312" ht="15.75" spans="1:5">
      <c r="A312" s="33">
        <v>3045111.715</v>
      </c>
      <c r="B312" s="33">
        <v>399697.412</v>
      </c>
      <c r="C312" s="33">
        <v>673.69</v>
      </c>
      <c r="D312" s="11">
        <v>45236</v>
      </c>
      <c r="E312" s="85"/>
    </row>
    <row r="313" ht="15.75" spans="1:5">
      <c r="A313" s="33">
        <v>3045111.715</v>
      </c>
      <c r="B313" s="33">
        <v>399697.412</v>
      </c>
      <c r="C313" s="33">
        <v>673.69</v>
      </c>
      <c r="D313" s="11">
        <v>45237</v>
      </c>
      <c r="E313" s="85"/>
    </row>
    <row r="314" ht="15.75" spans="1:5">
      <c r="A314" s="33">
        <v>3045111.715</v>
      </c>
      <c r="B314" s="33">
        <v>399697.412</v>
      </c>
      <c r="C314" s="33">
        <v>673.69</v>
      </c>
      <c r="D314" s="11">
        <v>45238</v>
      </c>
      <c r="E314" s="85"/>
    </row>
    <row r="315" ht="15.75" spans="1:5">
      <c r="A315" s="33">
        <v>3045111.715</v>
      </c>
      <c r="B315" s="33">
        <v>399697.412</v>
      </c>
      <c r="C315" s="33">
        <v>673.69</v>
      </c>
      <c r="D315" s="11">
        <v>45239</v>
      </c>
      <c r="E315" s="85"/>
    </row>
    <row r="316" ht="15.75" spans="1:5">
      <c r="A316" s="33">
        <v>3045111.715</v>
      </c>
      <c r="B316" s="33">
        <v>399697.412</v>
      </c>
      <c r="C316" s="33">
        <v>673.69</v>
      </c>
      <c r="D316" s="11">
        <v>45240</v>
      </c>
      <c r="E316" s="86"/>
    </row>
    <row r="317" ht="15.75" spans="1:5">
      <c r="A317" s="33">
        <v>3045111.715</v>
      </c>
      <c r="B317" s="33">
        <v>399697.412</v>
      </c>
      <c r="C317" s="33">
        <v>673.69</v>
      </c>
      <c r="D317" s="11">
        <v>45241</v>
      </c>
      <c r="E317" s="86"/>
    </row>
    <row r="318" ht="15.75" spans="1:5">
      <c r="A318" s="33">
        <v>3045111.715</v>
      </c>
      <c r="B318" s="33">
        <v>399697.412</v>
      </c>
      <c r="C318" s="33">
        <v>673.69</v>
      </c>
      <c r="D318" s="11">
        <v>45242</v>
      </c>
      <c r="E318" s="86"/>
    </row>
    <row r="319" ht="15.75" spans="1:5">
      <c r="A319" s="33">
        <v>3045111.715</v>
      </c>
      <c r="B319" s="33">
        <v>399697.412</v>
      </c>
      <c r="C319" s="33">
        <v>673.69</v>
      </c>
      <c r="D319" s="11">
        <v>45243</v>
      </c>
      <c r="E319" s="86"/>
    </row>
    <row r="320" ht="15.75" spans="1:5">
      <c r="A320" s="33">
        <v>3045111.715</v>
      </c>
      <c r="B320" s="33">
        <v>399697.412</v>
      </c>
      <c r="C320" s="33">
        <v>673.69</v>
      </c>
      <c r="D320" s="11">
        <v>45244</v>
      </c>
      <c r="E320" s="86"/>
    </row>
    <row r="321" ht="15.75" spans="1:5">
      <c r="A321" s="33">
        <v>3045111.715</v>
      </c>
      <c r="B321" s="33">
        <v>399697.412</v>
      </c>
      <c r="C321" s="33">
        <v>673.69</v>
      </c>
      <c r="D321" s="11">
        <v>45245</v>
      </c>
      <c r="E321" s="86"/>
    </row>
    <row r="322" ht="15.75" spans="1:5">
      <c r="A322" s="33">
        <v>3045111.715</v>
      </c>
      <c r="B322" s="33">
        <v>399697.412</v>
      </c>
      <c r="C322" s="33">
        <v>673.69</v>
      </c>
      <c r="D322" s="11">
        <v>45246</v>
      </c>
      <c r="E322" s="86">
        <f>673.79-4.68</f>
        <v>669.11</v>
      </c>
    </row>
    <row r="323" ht="15.75" spans="1:5">
      <c r="A323" s="33">
        <v>3045111.715</v>
      </c>
      <c r="B323" s="33">
        <v>399697.412</v>
      </c>
      <c r="C323" s="33">
        <v>673.69</v>
      </c>
      <c r="D323" s="11">
        <v>45247</v>
      </c>
      <c r="E323" s="86"/>
    </row>
    <row r="324" ht="15.75" spans="1:5">
      <c r="A324" s="33">
        <v>3045111.715</v>
      </c>
      <c r="B324" s="33">
        <v>399697.412</v>
      </c>
      <c r="C324" s="33">
        <v>673.69</v>
      </c>
      <c r="D324" s="11">
        <v>45248</v>
      </c>
      <c r="E324" s="86"/>
    </row>
    <row r="325" ht="15.75" spans="1:5">
      <c r="A325" s="33">
        <v>3045111.715</v>
      </c>
      <c r="B325" s="33">
        <v>399697.412</v>
      </c>
      <c r="C325" s="33">
        <v>673.69</v>
      </c>
      <c r="D325" s="11">
        <v>45249</v>
      </c>
      <c r="E325" s="86"/>
    </row>
    <row r="326" ht="15.75" spans="1:5">
      <c r="A326" s="33">
        <v>3045111.715</v>
      </c>
      <c r="B326" s="33">
        <v>399697.412</v>
      </c>
      <c r="C326" s="33">
        <v>673.69</v>
      </c>
      <c r="D326" s="11">
        <v>45250</v>
      </c>
      <c r="E326" s="86"/>
    </row>
    <row r="327" ht="15.75" spans="1:5">
      <c r="A327" s="33">
        <v>3045111.715</v>
      </c>
      <c r="B327" s="33">
        <v>399697.412</v>
      </c>
      <c r="C327" s="33">
        <v>673.69</v>
      </c>
      <c r="D327" s="11">
        <v>45251</v>
      </c>
      <c r="E327" s="86"/>
    </row>
    <row r="328" ht="15.75" spans="1:5">
      <c r="A328" s="33">
        <v>3045111.715</v>
      </c>
      <c r="B328" s="33">
        <v>399697.412</v>
      </c>
      <c r="C328" s="33">
        <v>673.69</v>
      </c>
      <c r="D328" s="11">
        <v>45252</v>
      </c>
      <c r="E328" s="86"/>
    </row>
    <row r="329" ht="15.75" spans="1:5">
      <c r="A329" s="33">
        <v>3045111.715</v>
      </c>
      <c r="B329" s="33">
        <v>399697.412</v>
      </c>
      <c r="C329" s="33">
        <v>673.69</v>
      </c>
      <c r="D329" s="11">
        <v>45253</v>
      </c>
      <c r="E329" s="86">
        <f>673.79-4.81</f>
        <v>668.98</v>
      </c>
    </row>
    <row r="330" ht="15.75" spans="1:5">
      <c r="A330" s="33">
        <v>3045111.715</v>
      </c>
      <c r="B330" s="33">
        <v>399697.412</v>
      </c>
      <c r="C330" s="33">
        <v>673.69</v>
      </c>
      <c r="D330" s="11">
        <v>45254</v>
      </c>
      <c r="E330" s="86"/>
    </row>
    <row r="331" ht="15.75" spans="1:5">
      <c r="A331" s="33">
        <v>3045111.715</v>
      </c>
      <c r="B331" s="33">
        <v>399697.412</v>
      </c>
      <c r="C331" s="33">
        <v>673.69</v>
      </c>
      <c r="D331" s="11">
        <v>45255</v>
      </c>
      <c r="E331" s="86"/>
    </row>
    <row r="332" ht="15.75" spans="1:5">
      <c r="A332" s="33">
        <v>3045111.715</v>
      </c>
      <c r="B332" s="33">
        <v>399697.412</v>
      </c>
      <c r="C332" s="33">
        <v>673.69</v>
      </c>
      <c r="D332" s="11">
        <v>45256</v>
      </c>
      <c r="E332" s="86"/>
    </row>
    <row r="333" ht="15.75" spans="1:5">
      <c r="A333" s="33">
        <v>3045111.715</v>
      </c>
      <c r="B333" s="33">
        <v>399697.412</v>
      </c>
      <c r="C333" s="33">
        <v>673.69</v>
      </c>
      <c r="D333" s="11">
        <v>45257</v>
      </c>
      <c r="E333" s="86"/>
    </row>
    <row r="334" ht="15.75" spans="1:5">
      <c r="A334" s="33">
        <v>3045111.715</v>
      </c>
      <c r="B334" s="33">
        <v>399697.412</v>
      </c>
      <c r="C334" s="33">
        <v>673.69</v>
      </c>
      <c r="D334" s="11">
        <v>45258</v>
      </c>
      <c r="E334" s="86"/>
    </row>
    <row r="335" ht="15.75" spans="1:5">
      <c r="A335" s="33">
        <v>3045111.715</v>
      </c>
      <c r="B335" s="33">
        <v>399697.412</v>
      </c>
      <c r="C335" s="33">
        <v>673.69</v>
      </c>
      <c r="D335" s="11">
        <v>45259</v>
      </c>
      <c r="E335" s="86"/>
    </row>
    <row r="336" ht="15.75" spans="1:5">
      <c r="A336" s="33">
        <v>3045111.715</v>
      </c>
      <c r="B336" s="33">
        <v>399697.412</v>
      </c>
      <c r="C336" s="33">
        <v>673.69</v>
      </c>
      <c r="D336" s="11">
        <v>45260</v>
      </c>
      <c r="E336" s="86"/>
    </row>
    <row r="337" ht="15.75" spans="1:5">
      <c r="A337" s="33">
        <v>3045111.715</v>
      </c>
      <c r="B337" s="33">
        <v>399697.412</v>
      </c>
      <c r="C337" s="33">
        <v>673.69</v>
      </c>
      <c r="D337" s="11">
        <v>45261</v>
      </c>
      <c r="E337" s="86"/>
    </row>
    <row r="338" ht="15.75" spans="1:5">
      <c r="A338" s="33">
        <v>3045111.715</v>
      </c>
      <c r="B338" s="33">
        <v>399697.412</v>
      </c>
      <c r="C338" s="33">
        <v>673.69</v>
      </c>
      <c r="D338" s="11">
        <v>45262</v>
      </c>
      <c r="E338" s="86"/>
    </row>
    <row r="339" ht="15.75" spans="1:5">
      <c r="A339" s="33">
        <v>3045111.715</v>
      </c>
      <c r="B339" s="33">
        <v>399697.412</v>
      </c>
      <c r="C339" s="33">
        <v>673.69</v>
      </c>
      <c r="D339" s="11">
        <v>45263</v>
      </c>
      <c r="E339" s="86"/>
    </row>
    <row r="340" ht="15.75" spans="1:5">
      <c r="A340" s="33">
        <v>3045111.715</v>
      </c>
      <c r="B340" s="33">
        <v>399697.412</v>
      </c>
      <c r="C340" s="33">
        <v>673.69</v>
      </c>
      <c r="D340" s="11">
        <v>45264</v>
      </c>
      <c r="E340" s="86"/>
    </row>
    <row r="341" ht="15.75" spans="1:5">
      <c r="A341" s="33">
        <v>3045111.715</v>
      </c>
      <c r="B341" s="33">
        <v>399697.412</v>
      </c>
      <c r="C341" s="33">
        <v>673.69</v>
      </c>
      <c r="D341" s="11">
        <v>45265</v>
      </c>
      <c r="E341" s="86"/>
    </row>
    <row r="342" ht="15.75" spans="1:5">
      <c r="A342" s="33">
        <v>3045111.715</v>
      </c>
      <c r="B342" s="33">
        <v>399697.412</v>
      </c>
      <c r="C342" s="33">
        <v>673.69</v>
      </c>
      <c r="D342" s="11">
        <v>45266</v>
      </c>
      <c r="E342" s="86"/>
    </row>
    <row r="343" ht="15.75" spans="1:5">
      <c r="A343" s="33">
        <v>3045111.715</v>
      </c>
      <c r="B343" s="33">
        <v>399697.412</v>
      </c>
      <c r="C343" s="33">
        <v>673.69</v>
      </c>
      <c r="D343" s="11">
        <v>45267</v>
      </c>
      <c r="E343" s="86"/>
    </row>
    <row r="344" ht="15.75" spans="1:5">
      <c r="A344" s="33">
        <v>3045111.715</v>
      </c>
      <c r="B344" s="33">
        <v>399697.412</v>
      </c>
      <c r="C344" s="33">
        <v>673.69</v>
      </c>
      <c r="D344" s="11">
        <v>45268</v>
      </c>
      <c r="E344" s="86"/>
    </row>
    <row r="345" ht="15.75" spans="1:5">
      <c r="A345" s="33">
        <v>3045111.715</v>
      </c>
      <c r="B345" s="33">
        <v>399697.412</v>
      </c>
      <c r="C345" s="33">
        <v>673.69</v>
      </c>
      <c r="D345" s="11">
        <v>45269</v>
      </c>
      <c r="E345" s="86"/>
    </row>
    <row r="346" ht="15.75" spans="1:5">
      <c r="A346" s="33">
        <v>3045111.715</v>
      </c>
      <c r="B346" s="33">
        <v>399697.412</v>
      </c>
      <c r="C346" s="33">
        <v>673.69</v>
      </c>
      <c r="D346" s="11">
        <v>45270</v>
      </c>
      <c r="E346" s="86"/>
    </row>
    <row r="347" ht="15.75" spans="1:5">
      <c r="A347" s="33">
        <v>3045111.715</v>
      </c>
      <c r="B347" s="33">
        <v>399697.412</v>
      </c>
      <c r="C347" s="33">
        <v>673.69</v>
      </c>
      <c r="D347" s="11">
        <v>45271</v>
      </c>
      <c r="E347" s="86"/>
    </row>
    <row r="348" ht="15.75" spans="1:5">
      <c r="A348" s="33">
        <v>3045111.715</v>
      </c>
      <c r="B348" s="33">
        <v>399697.412</v>
      </c>
      <c r="C348" s="33">
        <v>673.69</v>
      </c>
      <c r="D348" s="11">
        <v>45272</v>
      </c>
      <c r="E348" s="86"/>
    </row>
    <row r="349" ht="15.75" spans="1:5">
      <c r="A349" s="33">
        <v>3045111.715</v>
      </c>
      <c r="B349" s="33">
        <v>399697.412</v>
      </c>
      <c r="C349" s="33">
        <v>673.69</v>
      </c>
      <c r="D349" s="11">
        <v>45273</v>
      </c>
      <c r="E349" s="86"/>
    </row>
    <row r="350" ht="15.75" spans="1:5">
      <c r="A350" s="33">
        <v>3045111.715</v>
      </c>
      <c r="B350" s="33">
        <v>399697.412</v>
      </c>
      <c r="C350" s="33">
        <v>673.69</v>
      </c>
      <c r="D350" s="11">
        <v>45274</v>
      </c>
      <c r="E350" s="86"/>
    </row>
    <row r="351" ht="15.75" spans="1:5">
      <c r="A351" s="33">
        <v>3045111.715</v>
      </c>
      <c r="B351" s="33">
        <v>399697.412</v>
      </c>
      <c r="C351" s="33">
        <v>673.69</v>
      </c>
      <c r="D351" s="11">
        <v>45275</v>
      </c>
      <c r="E351" s="86">
        <v>666.087</v>
      </c>
    </row>
    <row r="352" ht="15.75" spans="1:5">
      <c r="A352" s="33">
        <v>3045111.715</v>
      </c>
      <c r="B352" s="33">
        <v>399697.412</v>
      </c>
      <c r="C352" s="33">
        <v>673.69</v>
      </c>
      <c r="D352" s="11">
        <v>45276</v>
      </c>
      <c r="E352" s="86">
        <v>665.15</v>
      </c>
    </row>
    <row r="353" ht="15.75" spans="1:5">
      <c r="A353" s="33">
        <v>3045111.715</v>
      </c>
      <c r="B353" s="33">
        <v>399697.412</v>
      </c>
      <c r="C353" s="33">
        <v>673.69</v>
      </c>
      <c r="D353" s="11">
        <v>45277</v>
      </c>
      <c r="E353" s="86">
        <v>664.369</v>
      </c>
    </row>
    <row r="354" ht="15.75" spans="1:5">
      <c r="A354" s="33">
        <v>3045111.715</v>
      </c>
      <c r="B354" s="33">
        <v>399697.412</v>
      </c>
      <c r="C354" s="33">
        <v>673.69</v>
      </c>
      <c r="D354" s="11">
        <v>45278</v>
      </c>
      <c r="E354" s="86">
        <v>663.4</v>
      </c>
    </row>
    <row r="355" ht="15.75" spans="1:5">
      <c r="A355" s="33">
        <v>3045111.715</v>
      </c>
      <c r="B355" s="33">
        <v>399697.412</v>
      </c>
      <c r="C355" s="33">
        <v>673.69</v>
      </c>
      <c r="D355" s="11">
        <v>45279</v>
      </c>
      <c r="E355" s="86">
        <v>662.482</v>
      </c>
    </row>
    <row r="356" ht="15.75" spans="1:5">
      <c r="A356" s="33">
        <v>3045111.715</v>
      </c>
      <c r="B356" s="33">
        <v>399697.412</v>
      </c>
      <c r="C356" s="33">
        <v>673.69</v>
      </c>
      <c r="D356" s="11">
        <v>45280</v>
      </c>
      <c r="E356" s="86">
        <v>661.555</v>
      </c>
    </row>
    <row r="357" ht="15.75" spans="1:5">
      <c r="A357" s="33">
        <v>3045111.715</v>
      </c>
      <c r="B357" s="33">
        <v>399697.412</v>
      </c>
      <c r="C357" s="33">
        <v>673.69</v>
      </c>
      <c r="D357" s="11">
        <v>45281</v>
      </c>
      <c r="E357" s="86">
        <v>660.517</v>
      </c>
    </row>
    <row r="358" ht="15.75" spans="1:5">
      <c r="A358" s="33">
        <v>3045111.715</v>
      </c>
      <c r="B358" s="33">
        <v>399697.412</v>
      </c>
      <c r="C358" s="33">
        <v>673.69</v>
      </c>
      <c r="D358" s="11">
        <v>45282</v>
      </c>
      <c r="E358" s="86">
        <v>659.474</v>
      </c>
    </row>
    <row r="359" ht="15.75" spans="1:5">
      <c r="A359" s="33">
        <v>3045111.715</v>
      </c>
      <c r="B359" s="33">
        <v>399697.412</v>
      </c>
      <c r="C359" s="33">
        <v>673.69</v>
      </c>
      <c r="D359" s="11">
        <v>45283</v>
      </c>
      <c r="E359" s="86">
        <v>658.95</v>
      </c>
    </row>
    <row r="360" ht="15.75" spans="1:5">
      <c r="A360" s="33">
        <v>3045111.715</v>
      </c>
      <c r="B360" s="33">
        <v>399697.412</v>
      </c>
      <c r="C360" s="33">
        <v>673.69</v>
      </c>
      <c r="D360" s="11">
        <v>45284</v>
      </c>
      <c r="E360" s="86">
        <v>657.53</v>
      </c>
    </row>
    <row r="361" ht="15.75" spans="1:5">
      <c r="A361" s="33">
        <v>3045111.715</v>
      </c>
      <c r="B361" s="33">
        <v>399697.412</v>
      </c>
      <c r="C361" s="33">
        <v>673.69</v>
      </c>
      <c r="D361" s="11">
        <v>45285</v>
      </c>
      <c r="E361" s="86">
        <v>656.782</v>
      </c>
    </row>
    <row r="362" ht="15.75" spans="1:5">
      <c r="A362" s="33">
        <v>3045111.715</v>
      </c>
      <c r="B362" s="33">
        <v>399697.412</v>
      </c>
      <c r="C362" s="33">
        <v>673.69</v>
      </c>
      <c r="D362" s="11">
        <v>45286</v>
      </c>
      <c r="E362" s="86">
        <v>656.303</v>
      </c>
    </row>
    <row r="363" ht="15.75" spans="1:5">
      <c r="A363" s="33">
        <v>3045111.715</v>
      </c>
      <c r="B363" s="33">
        <v>399697.412</v>
      </c>
      <c r="C363" s="33">
        <v>673.69</v>
      </c>
      <c r="D363" s="11">
        <v>45287</v>
      </c>
      <c r="E363" s="86">
        <v>655.803</v>
      </c>
    </row>
    <row r="364" ht="15.75" spans="1:5">
      <c r="A364" s="33">
        <v>3045111.715</v>
      </c>
      <c r="B364" s="33">
        <v>399697.412</v>
      </c>
      <c r="C364" s="33">
        <v>673.69</v>
      </c>
      <c r="D364" s="11">
        <v>45288</v>
      </c>
      <c r="E364" s="86">
        <v>655.374</v>
      </c>
    </row>
    <row r="365" ht="15.75" spans="1:5">
      <c r="A365" s="33">
        <v>3045111.715</v>
      </c>
      <c r="B365" s="33">
        <v>399697.412</v>
      </c>
      <c r="C365" s="33">
        <v>673.69</v>
      </c>
      <c r="D365" s="11">
        <v>45289</v>
      </c>
      <c r="E365" s="86">
        <v>654.939</v>
      </c>
    </row>
    <row r="366" ht="15.75" spans="1:5">
      <c r="A366" s="33">
        <v>3045111.715</v>
      </c>
      <c r="B366" s="33">
        <v>399697.412</v>
      </c>
      <c r="C366" s="33">
        <v>673.69</v>
      </c>
      <c r="D366" s="11">
        <v>45290</v>
      </c>
      <c r="E366" s="86">
        <v>654.41</v>
      </c>
    </row>
    <row r="367" ht="15.75" spans="1:5">
      <c r="A367" s="33">
        <v>3045111.715</v>
      </c>
      <c r="B367" s="33">
        <v>399697.412</v>
      </c>
      <c r="C367" s="33">
        <v>673.69</v>
      </c>
      <c r="D367" s="11">
        <v>45291</v>
      </c>
      <c r="E367" s="86">
        <v>654.068</v>
      </c>
    </row>
    <row r="368" ht="15.75" spans="1:5">
      <c r="A368" s="33">
        <v>3045111.715</v>
      </c>
      <c r="B368" s="33">
        <v>399697.412</v>
      </c>
      <c r="C368" s="33">
        <v>673.69</v>
      </c>
      <c r="D368" s="11">
        <v>45292</v>
      </c>
      <c r="E368" s="86">
        <v>653.755</v>
      </c>
    </row>
    <row r="369" ht="15.75" spans="1:5">
      <c r="A369" s="33">
        <v>3045111.715</v>
      </c>
      <c r="B369" s="33">
        <v>399697.412</v>
      </c>
      <c r="C369" s="33">
        <v>673.69</v>
      </c>
      <c r="D369" s="11">
        <v>45293</v>
      </c>
      <c r="E369" s="86">
        <v>653.465</v>
      </c>
    </row>
    <row r="370" ht="15.75" spans="1:5">
      <c r="A370" s="33">
        <v>3045111.715</v>
      </c>
      <c r="B370" s="33">
        <v>399697.412</v>
      </c>
      <c r="C370" s="33">
        <v>673.69</v>
      </c>
      <c r="D370" s="11">
        <v>45294</v>
      </c>
      <c r="E370" s="86">
        <v>653.113</v>
      </c>
    </row>
    <row r="371" ht="15.75" spans="1:5">
      <c r="A371" s="33">
        <v>3045111.715</v>
      </c>
      <c r="B371" s="33">
        <v>399697.412</v>
      </c>
      <c r="C371" s="33">
        <v>673.69</v>
      </c>
      <c r="D371" s="11">
        <v>45295</v>
      </c>
      <c r="E371" s="86">
        <v>652.899</v>
      </c>
    </row>
    <row r="372" ht="15.75" spans="1:5">
      <c r="A372" s="33">
        <v>3045111.715</v>
      </c>
      <c r="B372" s="33">
        <v>399697.412</v>
      </c>
      <c r="C372" s="33">
        <v>673.69</v>
      </c>
      <c r="D372" s="11">
        <v>45296</v>
      </c>
      <c r="E372" s="86">
        <v>652.607</v>
      </c>
    </row>
    <row r="373" ht="15.75" spans="1:5">
      <c r="A373" s="33">
        <v>3045111.715</v>
      </c>
      <c r="B373" s="33">
        <v>399697.412</v>
      </c>
      <c r="C373" s="33">
        <v>673.69</v>
      </c>
      <c r="D373" s="11">
        <v>45297</v>
      </c>
      <c r="E373" s="86">
        <v>652.311</v>
      </c>
    </row>
    <row r="374" ht="15.75" spans="1:5">
      <c r="A374" s="33">
        <v>3045111.715</v>
      </c>
      <c r="B374" s="33">
        <v>399697.412</v>
      </c>
      <c r="C374" s="33">
        <v>673.69</v>
      </c>
      <c r="D374" s="11">
        <v>45298</v>
      </c>
      <c r="E374" s="86">
        <v>652.024</v>
      </c>
    </row>
    <row r="375" ht="15.75" spans="1:5">
      <c r="A375" s="33">
        <v>3045111.715</v>
      </c>
      <c r="B375" s="33">
        <v>399697.412</v>
      </c>
      <c r="C375" s="33">
        <v>673.69</v>
      </c>
      <c r="D375" s="11">
        <v>45299</v>
      </c>
      <c r="E375" s="86">
        <v>651.741</v>
      </c>
    </row>
    <row r="376" ht="15.75" spans="1:5">
      <c r="A376" s="33">
        <v>3045111.715</v>
      </c>
      <c r="B376" s="33">
        <v>399697.412</v>
      </c>
      <c r="C376" s="33">
        <v>673.69</v>
      </c>
      <c r="D376" s="11">
        <v>45300</v>
      </c>
      <c r="E376" s="86">
        <v>651.464</v>
      </c>
    </row>
    <row r="377" ht="15.75" spans="1:5">
      <c r="A377" s="33">
        <v>3045111.715</v>
      </c>
      <c r="B377" s="33">
        <v>399697.412</v>
      </c>
      <c r="C377" s="33">
        <v>673.69</v>
      </c>
      <c r="D377" s="11">
        <v>45301</v>
      </c>
      <c r="E377" s="86">
        <v>651.177</v>
      </c>
    </row>
    <row r="378" ht="15.75" spans="1:5">
      <c r="A378" s="33">
        <v>3045111.715</v>
      </c>
      <c r="B378" s="33">
        <v>399697.412</v>
      </c>
      <c r="C378" s="33">
        <v>673.69</v>
      </c>
      <c r="D378" s="11">
        <v>45302</v>
      </c>
      <c r="E378" s="86">
        <v>650.907</v>
      </c>
    </row>
    <row r="379" ht="15.75" spans="1:5">
      <c r="A379" s="33">
        <v>3045111.715</v>
      </c>
      <c r="B379" s="33">
        <v>399697.412</v>
      </c>
      <c r="C379" s="33">
        <v>673.69</v>
      </c>
      <c r="D379" s="11">
        <v>45303</v>
      </c>
      <c r="E379" s="86">
        <v>650.639</v>
      </c>
    </row>
    <row r="380" ht="15.75" spans="1:5">
      <c r="A380" s="33">
        <v>3045111.715</v>
      </c>
      <c r="B380" s="33">
        <v>399697.412</v>
      </c>
      <c r="C380" s="33">
        <v>673.69</v>
      </c>
      <c r="D380" s="11">
        <v>45304</v>
      </c>
      <c r="E380" s="86">
        <v>650.395</v>
      </c>
    </row>
    <row r="381" ht="15.75" spans="1:5">
      <c r="A381" s="33">
        <v>3045111.715</v>
      </c>
      <c r="B381" s="33">
        <v>399697.412</v>
      </c>
      <c r="C381" s="33">
        <v>673.69</v>
      </c>
      <c r="D381" s="11">
        <v>45305</v>
      </c>
      <c r="E381" s="86">
        <v>650.123</v>
      </c>
    </row>
    <row r="382" ht="15.75" spans="1:5">
      <c r="A382" s="33">
        <v>3045111.715</v>
      </c>
      <c r="B382" s="33">
        <v>399697.412</v>
      </c>
      <c r="C382" s="33">
        <v>673.69</v>
      </c>
      <c r="D382" s="11">
        <v>45306</v>
      </c>
      <c r="E382" s="86">
        <v>649.881</v>
      </c>
    </row>
    <row r="383" ht="15.75" spans="1:5">
      <c r="A383" s="33">
        <v>3045111.715</v>
      </c>
      <c r="B383" s="33">
        <v>399697.412</v>
      </c>
      <c r="C383" s="33">
        <v>673.69</v>
      </c>
      <c r="D383" s="11">
        <v>45307</v>
      </c>
      <c r="E383" s="86">
        <v>649.63</v>
      </c>
    </row>
    <row r="384" ht="15.75" spans="1:5">
      <c r="A384" s="33">
        <v>3045111.715</v>
      </c>
      <c r="B384" s="33">
        <v>399697.412</v>
      </c>
      <c r="C384" s="33">
        <v>673.69</v>
      </c>
      <c r="D384" s="11">
        <v>45308</v>
      </c>
      <c r="E384" s="86">
        <v>649.37</v>
      </c>
    </row>
    <row r="385" ht="15.75" spans="1:5">
      <c r="A385" s="33">
        <v>3045111.715</v>
      </c>
      <c r="B385" s="33">
        <v>399697.412</v>
      </c>
      <c r="C385" s="33">
        <v>673.69</v>
      </c>
      <c r="D385" s="11">
        <v>45309</v>
      </c>
      <c r="E385" s="86">
        <v>649.144</v>
      </c>
    </row>
    <row r="386" ht="15.75" spans="1:5">
      <c r="A386" s="33">
        <v>3045111.715</v>
      </c>
      <c r="B386" s="33">
        <v>399697.412</v>
      </c>
      <c r="C386" s="33">
        <v>673.69</v>
      </c>
      <c r="D386" s="11">
        <v>45310</v>
      </c>
      <c r="E386" s="86">
        <v>648.887</v>
      </c>
    </row>
    <row r="387" ht="15.75" spans="1:5">
      <c r="A387" s="33">
        <v>3045111.715</v>
      </c>
      <c r="B387" s="33">
        <v>399697.412</v>
      </c>
      <c r="C387" s="33">
        <v>673.69</v>
      </c>
      <c r="D387" s="11">
        <v>45311</v>
      </c>
      <c r="E387" s="86">
        <v>648.627</v>
      </c>
    </row>
    <row r="388" ht="15.75" spans="1:5">
      <c r="A388" s="33">
        <v>3045111.715</v>
      </c>
      <c r="B388" s="33">
        <v>399697.412</v>
      </c>
      <c r="C388" s="33">
        <v>673.69</v>
      </c>
      <c r="D388" s="11">
        <v>45312</v>
      </c>
      <c r="E388" s="86">
        <v>648.421</v>
      </c>
    </row>
    <row r="389" ht="15.75" spans="1:5">
      <c r="A389" s="33">
        <v>3045111.715</v>
      </c>
      <c r="B389" s="33">
        <v>399697.412</v>
      </c>
      <c r="C389" s="33">
        <v>673.69</v>
      </c>
      <c r="D389" s="11">
        <v>45313</v>
      </c>
      <c r="E389" s="88">
        <v>648.122</v>
      </c>
    </row>
    <row r="390" ht="15.75" spans="1:5">
      <c r="A390" s="33">
        <v>3045111.715</v>
      </c>
      <c r="B390" s="33">
        <v>399697.412</v>
      </c>
      <c r="C390" s="33">
        <v>673.69</v>
      </c>
      <c r="D390" s="11">
        <v>45314</v>
      </c>
      <c r="E390" s="88">
        <v>647.989</v>
      </c>
    </row>
    <row r="391" ht="15.75" spans="1:5">
      <c r="A391" s="33">
        <v>3045111.715</v>
      </c>
      <c r="B391" s="33">
        <v>399697.412</v>
      </c>
      <c r="C391" s="33">
        <v>673.69</v>
      </c>
      <c r="D391" s="11">
        <v>45315</v>
      </c>
      <c r="E391" s="88">
        <v>647.868</v>
      </c>
    </row>
    <row r="392" ht="15.75" spans="1:5">
      <c r="A392" s="33">
        <v>3045111.715</v>
      </c>
      <c r="B392" s="33">
        <v>399697.412</v>
      </c>
      <c r="C392" s="33">
        <v>673.69</v>
      </c>
      <c r="D392" s="11">
        <v>45316</v>
      </c>
      <c r="E392" s="88">
        <v>647.746</v>
      </c>
    </row>
    <row r="393" ht="15.75" spans="1:5">
      <c r="A393" s="33">
        <v>3045111.715</v>
      </c>
      <c r="B393" s="33">
        <v>399697.412</v>
      </c>
      <c r="C393" s="33">
        <v>673.69</v>
      </c>
      <c r="D393" s="11">
        <v>45317</v>
      </c>
      <c r="E393" s="88">
        <v>647.646</v>
      </c>
    </row>
    <row r="394" ht="15.75" spans="1:5">
      <c r="A394" s="33">
        <v>3045111.715</v>
      </c>
      <c r="B394" s="33">
        <v>399697.412</v>
      </c>
      <c r="C394" s="33">
        <v>673.69</v>
      </c>
      <c r="D394" s="11">
        <v>45318</v>
      </c>
      <c r="E394" s="88">
        <v>647.559</v>
      </c>
    </row>
    <row r="395" ht="15.75" spans="1:5">
      <c r="A395" s="33">
        <v>3045111.715</v>
      </c>
      <c r="B395" s="33">
        <v>399697.412</v>
      </c>
      <c r="C395" s="33">
        <v>673.69</v>
      </c>
      <c r="D395" s="11">
        <v>45319</v>
      </c>
      <c r="E395" s="88">
        <v>647.488</v>
      </c>
    </row>
    <row r="396" ht="15.75" spans="1:5">
      <c r="A396" s="33">
        <v>3045111.715</v>
      </c>
      <c r="B396" s="33">
        <v>399697.412</v>
      </c>
      <c r="C396" s="33">
        <v>673.69</v>
      </c>
      <c r="D396" s="11">
        <v>45320</v>
      </c>
      <c r="E396" s="88">
        <v>647.425</v>
      </c>
    </row>
    <row r="397" ht="15.75" spans="1:5">
      <c r="A397" s="33">
        <v>3045111.715</v>
      </c>
      <c r="B397" s="33">
        <v>399697.412</v>
      </c>
      <c r="C397" s="33">
        <v>673.69</v>
      </c>
      <c r="D397" s="11">
        <v>45321</v>
      </c>
      <c r="E397" s="88">
        <v>647.353</v>
      </c>
    </row>
    <row r="398" ht="15.75" spans="1:5">
      <c r="A398" s="33">
        <v>3045111.715</v>
      </c>
      <c r="B398" s="33">
        <v>399697.412</v>
      </c>
      <c r="C398" s="33">
        <v>673.69</v>
      </c>
      <c r="D398" s="11">
        <v>45322</v>
      </c>
      <c r="E398" s="88">
        <v>647.231</v>
      </c>
    </row>
    <row r="399" ht="15.75" spans="1:5">
      <c r="A399" s="33">
        <v>3045111.715</v>
      </c>
      <c r="B399" s="33">
        <v>399697.412</v>
      </c>
      <c r="C399" s="33">
        <v>673.69</v>
      </c>
      <c r="D399" s="11">
        <v>45323</v>
      </c>
      <c r="E399" s="88">
        <v>647.065</v>
      </c>
    </row>
    <row r="400" ht="15.75" spans="1:5">
      <c r="A400" s="33">
        <v>3045111.715</v>
      </c>
      <c r="B400" s="33">
        <v>399697.412</v>
      </c>
      <c r="C400" s="33">
        <v>673.69</v>
      </c>
      <c r="D400" s="11">
        <v>45324</v>
      </c>
      <c r="E400" s="88">
        <v>646.859</v>
      </c>
    </row>
    <row r="401" ht="15.75" spans="1:5">
      <c r="A401" s="33">
        <v>3045111.715</v>
      </c>
      <c r="B401" s="33">
        <v>399697.412</v>
      </c>
      <c r="C401" s="33">
        <v>673.69</v>
      </c>
      <c r="D401" s="11">
        <v>45325</v>
      </c>
      <c r="E401" s="88">
        <v>646.703</v>
      </c>
    </row>
    <row r="402" ht="15.75" spans="1:5">
      <c r="A402" s="33">
        <v>3045111.715</v>
      </c>
      <c r="B402" s="33">
        <v>399697.412</v>
      </c>
      <c r="C402" s="33">
        <v>673.69</v>
      </c>
      <c r="D402" s="11">
        <v>45326</v>
      </c>
      <c r="E402" s="88">
        <v>646.575</v>
      </c>
    </row>
    <row r="403" ht="15.75" spans="1:5">
      <c r="A403" s="33">
        <v>3045111.715</v>
      </c>
      <c r="B403" s="33">
        <v>399697.412</v>
      </c>
      <c r="C403" s="33">
        <v>673.69</v>
      </c>
      <c r="D403" s="11">
        <v>45327</v>
      </c>
      <c r="E403" s="88">
        <v>646.396</v>
      </c>
    </row>
    <row r="404" ht="15.75" spans="1:5">
      <c r="A404" s="33">
        <v>3045111.715</v>
      </c>
      <c r="B404" s="33">
        <v>399697.412</v>
      </c>
      <c r="C404" s="33">
        <v>673.69</v>
      </c>
      <c r="D404" s="11">
        <v>45328</v>
      </c>
      <c r="E404" s="88">
        <v>646.203</v>
      </c>
    </row>
    <row r="405" ht="15.75" spans="1:5">
      <c r="A405" s="33">
        <v>3045111.715</v>
      </c>
      <c r="B405" s="33">
        <v>399697.412</v>
      </c>
      <c r="C405" s="33">
        <v>673.69</v>
      </c>
      <c r="D405" s="11">
        <v>45329</v>
      </c>
      <c r="E405" s="88">
        <v>646.027</v>
      </c>
    </row>
    <row r="406" ht="15.75" spans="1:5">
      <c r="A406" s="33">
        <v>3045111.715</v>
      </c>
      <c r="B406" s="33">
        <v>399697.412</v>
      </c>
      <c r="C406" s="33">
        <v>673.69</v>
      </c>
      <c r="D406" s="11">
        <v>45330</v>
      </c>
      <c r="E406" s="88">
        <v>645.828</v>
      </c>
    </row>
    <row r="407" ht="15.75" spans="1:5">
      <c r="A407" s="33">
        <v>3045111.715</v>
      </c>
      <c r="B407" s="33">
        <v>399697.412</v>
      </c>
      <c r="C407" s="33">
        <v>673.69</v>
      </c>
      <c r="D407" s="11">
        <v>45331</v>
      </c>
      <c r="E407" s="88">
        <v>645.623</v>
      </c>
    </row>
    <row r="408" ht="15.75" spans="1:5">
      <c r="A408" s="33">
        <v>3045111.715</v>
      </c>
      <c r="B408" s="33">
        <v>399697.412</v>
      </c>
      <c r="C408" s="33">
        <v>673.69</v>
      </c>
      <c r="D408" s="11">
        <v>45332</v>
      </c>
      <c r="E408" s="88">
        <v>645.434</v>
      </c>
    </row>
    <row r="409" ht="15.75" spans="1:5">
      <c r="A409" s="33">
        <v>3045111.715</v>
      </c>
      <c r="B409" s="33">
        <v>399697.412</v>
      </c>
      <c r="C409" s="33">
        <v>673.69</v>
      </c>
      <c r="D409" s="11">
        <v>45333</v>
      </c>
      <c r="E409" s="88">
        <v>645.272</v>
      </c>
    </row>
    <row r="410" ht="15.75" spans="1:5">
      <c r="A410" s="33">
        <v>3045111.715</v>
      </c>
      <c r="B410" s="33">
        <v>399697.412</v>
      </c>
      <c r="C410" s="33">
        <v>673.69</v>
      </c>
      <c r="D410" s="11">
        <v>45334</v>
      </c>
      <c r="E410" s="88">
        <v>645.147</v>
      </c>
    </row>
    <row r="411" ht="15.75" spans="1:5">
      <c r="A411" s="33">
        <v>3045111.715</v>
      </c>
      <c r="B411" s="33">
        <v>399697.412</v>
      </c>
      <c r="C411" s="33">
        <v>673.69</v>
      </c>
      <c r="D411" s="11">
        <v>45335</v>
      </c>
      <c r="E411" s="88">
        <v>644.981</v>
      </c>
    </row>
    <row r="412" ht="15.75" spans="1:5">
      <c r="A412" s="33">
        <v>3045111.715</v>
      </c>
      <c r="B412" s="33">
        <v>399697.412</v>
      </c>
      <c r="C412" s="33">
        <v>673.69</v>
      </c>
      <c r="D412" s="11">
        <v>45336</v>
      </c>
      <c r="E412" s="89">
        <v>644.808</v>
      </c>
    </row>
    <row r="413" ht="15.75" spans="1:5">
      <c r="A413" s="33">
        <v>3045111.715</v>
      </c>
      <c r="B413" s="33">
        <v>399697.412</v>
      </c>
      <c r="C413" s="33">
        <v>673.69</v>
      </c>
      <c r="D413" s="11">
        <v>45337</v>
      </c>
      <c r="E413" s="85"/>
    </row>
    <row r="414" ht="15.75" spans="1:5">
      <c r="A414" s="33">
        <v>3045111.715</v>
      </c>
      <c r="B414" s="33">
        <v>399697.412</v>
      </c>
      <c r="C414" s="33">
        <v>673.69</v>
      </c>
      <c r="D414" s="11">
        <v>45338</v>
      </c>
      <c r="E414" s="85"/>
    </row>
    <row r="415" ht="15.75" spans="1:5">
      <c r="A415" s="33">
        <v>3045111.715</v>
      </c>
      <c r="B415" s="33">
        <v>399697.412</v>
      </c>
      <c r="C415" s="33">
        <v>673.69</v>
      </c>
      <c r="D415" s="11">
        <v>45339</v>
      </c>
      <c r="E415" s="85"/>
    </row>
    <row r="416" ht="15.75" spans="1:5">
      <c r="A416" s="33">
        <v>3045111.715</v>
      </c>
      <c r="B416" s="33">
        <v>399697.412</v>
      </c>
      <c r="C416" s="33">
        <v>673.69</v>
      </c>
      <c r="D416" s="11">
        <v>45340</v>
      </c>
      <c r="E416" s="85"/>
    </row>
    <row r="417" ht="15.75" spans="1:5">
      <c r="A417" s="33">
        <v>3045111.715</v>
      </c>
      <c r="B417" s="33">
        <v>399697.412</v>
      </c>
      <c r="C417" s="33">
        <v>673.69</v>
      </c>
      <c r="D417" s="11">
        <v>45341</v>
      </c>
      <c r="E417" s="88">
        <v>643.959</v>
      </c>
    </row>
    <row r="418" ht="15.75" spans="1:5">
      <c r="A418" s="33">
        <v>3045111.715</v>
      </c>
      <c r="B418" s="33">
        <v>399697.412</v>
      </c>
      <c r="C418" s="33">
        <v>673.69</v>
      </c>
      <c r="D418" s="11">
        <v>45342</v>
      </c>
      <c r="E418" s="88">
        <v>643.581</v>
      </c>
    </row>
    <row r="419" ht="15.75" spans="1:5">
      <c r="A419" s="33">
        <v>3045111.715</v>
      </c>
      <c r="B419" s="33">
        <v>399697.412</v>
      </c>
      <c r="C419" s="33">
        <v>673.69</v>
      </c>
      <c r="D419" s="11">
        <v>45343</v>
      </c>
      <c r="E419" s="88">
        <v>643.339</v>
      </c>
    </row>
    <row r="420" ht="15.75" spans="1:5">
      <c r="A420" s="33">
        <v>3045111.715</v>
      </c>
      <c r="B420" s="33">
        <v>399697.412</v>
      </c>
      <c r="C420" s="33">
        <v>673.69</v>
      </c>
      <c r="D420" s="11">
        <v>45344</v>
      </c>
      <c r="E420" s="88">
        <v>643.168</v>
      </c>
    </row>
    <row r="421" ht="15.75" spans="1:5">
      <c r="A421" s="33">
        <v>3045111.715</v>
      </c>
      <c r="B421" s="33">
        <v>399697.412</v>
      </c>
      <c r="C421" s="33">
        <v>673.69</v>
      </c>
      <c r="D421" s="11">
        <v>45345</v>
      </c>
      <c r="E421" s="88">
        <v>643.001</v>
      </c>
    </row>
    <row r="422" ht="15.75" spans="1:5">
      <c r="A422" s="33">
        <v>3045111.715</v>
      </c>
      <c r="B422" s="33">
        <v>399697.412</v>
      </c>
      <c r="C422" s="33">
        <v>673.69</v>
      </c>
      <c r="D422" s="11">
        <v>45346</v>
      </c>
      <c r="E422" s="88">
        <v>642.898</v>
      </c>
    </row>
    <row r="423" ht="15.75" spans="1:5">
      <c r="A423" s="33">
        <v>3045111.715</v>
      </c>
      <c r="B423" s="33">
        <v>399697.412</v>
      </c>
      <c r="C423" s="33">
        <v>673.69</v>
      </c>
      <c r="D423" s="11">
        <v>45347</v>
      </c>
      <c r="E423" s="88">
        <v>642.759</v>
      </c>
    </row>
    <row r="424" ht="15.75" spans="1:5">
      <c r="A424" s="33">
        <v>3045111.715</v>
      </c>
      <c r="B424" s="33">
        <v>399697.412</v>
      </c>
      <c r="C424" s="33">
        <v>673.69</v>
      </c>
      <c r="D424" s="11">
        <v>45348</v>
      </c>
      <c r="E424" s="88">
        <v>642.616</v>
      </c>
    </row>
    <row r="425" ht="15.75" spans="1:5">
      <c r="A425" s="33">
        <v>3045111.715</v>
      </c>
      <c r="B425" s="33">
        <v>399697.412</v>
      </c>
      <c r="C425" s="33">
        <v>673.69</v>
      </c>
      <c r="D425" s="11">
        <v>45349</v>
      </c>
      <c r="E425" s="88">
        <v>642.291</v>
      </c>
    </row>
    <row r="426" ht="15.75" spans="1:5">
      <c r="A426" s="33">
        <v>3045111.715</v>
      </c>
      <c r="B426" s="33">
        <v>399697.412</v>
      </c>
      <c r="C426" s="33">
        <v>673.69</v>
      </c>
      <c r="D426" s="11">
        <v>45350</v>
      </c>
      <c r="E426" s="88">
        <v>642.143</v>
      </c>
    </row>
    <row r="427" ht="15.75" spans="1:5">
      <c r="A427" s="33">
        <v>3045111.715</v>
      </c>
      <c r="B427" s="33">
        <v>399697.412</v>
      </c>
      <c r="C427" s="33">
        <v>673.69</v>
      </c>
      <c r="D427" s="11">
        <v>45351</v>
      </c>
      <c r="E427" s="88">
        <v>642</v>
      </c>
    </row>
    <row r="428" ht="15.75" spans="1:5">
      <c r="A428" s="33">
        <v>3045111.715</v>
      </c>
      <c r="B428" s="33">
        <v>399697.412</v>
      </c>
      <c r="C428" s="33">
        <v>673.69</v>
      </c>
      <c r="D428" s="11">
        <v>45352</v>
      </c>
      <c r="E428" s="88">
        <v>641.949</v>
      </c>
    </row>
    <row r="429" ht="15.75" spans="1:5">
      <c r="A429" s="33">
        <v>3045111.715</v>
      </c>
      <c r="B429" s="33">
        <v>399697.412</v>
      </c>
      <c r="C429" s="33">
        <v>673.69</v>
      </c>
      <c r="D429" s="11">
        <v>45353</v>
      </c>
      <c r="E429" s="88">
        <v>642</v>
      </c>
    </row>
    <row r="430" ht="15.75" spans="1:5">
      <c r="A430" s="33">
        <v>3045111.715</v>
      </c>
      <c r="B430" s="33">
        <v>399697.412</v>
      </c>
      <c r="C430" s="33">
        <v>673.69</v>
      </c>
      <c r="D430" s="11">
        <v>45354</v>
      </c>
      <c r="E430" s="88">
        <v>641.949</v>
      </c>
    </row>
    <row r="431" ht="15.75" spans="1:5">
      <c r="A431" s="33">
        <v>3045111.715</v>
      </c>
      <c r="B431" s="33">
        <v>399697.412</v>
      </c>
      <c r="C431" s="33">
        <v>673.69</v>
      </c>
      <c r="D431" s="11">
        <v>45355</v>
      </c>
      <c r="E431" s="88">
        <v>641.821</v>
      </c>
    </row>
    <row r="432" ht="15.75" spans="1:5">
      <c r="A432" s="33">
        <v>3045111.715</v>
      </c>
      <c r="B432" s="33">
        <v>399697.412</v>
      </c>
      <c r="C432" s="33">
        <v>673.69</v>
      </c>
      <c r="D432" s="11">
        <v>45356</v>
      </c>
      <c r="E432" s="88">
        <v>641.575</v>
      </c>
    </row>
    <row r="433" ht="15.75" spans="1:5">
      <c r="A433" s="33">
        <v>3045111.715</v>
      </c>
      <c r="B433" s="33">
        <v>399697.412</v>
      </c>
      <c r="C433" s="33">
        <v>673.69</v>
      </c>
      <c r="D433" s="11">
        <v>45357</v>
      </c>
      <c r="E433" s="88">
        <v>641.34</v>
      </c>
    </row>
    <row r="434" ht="15.75" spans="1:5">
      <c r="A434" s="33">
        <v>3045111.715</v>
      </c>
      <c r="B434" s="33">
        <v>399697.412</v>
      </c>
      <c r="C434" s="33">
        <v>673.69</v>
      </c>
      <c r="D434" s="11">
        <v>45358</v>
      </c>
      <c r="E434" s="88">
        <v>641.136</v>
      </c>
    </row>
    <row r="435" ht="15.75" spans="1:5">
      <c r="A435" s="33">
        <v>3045111.715</v>
      </c>
      <c r="B435" s="33">
        <v>399697.412</v>
      </c>
      <c r="C435" s="33">
        <v>673.69</v>
      </c>
      <c r="D435" s="11">
        <v>45359</v>
      </c>
      <c r="E435" s="88">
        <v>640.976</v>
      </c>
    </row>
    <row r="436" ht="15.75" spans="1:5">
      <c r="A436" s="33">
        <v>3045111.715</v>
      </c>
      <c r="B436" s="33">
        <v>399697.412</v>
      </c>
      <c r="C436" s="33">
        <v>673.69</v>
      </c>
      <c r="D436" s="11">
        <v>45360</v>
      </c>
      <c r="E436" s="88">
        <v>640.784</v>
      </c>
    </row>
    <row r="437" ht="15.75" spans="1:5">
      <c r="A437" s="33">
        <v>3045111.715</v>
      </c>
      <c r="B437" s="33">
        <v>399697.412</v>
      </c>
      <c r="C437" s="33">
        <v>673.69</v>
      </c>
      <c r="D437" s="11">
        <v>45361</v>
      </c>
      <c r="E437" s="88">
        <v>640.587</v>
      </c>
    </row>
    <row r="438" ht="15.75" spans="1:5">
      <c r="A438" s="33">
        <v>3045111.715</v>
      </c>
      <c r="B438" s="33">
        <v>399697.412</v>
      </c>
      <c r="C438" s="33">
        <v>673.69</v>
      </c>
      <c r="D438" s="11">
        <v>45362</v>
      </c>
      <c r="E438" s="88">
        <v>640.351</v>
      </c>
    </row>
    <row r="439" ht="15.75" spans="1:5">
      <c r="A439" s="33">
        <v>3045111.715</v>
      </c>
      <c r="B439" s="33">
        <v>399697.412</v>
      </c>
      <c r="C439" s="33">
        <v>673.69</v>
      </c>
      <c r="D439" s="11">
        <v>45363</v>
      </c>
      <c r="E439" s="88">
        <v>640.245</v>
      </c>
    </row>
    <row r="440" ht="15.75" spans="1:5">
      <c r="A440" s="33">
        <v>3045111.715</v>
      </c>
      <c r="B440" s="33">
        <v>399697.412</v>
      </c>
      <c r="C440" s="33">
        <v>673.69</v>
      </c>
      <c r="D440" s="11">
        <v>45364</v>
      </c>
      <c r="E440" s="88">
        <v>640.038</v>
      </c>
    </row>
    <row r="441" ht="15.75" spans="1:5">
      <c r="A441" s="33">
        <v>3045111.715</v>
      </c>
      <c r="B441" s="33">
        <v>399697.412</v>
      </c>
      <c r="C441" s="33">
        <v>673.69</v>
      </c>
      <c r="D441" s="11">
        <v>45365</v>
      </c>
      <c r="E441" s="88">
        <v>639.828</v>
      </c>
    </row>
    <row r="442" ht="15.75" spans="1:5">
      <c r="A442" s="33">
        <v>3045111.715</v>
      </c>
      <c r="B442" s="33">
        <v>399697.412</v>
      </c>
      <c r="C442" s="33">
        <v>673.69</v>
      </c>
      <c r="D442" s="11">
        <v>45366</v>
      </c>
      <c r="E442" s="88">
        <v>639.676</v>
      </c>
    </row>
    <row r="443" ht="15.75" spans="1:5">
      <c r="A443" s="33">
        <v>3045111.715</v>
      </c>
      <c r="B443" s="33">
        <v>399697.412</v>
      </c>
      <c r="C443" s="33">
        <v>673.69</v>
      </c>
      <c r="D443" s="11">
        <v>45367</v>
      </c>
      <c r="E443" s="88">
        <v>639.466</v>
      </c>
    </row>
    <row r="444" ht="15.75" spans="1:5">
      <c r="A444" s="33">
        <v>3045111.715</v>
      </c>
      <c r="B444" s="33">
        <v>399697.412</v>
      </c>
      <c r="C444" s="33">
        <v>673.69</v>
      </c>
      <c r="D444" s="11">
        <v>45368</v>
      </c>
      <c r="E444" s="88">
        <v>639.318</v>
      </c>
    </row>
    <row r="445" ht="15.75" spans="1:5">
      <c r="A445" s="33">
        <v>3045111.715</v>
      </c>
      <c r="B445" s="33">
        <v>399697.412</v>
      </c>
      <c r="C445" s="33">
        <v>673.69</v>
      </c>
      <c r="D445" s="11">
        <v>45369</v>
      </c>
      <c r="E445" s="88">
        <v>639.172</v>
      </c>
    </row>
    <row r="446" ht="15.75" spans="1:5">
      <c r="A446" s="33">
        <v>3045111.715</v>
      </c>
      <c r="B446" s="33">
        <v>399697.412</v>
      </c>
      <c r="C446" s="33">
        <v>673.69</v>
      </c>
      <c r="D446" s="11">
        <v>45370</v>
      </c>
      <c r="E446" s="88">
        <v>639.01</v>
      </c>
    </row>
    <row r="447" ht="15.75" spans="1:5">
      <c r="A447" s="33">
        <v>3045111.715</v>
      </c>
      <c r="B447" s="33">
        <v>399697.412</v>
      </c>
      <c r="C447" s="33">
        <v>673.69</v>
      </c>
      <c r="D447" s="11">
        <v>45371</v>
      </c>
      <c r="E447" s="88">
        <v>638.902</v>
      </c>
    </row>
    <row r="448" ht="15.75" spans="1:5">
      <c r="A448" s="33">
        <v>3045111.715</v>
      </c>
      <c r="B448" s="33">
        <v>399697.412</v>
      </c>
      <c r="C448" s="33">
        <v>673.69</v>
      </c>
      <c r="D448" s="11">
        <v>45372</v>
      </c>
      <c r="E448" s="88">
        <v>638.879</v>
      </c>
    </row>
    <row r="449" ht="15.75" spans="1:5">
      <c r="A449" s="33">
        <v>3045111.715</v>
      </c>
      <c r="B449" s="33">
        <v>399697.412</v>
      </c>
      <c r="C449" s="33">
        <v>673.69</v>
      </c>
      <c r="D449" s="11">
        <v>45373</v>
      </c>
      <c r="E449" s="88">
        <v>638.832</v>
      </c>
    </row>
    <row r="450" ht="15.75" spans="1:5">
      <c r="A450" s="33">
        <v>3045111.715</v>
      </c>
      <c r="B450" s="33">
        <v>399697.412</v>
      </c>
      <c r="C450" s="33">
        <v>673.69</v>
      </c>
      <c r="D450" s="11">
        <v>45374</v>
      </c>
      <c r="E450" s="88">
        <v>638.688</v>
      </c>
    </row>
    <row r="451" ht="15.75" spans="1:5">
      <c r="A451" s="33">
        <v>3045111.715</v>
      </c>
      <c r="B451" s="33">
        <v>399697.412</v>
      </c>
      <c r="C451" s="33">
        <v>673.69</v>
      </c>
      <c r="D451" s="11">
        <v>45375</v>
      </c>
      <c r="E451" s="88">
        <v>638.614</v>
      </c>
    </row>
    <row r="452" ht="15.75" spans="1:5">
      <c r="A452" s="33">
        <v>3045111.715</v>
      </c>
      <c r="B452" s="33">
        <v>399697.412</v>
      </c>
      <c r="C452" s="33">
        <v>673.69</v>
      </c>
      <c r="D452" s="11">
        <v>45376</v>
      </c>
      <c r="E452" s="88">
        <v>638.627</v>
      </c>
    </row>
    <row r="453" ht="15.75" spans="1:5">
      <c r="A453" s="33">
        <v>3045111.715</v>
      </c>
      <c r="B453" s="33">
        <v>399697.412</v>
      </c>
      <c r="C453" s="33">
        <v>673.69</v>
      </c>
      <c r="D453" s="11">
        <v>45377</v>
      </c>
      <c r="E453" s="88">
        <v>638.82</v>
      </c>
    </row>
    <row r="454" ht="15.75" spans="1:5">
      <c r="A454" s="33">
        <v>3045111.715</v>
      </c>
      <c r="B454" s="33">
        <v>399697.412</v>
      </c>
      <c r="C454" s="33">
        <v>673.69</v>
      </c>
      <c r="D454" s="11">
        <v>45378</v>
      </c>
      <c r="E454" s="88">
        <v>639.06</v>
      </c>
    </row>
    <row r="455" ht="15.75" spans="1:5">
      <c r="A455" s="33">
        <v>3045111.715</v>
      </c>
      <c r="B455" s="33">
        <v>399697.412</v>
      </c>
      <c r="C455" s="33">
        <v>673.69</v>
      </c>
      <c r="D455" s="11">
        <v>45379</v>
      </c>
      <c r="E455" s="88"/>
    </row>
    <row r="456" ht="15.75" spans="1:5">
      <c r="A456" s="33">
        <v>3045111.715</v>
      </c>
      <c r="B456" s="33">
        <v>399697.412</v>
      </c>
      <c r="C456" s="33">
        <v>673.69</v>
      </c>
      <c r="D456" s="11">
        <v>45380</v>
      </c>
      <c r="E456" s="88">
        <v>639.321</v>
      </c>
    </row>
    <row r="457" ht="15.75" spans="1:5">
      <c r="A457" s="33">
        <v>3045111.715</v>
      </c>
      <c r="B457" s="33">
        <v>399697.412</v>
      </c>
      <c r="C457" s="33">
        <v>673.69</v>
      </c>
      <c r="D457" s="11">
        <v>45381</v>
      </c>
      <c r="E457" s="88">
        <v>639.395</v>
      </c>
    </row>
    <row r="458" ht="15.75" spans="1:5">
      <c r="A458" s="33">
        <v>3045111.715</v>
      </c>
      <c r="B458" s="33">
        <v>399697.412</v>
      </c>
      <c r="C458" s="33">
        <v>673.69</v>
      </c>
      <c r="D458" s="11">
        <v>45382</v>
      </c>
      <c r="E458" s="88">
        <v>639.423</v>
      </c>
    </row>
    <row r="459" ht="15.75" spans="1:5">
      <c r="A459" s="33">
        <v>3045111.715</v>
      </c>
      <c r="B459" s="33">
        <v>399697.412</v>
      </c>
      <c r="C459" s="33">
        <v>673.69</v>
      </c>
      <c r="D459" s="11">
        <v>45383</v>
      </c>
      <c r="E459" s="88">
        <v>639.511</v>
      </c>
    </row>
    <row r="460" ht="15.75" spans="1:5">
      <c r="A460" s="33">
        <v>3045111.715</v>
      </c>
      <c r="B460" s="33">
        <v>399697.412</v>
      </c>
      <c r="C460" s="33">
        <v>673.69</v>
      </c>
      <c r="D460" s="11">
        <v>45384</v>
      </c>
      <c r="E460" s="88">
        <v>639.513</v>
      </c>
    </row>
    <row r="461" ht="15.75" spans="1:5">
      <c r="A461" s="33">
        <v>3045111.715</v>
      </c>
      <c r="B461" s="33">
        <v>399697.412</v>
      </c>
      <c r="C461" s="33">
        <v>673.69</v>
      </c>
      <c r="D461" s="11">
        <v>45385</v>
      </c>
      <c r="E461" s="88">
        <v>639.473</v>
      </c>
    </row>
    <row r="462" ht="15.75" spans="1:5">
      <c r="A462" s="33">
        <v>3045111.715</v>
      </c>
      <c r="B462" s="33">
        <v>399697.412</v>
      </c>
      <c r="C462" s="33">
        <v>673.69</v>
      </c>
      <c r="D462" s="11">
        <v>45386</v>
      </c>
      <c r="E462" s="88">
        <v>639.394</v>
      </c>
    </row>
    <row r="463" ht="15.75" spans="1:5">
      <c r="A463" s="33">
        <v>3045111.715</v>
      </c>
      <c r="B463" s="33">
        <v>399697.412</v>
      </c>
      <c r="C463" s="33">
        <v>673.69</v>
      </c>
      <c r="D463" s="11">
        <v>45387</v>
      </c>
      <c r="E463" s="88">
        <v>639.35</v>
      </c>
    </row>
    <row r="464" ht="15.75" spans="1:5">
      <c r="A464" s="33">
        <v>3045111.715</v>
      </c>
      <c r="B464" s="33">
        <v>399697.412</v>
      </c>
      <c r="C464" s="33">
        <v>673.69</v>
      </c>
      <c r="D464" s="11">
        <v>45388</v>
      </c>
      <c r="E464" s="88">
        <v>639.263</v>
      </c>
    </row>
    <row r="465" ht="15.75" spans="1:5">
      <c r="A465" s="33">
        <v>3045111.715</v>
      </c>
      <c r="B465" s="33">
        <v>399697.412</v>
      </c>
      <c r="C465" s="33">
        <v>673.69</v>
      </c>
      <c r="D465" s="11">
        <v>45389</v>
      </c>
      <c r="E465" s="88">
        <v>639.204</v>
      </c>
    </row>
    <row r="466" ht="15.75" spans="1:5">
      <c r="A466" s="33">
        <v>3045111.715</v>
      </c>
      <c r="B466" s="33">
        <v>399697.412</v>
      </c>
      <c r="C466" s="33">
        <v>673.69</v>
      </c>
      <c r="D466" s="11">
        <v>45390</v>
      </c>
      <c r="E466" s="88">
        <v>639.107</v>
      </c>
    </row>
    <row r="467" ht="15.75" spans="1:5">
      <c r="A467" s="33">
        <v>3045111.715</v>
      </c>
      <c r="B467" s="33">
        <v>399697.412</v>
      </c>
      <c r="C467" s="33">
        <v>673.69</v>
      </c>
      <c r="D467" s="11">
        <v>45391</v>
      </c>
      <c r="E467" s="88">
        <v>639.028</v>
      </c>
    </row>
    <row r="468" ht="15.75" spans="1:5">
      <c r="A468" s="33">
        <v>3045111.715</v>
      </c>
      <c r="B468" s="33">
        <v>399697.412</v>
      </c>
      <c r="C468" s="33">
        <v>673.69</v>
      </c>
      <c r="D468" s="11">
        <v>45392</v>
      </c>
      <c r="E468" s="88">
        <v>638.967</v>
      </c>
    </row>
    <row r="469" ht="15.75" spans="1:5">
      <c r="A469" s="33">
        <v>3045111.715</v>
      </c>
      <c r="B469" s="33">
        <v>399697.412</v>
      </c>
      <c r="C469" s="33">
        <v>673.69</v>
      </c>
      <c r="D469" s="11">
        <v>45393</v>
      </c>
      <c r="E469" s="88">
        <v>638.88</v>
      </c>
    </row>
    <row r="470" ht="15.75" spans="1:5">
      <c r="A470" s="33">
        <v>3045111.715</v>
      </c>
      <c r="B470" s="33">
        <v>399697.412</v>
      </c>
      <c r="C470" s="33">
        <v>673.69</v>
      </c>
      <c r="D470" s="11">
        <v>45394</v>
      </c>
      <c r="E470" s="88">
        <v>638.823</v>
      </c>
    </row>
    <row r="471" ht="15.75" spans="1:5">
      <c r="A471" s="33">
        <v>3045111.715</v>
      </c>
      <c r="B471" s="33">
        <v>399697.412</v>
      </c>
      <c r="C471" s="33">
        <v>673.69</v>
      </c>
      <c r="D471" s="11">
        <v>45395</v>
      </c>
      <c r="E471" s="88">
        <v>638.782</v>
      </c>
    </row>
    <row r="472" ht="15.75" spans="1:5">
      <c r="A472" s="33">
        <v>3045111.715</v>
      </c>
      <c r="B472" s="33">
        <v>399697.412</v>
      </c>
      <c r="C472" s="33">
        <v>673.69</v>
      </c>
      <c r="D472" s="11">
        <v>45396</v>
      </c>
      <c r="E472" s="88">
        <v>638.632</v>
      </c>
    </row>
    <row r="473" ht="15.75" spans="1:5">
      <c r="A473" s="33">
        <v>3045111.715</v>
      </c>
      <c r="B473" s="33">
        <v>399697.412</v>
      </c>
      <c r="C473" s="33">
        <v>673.69</v>
      </c>
      <c r="D473" s="11">
        <v>45397</v>
      </c>
      <c r="E473" s="88">
        <v>638.528</v>
      </c>
    </row>
    <row r="474" ht="15.75" spans="1:5">
      <c r="A474" s="33">
        <v>3045111.715</v>
      </c>
      <c r="B474" s="33">
        <v>399697.412</v>
      </c>
      <c r="C474" s="33">
        <v>673.69</v>
      </c>
      <c r="D474" s="11">
        <v>45398</v>
      </c>
      <c r="E474" s="88">
        <v>638.426</v>
      </c>
    </row>
    <row r="475" ht="15.75" spans="1:5">
      <c r="A475" s="33">
        <v>3045111.715</v>
      </c>
      <c r="B475" s="33">
        <v>399697.412</v>
      </c>
      <c r="C475" s="33">
        <v>673.69</v>
      </c>
      <c r="D475" s="11">
        <v>45399</v>
      </c>
      <c r="E475" s="88">
        <v>638.271</v>
      </c>
    </row>
    <row r="476" ht="15.75" spans="1:5">
      <c r="A476" s="33">
        <v>3045111.715</v>
      </c>
      <c r="B476" s="33">
        <v>399697.412</v>
      </c>
      <c r="C476" s="33">
        <v>673.69</v>
      </c>
      <c r="D476" s="11">
        <v>45400</v>
      </c>
      <c r="E476" s="88">
        <v>638.211</v>
      </c>
    </row>
    <row r="477" ht="15.75" spans="1:5">
      <c r="A477" s="33">
        <v>3045111.715</v>
      </c>
      <c r="B477" s="33">
        <v>399697.412</v>
      </c>
      <c r="C477" s="33">
        <v>673.69</v>
      </c>
      <c r="D477" s="11">
        <v>45401</v>
      </c>
      <c r="E477" s="88">
        <v>638.072</v>
      </c>
    </row>
    <row r="478" ht="15.75" spans="1:5">
      <c r="A478" s="33">
        <v>3045111.715</v>
      </c>
      <c r="B478" s="33">
        <v>399697.412</v>
      </c>
      <c r="C478" s="33">
        <v>673.69</v>
      </c>
      <c r="D478" s="11">
        <v>45402</v>
      </c>
      <c r="E478" s="88">
        <v>637.914</v>
      </c>
    </row>
    <row r="479" ht="15.75" spans="1:5">
      <c r="A479" s="33">
        <v>3045111.715</v>
      </c>
      <c r="B479" s="33">
        <v>399697.412</v>
      </c>
      <c r="C479" s="33">
        <v>673.69</v>
      </c>
      <c r="D479" s="11">
        <v>45403</v>
      </c>
      <c r="E479" s="88">
        <v>637.773</v>
      </c>
    </row>
    <row r="480" ht="15.75" spans="1:5">
      <c r="A480" s="33">
        <v>3045111.715</v>
      </c>
      <c r="B480" s="33">
        <v>399697.412</v>
      </c>
      <c r="C480" s="33">
        <v>673.69</v>
      </c>
      <c r="D480" s="11">
        <v>45404</v>
      </c>
      <c r="E480" s="88">
        <v>637.655</v>
      </c>
    </row>
    <row r="481" ht="15.75" spans="1:5">
      <c r="A481" s="33">
        <v>3045111.715</v>
      </c>
      <c r="B481" s="33">
        <v>399697.412</v>
      </c>
      <c r="C481" s="33">
        <v>673.69</v>
      </c>
      <c r="D481" s="11">
        <v>45405</v>
      </c>
      <c r="E481" s="88">
        <v>637.485</v>
      </c>
    </row>
    <row r="482" ht="15.75" spans="1:5">
      <c r="A482" s="33">
        <v>3045111.715</v>
      </c>
      <c r="B482" s="33">
        <v>399697.412</v>
      </c>
      <c r="C482" s="33">
        <v>673.69</v>
      </c>
      <c r="D482" s="11">
        <v>45406</v>
      </c>
      <c r="E482" s="88">
        <v>637.399</v>
      </c>
    </row>
    <row r="483" ht="15.75" spans="1:5">
      <c r="A483" s="33">
        <v>3045111.715</v>
      </c>
      <c r="B483" s="33">
        <v>399697.412</v>
      </c>
      <c r="C483" s="33">
        <v>673.69</v>
      </c>
      <c r="D483" s="11">
        <v>45407</v>
      </c>
      <c r="E483" s="88">
        <v>637.281</v>
      </c>
    </row>
    <row r="484" ht="15.75" spans="1:5">
      <c r="A484" s="33">
        <v>3045111.715</v>
      </c>
      <c r="B484" s="33">
        <v>399697.412</v>
      </c>
      <c r="C484" s="33">
        <v>673.69</v>
      </c>
      <c r="D484" s="11">
        <v>45408</v>
      </c>
      <c r="E484" s="88">
        <v>637.179</v>
      </c>
    </row>
    <row r="485" ht="15.75" spans="1:5">
      <c r="A485" s="33">
        <v>3045111.715</v>
      </c>
      <c r="B485" s="33">
        <v>399697.412</v>
      </c>
      <c r="C485" s="33">
        <v>673.69</v>
      </c>
      <c r="D485" s="11">
        <v>45409</v>
      </c>
      <c r="E485" s="88">
        <v>637.055</v>
      </c>
    </row>
    <row r="486" ht="15.75" spans="1:5">
      <c r="A486" s="33">
        <v>3045111.715</v>
      </c>
      <c r="B486" s="33">
        <v>399697.412</v>
      </c>
      <c r="C486" s="33">
        <v>673.69</v>
      </c>
      <c r="D486" s="11">
        <v>45410</v>
      </c>
      <c r="E486" s="88">
        <v>636.929</v>
      </c>
    </row>
    <row r="487" ht="15.75" spans="1:5">
      <c r="A487" s="33">
        <v>3045111.715</v>
      </c>
      <c r="B487" s="33">
        <v>399697.412</v>
      </c>
      <c r="C487" s="33">
        <v>673.69</v>
      </c>
      <c r="D487" s="11">
        <v>45411</v>
      </c>
      <c r="E487" s="88">
        <v>636.85</v>
      </c>
    </row>
    <row r="488" ht="15.75" spans="1:5">
      <c r="A488" s="33">
        <v>3045111.715</v>
      </c>
      <c r="B488" s="33">
        <v>399697.412</v>
      </c>
      <c r="C488" s="33">
        <v>673.69</v>
      </c>
      <c r="D488" s="11">
        <v>45412</v>
      </c>
      <c r="E488" s="88">
        <v>636.643</v>
      </c>
    </row>
    <row r="489" ht="15.75" spans="1:5">
      <c r="A489" s="33">
        <v>3045111.715</v>
      </c>
      <c r="B489" s="33">
        <v>399697.412</v>
      </c>
      <c r="C489" s="33">
        <v>673.69</v>
      </c>
      <c r="D489" s="11">
        <v>45413</v>
      </c>
      <c r="E489" s="88">
        <v>636.511</v>
      </c>
    </row>
    <row r="490" ht="15.75" spans="1:5">
      <c r="A490" s="33">
        <v>3045111.715</v>
      </c>
      <c r="B490" s="33">
        <v>399697.412</v>
      </c>
      <c r="C490" s="33">
        <v>673.69</v>
      </c>
      <c r="D490" s="11">
        <v>45414</v>
      </c>
      <c r="E490" s="88">
        <v>636.425</v>
      </c>
    </row>
    <row r="491" ht="15.75" spans="1:5">
      <c r="A491" s="33">
        <v>3045111.715</v>
      </c>
      <c r="B491" s="33">
        <v>399697.412</v>
      </c>
      <c r="C491" s="33">
        <v>673.69</v>
      </c>
      <c r="D491" s="11">
        <v>45415</v>
      </c>
      <c r="E491" s="88">
        <v>636.281</v>
      </c>
    </row>
    <row r="492" ht="15.75" spans="1:5">
      <c r="A492" s="33">
        <v>3045111.715</v>
      </c>
      <c r="B492" s="33">
        <v>399697.412</v>
      </c>
      <c r="C492" s="33">
        <v>673.69</v>
      </c>
      <c r="D492" s="11">
        <v>45416</v>
      </c>
      <c r="E492" s="88">
        <v>636.118</v>
      </c>
    </row>
    <row r="493" ht="15.75" spans="1:5">
      <c r="A493" s="33">
        <v>3045111.715</v>
      </c>
      <c r="B493" s="33">
        <v>399697.412</v>
      </c>
      <c r="C493" s="33">
        <v>673.69</v>
      </c>
      <c r="D493" s="11">
        <v>45417</v>
      </c>
      <c r="E493" s="88">
        <v>635.982</v>
      </c>
    </row>
    <row r="494" ht="15.75" spans="1:5">
      <c r="A494" s="33">
        <v>3045111.715</v>
      </c>
      <c r="B494" s="33">
        <v>399697.412</v>
      </c>
      <c r="C494" s="33">
        <v>673.69</v>
      </c>
      <c r="D494" s="11">
        <v>45418</v>
      </c>
      <c r="E494" s="88">
        <v>635.842</v>
      </c>
    </row>
    <row r="495" ht="15.75" spans="1:5">
      <c r="A495" s="33">
        <v>3045111.715</v>
      </c>
      <c r="B495" s="33">
        <v>399697.412</v>
      </c>
      <c r="C495" s="33">
        <v>673.69</v>
      </c>
      <c r="D495" s="11">
        <v>45419</v>
      </c>
      <c r="E495" s="88">
        <v>635.689</v>
      </c>
    </row>
    <row r="496" ht="15.75" spans="1:5">
      <c r="A496" s="33">
        <v>3045111.715</v>
      </c>
      <c r="B496" s="33">
        <v>399697.412</v>
      </c>
      <c r="C496" s="33">
        <v>673.69</v>
      </c>
      <c r="D496" s="11">
        <v>45420</v>
      </c>
      <c r="E496" s="88">
        <v>635.569</v>
      </c>
    </row>
    <row r="497" ht="15.75" spans="1:5">
      <c r="A497" s="33">
        <v>3045111.715</v>
      </c>
      <c r="B497" s="33">
        <v>399697.412</v>
      </c>
      <c r="C497" s="33">
        <v>673.69</v>
      </c>
      <c r="D497" s="11">
        <v>45421</v>
      </c>
      <c r="E497" s="88">
        <v>635.457</v>
      </c>
    </row>
    <row r="498" ht="15.75" spans="1:5">
      <c r="A498" s="33">
        <v>3045111.715</v>
      </c>
      <c r="B498" s="33">
        <v>399697.412</v>
      </c>
      <c r="C498" s="33">
        <v>673.69</v>
      </c>
      <c r="D498" s="11">
        <v>45422</v>
      </c>
      <c r="E498" s="88">
        <v>635.4</v>
      </c>
    </row>
    <row r="499" ht="15.75" spans="1:5">
      <c r="A499" s="33">
        <v>3045111.715</v>
      </c>
      <c r="B499" s="33">
        <v>399697.412</v>
      </c>
      <c r="C499" s="33">
        <v>673.69</v>
      </c>
      <c r="D499" s="11">
        <v>45423</v>
      </c>
      <c r="E499" s="88">
        <v>635.224</v>
      </c>
    </row>
  </sheetData>
  <mergeCells count="1">
    <mergeCell ref="A1:C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D1" sqref="D$1:D$1048576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20.6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>
        <v>3045156.773</v>
      </c>
      <c r="B3" s="33" t="s">
        <v>995</v>
      </c>
      <c r="C3" s="33">
        <v>1028.97</v>
      </c>
      <c r="D3" s="34">
        <v>44927</v>
      </c>
      <c r="E3" s="74"/>
      <c r="F3" t="s">
        <v>996</v>
      </c>
    </row>
    <row r="4" ht="15.75" spans="1:5">
      <c r="A4" s="33">
        <v>3045157.773</v>
      </c>
      <c r="B4" s="33" t="s">
        <v>997</v>
      </c>
      <c r="C4" s="33">
        <v>1029.97</v>
      </c>
      <c r="D4" s="11">
        <v>44928</v>
      </c>
      <c r="E4" s="74"/>
    </row>
    <row r="5" ht="15.75" spans="1:5">
      <c r="A5" s="33">
        <v>3045158.773</v>
      </c>
      <c r="B5" s="33" t="s">
        <v>998</v>
      </c>
      <c r="C5" s="33">
        <v>1030.97</v>
      </c>
      <c r="D5" s="11">
        <v>44929</v>
      </c>
      <c r="E5" s="74"/>
    </row>
    <row r="6" ht="15.75" spans="1:5">
      <c r="A6" s="33">
        <v>3045159.773</v>
      </c>
      <c r="B6" s="33" t="s">
        <v>999</v>
      </c>
      <c r="C6" s="33">
        <v>1031.97</v>
      </c>
      <c r="D6" s="11">
        <v>44930</v>
      </c>
      <c r="E6" s="74"/>
    </row>
    <row r="7" ht="15.75" spans="1:5">
      <c r="A7" s="33">
        <v>3045160.773</v>
      </c>
      <c r="B7" s="33" t="s">
        <v>1000</v>
      </c>
      <c r="C7" s="33">
        <v>1032.97</v>
      </c>
      <c r="D7" s="11">
        <v>44931</v>
      </c>
      <c r="E7" s="74"/>
    </row>
    <row r="8" ht="15.75" spans="1:5">
      <c r="A8" s="33">
        <v>3045161.773</v>
      </c>
      <c r="B8" s="33" t="s">
        <v>1001</v>
      </c>
      <c r="C8" s="33">
        <v>1033.97</v>
      </c>
      <c r="D8" s="11">
        <v>44932</v>
      </c>
      <c r="E8" s="74"/>
    </row>
    <row r="9" ht="15.75" spans="1:5">
      <c r="A9" s="33">
        <v>3045162.773</v>
      </c>
      <c r="B9" s="33" t="s">
        <v>1002</v>
      </c>
      <c r="C9" s="33">
        <v>1034.97</v>
      </c>
      <c r="D9" s="11">
        <v>44933</v>
      </c>
      <c r="E9" s="74"/>
    </row>
    <row r="10" ht="15.75" spans="1:5">
      <c r="A10" s="33">
        <v>3045163.773</v>
      </c>
      <c r="B10" s="33" t="s">
        <v>1003</v>
      </c>
      <c r="C10" s="33">
        <v>1035.97</v>
      </c>
      <c r="D10" s="11">
        <v>44934</v>
      </c>
      <c r="E10" s="74"/>
    </row>
    <row r="11" ht="15.75" spans="1:5">
      <c r="A11" s="33">
        <v>3045164.773</v>
      </c>
      <c r="B11" s="33" t="s">
        <v>1004</v>
      </c>
      <c r="C11" s="33">
        <v>1036.97</v>
      </c>
      <c r="D11" s="11">
        <v>44935</v>
      </c>
      <c r="E11" s="74"/>
    </row>
    <row r="12" ht="15.75" spans="1:5">
      <c r="A12" s="33">
        <v>3045165.773</v>
      </c>
      <c r="B12" s="33" t="s">
        <v>1005</v>
      </c>
      <c r="C12" s="33">
        <v>1037.97</v>
      </c>
      <c r="D12" s="11">
        <v>44936</v>
      </c>
      <c r="E12" s="74"/>
    </row>
    <row r="13" ht="15.75" spans="1:5">
      <c r="A13" s="33">
        <v>3045166.773</v>
      </c>
      <c r="B13" s="33" t="s">
        <v>1006</v>
      </c>
      <c r="C13" s="33">
        <v>1038.97</v>
      </c>
      <c r="D13" s="11">
        <v>44937</v>
      </c>
      <c r="E13" s="74"/>
    </row>
    <row r="14" ht="15.75" spans="1:5">
      <c r="A14" s="33">
        <v>3045167.773</v>
      </c>
      <c r="B14" s="33" t="s">
        <v>1007</v>
      </c>
      <c r="C14" s="33">
        <v>1039.97</v>
      </c>
      <c r="D14" s="11">
        <v>44938</v>
      </c>
      <c r="E14" s="74"/>
    </row>
    <row r="15" ht="15.75" spans="1:5">
      <c r="A15" s="33">
        <v>3045168.773</v>
      </c>
      <c r="B15" s="33" t="s">
        <v>1008</v>
      </c>
      <c r="C15" s="33">
        <v>1040.97</v>
      </c>
      <c r="D15" s="11">
        <v>44939</v>
      </c>
      <c r="E15" s="74"/>
    </row>
    <row r="16" ht="15.75" spans="1:5">
      <c r="A16" s="33">
        <v>3045169.773</v>
      </c>
      <c r="B16" s="33" t="s">
        <v>1009</v>
      </c>
      <c r="C16" s="33">
        <v>1041.97</v>
      </c>
      <c r="D16" s="11">
        <v>44940</v>
      </c>
      <c r="E16" s="74"/>
    </row>
    <row r="17" ht="15.75" spans="1:5">
      <c r="A17" s="33">
        <v>3045170.773</v>
      </c>
      <c r="B17" s="33" t="s">
        <v>1010</v>
      </c>
      <c r="C17" s="33">
        <v>1042.97</v>
      </c>
      <c r="D17" s="11">
        <v>44941</v>
      </c>
      <c r="E17" s="74"/>
    </row>
    <row r="18" ht="15.75" spans="1:5">
      <c r="A18" s="33">
        <v>3045171.773</v>
      </c>
      <c r="B18" s="33" t="s">
        <v>1011</v>
      </c>
      <c r="C18" s="33">
        <v>1043.97</v>
      </c>
      <c r="D18" s="11">
        <v>44942</v>
      </c>
      <c r="E18" s="74"/>
    </row>
    <row r="19" ht="15.75" spans="1:5">
      <c r="A19" s="33">
        <v>3045172.773</v>
      </c>
      <c r="B19" s="33" t="s">
        <v>1012</v>
      </c>
      <c r="C19" s="33">
        <v>1044.97</v>
      </c>
      <c r="D19" s="11">
        <v>44943</v>
      </c>
      <c r="E19" s="74"/>
    </row>
    <row r="20" ht="15.75" spans="1:5">
      <c r="A20" s="33">
        <v>3045173.773</v>
      </c>
      <c r="B20" s="33" t="s">
        <v>1013</v>
      </c>
      <c r="C20" s="33">
        <v>1045.97</v>
      </c>
      <c r="D20" s="11">
        <v>44944</v>
      </c>
      <c r="E20" s="74"/>
    </row>
    <row r="21" ht="15.75" spans="1:5">
      <c r="A21" s="33">
        <v>3045174.773</v>
      </c>
      <c r="B21" s="33" t="s">
        <v>1014</v>
      </c>
      <c r="C21" s="33">
        <v>1046.97</v>
      </c>
      <c r="D21" s="11">
        <v>44945</v>
      </c>
      <c r="E21" s="74"/>
    </row>
    <row r="22" ht="15.75" spans="1:5">
      <c r="A22" s="33">
        <v>3045175.773</v>
      </c>
      <c r="B22" s="33" t="s">
        <v>1015</v>
      </c>
      <c r="C22" s="33">
        <v>1047.97</v>
      </c>
      <c r="D22" s="11">
        <v>44946</v>
      </c>
      <c r="E22" s="74"/>
    </row>
    <row r="23" ht="15.75" spans="1:5">
      <c r="A23" s="33">
        <v>3045176.773</v>
      </c>
      <c r="B23" s="33" t="s">
        <v>1016</v>
      </c>
      <c r="C23" s="33">
        <v>1048.97</v>
      </c>
      <c r="D23" s="11">
        <v>44947</v>
      </c>
      <c r="E23" s="74"/>
    </row>
    <row r="24" ht="15.75" spans="1:5">
      <c r="A24" s="33">
        <v>3045177.773</v>
      </c>
      <c r="B24" s="33" t="s">
        <v>1017</v>
      </c>
      <c r="C24" s="33">
        <v>1049.97</v>
      </c>
      <c r="D24" s="11">
        <v>44948</v>
      </c>
      <c r="E24" s="74"/>
    </row>
    <row r="25" ht="15.75" spans="1:5">
      <c r="A25" s="33">
        <v>3045178.773</v>
      </c>
      <c r="B25" s="33" t="s">
        <v>1018</v>
      </c>
      <c r="C25" s="33">
        <v>1050.97</v>
      </c>
      <c r="D25" s="11">
        <v>44949</v>
      </c>
      <c r="E25" s="74"/>
    </row>
    <row r="26" ht="15.75" spans="1:5">
      <c r="A26" s="33">
        <v>3045179.773</v>
      </c>
      <c r="B26" s="33" t="s">
        <v>1019</v>
      </c>
      <c r="C26" s="33">
        <v>1051.97</v>
      </c>
      <c r="D26" s="11">
        <v>44950</v>
      </c>
      <c r="E26" s="74"/>
    </row>
    <row r="27" ht="15.75" spans="1:5">
      <c r="A27" s="33">
        <v>3045180.773</v>
      </c>
      <c r="B27" s="33" t="s">
        <v>1020</v>
      </c>
      <c r="C27" s="33">
        <v>1052.97</v>
      </c>
      <c r="D27" s="11">
        <v>44951</v>
      </c>
      <c r="E27" s="74"/>
    </row>
    <row r="28" ht="15.75" spans="1:5">
      <c r="A28" s="33">
        <v>3045181.773</v>
      </c>
      <c r="B28" s="33" t="s">
        <v>1021</v>
      </c>
      <c r="C28" s="33">
        <v>1053.97</v>
      </c>
      <c r="D28" s="11">
        <v>44952</v>
      </c>
      <c r="E28" s="74"/>
    </row>
    <row r="29" ht="15.75" spans="1:5">
      <c r="A29" s="33">
        <v>3045182.773</v>
      </c>
      <c r="B29" s="33" t="s">
        <v>1022</v>
      </c>
      <c r="C29" s="33">
        <v>1054.97</v>
      </c>
      <c r="D29" s="11">
        <v>44953</v>
      </c>
      <c r="E29" s="74"/>
    </row>
    <row r="30" ht="15.75" spans="1:5">
      <c r="A30" s="33">
        <v>3045183.773</v>
      </c>
      <c r="B30" s="33" t="s">
        <v>1023</v>
      </c>
      <c r="C30" s="33">
        <v>1055.97</v>
      </c>
      <c r="D30" s="11">
        <v>44954</v>
      </c>
      <c r="E30" s="74"/>
    </row>
    <row r="31" ht="15.75" spans="1:5">
      <c r="A31" s="33">
        <v>3045184.773</v>
      </c>
      <c r="B31" s="33" t="s">
        <v>1024</v>
      </c>
      <c r="C31" s="33">
        <v>1056.97</v>
      </c>
      <c r="D31" s="11">
        <v>44955</v>
      </c>
      <c r="E31" s="74"/>
    </row>
    <row r="32" ht="15.75" spans="1:5">
      <c r="A32" s="33">
        <v>3045185.773</v>
      </c>
      <c r="B32" s="33" t="s">
        <v>1025</v>
      </c>
      <c r="C32" s="33">
        <v>1057.97</v>
      </c>
      <c r="D32" s="11">
        <v>44956</v>
      </c>
      <c r="E32" s="74"/>
    </row>
    <row r="33" ht="15.75" spans="1:5">
      <c r="A33" s="33">
        <v>3045186.773</v>
      </c>
      <c r="B33" s="33" t="s">
        <v>1026</v>
      </c>
      <c r="C33" s="33">
        <v>1058.97</v>
      </c>
      <c r="D33" s="11">
        <v>44957</v>
      </c>
      <c r="E33" s="74"/>
    </row>
    <row r="34" ht="15.75" spans="1:5">
      <c r="A34" s="33">
        <v>3045187.773</v>
      </c>
      <c r="B34" s="33" t="s">
        <v>1027</v>
      </c>
      <c r="C34" s="33">
        <v>1059.97</v>
      </c>
      <c r="D34" s="11">
        <v>44958</v>
      </c>
      <c r="E34" s="74"/>
    </row>
    <row r="35" ht="15.75" spans="1:5">
      <c r="A35" s="33">
        <v>3045188.773</v>
      </c>
      <c r="B35" s="33" t="s">
        <v>1028</v>
      </c>
      <c r="C35" s="33">
        <v>1060.97</v>
      </c>
      <c r="D35" s="11">
        <v>44959</v>
      </c>
      <c r="E35" s="74"/>
    </row>
    <row r="36" ht="15.75" spans="1:5">
      <c r="A36" s="33">
        <v>3045189.773</v>
      </c>
      <c r="B36" s="33" t="s">
        <v>1029</v>
      </c>
      <c r="C36" s="33">
        <v>1061.97</v>
      </c>
      <c r="D36" s="11">
        <v>44960</v>
      </c>
      <c r="E36" s="74"/>
    </row>
    <row r="37" ht="15.75" spans="1:5">
      <c r="A37" s="33">
        <v>3045190.773</v>
      </c>
      <c r="B37" s="33" t="s">
        <v>1030</v>
      </c>
      <c r="C37" s="33">
        <v>1062.97</v>
      </c>
      <c r="D37" s="11">
        <v>44961</v>
      </c>
      <c r="E37" s="74"/>
    </row>
    <row r="38" ht="15.75" spans="1:5">
      <c r="A38" s="33">
        <v>3045191.773</v>
      </c>
      <c r="B38" s="33" t="s">
        <v>1031</v>
      </c>
      <c r="C38" s="33">
        <v>1063.97</v>
      </c>
      <c r="D38" s="11">
        <v>44962</v>
      </c>
      <c r="E38" s="74"/>
    </row>
    <row r="39" ht="15.75" spans="1:5">
      <c r="A39" s="33">
        <v>3045192.773</v>
      </c>
      <c r="B39" s="33" t="s">
        <v>1032</v>
      </c>
      <c r="C39" s="33">
        <v>1064.97</v>
      </c>
      <c r="D39" s="11">
        <v>44963</v>
      </c>
      <c r="E39" s="74"/>
    </row>
    <row r="40" ht="15.75" spans="1:5">
      <c r="A40" s="33">
        <v>3045193.773</v>
      </c>
      <c r="B40" s="33" t="s">
        <v>1033</v>
      </c>
      <c r="C40" s="33">
        <v>1065.97</v>
      </c>
      <c r="D40" s="11">
        <v>44964</v>
      </c>
      <c r="E40" s="74"/>
    </row>
    <row r="41" ht="15.75" spans="1:5">
      <c r="A41" s="33">
        <v>3045194.773</v>
      </c>
      <c r="B41" s="33" t="s">
        <v>1034</v>
      </c>
      <c r="C41" s="33">
        <v>1066.97</v>
      </c>
      <c r="D41" s="11">
        <v>44965</v>
      </c>
      <c r="E41" s="74"/>
    </row>
    <row r="42" ht="15.75" spans="1:5">
      <c r="A42" s="33">
        <v>3045195.773</v>
      </c>
      <c r="B42" s="33" t="s">
        <v>1035</v>
      </c>
      <c r="C42" s="33">
        <v>1067.97</v>
      </c>
      <c r="D42" s="11">
        <v>44966</v>
      </c>
      <c r="E42" s="74"/>
    </row>
    <row r="43" ht="15.75" spans="1:5">
      <c r="A43" s="33">
        <v>3045196.773</v>
      </c>
      <c r="B43" s="33" t="s">
        <v>1036</v>
      </c>
      <c r="C43" s="33">
        <v>1068.97</v>
      </c>
      <c r="D43" s="11">
        <v>44967</v>
      </c>
      <c r="E43" s="74"/>
    </row>
    <row r="44" ht="15.75" spans="1:5">
      <c r="A44" s="33">
        <v>3045197.773</v>
      </c>
      <c r="B44" s="33" t="s">
        <v>1037</v>
      </c>
      <c r="C44" s="33">
        <v>1069.97</v>
      </c>
      <c r="D44" s="11">
        <v>44968</v>
      </c>
      <c r="E44" s="74"/>
    </row>
    <row r="45" ht="15.75" spans="1:5">
      <c r="A45" s="33">
        <v>3045198.773</v>
      </c>
      <c r="B45" s="33" t="s">
        <v>1038</v>
      </c>
      <c r="C45" s="33">
        <v>1070.97</v>
      </c>
      <c r="D45" s="11">
        <v>44969</v>
      </c>
      <c r="E45" s="74"/>
    </row>
    <row r="46" ht="15.75" spans="1:5">
      <c r="A46" s="33">
        <v>3045199.773</v>
      </c>
      <c r="B46" s="33" t="s">
        <v>1039</v>
      </c>
      <c r="C46" s="33">
        <v>1071.97</v>
      </c>
      <c r="D46" s="11">
        <v>44970</v>
      </c>
      <c r="E46" s="74"/>
    </row>
    <row r="47" ht="15.75" spans="1:5">
      <c r="A47" s="33">
        <v>3045200.773</v>
      </c>
      <c r="B47" s="33" t="s">
        <v>1040</v>
      </c>
      <c r="C47" s="33">
        <v>1072.97</v>
      </c>
      <c r="D47" s="11">
        <v>44971</v>
      </c>
      <c r="E47" s="74"/>
    </row>
    <row r="48" ht="15.75" spans="1:5">
      <c r="A48" s="33">
        <v>3045201.773</v>
      </c>
      <c r="B48" s="33" t="s">
        <v>1041</v>
      </c>
      <c r="C48" s="33">
        <v>1073.97</v>
      </c>
      <c r="D48" s="11">
        <v>44972</v>
      </c>
      <c r="E48" s="74"/>
    </row>
    <row r="49" ht="15.75" spans="1:5">
      <c r="A49" s="33">
        <v>3045202.773</v>
      </c>
      <c r="B49" s="33" t="s">
        <v>1042</v>
      </c>
      <c r="C49" s="33">
        <v>1074.97</v>
      </c>
      <c r="D49" s="11">
        <v>44973</v>
      </c>
      <c r="E49" s="74"/>
    </row>
    <row r="50" ht="15.75" spans="1:5">
      <c r="A50" s="33">
        <v>3045203.773</v>
      </c>
      <c r="B50" s="33" t="s">
        <v>1043</v>
      </c>
      <c r="C50" s="33">
        <v>1075.97</v>
      </c>
      <c r="D50" s="11">
        <v>44974</v>
      </c>
      <c r="E50" s="74"/>
    </row>
    <row r="51" ht="15.75" spans="1:5">
      <c r="A51" s="33">
        <v>3045204.773</v>
      </c>
      <c r="B51" s="33" t="s">
        <v>1044</v>
      </c>
      <c r="C51" s="33">
        <v>1076.97</v>
      </c>
      <c r="D51" s="11">
        <v>44975</v>
      </c>
      <c r="E51" s="74"/>
    </row>
    <row r="52" ht="15.75" spans="1:5">
      <c r="A52" s="33">
        <v>3045205.773</v>
      </c>
      <c r="B52" s="33" t="s">
        <v>1045</v>
      </c>
      <c r="C52" s="33">
        <v>1077.97</v>
      </c>
      <c r="D52" s="11">
        <v>44976</v>
      </c>
      <c r="E52" s="74"/>
    </row>
    <row r="53" ht="15.75" spans="1:5">
      <c r="A53" s="33">
        <v>3045206.773</v>
      </c>
      <c r="B53" s="33" t="s">
        <v>1046</v>
      </c>
      <c r="C53" s="33">
        <v>1078.97</v>
      </c>
      <c r="D53" s="11">
        <v>44977</v>
      </c>
      <c r="E53" s="74"/>
    </row>
    <row r="54" ht="15.75" spans="1:5">
      <c r="A54" s="33">
        <v>3045207.773</v>
      </c>
      <c r="B54" s="33" t="s">
        <v>1047</v>
      </c>
      <c r="C54" s="33">
        <v>1079.97</v>
      </c>
      <c r="D54" s="11">
        <v>44978</v>
      </c>
      <c r="E54" s="74"/>
    </row>
    <row r="55" ht="15.75" spans="1:5">
      <c r="A55" s="33">
        <v>3045208.773</v>
      </c>
      <c r="B55" s="33" t="s">
        <v>1048</v>
      </c>
      <c r="C55" s="33">
        <v>1080.97</v>
      </c>
      <c r="D55" s="11">
        <v>44979</v>
      </c>
      <c r="E55" s="74"/>
    </row>
    <row r="56" ht="15.75" spans="1:5">
      <c r="A56" s="33">
        <v>3045209.773</v>
      </c>
      <c r="B56" s="33" t="s">
        <v>1049</v>
      </c>
      <c r="C56" s="33">
        <v>1081.97</v>
      </c>
      <c r="D56" s="11">
        <v>44980</v>
      </c>
      <c r="E56" s="74"/>
    </row>
    <row r="57" ht="15.75" spans="1:5">
      <c r="A57" s="33">
        <v>3045210.773</v>
      </c>
      <c r="B57" s="33" t="s">
        <v>1050</v>
      </c>
      <c r="C57" s="33">
        <v>1082.97</v>
      </c>
      <c r="D57" s="11">
        <v>44981</v>
      </c>
      <c r="E57" s="74"/>
    </row>
    <row r="58" ht="15.75" spans="1:5">
      <c r="A58" s="33">
        <v>3045211.773</v>
      </c>
      <c r="B58" s="33" t="s">
        <v>1051</v>
      </c>
      <c r="C58" s="33">
        <v>1083.97</v>
      </c>
      <c r="D58" s="11">
        <v>44982</v>
      </c>
      <c r="E58" s="74"/>
    </row>
    <row r="59" ht="15.75" spans="1:5">
      <c r="A59" s="33">
        <v>3045212.773</v>
      </c>
      <c r="B59" s="33" t="s">
        <v>1052</v>
      </c>
      <c r="C59" s="33">
        <v>1084.97</v>
      </c>
      <c r="D59" s="11">
        <v>44983</v>
      </c>
      <c r="E59" s="74"/>
    </row>
    <row r="60" ht="15.75" spans="1:5">
      <c r="A60" s="33">
        <v>3045213.773</v>
      </c>
      <c r="B60" s="33" t="s">
        <v>1053</v>
      </c>
      <c r="C60" s="33">
        <v>1085.97</v>
      </c>
      <c r="D60" s="11">
        <v>44984</v>
      </c>
      <c r="E60" s="74"/>
    </row>
    <row r="61" ht="15.75" spans="1:5">
      <c r="A61" s="33">
        <v>3045214.773</v>
      </c>
      <c r="B61" s="33" t="s">
        <v>1054</v>
      </c>
      <c r="C61" s="33">
        <v>1086.97</v>
      </c>
      <c r="D61" s="11">
        <v>44985</v>
      </c>
      <c r="E61" s="74"/>
    </row>
    <row r="62" ht="15.75" spans="1:5">
      <c r="A62" s="33">
        <v>3045215.773</v>
      </c>
      <c r="B62" s="33" t="s">
        <v>1055</v>
      </c>
      <c r="C62" s="33">
        <v>1087.97</v>
      </c>
      <c r="D62" s="11">
        <v>44986</v>
      </c>
      <c r="E62" s="74"/>
    </row>
    <row r="63" ht="15.75" spans="1:5">
      <c r="A63" s="33">
        <v>3045216.773</v>
      </c>
      <c r="B63" s="33" t="s">
        <v>1056</v>
      </c>
      <c r="C63" s="33">
        <v>1088.97</v>
      </c>
      <c r="D63" s="11">
        <v>44987</v>
      </c>
      <c r="E63" s="74"/>
    </row>
    <row r="64" ht="15.75" spans="1:5">
      <c r="A64" s="33">
        <v>3045217.773</v>
      </c>
      <c r="B64" s="33" t="s">
        <v>1057</v>
      </c>
      <c r="C64" s="33">
        <v>1089.97</v>
      </c>
      <c r="D64" s="11">
        <v>44988</v>
      </c>
      <c r="E64" s="74"/>
    </row>
    <row r="65" ht="15.75" spans="1:5">
      <c r="A65" s="33">
        <v>3045218.773</v>
      </c>
      <c r="B65" s="33" t="s">
        <v>1058</v>
      </c>
      <c r="C65" s="33">
        <v>1090.97</v>
      </c>
      <c r="D65" s="11">
        <v>44989</v>
      </c>
      <c r="E65" s="74"/>
    </row>
    <row r="66" ht="15.75" spans="1:5">
      <c r="A66" s="33">
        <v>3045219.773</v>
      </c>
      <c r="B66" s="33" t="s">
        <v>1059</v>
      </c>
      <c r="C66" s="33">
        <v>1091.97</v>
      </c>
      <c r="D66" s="11">
        <v>44990</v>
      </c>
      <c r="E66" s="74"/>
    </row>
    <row r="67" ht="15.75" spans="1:5">
      <c r="A67" s="33">
        <v>3045220.773</v>
      </c>
      <c r="B67" s="33" t="s">
        <v>1060</v>
      </c>
      <c r="C67" s="33">
        <v>1092.97</v>
      </c>
      <c r="D67" s="11">
        <v>44991</v>
      </c>
      <c r="E67" s="74"/>
    </row>
    <row r="68" ht="15.75" spans="1:5">
      <c r="A68" s="33">
        <v>3045221.773</v>
      </c>
      <c r="B68" s="33" t="s">
        <v>1061</v>
      </c>
      <c r="C68" s="33">
        <v>1093.97</v>
      </c>
      <c r="D68" s="11">
        <v>44992</v>
      </c>
      <c r="E68" s="74"/>
    </row>
    <row r="69" ht="15.75" spans="1:5">
      <c r="A69" s="33">
        <v>3045222.773</v>
      </c>
      <c r="B69" s="33" t="s">
        <v>1062</v>
      </c>
      <c r="C69" s="33">
        <v>1094.97</v>
      </c>
      <c r="D69" s="11">
        <v>44993</v>
      </c>
      <c r="E69" s="74"/>
    </row>
    <row r="70" ht="15.75" spans="1:5">
      <c r="A70" s="33">
        <v>3045223.773</v>
      </c>
      <c r="B70" s="33" t="s">
        <v>1063</v>
      </c>
      <c r="C70" s="33">
        <v>1095.97</v>
      </c>
      <c r="D70" s="11">
        <v>44994</v>
      </c>
      <c r="E70" s="74"/>
    </row>
    <row r="71" ht="15.75" spans="1:5">
      <c r="A71" s="33">
        <v>3045224.773</v>
      </c>
      <c r="B71" s="33" t="s">
        <v>1064</v>
      </c>
      <c r="C71" s="33">
        <v>1096.97</v>
      </c>
      <c r="D71" s="11">
        <v>44995</v>
      </c>
      <c r="E71" s="74"/>
    </row>
    <row r="72" ht="15.75" spans="1:5">
      <c r="A72" s="33">
        <v>3045225.773</v>
      </c>
      <c r="B72" s="33" t="s">
        <v>1065</v>
      </c>
      <c r="C72" s="33">
        <v>1097.97</v>
      </c>
      <c r="D72" s="11">
        <v>44996</v>
      </c>
      <c r="E72" s="74"/>
    </row>
    <row r="73" ht="15.75" spans="1:5">
      <c r="A73" s="33">
        <v>3045226.773</v>
      </c>
      <c r="B73" s="33" t="s">
        <v>1066</v>
      </c>
      <c r="C73" s="33">
        <v>1098.97</v>
      </c>
      <c r="D73" s="11">
        <v>44997</v>
      </c>
      <c r="E73" s="74"/>
    </row>
    <row r="74" ht="15.75" spans="1:5">
      <c r="A74" s="33">
        <v>3045227.773</v>
      </c>
      <c r="B74" s="33" t="s">
        <v>1067</v>
      </c>
      <c r="C74" s="33">
        <v>1099.97</v>
      </c>
      <c r="D74" s="11">
        <v>44998</v>
      </c>
      <c r="E74" s="74"/>
    </row>
    <row r="75" ht="15.75" spans="1:5">
      <c r="A75" s="33">
        <v>3045228.773</v>
      </c>
      <c r="B75" s="33" t="s">
        <v>1068</v>
      </c>
      <c r="C75" s="33">
        <v>1100.97</v>
      </c>
      <c r="D75" s="11">
        <v>44999</v>
      </c>
      <c r="E75" s="74"/>
    </row>
    <row r="76" ht="15.75" spans="1:5">
      <c r="A76" s="33">
        <v>3045229.773</v>
      </c>
      <c r="B76" s="33" t="s">
        <v>1069</v>
      </c>
      <c r="C76" s="33">
        <v>1101.97</v>
      </c>
      <c r="D76" s="11">
        <v>45000</v>
      </c>
      <c r="E76" s="74"/>
    </row>
    <row r="77" ht="15.75" spans="1:5">
      <c r="A77" s="33">
        <v>3045230.773</v>
      </c>
      <c r="B77" s="33" t="s">
        <v>1070</v>
      </c>
      <c r="C77" s="33">
        <v>1102.97</v>
      </c>
      <c r="D77" s="11">
        <v>45001</v>
      </c>
      <c r="E77" s="74"/>
    </row>
    <row r="78" ht="15.75" spans="1:5">
      <c r="A78" s="33">
        <v>3045231.773</v>
      </c>
      <c r="B78" s="33" t="s">
        <v>1071</v>
      </c>
      <c r="C78" s="33">
        <v>1103.97</v>
      </c>
      <c r="D78" s="11">
        <v>45002</v>
      </c>
      <c r="E78" s="74"/>
    </row>
    <row r="79" ht="15.75" spans="1:5">
      <c r="A79" s="33">
        <v>3045232.773</v>
      </c>
      <c r="B79" s="33" t="s">
        <v>1072</v>
      </c>
      <c r="C79" s="33">
        <v>1104.97</v>
      </c>
      <c r="D79" s="11">
        <v>45003</v>
      </c>
      <c r="E79" s="74"/>
    </row>
    <row r="80" ht="15.75" spans="1:5">
      <c r="A80" s="33">
        <v>3045233.773</v>
      </c>
      <c r="B80" s="33" t="s">
        <v>1073</v>
      </c>
      <c r="C80" s="33">
        <v>1105.97</v>
      </c>
      <c r="D80" s="11">
        <v>45004</v>
      </c>
      <c r="E80" s="74"/>
    </row>
    <row r="81" ht="15.75" spans="1:5">
      <c r="A81" s="33">
        <v>3045234.773</v>
      </c>
      <c r="B81" s="33" t="s">
        <v>1074</v>
      </c>
      <c r="C81" s="33">
        <v>1106.97</v>
      </c>
      <c r="D81" s="11">
        <v>45005</v>
      </c>
      <c r="E81" s="74"/>
    </row>
    <row r="82" ht="15.75" spans="1:5">
      <c r="A82" s="33">
        <v>3045235.773</v>
      </c>
      <c r="B82" s="33" t="s">
        <v>1075</v>
      </c>
      <c r="C82" s="33">
        <v>1107.97</v>
      </c>
      <c r="D82" s="11">
        <v>45006</v>
      </c>
      <c r="E82" s="74"/>
    </row>
    <row r="83" ht="15.75" spans="1:5">
      <c r="A83" s="33">
        <v>3045236.773</v>
      </c>
      <c r="B83" s="33" t="s">
        <v>1076</v>
      </c>
      <c r="C83" s="33">
        <v>1108.97</v>
      </c>
      <c r="D83" s="11">
        <v>45007</v>
      </c>
      <c r="E83" s="74"/>
    </row>
    <row r="84" ht="15.75" spans="1:5">
      <c r="A84" s="33">
        <v>3045237.773</v>
      </c>
      <c r="B84" s="33" t="s">
        <v>1077</v>
      </c>
      <c r="C84" s="33">
        <v>1109.97</v>
      </c>
      <c r="D84" s="11">
        <v>45008</v>
      </c>
      <c r="E84" s="74"/>
    </row>
    <row r="85" ht="15.75" spans="1:5">
      <c r="A85" s="33">
        <v>3045238.773</v>
      </c>
      <c r="B85" s="33" t="s">
        <v>1078</v>
      </c>
      <c r="C85" s="33">
        <v>1110.97</v>
      </c>
      <c r="D85" s="11">
        <v>45009</v>
      </c>
      <c r="E85" s="74"/>
    </row>
    <row r="86" ht="15.75" spans="1:5">
      <c r="A86" s="33">
        <v>3045239.773</v>
      </c>
      <c r="B86" s="33" t="s">
        <v>1079</v>
      </c>
      <c r="C86" s="33">
        <v>1111.97</v>
      </c>
      <c r="D86" s="11">
        <v>45010</v>
      </c>
      <c r="E86" s="74"/>
    </row>
    <row r="87" ht="15.75" spans="1:5">
      <c r="A87" s="33">
        <v>3045240.773</v>
      </c>
      <c r="B87" s="33" t="s">
        <v>1080</v>
      </c>
      <c r="C87" s="33">
        <v>1112.97</v>
      </c>
      <c r="D87" s="11">
        <v>45011</v>
      </c>
      <c r="E87" s="74"/>
    </row>
    <row r="88" ht="15.75" spans="1:5">
      <c r="A88" s="33">
        <v>3045241.773</v>
      </c>
      <c r="B88" s="33" t="s">
        <v>1081</v>
      </c>
      <c r="C88" s="33">
        <v>1113.97</v>
      </c>
      <c r="D88" s="11">
        <v>45012</v>
      </c>
      <c r="E88" s="74"/>
    </row>
    <row r="89" ht="15.75" spans="1:5">
      <c r="A89" s="33">
        <v>3045242.773</v>
      </c>
      <c r="B89" s="33" t="s">
        <v>1082</v>
      </c>
      <c r="C89" s="33">
        <v>1114.97</v>
      </c>
      <c r="D89" s="11">
        <v>45013</v>
      </c>
      <c r="E89" s="74"/>
    </row>
    <row r="90" ht="15.75" spans="1:5">
      <c r="A90" s="33">
        <v>3045243.773</v>
      </c>
      <c r="B90" s="33" t="s">
        <v>1083</v>
      </c>
      <c r="C90" s="33">
        <v>1115.97</v>
      </c>
      <c r="D90" s="11">
        <v>45014</v>
      </c>
      <c r="E90" s="74"/>
    </row>
    <row r="91" ht="15.75" spans="1:5">
      <c r="A91" s="33">
        <v>3045244.773</v>
      </c>
      <c r="B91" s="33" t="s">
        <v>1084</v>
      </c>
      <c r="C91" s="33">
        <v>1116.97</v>
      </c>
      <c r="D91" s="11">
        <v>45015</v>
      </c>
      <c r="E91" s="74"/>
    </row>
    <row r="92" ht="15.75" spans="1:5">
      <c r="A92" s="33">
        <v>3045245.773</v>
      </c>
      <c r="B92" s="33" t="s">
        <v>1085</v>
      </c>
      <c r="C92" s="33">
        <v>1117.97</v>
      </c>
      <c r="D92" s="11">
        <v>45016</v>
      </c>
      <c r="E92" s="75">
        <v>987.561</v>
      </c>
    </row>
    <row r="93" ht="15.75" spans="1:5">
      <c r="A93" s="33">
        <v>3045246.773</v>
      </c>
      <c r="B93" s="33" t="s">
        <v>1086</v>
      </c>
      <c r="C93" s="33">
        <v>1118.97</v>
      </c>
      <c r="D93" s="11">
        <v>45017</v>
      </c>
      <c r="E93" s="75"/>
    </row>
    <row r="94" ht="15.75" spans="1:5">
      <c r="A94" s="33">
        <v>3045247.773</v>
      </c>
      <c r="B94" s="33" t="s">
        <v>1087</v>
      </c>
      <c r="C94" s="33">
        <v>1119.97</v>
      </c>
      <c r="D94" s="11">
        <v>45018</v>
      </c>
      <c r="E94" s="75"/>
    </row>
    <row r="95" ht="15.75" spans="1:5">
      <c r="A95" s="33">
        <v>3045248.773</v>
      </c>
      <c r="B95" s="33" t="s">
        <v>1088</v>
      </c>
      <c r="C95" s="33">
        <v>1120.97</v>
      </c>
      <c r="D95" s="11">
        <v>45019</v>
      </c>
      <c r="E95" s="75"/>
    </row>
    <row r="96" ht="15.75" spans="1:5">
      <c r="A96" s="33">
        <v>3045249.773</v>
      </c>
      <c r="B96" s="33" t="s">
        <v>1089</v>
      </c>
      <c r="C96" s="33">
        <v>1121.97</v>
      </c>
      <c r="D96" s="11">
        <v>45020</v>
      </c>
      <c r="E96" s="75"/>
    </row>
    <row r="97" ht="15.75" spans="1:5">
      <c r="A97" s="33">
        <v>3045250.773</v>
      </c>
      <c r="B97" s="33" t="s">
        <v>1090</v>
      </c>
      <c r="C97" s="33">
        <v>1122.97</v>
      </c>
      <c r="D97" s="11">
        <v>45021</v>
      </c>
      <c r="E97" s="75">
        <v>987.471</v>
      </c>
    </row>
    <row r="98" ht="15.75" spans="1:5">
      <c r="A98" s="33">
        <v>3045251.773</v>
      </c>
      <c r="B98" s="33" t="s">
        <v>1091</v>
      </c>
      <c r="C98" s="33">
        <v>1123.97</v>
      </c>
      <c r="D98" s="11">
        <v>45022</v>
      </c>
      <c r="E98" s="75"/>
    </row>
    <row r="99" ht="15.75" spans="1:5">
      <c r="A99" s="33">
        <v>3045252.773</v>
      </c>
      <c r="B99" s="33" t="s">
        <v>1092</v>
      </c>
      <c r="C99" s="33">
        <v>1124.97</v>
      </c>
      <c r="D99" s="11">
        <v>45023</v>
      </c>
      <c r="E99" s="75"/>
    </row>
    <row r="100" ht="15.75" spans="1:5">
      <c r="A100" s="33">
        <v>3045253.773</v>
      </c>
      <c r="B100" s="33" t="s">
        <v>1093</v>
      </c>
      <c r="C100" s="33">
        <v>1125.97</v>
      </c>
      <c r="D100" s="11">
        <v>45024</v>
      </c>
      <c r="E100" s="75"/>
    </row>
    <row r="101" ht="15.75" spans="1:5">
      <c r="A101" s="33">
        <v>3045254.773</v>
      </c>
      <c r="B101" s="33" t="s">
        <v>1094</v>
      </c>
      <c r="C101" s="33">
        <v>1126.97</v>
      </c>
      <c r="D101" s="11">
        <v>45025</v>
      </c>
      <c r="E101" s="75"/>
    </row>
    <row r="102" ht="15.75" spans="1:5">
      <c r="A102" s="33">
        <v>3045255.773</v>
      </c>
      <c r="B102" s="33" t="s">
        <v>1095</v>
      </c>
      <c r="C102" s="33">
        <v>1127.97</v>
      </c>
      <c r="D102" s="11">
        <v>45026</v>
      </c>
      <c r="E102" s="75">
        <v>987.401</v>
      </c>
    </row>
    <row r="103" ht="15.75" spans="1:5">
      <c r="A103" s="33">
        <v>3045256.773</v>
      </c>
      <c r="B103" s="33" t="s">
        <v>1096</v>
      </c>
      <c r="C103" s="33">
        <v>1128.97</v>
      </c>
      <c r="D103" s="11">
        <v>45027</v>
      </c>
      <c r="E103" s="75"/>
    </row>
    <row r="104" ht="15.75" spans="1:5">
      <c r="A104" s="33">
        <v>3045257.773</v>
      </c>
      <c r="B104" s="33" t="s">
        <v>1097</v>
      </c>
      <c r="C104" s="33">
        <v>1129.97</v>
      </c>
      <c r="D104" s="11">
        <v>45028</v>
      </c>
      <c r="E104" s="75"/>
    </row>
    <row r="105" ht="15.75" spans="1:5">
      <c r="A105" s="33">
        <v>3045258.773</v>
      </c>
      <c r="B105" s="33" t="s">
        <v>1098</v>
      </c>
      <c r="C105" s="33">
        <v>1130.97</v>
      </c>
      <c r="D105" s="11">
        <v>45029</v>
      </c>
      <c r="E105" s="75"/>
    </row>
    <row r="106" ht="15.75" spans="1:5">
      <c r="A106" s="33">
        <v>3045259.773</v>
      </c>
      <c r="B106" s="33" t="s">
        <v>1099</v>
      </c>
      <c r="C106" s="33">
        <v>1131.97</v>
      </c>
      <c r="D106" s="11">
        <v>45030</v>
      </c>
      <c r="E106" s="75"/>
    </row>
    <row r="107" ht="15.75" spans="1:5">
      <c r="A107" s="33">
        <v>3045260.773</v>
      </c>
      <c r="B107" s="33" t="s">
        <v>1100</v>
      </c>
      <c r="C107" s="33">
        <v>1132.97</v>
      </c>
      <c r="D107" s="11">
        <v>45031</v>
      </c>
      <c r="E107" s="75">
        <v>987.401</v>
      </c>
    </row>
    <row r="108" ht="15.75" spans="1:5">
      <c r="A108" s="33">
        <v>3045261.773</v>
      </c>
      <c r="B108" s="33" t="s">
        <v>1101</v>
      </c>
      <c r="C108" s="33">
        <v>1133.97</v>
      </c>
      <c r="D108" s="11">
        <v>45032</v>
      </c>
      <c r="E108" s="75"/>
    </row>
    <row r="109" ht="15.75" spans="1:5">
      <c r="A109" s="33">
        <v>3045262.773</v>
      </c>
      <c r="B109" s="33" t="s">
        <v>1102</v>
      </c>
      <c r="C109" s="33">
        <v>1134.97</v>
      </c>
      <c r="D109" s="11">
        <v>45033</v>
      </c>
      <c r="E109" s="75"/>
    </row>
    <row r="110" ht="15.75" spans="1:5">
      <c r="A110" s="33">
        <v>3045263.773</v>
      </c>
      <c r="B110" s="33" t="s">
        <v>1103</v>
      </c>
      <c r="C110" s="33">
        <v>1135.97</v>
      </c>
      <c r="D110" s="11">
        <v>45034</v>
      </c>
      <c r="E110" s="75"/>
    </row>
    <row r="111" ht="15.75" spans="1:5">
      <c r="A111" s="33">
        <v>3045264.773</v>
      </c>
      <c r="B111" s="33" t="s">
        <v>1104</v>
      </c>
      <c r="C111" s="33">
        <v>1136.97</v>
      </c>
      <c r="D111" s="11">
        <v>45035</v>
      </c>
      <c r="E111" s="75"/>
    </row>
    <row r="112" ht="15.75" spans="1:5">
      <c r="A112" s="33">
        <v>3045265.773</v>
      </c>
      <c r="B112" s="33" t="s">
        <v>1105</v>
      </c>
      <c r="C112" s="33">
        <v>1137.97</v>
      </c>
      <c r="D112" s="11">
        <v>45036</v>
      </c>
      <c r="E112" s="75">
        <v>987.451</v>
      </c>
    </row>
    <row r="113" ht="15.75" spans="1:5">
      <c r="A113" s="33">
        <v>3045266.773</v>
      </c>
      <c r="B113" s="33" t="s">
        <v>1106</v>
      </c>
      <c r="C113" s="33">
        <v>1138.97</v>
      </c>
      <c r="D113" s="11">
        <v>45037</v>
      </c>
      <c r="E113" s="75"/>
    </row>
    <row r="114" ht="15.75" spans="1:5">
      <c r="A114" s="33">
        <v>3045267.773</v>
      </c>
      <c r="B114" s="33" t="s">
        <v>1107</v>
      </c>
      <c r="C114" s="33">
        <v>1139.97</v>
      </c>
      <c r="D114" s="11">
        <v>45038</v>
      </c>
      <c r="E114" s="75"/>
    </row>
    <row r="115" ht="15.75" spans="1:5">
      <c r="A115" s="33">
        <v>3045268.773</v>
      </c>
      <c r="B115" s="33" t="s">
        <v>1108</v>
      </c>
      <c r="C115" s="33">
        <v>1140.97</v>
      </c>
      <c r="D115" s="11">
        <v>45039</v>
      </c>
      <c r="E115" s="75"/>
    </row>
    <row r="116" ht="15.75" spans="1:5">
      <c r="A116" s="33">
        <v>3045269.773</v>
      </c>
      <c r="B116" s="33" t="s">
        <v>1109</v>
      </c>
      <c r="C116" s="33">
        <v>1141.97</v>
      </c>
      <c r="D116" s="11">
        <v>45040</v>
      </c>
      <c r="E116" s="75"/>
    </row>
    <row r="117" ht="15.75" spans="1:5">
      <c r="A117" s="33">
        <v>3045270.773</v>
      </c>
      <c r="B117" s="33" t="s">
        <v>1110</v>
      </c>
      <c r="C117" s="33">
        <v>1142.97</v>
      </c>
      <c r="D117" s="11">
        <v>45041</v>
      </c>
      <c r="E117" s="75">
        <v>987.181</v>
      </c>
    </row>
    <row r="118" ht="15.75" spans="1:5">
      <c r="A118" s="33">
        <v>3045271.773</v>
      </c>
      <c r="B118" s="33" t="s">
        <v>1111</v>
      </c>
      <c r="C118" s="33">
        <v>1143.97</v>
      </c>
      <c r="D118" s="11">
        <v>45042</v>
      </c>
      <c r="E118" s="75"/>
    </row>
    <row r="119" ht="15.75" spans="1:5">
      <c r="A119" s="33">
        <v>3045272.773</v>
      </c>
      <c r="B119" s="33" t="s">
        <v>1112</v>
      </c>
      <c r="C119" s="33">
        <v>1144.97</v>
      </c>
      <c r="D119" s="11">
        <v>45043</v>
      </c>
      <c r="E119" s="75"/>
    </row>
    <row r="120" ht="15.75" spans="1:5">
      <c r="A120" s="33">
        <v>3045273.773</v>
      </c>
      <c r="B120" s="33" t="s">
        <v>1113</v>
      </c>
      <c r="C120" s="33">
        <v>1145.97</v>
      </c>
      <c r="D120" s="11">
        <v>45044</v>
      </c>
      <c r="E120" s="75"/>
    </row>
    <row r="121" ht="15.75" spans="1:5">
      <c r="A121" s="33">
        <v>3045274.773</v>
      </c>
      <c r="B121" s="33" t="s">
        <v>1114</v>
      </c>
      <c r="C121" s="33">
        <v>1146.97</v>
      </c>
      <c r="D121" s="11">
        <v>45045</v>
      </c>
      <c r="E121" s="75"/>
    </row>
    <row r="122" ht="15.75" spans="1:5">
      <c r="A122" s="33">
        <v>3045275.773</v>
      </c>
      <c r="B122" s="33" t="s">
        <v>1115</v>
      </c>
      <c r="C122" s="33">
        <v>1147.97</v>
      </c>
      <c r="D122" s="11">
        <v>45046</v>
      </c>
      <c r="E122" s="75">
        <v>987.241</v>
      </c>
    </row>
    <row r="123" ht="15.75" spans="1:5">
      <c r="A123" s="33">
        <v>3045276.773</v>
      </c>
      <c r="B123" s="33" t="s">
        <v>1116</v>
      </c>
      <c r="C123" s="33">
        <v>1148.97</v>
      </c>
      <c r="D123" s="11">
        <v>45047</v>
      </c>
      <c r="E123" s="75"/>
    </row>
    <row r="124" ht="15.75" spans="1:5">
      <c r="A124" s="33">
        <v>3045277.773</v>
      </c>
      <c r="B124" s="33" t="s">
        <v>1117</v>
      </c>
      <c r="C124" s="33">
        <v>1149.97</v>
      </c>
      <c r="D124" s="11">
        <v>45048</v>
      </c>
      <c r="E124" s="75"/>
    </row>
    <row r="125" ht="15.75" spans="1:5">
      <c r="A125" s="33">
        <v>3045278.773</v>
      </c>
      <c r="B125" s="33" t="s">
        <v>1118</v>
      </c>
      <c r="C125" s="33">
        <v>1150.97</v>
      </c>
      <c r="D125" s="11">
        <v>45049</v>
      </c>
      <c r="E125" s="75"/>
    </row>
    <row r="126" ht="15.75" spans="1:5">
      <c r="A126" s="33">
        <v>3045279.773</v>
      </c>
      <c r="B126" s="33" t="s">
        <v>1119</v>
      </c>
      <c r="C126" s="33">
        <v>1151.97</v>
      </c>
      <c r="D126" s="11">
        <v>45050</v>
      </c>
      <c r="E126" s="75"/>
    </row>
    <row r="127" ht="15.75" spans="1:5">
      <c r="A127" s="33">
        <v>3045280.773</v>
      </c>
      <c r="B127" s="33" t="s">
        <v>1120</v>
      </c>
      <c r="C127" s="33">
        <v>1152.97</v>
      </c>
      <c r="D127" s="11">
        <v>45051</v>
      </c>
      <c r="E127" s="75">
        <v>987.891</v>
      </c>
    </row>
    <row r="128" ht="15.75" spans="1:5">
      <c r="A128" s="33">
        <v>3045281.773</v>
      </c>
      <c r="B128" s="33" t="s">
        <v>1121</v>
      </c>
      <c r="C128" s="33">
        <v>1153.97</v>
      </c>
      <c r="D128" s="11">
        <v>45052</v>
      </c>
      <c r="E128" s="75"/>
    </row>
    <row r="129" ht="15.75" spans="1:5">
      <c r="A129" s="33">
        <v>3045282.773</v>
      </c>
      <c r="B129" s="33" t="s">
        <v>1122</v>
      </c>
      <c r="C129" s="33">
        <v>1154.97</v>
      </c>
      <c r="D129" s="11">
        <v>45053</v>
      </c>
      <c r="E129" s="75"/>
    </row>
    <row r="130" ht="15.75" spans="1:5">
      <c r="A130" s="33">
        <v>3045283.773</v>
      </c>
      <c r="B130" s="33" t="s">
        <v>1123</v>
      </c>
      <c r="C130" s="33">
        <v>1155.97</v>
      </c>
      <c r="D130" s="11">
        <v>45054</v>
      </c>
      <c r="E130" s="75"/>
    </row>
    <row r="131" ht="15.75" spans="1:5">
      <c r="A131" s="33">
        <v>3045284.773</v>
      </c>
      <c r="B131" s="33" t="s">
        <v>1124</v>
      </c>
      <c r="C131" s="33">
        <v>1156.97</v>
      </c>
      <c r="D131" s="11">
        <v>45055</v>
      </c>
      <c r="E131" s="75"/>
    </row>
    <row r="132" ht="15.75" spans="1:5">
      <c r="A132" s="33">
        <v>3045285.773</v>
      </c>
      <c r="B132" s="33" t="s">
        <v>1125</v>
      </c>
      <c r="C132" s="33">
        <v>1157.97</v>
      </c>
      <c r="D132" s="11">
        <v>45056</v>
      </c>
      <c r="E132" s="75">
        <v>987.721</v>
      </c>
    </row>
    <row r="133" ht="15.75" spans="1:5">
      <c r="A133" s="33">
        <v>3045286.773</v>
      </c>
      <c r="B133" s="33" t="s">
        <v>1126</v>
      </c>
      <c r="C133" s="33">
        <v>1158.97</v>
      </c>
      <c r="D133" s="11">
        <v>45057</v>
      </c>
      <c r="E133" s="74"/>
    </row>
    <row r="134" ht="15.75" spans="1:5">
      <c r="A134" s="33">
        <v>3045287.773</v>
      </c>
      <c r="B134" s="33" t="s">
        <v>1127</v>
      </c>
      <c r="C134" s="33">
        <v>1159.97</v>
      </c>
      <c r="D134" s="11">
        <v>45058</v>
      </c>
      <c r="E134" s="74"/>
    </row>
    <row r="135" ht="15.75" spans="1:5">
      <c r="A135" s="33">
        <v>3045288.773</v>
      </c>
      <c r="B135" s="33" t="s">
        <v>1128</v>
      </c>
      <c r="C135" s="33">
        <v>1160.97</v>
      </c>
      <c r="D135" s="11">
        <v>45059</v>
      </c>
      <c r="E135" s="74"/>
    </row>
    <row r="136" ht="15.75" spans="1:5">
      <c r="A136" s="33">
        <v>3045289.773</v>
      </c>
      <c r="B136" s="33" t="s">
        <v>1129</v>
      </c>
      <c r="C136" s="33">
        <v>1161.97</v>
      </c>
      <c r="D136" s="11">
        <v>45060</v>
      </c>
      <c r="E136" s="74"/>
    </row>
    <row r="137" ht="15.75" spans="1:5">
      <c r="A137" s="33">
        <v>3045290.773</v>
      </c>
      <c r="B137" s="33" t="s">
        <v>1130</v>
      </c>
      <c r="C137" s="33">
        <v>1162.97</v>
      </c>
      <c r="D137" s="11">
        <v>45061</v>
      </c>
      <c r="E137" s="74"/>
    </row>
    <row r="138" ht="15.75" spans="1:5">
      <c r="A138" s="33">
        <v>3045291.773</v>
      </c>
      <c r="B138" s="33" t="s">
        <v>1131</v>
      </c>
      <c r="C138" s="33">
        <v>1163.97</v>
      </c>
      <c r="D138" s="11">
        <v>45062</v>
      </c>
      <c r="E138" s="74"/>
    </row>
    <row r="139" ht="15.75" spans="1:5">
      <c r="A139" s="33">
        <v>3045292.773</v>
      </c>
      <c r="B139" s="33" t="s">
        <v>1132</v>
      </c>
      <c r="C139" s="33">
        <v>1164.97</v>
      </c>
      <c r="D139" s="11">
        <v>45063</v>
      </c>
      <c r="E139" s="74"/>
    </row>
    <row r="140" ht="15.75" spans="1:5">
      <c r="A140" s="33">
        <v>3045293.773</v>
      </c>
      <c r="B140" s="33" t="s">
        <v>1133</v>
      </c>
      <c r="C140" s="33">
        <v>1165.97</v>
      </c>
      <c r="D140" s="11">
        <v>45064</v>
      </c>
      <c r="E140" s="75">
        <f>1027.001-39.35</f>
        <v>987.651</v>
      </c>
    </row>
    <row r="141" ht="15.75" spans="1:5">
      <c r="A141" s="33">
        <v>3045294.773</v>
      </c>
      <c r="B141" s="33" t="s">
        <v>1134</v>
      </c>
      <c r="C141" s="33">
        <v>1166.97</v>
      </c>
      <c r="D141" s="11">
        <v>45065</v>
      </c>
      <c r="E141" s="74"/>
    </row>
    <row r="142" ht="15.75" spans="1:5">
      <c r="A142" s="33">
        <v>3045295.773</v>
      </c>
      <c r="B142" s="33" t="s">
        <v>1135</v>
      </c>
      <c r="C142" s="33">
        <v>1167.97</v>
      </c>
      <c r="D142" s="11">
        <v>45066</v>
      </c>
      <c r="E142" s="74"/>
    </row>
    <row r="143" ht="15.75" spans="1:5">
      <c r="A143" s="33">
        <v>3045296.773</v>
      </c>
      <c r="B143" s="33" t="s">
        <v>1136</v>
      </c>
      <c r="C143" s="33">
        <v>1168.97</v>
      </c>
      <c r="D143" s="11">
        <v>45067</v>
      </c>
      <c r="E143" s="74"/>
    </row>
    <row r="144" ht="15.75" spans="1:5">
      <c r="A144" s="33">
        <v>3045297.773</v>
      </c>
      <c r="B144" s="33" t="s">
        <v>1137</v>
      </c>
      <c r="C144" s="33">
        <v>1169.97</v>
      </c>
      <c r="D144" s="11">
        <v>45068</v>
      </c>
      <c r="E144" s="74"/>
    </row>
    <row r="145" ht="15.75" spans="1:5">
      <c r="A145" s="33">
        <v>3045298.773</v>
      </c>
      <c r="B145" s="33" t="s">
        <v>1138</v>
      </c>
      <c r="C145" s="33">
        <v>1170.97</v>
      </c>
      <c r="D145" s="11">
        <v>45069</v>
      </c>
      <c r="E145" s="74"/>
    </row>
    <row r="146" ht="15.75" spans="1:5">
      <c r="A146" s="33">
        <v>3045299.773</v>
      </c>
      <c r="B146" s="33" t="s">
        <v>1139</v>
      </c>
      <c r="C146" s="33">
        <v>1171.97</v>
      </c>
      <c r="D146" s="11">
        <v>45070</v>
      </c>
      <c r="E146" s="74"/>
    </row>
    <row r="147" ht="15.75" spans="1:5">
      <c r="A147" s="33">
        <v>3045300.773</v>
      </c>
      <c r="B147" s="33" t="s">
        <v>1140</v>
      </c>
      <c r="C147" s="33">
        <v>1172.97</v>
      </c>
      <c r="D147" s="11">
        <v>45071</v>
      </c>
      <c r="E147" s="75">
        <f>1027.001-40.93</f>
        <v>986.071</v>
      </c>
    </row>
    <row r="148" ht="15.75" spans="1:5">
      <c r="A148" s="33">
        <v>3045301.773</v>
      </c>
      <c r="B148" s="33" t="s">
        <v>1141</v>
      </c>
      <c r="C148" s="33">
        <v>1173.97</v>
      </c>
      <c r="D148" s="11">
        <v>45072</v>
      </c>
      <c r="E148" s="74"/>
    </row>
    <row r="149" ht="15.75" spans="1:5">
      <c r="A149" s="33">
        <v>3045302.773</v>
      </c>
      <c r="B149" s="33" t="s">
        <v>1142</v>
      </c>
      <c r="C149" s="33">
        <v>1174.97</v>
      </c>
      <c r="D149" s="11">
        <v>45073</v>
      </c>
      <c r="E149" s="74"/>
    </row>
    <row r="150" ht="15.75" spans="1:5">
      <c r="A150" s="33">
        <v>3045303.773</v>
      </c>
      <c r="B150" s="33" t="s">
        <v>1143</v>
      </c>
      <c r="C150" s="33">
        <v>1175.97</v>
      </c>
      <c r="D150" s="11">
        <v>45074</v>
      </c>
      <c r="E150" s="74"/>
    </row>
    <row r="151" ht="15.75" spans="1:5">
      <c r="A151" s="33">
        <v>3045304.773</v>
      </c>
      <c r="B151" s="33" t="s">
        <v>1144</v>
      </c>
      <c r="C151" s="33">
        <v>1176.97</v>
      </c>
      <c r="D151" s="11">
        <v>45075</v>
      </c>
      <c r="E151" s="74"/>
    </row>
    <row r="152" ht="15.75" spans="1:5">
      <c r="A152" s="33">
        <v>3045305.773</v>
      </c>
      <c r="B152" s="33" t="s">
        <v>1145</v>
      </c>
      <c r="C152" s="33">
        <v>1177.97</v>
      </c>
      <c r="D152" s="11">
        <v>45076</v>
      </c>
      <c r="E152" s="74"/>
    </row>
    <row r="153" ht="15.75" spans="1:5">
      <c r="A153" s="33">
        <v>3045306.773</v>
      </c>
      <c r="B153" s="33" t="s">
        <v>1146</v>
      </c>
      <c r="C153" s="33">
        <v>1178.97</v>
      </c>
      <c r="D153" s="11">
        <v>45077</v>
      </c>
      <c r="E153" s="74"/>
    </row>
    <row r="154" ht="15.75" spans="1:5">
      <c r="A154" s="33">
        <v>3045307.773</v>
      </c>
      <c r="B154" s="33" t="s">
        <v>1147</v>
      </c>
      <c r="C154" s="33">
        <v>1179.97</v>
      </c>
      <c r="D154" s="11">
        <v>45078</v>
      </c>
      <c r="E154" s="75">
        <f>1027.001-39.42</f>
        <v>987.581</v>
      </c>
    </row>
    <row r="155" ht="15.75" spans="1:5">
      <c r="A155" s="33">
        <v>3045308.773</v>
      </c>
      <c r="B155" s="33" t="s">
        <v>1148</v>
      </c>
      <c r="C155" s="33">
        <v>1180.97</v>
      </c>
      <c r="D155" s="11">
        <v>45079</v>
      </c>
      <c r="E155" s="74"/>
    </row>
    <row r="156" ht="15.75" spans="1:5">
      <c r="A156" s="33">
        <v>3045309.773</v>
      </c>
      <c r="B156" s="33" t="s">
        <v>1149</v>
      </c>
      <c r="C156" s="33">
        <v>1181.97</v>
      </c>
      <c r="D156" s="11">
        <v>45080</v>
      </c>
      <c r="E156" s="74"/>
    </row>
    <row r="157" ht="15.75" spans="1:5">
      <c r="A157" s="33">
        <v>3045310.773</v>
      </c>
      <c r="B157" s="33" t="s">
        <v>1150</v>
      </c>
      <c r="C157" s="33">
        <v>1182.97</v>
      </c>
      <c r="D157" s="11">
        <v>45081</v>
      </c>
      <c r="E157" s="74"/>
    </row>
    <row r="158" ht="15.75" spans="1:5">
      <c r="A158" s="33">
        <v>3045311.773</v>
      </c>
      <c r="B158" s="33" t="s">
        <v>1151</v>
      </c>
      <c r="C158" s="33">
        <v>1183.97</v>
      </c>
      <c r="D158" s="11">
        <v>45082</v>
      </c>
      <c r="E158" s="74"/>
    </row>
    <row r="159" ht="15.75" spans="1:5">
      <c r="A159" s="33">
        <v>3045312.773</v>
      </c>
      <c r="B159" s="33" t="s">
        <v>1152</v>
      </c>
      <c r="C159" s="33">
        <v>1184.97</v>
      </c>
      <c r="D159" s="11">
        <v>45083</v>
      </c>
      <c r="E159" s="74"/>
    </row>
    <row r="160" ht="15.75" spans="1:5">
      <c r="A160" s="33">
        <v>3045313.773</v>
      </c>
      <c r="B160" s="33" t="s">
        <v>1153</v>
      </c>
      <c r="C160" s="33">
        <v>1185.97</v>
      </c>
      <c r="D160" s="11">
        <v>45084</v>
      </c>
      <c r="E160" s="74"/>
    </row>
    <row r="161" ht="15.75" spans="1:5">
      <c r="A161" s="33">
        <v>3045314.773</v>
      </c>
      <c r="B161" s="33" t="s">
        <v>1154</v>
      </c>
      <c r="C161" s="33">
        <v>1186.97</v>
      </c>
      <c r="D161" s="11">
        <v>45085</v>
      </c>
      <c r="E161" s="75">
        <f>1027.001-39.56</f>
        <v>987.441</v>
      </c>
    </row>
    <row r="162" ht="15.75" spans="1:5">
      <c r="A162" s="33">
        <v>3045315.773</v>
      </c>
      <c r="B162" s="33" t="s">
        <v>1155</v>
      </c>
      <c r="C162" s="33">
        <v>1187.97</v>
      </c>
      <c r="D162" s="11">
        <v>45086</v>
      </c>
      <c r="E162" s="74"/>
    </row>
    <row r="163" ht="15.75" spans="1:5">
      <c r="A163" s="33">
        <v>3045316.773</v>
      </c>
      <c r="B163" s="33" t="s">
        <v>1156</v>
      </c>
      <c r="C163" s="33">
        <v>1188.97</v>
      </c>
      <c r="D163" s="11">
        <v>45087</v>
      </c>
      <c r="E163" s="74"/>
    </row>
    <row r="164" ht="15.75" spans="1:5">
      <c r="A164" s="33">
        <v>3045317.773</v>
      </c>
      <c r="B164" s="33" t="s">
        <v>1157</v>
      </c>
      <c r="C164" s="33">
        <v>1189.97</v>
      </c>
      <c r="D164" s="11">
        <v>45088</v>
      </c>
      <c r="E164" s="74"/>
    </row>
    <row r="165" ht="15.75" spans="1:5">
      <c r="A165" s="33">
        <v>3045318.773</v>
      </c>
      <c r="B165" s="33" t="s">
        <v>1158</v>
      </c>
      <c r="C165" s="33">
        <v>1190.97</v>
      </c>
      <c r="D165" s="11">
        <v>45089</v>
      </c>
      <c r="E165" s="74"/>
    </row>
    <row r="166" ht="15.75" spans="1:5">
      <c r="A166" s="33">
        <v>3045319.773</v>
      </c>
      <c r="B166" s="33" t="s">
        <v>1159</v>
      </c>
      <c r="C166" s="33">
        <v>1191.97</v>
      </c>
      <c r="D166" s="11">
        <v>45090</v>
      </c>
      <c r="E166" s="74"/>
    </row>
    <row r="167" ht="15.75" spans="1:5">
      <c r="A167" s="33">
        <v>3045320.773</v>
      </c>
      <c r="B167" s="33" t="s">
        <v>1160</v>
      </c>
      <c r="C167" s="33">
        <v>1192.97</v>
      </c>
      <c r="D167" s="11">
        <v>45091</v>
      </c>
      <c r="E167" s="74"/>
    </row>
    <row r="168" ht="15.75" spans="1:5">
      <c r="A168" s="33">
        <v>3045321.773</v>
      </c>
      <c r="B168" s="33" t="s">
        <v>1161</v>
      </c>
      <c r="C168" s="33">
        <v>1193.97</v>
      </c>
      <c r="D168" s="11">
        <v>45092</v>
      </c>
      <c r="E168" s="75">
        <f>1027.001-39.66</f>
        <v>987.341</v>
      </c>
    </row>
    <row r="169" ht="15.75" spans="1:5">
      <c r="A169" s="33">
        <v>3045322.773</v>
      </c>
      <c r="B169" s="33" t="s">
        <v>1162</v>
      </c>
      <c r="C169" s="33">
        <v>1194.97</v>
      </c>
      <c r="D169" s="11">
        <v>45093</v>
      </c>
      <c r="E169" s="74"/>
    </row>
    <row r="170" ht="15.75" spans="1:5">
      <c r="A170" s="33">
        <v>3045323.773</v>
      </c>
      <c r="B170" s="33" t="s">
        <v>1163</v>
      </c>
      <c r="C170" s="33">
        <v>1195.97</v>
      </c>
      <c r="D170" s="11">
        <v>45094</v>
      </c>
      <c r="E170" s="74"/>
    </row>
    <row r="171" ht="15.75" spans="1:5">
      <c r="A171" s="33">
        <v>3045324.773</v>
      </c>
      <c r="B171" s="33" t="s">
        <v>1164</v>
      </c>
      <c r="C171" s="33">
        <v>1196.97</v>
      </c>
      <c r="D171" s="11">
        <v>45095</v>
      </c>
      <c r="E171" s="74"/>
    </row>
    <row r="172" ht="15.75" spans="1:5">
      <c r="A172" s="33">
        <v>3045325.773</v>
      </c>
      <c r="B172" s="33" t="s">
        <v>1165</v>
      </c>
      <c r="C172" s="33">
        <v>1197.97</v>
      </c>
      <c r="D172" s="11">
        <v>45096</v>
      </c>
      <c r="E172" s="74"/>
    </row>
    <row r="173" ht="15.75" spans="1:5">
      <c r="A173" s="33">
        <v>3045326.773</v>
      </c>
      <c r="B173" s="33" t="s">
        <v>1166</v>
      </c>
      <c r="C173" s="33">
        <v>1198.97</v>
      </c>
      <c r="D173" s="11">
        <v>45097</v>
      </c>
      <c r="E173" s="75">
        <f>1027.001-40.83</f>
        <v>986.171</v>
      </c>
    </row>
    <row r="174" ht="15.75" spans="1:5">
      <c r="A174" s="33">
        <v>3045327.773</v>
      </c>
      <c r="B174" s="33" t="s">
        <v>1167</v>
      </c>
      <c r="C174" s="33">
        <v>1199.97</v>
      </c>
      <c r="D174" s="11">
        <v>45098</v>
      </c>
      <c r="E174" s="75"/>
    </row>
    <row r="175" ht="15.75" spans="1:5">
      <c r="A175" s="33">
        <v>3045328.773</v>
      </c>
      <c r="B175" s="33" t="s">
        <v>1168</v>
      </c>
      <c r="C175" s="33">
        <v>1200.97</v>
      </c>
      <c r="D175" s="11">
        <v>45099</v>
      </c>
      <c r="E175" s="75"/>
    </row>
    <row r="176" ht="15.75" spans="1:5">
      <c r="A176" s="33">
        <v>3045329.773</v>
      </c>
      <c r="B176" s="33" t="s">
        <v>1169</v>
      </c>
      <c r="C176" s="33">
        <v>1201.97</v>
      </c>
      <c r="D176" s="11">
        <v>45100</v>
      </c>
      <c r="E176" s="75"/>
    </row>
    <row r="177" ht="15.75" spans="1:5">
      <c r="A177" s="33">
        <v>3045330.773</v>
      </c>
      <c r="B177" s="33" t="s">
        <v>1170</v>
      </c>
      <c r="C177" s="33">
        <v>1202.97</v>
      </c>
      <c r="D177" s="11">
        <v>45101</v>
      </c>
      <c r="E177" s="75">
        <v>987.11</v>
      </c>
    </row>
    <row r="178" ht="15.75" spans="1:5">
      <c r="A178" s="33">
        <v>3045331.773</v>
      </c>
      <c r="B178" s="33" t="s">
        <v>1171</v>
      </c>
      <c r="C178" s="33">
        <v>1203.97</v>
      </c>
      <c r="D178" s="11">
        <v>45102</v>
      </c>
      <c r="E178" s="75">
        <v>987.22</v>
      </c>
    </row>
    <row r="179" ht="15.75" spans="1:5">
      <c r="A179" s="33">
        <v>3045332.773</v>
      </c>
      <c r="B179" s="33" t="s">
        <v>1172</v>
      </c>
      <c r="C179" s="33">
        <v>1204.97</v>
      </c>
      <c r="D179" s="11">
        <v>45103</v>
      </c>
      <c r="E179" s="75">
        <v>987.34</v>
      </c>
    </row>
    <row r="180" ht="15.75" spans="1:5">
      <c r="A180" s="33">
        <v>3045333.773</v>
      </c>
      <c r="B180" s="33" t="s">
        <v>1173</v>
      </c>
      <c r="C180" s="33">
        <v>1205.97</v>
      </c>
      <c r="D180" s="11">
        <v>45104</v>
      </c>
      <c r="E180" s="75">
        <v>987.41</v>
      </c>
    </row>
    <row r="181" ht="15.75" spans="1:5">
      <c r="A181" s="33">
        <v>3045334.773</v>
      </c>
      <c r="B181" s="33" t="s">
        <v>1174</v>
      </c>
      <c r="C181" s="33">
        <v>1206.97</v>
      </c>
      <c r="D181" s="11">
        <v>45105</v>
      </c>
      <c r="E181" s="75">
        <v>987.41</v>
      </c>
    </row>
    <row r="182" ht="15.75" spans="1:5">
      <c r="A182" s="33">
        <v>3045335.773</v>
      </c>
      <c r="B182" s="33" t="s">
        <v>1175</v>
      </c>
      <c r="C182" s="33">
        <v>1207.97</v>
      </c>
      <c r="D182" s="11">
        <v>45106</v>
      </c>
      <c r="E182" s="75">
        <v>987.4</v>
      </c>
    </row>
    <row r="183" ht="15.75" spans="1:5">
      <c r="A183" s="33">
        <v>3045336.773</v>
      </c>
      <c r="B183" s="33" t="s">
        <v>1176</v>
      </c>
      <c r="C183" s="33">
        <v>1208.97</v>
      </c>
      <c r="D183" s="11">
        <v>45107</v>
      </c>
      <c r="E183" s="75">
        <v>987.42</v>
      </c>
    </row>
    <row r="184" ht="15.75" spans="1:5">
      <c r="A184" s="33">
        <v>3045337.773</v>
      </c>
      <c r="B184" s="33" t="s">
        <v>1177</v>
      </c>
      <c r="C184" s="33">
        <v>1209.97</v>
      </c>
      <c r="D184" s="11">
        <v>45108</v>
      </c>
      <c r="E184" s="75">
        <v>987.43</v>
      </c>
    </row>
    <row r="185" ht="15.75" spans="1:5">
      <c r="A185" s="33">
        <v>3045338.773</v>
      </c>
      <c r="B185" s="33" t="s">
        <v>1178</v>
      </c>
      <c r="C185" s="33">
        <v>1210.97</v>
      </c>
      <c r="D185" s="11">
        <v>45109</v>
      </c>
      <c r="E185" s="75">
        <v>987.41</v>
      </c>
    </row>
    <row r="186" ht="15.75" spans="1:5">
      <c r="A186" s="33">
        <v>3045339.773</v>
      </c>
      <c r="B186" s="33" t="s">
        <v>1179</v>
      </c>
      <c r="C186" s="33">
        <v>1211.97</v>
      </c>
      <c r="D186" s="11">
        <v>45110</v>
      </c>
      <c r="E186" s="75">
        <v>987.4</v>
      </c>
    </row>
    <row r="187" ht="15.75" spans="1:5">
      <c r="A187" s="33">
        <v>3045340.773</v>
      </c>
      <c r="B187" s="33" t="s">
        <v>1180</v>
      </c>
      <c r="C187" s="33">
        <v>1212.97</v>
      </c>
      <c r="D187" s="11">
        <v>45111</v>
      </c>
      <c r="E187" s="75">
        <v>987.3</v>
      </c>
    </row>
    <row r="188" ht="15.75" spans="1:5">
      <c r="A188" s="33">
        <v>3045341.773</v>
      </c>
      <c r="B188" s="33" t="s">
        <v>1181</v>
      </c>
      <c r="C188" s="33">
        <v>1213.97</v>
      </c>
      <c r="D188" s="11">
        <v>45112</v>
      </c>
      <c r="E188" s="75">
        <v>987.42</v>
      </c>
    </row>
    <row r="189" ht="15.75" spans="1:5">
      <c r="A189" s="33">
        <v>3045342.773</v>
      </c>
      <c r="B189" s="33" t="s">
        <v>1182</v>
      </c>
      <c r="C189" s="33">
        <v>1214.97</v>
      </c>
      <c r="D189" s="11">
        <v>45113</v>
      </c>
      <c r="E189" s="75">
        <v>987.44</v>
      </c>
    </row>
    <row r="190" ht="15.75" spans="1:5">
      <c r="A190" s="33">
        <v>3045343.773</v>
      </c>
      <c r="B190" s="33" t="s">
        <v>1183</v>
      </c>
      <c r="C190" s="33">
        <v>1215.97</v>
      </c>
      <c r="D190" s="11">
        <v>45114</v>
      </c>
      <c r="E190" s="75">
        <v>987.47</v>
      </c>
    </row>
    <row r="191" ht="15.75" spans="1:5">
      <c r="A191" s="33">
        <v>3045344.773</v>
      </c>
      <c r="B191" s="33" t="s">
        <v>1184</v>
      </c>
      <c r="C191" s="33">
        <v>1216.97</v>
      </c>
      <c r="D191" s="11">
        <v>45115</v>
      </c>
      <c r="E191" s="75">
        <v>987.6</v>
      </c>
    </row>
    <row r="192" ht="15.75" spans="1:5">
      <c r="A192" s="33">
        <v>3045345.773</v>
      </c>
      <c r="B192" s="33" t="s">
        <v>1185</v>
      </c>
      <c r="C192" s="33">
        <v>1217.97</v>
      </c>
      <c r="D192" s="11">
        <v>45116</v>
      </c>
      <c r="E192" s="75">
        <v>988.12</v>
      </c>
    </row>
    <row r="193" ht="15.75" spans="1:5">
      <c r="A193" s="33">
        <v>3045346.773</v>
      </c>
      <c r="B193" s="33" t="s">
        <v>1186</v>
      </c>
      <c r="C193" s="33">
        <v>1218.97</v>
      </c>
      <c r="D193" s="11">
        <v>45117</v>
      </c>
      <c r="E193" s="75">
        <v>988.83</v>
      </c>
    </row>
    <row r="194" ht="15.75" spans="1:5">
      <c r="A194" s="33">
        <v>3045347.773</v>
      </c>
      <c r="B194" s="33" t="s">
        <v>1187</v>
      </c>
      <c r="C194" s="33">
        <v>1219.97</v>
      </c>
      <c r="D194" s="11">
        <v>45118</v>
      </c>
      <c r="E194" s="75">
        <v>988.83</v>
      </c>
    </row>
    <row r="195" ht="15.75" spans="1:5">
      <c r="A195" s="33">
        <v>3045348.773</v>
      </c>
      <c r="B195" s="33" t="s">
        <v>1188</v>
      </c>
      <c r="C195" s="33">
        <v>1220.97</v>
      </c>
      <c r="D195" s="11">
        <v>45119</v>
      </c>
      <c r="E195" s="75">
        <v>989.1</v>
      </c>
    </row>
    <row r="196" ht="15.75" spans="1:5">
      <c r="A196" s="33">
        <v>3045349.773</v>
      </c>
      <c r="B196" s="33" t="s">
        <v>1189</v>
      </c>
      <c r="C196" s="33">
        <v>1221.97</v>
      </c>
      <c r="D196" s="11">
        <v>45120</v>
      </c>
      <c r="E196" s="75">
        <v>989.28</v>
      </c>
    </row>
    <row r="197" ht="15.75" spans="1:5">
      <c r="A197" s="33">
        <v>3045350.773</v>
      </c>
      <c r="B197" s="33" t="s">
        <v>1190</v>
      </c>
      <c r="C197" s="33">
        <v>1222.97</v>
      </c>
      <c r="D197" s="11">
        <v>45121</v>
      </c>
      <c r="E197" s="75">
        <v>989.35</v>
      </c>
    </row>
    <row r="198" ht="15.75" spans="1:5">
      <c r="A198" s="33">
        <v>3045351.773</v>
      </c>
      <c r="B198" s="33" t="s">
        <v>1191</v>
      </c>
      <c r="C198" s="33">
        <v>1223.97</v>
      </c>
      <c r="D198" s="11">
        <v>45122</v>
      </c>
      <c r="E198" s="75">
        <v>989.61</v>
      </c>
    </row>
    <row r="199" ht="15.75" spans="1:5">
      <c r="A199" s="33">
        <v>3045352.773</v>
      </c>
      <c r="B199" s="33" t="s">
        <v>1192</v>
      </c>
      <c r="C199" s="33">
        <v>1224.97</v>
      </c>
      <c r="D199" s="11">
        <v>45123</v>
      </c>
      <c r="E199" s="75">
        <v>989.82</v>
      </c>
    </row>
    <row r="200" ht="15.75" spans="1:5">
      <c r="A200" s="33">
        <v>3045353.773</v>
      </c>
      <c r="B200" s="33" t="s">
        <v>1193</v>
      </c>
      <c r="C200" s="33">
        <v>1225.97</v>
      </c>
      <c r="D200" s="11">
        <v>45124</v>
      </c>
      <c r="E200" s="75">
        <v>989.98</v>
      </c>
    </row>
    <row r="201" ht="15.75" spans="1:5">
      <c r="A201" s="33">
        <v>3045354.773</v>
      </c>
      <c r="B201" s="33" t="s">
        <v>1194</v>
      </c>
      <c r="C201" s="33">
        <v>1226.97</v>
      </c>
      <c r="D201" s="11">
        <v>45125</v>
      </c>
      <c r="E201" s="75">
        <v>990.11</v>
      </c>
    </row>
    <row r="202" ht="15.75" spans="1:5">
      <c r="A202" s="33">
        <v>3045355.773</v>
      </c>
      <c r="B202" s="33" t="s">
        <v>1195</v>
      </c>
      <c r="C202" s="33">
        <v>1227.97</v>
      </c>
      <c r="D202" s="11">
        <v>45126</v>
      </c>
      <c r="E202" s="75">
        <v>990.23</v>
      </c>
    </row>
    <row r="203" ht="15.75" spans="1:5">
      <c r="A203" s="33">
        <v>3045356.773</v>
      </c>
      <c r="B203" s="33" t="s">
        <v>1196</v>
      </c>
      <c r="C203" s="33">
        <v>1228.97</v>
      </c>
      <c r="D203" s="11">
        <v>45127</v>
      </c>
      <c r="E203" s="75">
        <v>990.33</v>
      </c>
    </row>
    <row r="204" ht="15.75" spans="1:5">
      <c r="A204" s="33">
        <v>3045357.773</v>
      </c>
      <c r="B204" s="33" t="s">
        <v>1197</v>
      </c>
      <c r="C204" s="33">
        <v>1229.97</v>
      </c>
      <c r="D204" s="11">
        <v>45128</v>
      </c>
      <c r="E204" s="75">
        <v>990.4</v>
      </c>
    </row>
    <row r="205" ht="15.75" spans="1:5">
      <c r="A205" s="33">
        <v>3045358.773</v>
      </c>
      <c r="B205" s="33" t="s">
        <v>1198</v>
      </c>
      <c r="C205" s="33">
        <v>1230.97</v>
      </c>
      <c r="D205" s="11">
        <v>45129</v>
      </c>
      <c r="E205" s="75">
        <v>990.48</v>
      </c>
    </row>
    <row r="206" ht="15.75" spans="1:5">
      <c r="A206" s="33">
        <v>3045359.773</v>
      </c>
      <c r="B206" s="33" t="s">
        <v>1199</v>
      </c>
      <c r="C206" s="33">
        <v>1231.97</v>
      </c>
      <c r="D206" s="11">
        <v>45130</v>
      </c>
      <c r="E206" s="75">
        <v>990.56</v>
      </c>
    </row>
    <row r="207" ht="15.75" spans="1:5">
      <c r="A207" s="33">
        <v>3045360.773</v>
      </c>
      <c r="B207" s="33" t="s">
        <v>1200</v>
      </c>
      <c r="C207" s="33">
        <v>1232.97</v>
      </c>
      <c r="D207" s="11">
        <v>45131</v>
      </c>
      <c r="E207" s="75">
        <v>990.63</v>
      </c>
    </row>
    <row r="208" ht="15.75" spans="1:5">
      <c r="A208" s="33">
        <v>3045361.773</v>
      </c>
      <c r="B208" s="33" t="s">
        <v>1201</v>
      </c>
      <c r="C208" s="33">
        <v>1233.97</v>
      </c>
      <c r="D208" s="11">
        <v>45132</v>
      </c>
      <c r="E208" s="75">
        <v>990.66</v>
      </c>
    </row>
    <row r="209" ht="15.75" spans="1:5">
      <c r="A209" s="33">
        <v>3045362.773</v>
      </c>
      <c r="B209" s="33" t="s">
        <v>1202</v>
      </c>
      <c r="C209" s="33">
        <v>1234.97</v>
      </c>
      <c r="D209" s="11">
        <v>45133</v>
      </c>
      <c r="E209" s="75">
        <v>990.7</v>
      </c>
    </row>
    <row r="210" ht="15.75" spans="1:5">
      <c r="A210" s="33">
        <v>3045363.773</v>
      </c>
      <c r="B210" s="33" t="s">
        <v>1203</v>
      </c>
      <c r="C210" s="33">
        <v>1235.97</v>
      </c>
      <c r="D210" s="11">
        <v>45134</v>
      </c>
      <c r="E210" s="75">
        <v>990.74</v>
      </c>
    </row>
    <row r="211" ht="15.75" spans="1:5">
      <c r="A211" s="33">
        <v>3045364.773</v>
      </c>
      <c r="B211" s="33" t="s">
        <v>1204</v>
      </c>
      <c r="C211" s="33">
        <v>1236.97</v>
      </c>
      <c r="D211" s="11">
        <v>45135</v>
      </c>
      <c r="E211" s="75">
        <v>990.76</v>
      </c>
    </row>
    <row r="212" ht="15.75" spans="1:5">
      <c r="A212" s="33">
        <v>3045365.773</v>
      </c>
      <c r="B212" s="33" t="s">
        <v>1205</v>
      </c>
      <c r="C212" s="33">
        <v>1237.97</v>
      </c>
      <c r="D212" s="11">
        <v>45136</v>
      </c>
      <c r="E212" s="75">
        <v>990.79</v>
      </c>
    </row>
    <row r="213" ht="15.75" spans="1:5">
      <c r="A213" s="33">
        <v>3045366.773</v>
      </c>
      <c r="B213" s="33" t="s">
        <v>1206</v>
      </c>
      <c r="C213" s="33">
        <v>1238.97</v>
      </c>
      <c r="D213" s="11">
        <v>45137</v>
      </c>
      <c r="E213" s="75">
        <v>990.81</v>
      </c>
    </row>
    <row r="214" ht="15.75" spans="1:5">
      <c r="A214" s="33">
        <v>3045367.773</v>
      </c>
      <c r="B214" s="33" t="s">
        <v>1207</v>
      </c>
      <c r="C214" s="33">
        <v>1239.97</v>
      </c>
      <c r="D214" s="11">
        <v>45138</v>
      </c>
      <c r="E214" s="75">
        <v>990.83</v>
      </c>
    </row>
    <row r="215" ht="15.75" spans="1:5">
      <c r="A215" s="33">
        <v>3045368.773</v>
      </c>
      <c r="B215" s="33" t="s">
        <v>1208</v>
      </c>
      <c r="C215" s="33">
        <v>1240.97</v>
      </c>
      <c r="D215" s="11">
        <v>45139</v>
      </c>
      <c r="E215" s="75">
        <v>990.84</v>
      </c>
    </row>
    <row r="216" ht="15.75" spans="1:5">
      <c r="A216" s="33">
        <v>3045369.773</v>
      </c>
      <c r="B216" s="33" t="s">
        <v>1209</v>
      </c>
      <c r="C216" s="33">
        <v>1241.97</v>
      </c>
      <c r="D216" s="11">
        <v>45140</v>
      </c>
      <c r="E216" s="75">
        <v>990.85</v>
      </c>
    </row>
    <row r="217" ht="15.75" spans="1:5">
      <c r="A217" s="33">
        <v>3045370.773</v>
      </c>
      <c r="B217" s="33" t="s">
        <v>1210</v>
      </c>
      <c r="C217" s="33">
        <v>1242.97</v>
      </c>
      <c r="D217" s="11">
        <v>45141</v>
      </c>
      <c r="E217" s="75">
        <v>990.876</v>
      </c>
    </row>
    <row r="218" ht="15.75" spans="1:5">
      <c r="A218" s="33">
        <v>3045371.773</v>
      </c>
      <c r="B218" s="33" t="s">
        <v>1211</v>
      </c>
      <c r="C218" s="33">
        <v>1243.97</v>
      </c>
      <c r="D218" s="11">
        <v>45142</v>
      </c>
      <c r="E218" s="75">
        <v>990.883</v>
      </c>
    </row>
    <row r="219" ht="15.75" spans="1:5">
      <c r="A219" s="33">
        <v>3045372.773</v>
      </c>
      <c r="B219" s="33" t="s">
        <v>1212</v>
      </c>
      <c r="C219" s="33">
        <v>1244.97</v>
      </c>
      <c r="D219" s="11">
        <v>45143</v>
      </c>
      <c r="E219" s="75">
        <v>990.906</v>
      </c>
    </row>
    <row r="220" ht="15.75" spans="1:5">
      <c r="A220" s="33">
        <v>3045373.773</v>
      </c>
      <c r="B220" s="33" t="s">
        <v>1213</v>
      </c>
      <c r="C220" s="33">
        <v>1245.97</v>
      </c>
      <c r="D220" s="11">
        <v>45144</v>
      </c>
      <c r="E220" s="75">
        <v>990.925</v>
      </c>
    </row>
    <row r="221" ht="15.75" spans="1:5">
      <c r="A221" s="33">
        <v>3045374.773</v>
      </c>
      <c r="B221" s="33" t="s">
        <v>1214</v>
      </c>
      <c r="C221" s="33">
        <v>1246.97</v>
      </c>
      <c r="D221" s="11">
        <v>45145</v>
      </c>
      <c r="E221" s="75">
        <v>990.923</v>
      </c>
    </row>
    <row r="222" ht="15.75" spans="1:5">
      <c r="A222" s="33">
        <v>3045375.773</v>
      </c>
      <c r="B222" s="33" t="s">
        <v>1215</v>
      </c>
      <c r="C222" s="33">
        <v>1247.97</v>
      </c>
      <c r="D222" s="11">
        <v>45146</v>
      </c>
      <c r="E222" s="75">
        <v>990.932</v>
      </c>
    </row>
    <row r="223" ht="15.75" spans="1:5">
      <c r="A223" s="33">
        <v>3045376.773</v>
      </c>
      <c r="B223" s="33" t="s">
        <v>1216</v>
      </c>
      <c r="C223" s="33">
        <v>1248.97</v>
      </c>
      <c r="D223" s="11">
        <v>45147</v>
      </c>
      <c r="E223" s="75">
        <v>990.934</v>
      </c>
    </row>
    <row r="224" ht="15.75" spans="1:5">
      <c r="A224" s="33">
        <v>3045377.773</v>
      </c>
      <c r="B224" s="33" t="s">
        <v>1217</v>
      </c>
      <c r="C224" s="33">
        <v>1249.97</v>
      </c>
      <c r="D224" s="11">
        <v>45148</v>
      </c>
      <c r="E224" s="74"/>
    </row>
    <row r="225" ht="15.75" spans="1:5">
      <c r="A225" s="33">
        <v>3045378.773</v>
      </c>
      <c r="B225" s="33" t="s">
        <v>1218</v>
      </c>
      <c r="C225" s="33">
        <v>1250.97</v>
      </c>
      <c r="D225" s="11">
        <v>45149</v>
      </c>
      <c r="E225" s="75">
        <v>990.949</v>
      </c>
    </row>
    <row r="226" ht="15.75" spans="1:5">
      <c r="A226" s="33">
        <v>3045379.773</v>
      </c>
      <c r="B226" s="33" t="s">
        <v>1219</v>
      </c>
      <c r="C226" s="33">
        <v>1251.97</v>
      </c>
      <c r="D226" s="11">
        <v>45150</v>
      </c>
      <c r="E226" s="75">
        <v>990.921</v>
      </c>
    </row>
    <row r="227" ht="15.75" spans="1:5">
      <c r="A227" s="33">
        <v>3045380.773</v>
      </c>
      <c r="B227" s="33" t="s">
        <v>1220</v>
      </c>
      <c r="C227" s="33">
        <v>1252.97</v>
      </c>
      <c r="D227" s="11">
        <v>45151</v>
      </c>
      <c r="E227" s="75">
        <v>990.92</v>
      </c>
    </row>
    <row r="228" ht="15.75" spans="1:5">
      <c r="A228" s="33">
        <v>3045381.773</v>
      </c>
      <c r="B228" s="33" t="s">
        <v>1221</v>
      </c>
      <c r="C228" s="33">
        <v>1253.97</v>
      </c>
      <c r="D228" s="11">
        <v>45152</v>
      </c>
      <c r="E228" s="75">
        <v>990.907</v>
      </c>
    </row>
    <row r="229" ht="15.75" spans="1:5">
      <c r="A229" s="33">
        <v>3045382.773</v>
      </c>
      <c r="B229" s="33" t="s">
        <v>1222</v>
      </c>
      <c r="C229" s="33">
        <v>1254.97</v>
      </c>
      <c r="D229" s="11">
        <v>45153</v>
      </c>
      <c r="E229" s="77">
        <v>990.902</v>
      </c>
    </row>
    <row r="230" ht="15.75" spans="1:5">
      <c r="A230" s="33">
        <v>3045383.773</v>
      </c>
      <c r="B230" s="33" t="s">
        <v>1223</v>
      </c>
      <c r="C230" s="33">
        <v>1255.97</v>
      </c>
      <c r="D230" s="11">
        <v>45154</v>
      </c>
      <c r="E230" s="75">
        <v>990.918</v>
      </c>
    </row>
    <row r="231" ht="15.75" spans="1:5">
      <c r="A231" s="33">
        <v>3045384.773</v>
      </c>
      <c r="B231" s="33" t="s">
        <v>1224</v>
      </c>
      <c r="C231" s="33">
        <v>1256.97</v>
      </c>
      <c r="D231" s="11">
        <v>45155</v>
      </c>
      <c r="E231" s="75">
        <v>990.909</v>
      </c>
    </row>
    <row r="232" ht="15.75" spans="1:5">
      <c r="A232" s="33">
        <v>3045385.773</v>
      </c>
      <c r="B232" s="33" t="s">
        <v>1225</v>
      </c>
      <c r="C232" s="33">
        <v>1257.97</v>
      </c>
      <c r="D232" s="11">
        <v>45156</v>
      </c>
      <c r="E232" s="75">
        <v>990.919</v>
      </c>
    </row>
    <row r="233" ht="15.75" spans="1:5">
      <c r="A233" s="33">
        <v>3045386.773</v>
      </c>
      <c r="B233" s="33" t="s">
        <v>1226</v>
      </c>
      <c r="C233" s="33">
        <v>1258.97</v>
      </c>
      <c r="D233" s="11">
        <v>45157</v>
      </c>
      <c r="E233" s="75">
        <v>990.93</v>
      </c>
    </row>
    <row r="234" ht="15.75" spans="1:5">
      <c r="A234" s="33">
        <v>3045387.773</v>
      </c>
      <c r="B234" s="33" t="s">
        <v>1227</v>
      </c>
      <c r="C234" s="33">
        <v>1259.97</v>
      </c>
      <c r="D234" s="11">
        <v>45158</v>
      </c>
      <c r="E234" s="75">
        <v>990.944</v>
      </c>
    </row>
    <row r="235" ht="15.75" spans="1:5">
      <c r="A235" s="33">
        <v>3045388.773</v>
      </c>
      <c r="B235" s="33" t="s">
        <v>1228</v>
      </c>
      <c r="C235" s="33">
        <v>1260.97</v>
      </c>
      <c r="D235" s="11">
        <v>45159</v>
      </c>
      <c r="E235" s="75">
        <v>990.934</v>
      </c>
    </row>
    <row r="236" ht="15.75" spans="1:5">
      <c r="A236" s="33">
        <v>3045389.773</v>
      </c>
      <c r="B236" s="33" t="s">
        <v>1229</v>
      </c>
      <c r="C236" s="33">
        <v>1261.97</v>
      </c>
      <c r="D236" s="11">
        <v>45160</v>
      </c>
      <c r="E236" s="75">
        <v>990.964</v>
      </c>
    </row>
    <row r="237" ht="15.75" spans="1:5">
      <c r="A237" s="33">
        <v>3045390.773</v>
      </c>
      <c r="B237" s="33" t="s">
        <v>1230</v>
      </c>
      <c r="C237" s="33">
        <v>1262.97</v>
      </c>
      <c r="D237" s="11">
        <v>45161</v>
      </c>
      <c r="E237" s="75">
        <v>990.975</v>
      </c>
    </row>
    <row r="238" ht="15.75" spans="1:5">
      <c r="A238" s="33">
        <v>3045391.773</v>
      </c>
      <c r="B238" s="33" t="s">
        <v>1231</v>
      </c>
      <c r="C238" s="33">
        <v>1263.97</v>
      </c>
      <c r="D238" s="11">
        <v>45162</v>
      </c>
      <c r="E238" s="75">
        <v>990.95</v>
      </c>
    </row>
    <row r="239" ht="15.75" spans="1:5">
      <c r="A239" s="33">
        <v>3045392.773</v>
      </c>
      <c r="B239" s="33" t="s">
        <v>1232</v>
      </c>
      <c r="C239" s="33">
        <v>1264.97</v>
      </c>
      <c r="D239" s="11">
        <v>45163</v>
      </c>
      <c r="E239" s="75">
        <v>990.992</v>
      </c>
    </row>
    <row r="240" ht="15.75" spans="1:5">
      <c r="A240" s="33">
        <v>3045393.773</v>
      </c>
      <c r="B240" s="33" t="s">
        <v>1233</v>
      </c>
      <c r="C240" s="33">
        <v>1265.97</v>
      </c>
      <c r="D240" s="11">
        <v>45164</v>
      </c>
      <c r="E240" s="75">
        <v>990.997</v>
      </c>
    </row>
    <row r="241" ht="15.75" spans="1:5">
      <c r="A241" s="33">
        <v>3045394.773</v>
      </c>
      <c r="B241" s="33" t="s">
        <v>1234</v>
      </c>
      <c r="C241" s="33">
        <v>1266.97</v>
      </c>
      <c r="D241" s="11">
        <v>45165</v>
      </c>
      <c r="E241" s="75">
        <v>990.924</v>
      </c>
    </row>
    <row r="242" ht="15.75" spans="1:5">
      <c r="A242" s="33">
        <v>3045395.773</v>
      </c>
      <c r="B242" s="33" t="s">
        <v>1235</v>
      </c>
      <c r="C242" s="33">
        <v>1267.97</v>
      </c>
      <c r="D242" s="11">
        <v>45166</v>
      </c>
      <c r="E242" s="75">
        <v>990.904</v>
      </c>
    </row>
    <row r="243" ht="15.75" spans="1:5">
      <c r="A243" s="33">
        <v>3045396.773</v>
      </c>
      <c r="B243" s="33" t="s">
        <v>1236</v>
      </c>
      <c r="C243" s="33">
        <v>1268.97</v>
      </c>
      <c r="D243" s="11">
        <v>45167</v>
      </c>
      <c r="E243" s="75">
        <v>990.899</v>
      </c>
    </row>
    <row r="244" ht="15.75" spans="1:5">
      <c r="A244" s="33">
        <v>3045397.773</v>
      </c>
      <c r="B244" s="33" t="s">
        <v>1237</v>
      </c>
      <c r="C244" s="33">
        <v>1269.97</v>
      </c>
      <c r="D244" s="11">
        <v>45168</v>
      </c>
      <c r="E244" s="75">
        <v>990.864</v>
      </c>
    </row>
    <row r="245" ht="15.75" spans="1:5">
      <c r="A245" s="33">
        <v>3045398.773</v>
      </c>
      <c r="B245" s="33" t="s">
        <v>1238</v>
      </c>
      <c r="C245" s="33">
        <v>1270.97</v>
      </c>
      <c r="D245" s="11">
        <v>45169</v>
      </c>
      <c r="E245" s="75"/>
    </row>
    <row r="246" ht="15.75" spans="1:5">
      <c r="A246" s="33">
        <v>3045399.773</v>
      </c>
      <c r="B246" s="33" t="s">
        <v>1239</v>
      </c>
      <c r="C246" s="33">
        <v>1271.97</v>
      </c>
      <c r="D246" s="11">
        <v>45170</v>
      </c>
      <c r="E246" s="75">
        <v>990.865</v>
      </c>
    </row>
    <row r="247" ht="15.75" spans="1:5">
      <c r="A247" s="33">
        <v>3045400.773</v>
      </c>
      <c r="B247" s="33" t="s">
        <v>1240</v>
      </c>
      <c r="C247" s="33">
        <v>1272.97</v>
      </c>
      <c r="D247" s="11">
        <v>45171</v>
      </c>
      <c r="E247" s="75">
        <v>990.864</v>
      </c>
    </row>
    <row r="248" ht="15.75" spans="1:5">
      <c r="A248" s="33">
        <v>3045401.773</v>
      </c>
      <c r="B248" s="33" t="s">
        <v>1241</v>
      </c>
      <c r="C248" s="33">
        <v>1273.97</v>
      </c>
      <c r="D248" s="11">
        <v>45172</v>
      </c>
      <c r="E248" s="75">
        <v>990.854</v>
      </c>
    </row>
    <row r="249" ht="15.75" spans="1:5">
      <c r="A249" s="33">
        <v>3045402.773</v>
      </c>
      <c r="B249" s="33" t="s">
        <v>1242</v>
      </c>
      <c r="C249" s="33">
        <v>1274.97</v>
      </c>
      <c r="D249" s="11">
        <v>45173</v>
      </c>
      <c r="E249" s="75">
        <v>990.845</v>
      </c>
    </row>
    <row r="250" ht="15.75" spans="1:5">
      <c r="A250" s="33">
        <v>3045403.773</v>
      </c>
      <c r="B250" s="33" t="s">
        <v>1243</v>
      </c>
      <c r="C250" s="33">
        <v>1275.97</v>
      </c>
      <c r="D250" s="11">
        <v>45174</v>
      </c>
      <c r="E250" s="75">
        <v>990.842</v>
      </c>
    </row>
    <row r="251" ht="15.75" spans="1:5">
      <c r="A251" s="33">
        <v>3045404.773</v>
      </c>
      <c r="B251" s="33" t="s">
        <v>1244</v>
      </c>
      <c r="C251" s="33">
        <v>1276.97</v>
      </c>
      <c r="D251" s="11">
        <v>45175</v>
      </c>
      <c r="E251" s="75">
        <v>990.833</v>
      </c>
    </row>
    <row r="252" ht="15.75" spans="1:5">
      <c r="A252" s="33">
        <v>3045405.773</v>
      </c>
      <c r="B252" s="33" t="s">
        <v>1245</v>
      </c>
      <c r="C252" s="33">
        <v>1277.97</v>
      </c>
      <c r="D252" s="11">
        <v>45176</v>
      </c>
      <c r="E252" s="75">
        <v>990.832</v>
      </c>
    </row>
    <row r="253" ht="15.75" spans="1:5">
      <c r="A253" s="33">
        <v>3045406.773</v>
      </c>
      <c r="B253" s="33" t="s">
        <v>1246</v>
      </c>
      <c r="C253" s="33">
        <v>1278.97</v>
      </c>
      <c r="D253" s="11">
        <v>45177</v>
      </c>
      <c r="E253" s="75">
        <v>990.828</v>
      </c>
    </row>
    <row r="254" ht="15.75" spans="1:5">
      <c r="A254" s="33">
        <v>3045407.773</v>
      </c>
      <c r="B254" s="33" t="s">
        <v>1247</v>
      </c>
      <c r="C254" s="33">
        <v>1279.97</v>
      </c>
      <c r="D254" s="11">
        <v>45178</v>
      </c>
      <c r="E254" s="75">
        <v>990.831</v>
      </c>
    </row>
    <row r="255" ht="15.75" spans="1:5">
      <c r="A255" s="33">
        <v>3045408.773</v>
      </c>
      <c r="B255" s="33" t="s">
        <v>1248</v>
      </c>
      <c r="C255" s="33">
        <v>1280.97</v>
      </c>
      <c r="D255" s="11">
        <v>45179</v>
      </c>
      <c r="E255" s="75">
        <v>990.819</v>
      </c>
    </row>
    <row r="256" ht="15.75" spans="1:5">
      <c r="A256" s="33">
        <v>3045409.773</v>
      </c>
      <c r="B256" s="33" t="s">
        <v>1249</v>
      </c>
      <c r="C256" s="33">
        <v>1281.97</v>
      </c>
      <c r="D256" s="11">
        <v>45180</v>
      </c>
      <c r="E256" s="75">
        <v>990.856</v>
      </c>
    </row>
    <row r="257" ht="15.75" spans="1:5">
      <c r="A257" s="33">
        <v>3045410.773</v>
      </c>
      <c r="B257" s="33" t="s">
        <v>1250</v>
      </c>
      <c r="C257" s="33">
        <v>1282.97</v>
      </c>
      <c r="D257" s="11">
        <v>45181</v>
      </c>
      <c r="E257" s="75">
        <v>990.77</v>
      </c>
    </row>
    <row r="258" ht="15.75" spans="1:5">
      <c r="A258" s="33">
        <v>3045411.773</v>
      </c>
      <c r="B258" s="33" t="s">
        <v>1251</v>
      </c>
      <c r="C258" s="33">
        <v>1283.97</v>
      </c>
      <c r="D258" s="11">
        <v>45182</v>
      </c>
      <c r="E258" s="75">
        <v>990.796</v>
      </c>
    </row>
    <row r="259" ht="15.75" spans="1:5">
      <c r="A259" s="33">
        <v>3045412.773</v>
      </c>
      <c r="B259" s="33" t="s">
        <v>1252</v>
      </c>
      <c r="C259" s="33">
        <v>1284.97</v>
      </c>
      <c r="D259" s="11">
        <v>45183</v>
      </c>
      <c r="E259" s="75">
        <v>990.804</v>
      </c>
    </row>
    <row r="260" ht="15.75" spans="1:5">
      <c r="A260" s="33">
        <v>3045413.773</v>
      </c>
      <c r="B260" s="33" t="s">
        <v>1253</v>
      </c>
      <c r="C260" s="33">
        <v>1285.97</v>
      </c>
      <c r="D260" s="11">
        <v>45184</v>
      </c>
      <c r="E260" s="75">
        <v>990.802</v>
      </c>
    </row>
    <row r="261" ht="15.75" spans="1:5">
      <c r="A261" s="33">
        <v>3045414.773</v>
      </c>
      <c r="B261" s="33" t="s">
        <v>1254</v>
      </c>
      <c r="C261" s="33">
        <v>1286.97</v>
      </c>
      <c r="D261" s="11">
        <v>45185</v>
      </c>
      <c r="E261" s="75">
        <v>990.797</v>
      </c>
    </row>
    <row r="262" ht="15.75" spans="1:5">
      <c r="A262" s="33">
        <v>3045415.773</v>
      </c>
      <c r="B262" s="33" t="s">
        <v>1255</v>
      </c>
      <c r="C262" s="33">
        <v>1287.97</v>
      </c>
      <c r="D262" s="11">
        <v>45186</v>
      </c>
      <c r="E262" s="75">
        <v>990.816</v>
      </c>
    </row>
    <row r="263" ht="15.75" spans="1:5">
      <c r="A263" s="33">
        <v>3045416.773</v>
      </c>
      <c r="B263" s="33" t="s">
        <v>1256</v>
      </c>
      <c r="C263" s="33">
        <v>1288.97</v>
      </c>
      <c r="D263" s="11">
        <v>45187</v>
      </c>
      <c r="E263" s="75">
        <v>990.796</v>
      </c>
    </row>
    <row r="264" ht="15.75" spans="1:5">
      <c r="A264" s="33">
        <v>3045417.773</v>
      </c>
      <c r="B264" s="33" t="s">
        <v>1257</v>
      </c>
      <c r="C264" s="33">
        <v>1289.97</v>
      </c>
      <c r="D264" s="11">
        <v>45188</v>
      </c>
      <c r="E264" s="75">
        <v>990.805</v>
      </c>
    </row>
    <row r="265" ht="15.75" spans="1:5">
      <c r="A265" s="33">
        <v>3045418.773</v>
      </c>
      <c r="B265" s="33" t="s">
        <v>1258</v>
      </c>
      <c r="C265" s="33">
        <v>1290.97</v>
      </c>
      <c r="D265" s="11">
        <v>45189</v>
      </c>
      <c r="E265" s="75">
        <v>990.811</v>
      </c>
    </row>
    <row r="266" ht="15.75" spans="1:5">
      <c r="A266" s="33">
        <v>3045419.773</v>
      </c>
      <c r="B266" s="33" t="s">
        <v>1259</v>
      </c>
      <c r="C266" s="33">
        <v>1291.97</v>
      </c>
      <c r="D266" s="11">
        <v>45190</v>
      </c>
      <c r="E266" s="75">
        <v>990.723</v>
      </c>
    </row>
    <row r="267" ht="15.75" spans="1:5">
      <c r="A267" s="33">
        <v>3045420.773</v>
      </c>
      <c r="B267" s="33" t="s">
        <v>1260</v>
      </c>
      <c r="C267" s="33">
        <v>1292.97</v>
      </c>
      <c r="D267" s="11">
        <v>45191</v>
      </c>
      <c r="E267" s="75">
        <v>990.756</v>
      </c>
    </row>
    <row r="268" ht="15.75" spans="1:5">
      <c r="A268" s="33">
        <v>3045421.773</v>
      </c>
      <c r="B268" s="33" t="s">
        <v>1261</v>
      </c>
      <c r="C268" s="33">
        <v>1293.97</v>
      </c>
      <c r="D268" s="11">
        <v>45192</v>
      </c>
      <c r="E268" s="75">
        <v>990.76</v>
      </c>
    </row>
    <row r="269" ht="15.75" spans="1:5">
      <c r="A269" s="33">
        <v>3045422.773</v>
      </c>
      <c r="B269" s="33" t="s">
        <v>1262</v>
      </c>
      <c r="C269" s="33">
        <v>1294.97</v>
      </c>
      <c r="D269" s="11">
        <v>45193</v>
      </c>
      <c r="E269" s="75">
        <v>990.751</v>
      </c>
    </row>
    <row r="270" ht="15.75" spans="1:5">
      <c r="A270" s="33">
        <v>3045423.773</v>
      </c>
      <c r="B270" s="33" t="s">
        <v>1263</v>
      </c>
      <c r="C270" s="33">
        <v>1295.97</v>
      </c>
      <c r="D270" s="11">
        <v>45194</v>
      </c>
      <c r="E270" s="75">
        <v>990.735</v>
      </c>
    </row>
    <row r="271" ht="15.75" spans="1:5">
      <c r="A271" s="33">
        <v>3045424.773</v>
      </c>
      <c r="B271" s="33" t="s">
        <v>1264</v>
      </c>
      <c r="C271" s="33">
        <v>1296.97</v>
      </c>
      <c r="D271" s="11">
        <v>45195</v>
      </c>
      <c r="E271" s="75">
        <v>990.723</v>
      </c>
    </row>
    <row r="272" ht="15.75" spans="1:5">
      <c r="A272" s="33">
        <v>3045425.773</v>
      </c>
      <c r="B272" s="33" t="s">
        <v>1265</v>
      </c>
      <c r="C272" s="33">
        <v>1297.97</v>
      </c>
      <c r="D272" s="11">
        <v>45196</v>
      </c>
      <c r="E272" s="75">
        <v>990.736</v>
      </c>
    </row>
    <row r="273" ht="15.75" spans="1:5">
      <c r="A273" s="33">
        <v>3045426.773</v>
      </c>
      <c r="B273" s="33" t="s">
        <v>1266</v>
      </c>
      <c r="C273" s="33">
        <v>1298.97</v>
      </c>
      <c r="D273" s="11">
        <v>45197</v>
      </c>
      <c r="E273" s="75">
        <v>990.697</v>
      </c>
    </row>
    <row r="274" ht="15.75" spans="1:5">
      <c r="A274" s="33">
        <v>3045427.773</v>
      </c>
      <c r="B274" s="33" t="s">
        <v>1267</v>
      </c>
      <c r="C274" s="33">
        <v>1299.97</v>
      </c>
      <c r="D274" s="11">
        <v>45198</v>
      </c>
      <c r="E274" s="75">
        <v>990.681</v>
      </c>
    </row>
    <row r="275" ht="15.75" spans="1:5">
      <c r="A275" s="33">
        <v>3045428.773</v>
      </c>
      <c r="B275" s="33" t="s">
        <v>1268</v>
      </c>
      <c r="C275" s="33">
        <v>1300.97</v>
      </c>
      <c r="D275" s="11">
        <v>45199</v>
      </c>
      <c r="E275" s="75">
        <v>990.715</v>
      </c>
    </row>
    <row r="276" ht="15.75" spans="1:5">
      <c r="A276" s="33">
        <v>3045429.773</v>
      </c>
      <c r="B276" s="33" t="s">
        <v>1269</v>
      </c>
      <c r="C276" s="33">
        <v>1301.97</v>
      </c>
      <c r="D276" s="11">
        <v>45200</v>
      </c>
      <c r="E276" s="75">
        <v>990.683</v>
      </c>
    </row>
    <row r="277" ht="15.75" spans="1:5">
      <c r="A277" s="33">
        <v>3045430.773</v>
      </c>
      <c r="B277" s="33" t="s">
        <v>1270</v>
      </c>
      <c r="C277" s="33">
        <v>1302.97</v>
      </c>
      <c r="D277" s="11">
        <v>45201</v>
      </c>
      <c r="E277" s="75">
        <v>990.65</v>
      </c>
    </row>
    <row r="278" ht="15.75" spans="1:5">
      <c r="A278" s="33">
        <v>3045431.773</v>
      </c>
      <c r="B278" s="33" t="s">
        <v>1271</v>
      </c>
      <c r="C278" s="33">
        <v>1303.97</v>
      </c>
      <c r="D278" s="11">
        <v>45202</v>
      </c>
      <c r="E278" s="75">
        <v>990.645</v>
      </c>
    </row>
    <row r="279" ht="15.75" spans="1:5">
      <c r="A279" s="33">
        <v>3045432.773</v>
      </c>
      <c r="B279" s="33" t="s">
        <v>1272</v>
      </c>
      <c r="C279" s="33">
        <v>1304.97</v>
      </c>
      <c r="D279" s="11">
        <v>45203</v>
      </c>
      <c r="E279" s="75">
        <v>990.647</v>
      </c>
    </row>
    <row r="280" ht="15.75" spans="1:5">
      <c r="A280" s="33">
        <v>3045433.773</v>
      </c>
      <c r="B280" s="33" t="s">
        <v>1273</v>
      </c>
      <c r="C280" s="33">
        <v>1305.97</v>
      </c>
      <c r="D280" s="11">
        <v>45204</v>
      </c>
      <c r="E280" s="75">
        <v>990.64</v>
      </c>
    </row>
    <row r="281" ht="15.75" spans="1:5">
      <c r="A281" s="33">
        <v>3045434.773</v>
      </c>
      <c r="B281" s="33" t="s">
        <v>1274</v>
      </c>
      <c r="C281" s="33">
        <v>1306.97</v>
      </c>
      <c r="D281" s="11">
        <v>45205</v>
      </c>
      <c r="E281" s="75">
        <v>990.64</v>
      </c>
    </row>
    <row r="282" ht="15.75" spans="1:5">
      <c r="A282" s="33">
        <v>3045435.773</v>
      </c>
      <c r="B282" s="33" t="s">
        <v>1275</v>
      </c>
      <c r="C282" s="33">
        <v>1307.97</v>
      </c>
      <c r="D282" s="11">
        <v>45206</v>
      </c>
      <c r="E282" s="75">
        <v>990.61</v>
      </c>
    </row>
    <row r="283" ht="15.75" spans="1:5">
      <c r="A283" s="33">
        <v>3045436.773</v>
      </c>
      <c r="B283" s="33" t="s">
        <v>1276</v>
      </c>
      <c r="C283" s="33">
        <v>1308.97</v>
      </c>
      <c r="D283" s="11">
        <v>45207</v>
      </c>
      <c r="E283" s="75">
        <v>990.624</v>
      </c>
    </row>
    <row r="284" ht="15.75" spans="1:5">
      <c r="A284" s="33">
        <v>3045437.773</v>
      </c>
      <c r="B284" s="33" t="s">
        <v>1277</v>
      </c>
      <c r="C284" s="33">
        <v>1309.97</v>
      </c>
      <c r="D284" s="11">
        <v>45208</v>
      </c>
      <c r="E284" s="75">
        <v>990.623</v>
      </c>
    </row>
    <row r="285" ht="15.75" spans="1:5">
      <c r="A285" s="33">
        <v>3045438.773</v>
      </c>
      <c r="B285" s="33" t="s">
        <v>1278</v>
      </c>
      <c r="C285" s="33">
        <v>1310.97</v>
      </c>
      <c r="D285" s="11">
        <v>45209</v>
      </c>
      <c r="E285" s="75">
        <v>990.637</v>
      </c>
    </row>
    <row r="286" ht="15.75" spans="1:5">
      <c r="A286" s="33">
        <v>3045439.773</v>
      </c>
      <c r="B286" s="33" t="s">
        <v>1279</v>
      </c>
      <c r="C286" s="33">
        <v>1311.97</v>
      </c>
      <c r="D286" s="11">
        <v>45210</v>
      </c>
      <c r="E286" s="75">
        <v>990.686</v>
      </c>
    </row>
    <row r="287" ht="15.75" spans="1:5">
      <c r="A287" s="33">
        <v>3045440.773</v>
      </c>
      <c r="B287" s="33" t="s">
        <v>1280</v>
      </c>
      <c r="C287" s="33">
        <v>1312.97</v>
      </c>
      <c r="D287" s="11">
        <v>45211</v>
      </c>
      <c r="E287" s="75">
        <v>990.656</v>
      </c>
    </row>
    <row r="288" ht="15.75" spans="1:5">
      <c r="A288" s="33">
        <v>3045441.773</v>
      </c>
      <c r="B288" s="33" t="s">
        <v>1281</v>
      </c>
      <c r="C288" s="33">
        <v>1313.97</v>
      </c>
      <c r="D288" s="11">
        <v>45212</v>
      </c>
      <c r="E288" s="75">
        <v>990.667</v>
      </c>
    </row>
    <row r="289" ht="15.75" spans="1:5">
      <c r="A289" s="33">
        <v>3045442.773</v>
      </c>
      <c r="B289" s="33" t="s">
        <v>1282</v>
      </c>
      <c r="C289" s="33">
        <v>1314.97</v>
      </c>
      <c r="D289" s="11">
        <v>45213</v>
      </c>
      <c r="E289" s="75">
        <v>990.694</v>
      </c>
    </row>
    <row r="290" ht="15.75" spans="1:5">
      <c r="A290" s="33">
        <v>3045443.773</v>
      </c>
      <c r="B290" s="33" t="s">
        <v>1283</v>
      </c>
      <c r="C290" s="33">
        <v>1315.97</v>
      </c>
      <c r="D290" s="11">
        <v>45214</v>
      </c>
      <c r="E290" s="75">
        <v>990.694</v>
      </c>
    </row>
    <row r="291" ht="15.75" spans="1:5">
      <c r="A291" s="33">
        <v>3045444.773</v>
      </c>
      <c r="B291" s="33" t="s">
        <v>1284</v>
      </c>
      <c r="C291" s="33">
        <v>1316.97</v>
      </c>
      <c r="D291" s="11">
        <v>45215</v>
      </c>
      <c r="E291" s="75">
        <v>990.702</v>
      </c>
    </row>
    <row r="292" ht="15.75" spans="1:5">
      <c r="A292" s="33">
        <v>3045445.773</v>
      </c>
      <c r="B292" s="33" t="s">
        <v>1285</v>
      </c>
      <c r="C292" s="33">
        <v>1317.97</v>
      </c>
      <c r="D292" s="11">
        <v>45216</v>
      </c>
      <c r="E292" s="75">
        <v>990.712</v>
      </c>
    </row>
    <row r="293" ht="15.75" spans="1:5">
      <c r="A293" s="33">
        <v>3045446.773</v>
      </c>
      <c r="B293" s="33" t="s">
        <v>1286</v>
      </c>
      <c r="C293" s="33">
        <v>1318.97</v>
      </c>
      <c r="D293" s="11">
        <v>45217</v>
      </c>
      <c r="E293" s="75">
        <v>990.71</v>
      </c>
    </row>
    <row r="294" ht="15.75" spans="1:5">
      <c r="A294" s="33">
        <v>3045447.773</v>
      </c>
      <c r="B294" s="33" t="s">
        <v>1287</v>
      </c>
      <c r="C294" s="33">
        <v>1319.97</v>
      </c>
      <c r="D294" s="11">
        <v>45218</v>
      </c>
      <c r="E294" s="75"/>
    </row>
    <row r="295" ht="15.75" spans="1:5">
      <c r="A295" s="33">
        <v>3045448.773</v>
      </c>
      <c r="B295" s="33" t="s">
        <v>1288</v>
      </c>
      <c r="C295" s="33">
        <v>1320.97</v>
      </c>
      <c r="D295" s="11">
        <v>45219</v>
      </c>
      <c r="E295" s="75">
        <v>990.67</v>
      </c>
    </row>
    <row r="296" ht="15.75" spans="1:5">
      <c r="A296" s="33">
        <v>3045449.773</v>
      </c>
      <c r="B296" s="33" t="s">
        <v>1289</v>
      </c>
      <c r="C296" s="33">
        <v>1321.97</v>
      </c>
      <c r="D296" s="11">
        <v>45220</v>
      </c>
      <c r="E296" s="75">
        <v>990.664</v>
      </c>
    </row>
    <row r="297" ht="15.75" spans="1:5">
      <c r="A297" s="33">
        <v>3045450.773</v>
      </c>
      <c r="B297" s="33" t="s">
        <v>1290</v>
      </c>
      <c r="C297" s="33">
        <v>1322.97</v>
      </c>
      <c r="D297" s="11">
        <v>45221</v>
      </c>
      <c r="E297" s="75">
        <v>990.663</v>
      </c>
    </row>
    <row r="298" ht="15.75" spans="1:5">
      <c r="A298" s="33">
        <v>3045451.773</v>
      </c>
      <c r="B298" s="33" t="s">
        <v>1291</v>
      </c>
      <c r="C298" s="33">
        <v>1323.97</v>
      </c>
      <c r="D298" s="11">
        <v>45222</v>
      </c>
      <c r="E298" s="75">
        <v>990.671</v>
      </c>
    </row>
    <row r="299" ht="15.75" spans="1:5">
      <c r="A299" s="33">
        <v>3045452.773</v>
      </c>
      <c r="B299" s="33" t="s">
        <v>1292</v>
      </c>
      <c r="C299" s="33">
        <v>1324.97</v>
      </c>
      <c r="D299" s="11">
        <v>45223</v>
      </c>
      <c r="E299" s="75">
        <v>990.658</v>
      </c>
    </row>
    <row r="300" ht="15.75" spans="1:5">
      <c r="A300" s="33">
        <v>3045453.773</v>
      </c>
      <c r="B300" s="33" t="s">
        <v>1293</v>
      </c>
      <c r="C300" s="33">
        <v>1325.97</v>
      </c>
      <c r="D300" s="11">
        <v>45224</v>
      </c>
      <c r="E300" s="75">
        <v>990.654</v>
      </c>
    </row>
    <row r="301" ht="15.75" spans="1:5">
      <c r="A301" s="33">
        <v>3045454.773</v>
      </c>
      <c r="B301" s="33" t="s">
        <v>1294</v>
      </c>
      <c r="C301" s="33">
        <v>1326.97</v>
      </c>
      <c r="D301" s="11">
        <v>45225</v>
      </c>
      <c r="E301" s="75">
        <v>990.643</v>
      </c>
    </row>
    <row r="302" ht="15.75" spans="1:5">
      <c r="A302" s="33">
        <v>3045455.773</v>
      </c>
      <c r="B302" s="33" t="s">
        <v>1295</v>
      </c>
      <c r="C302" s="33">
        <v>1327.97</v>
      </c>
      <c r="D302" s="11">
        <v>45226</v>
      </c>
      <c r="E302" s="75">
        <v>990.66</v>
      </c>
    </row>
    <row r="303" ht="15.75" spans="1:5">
      <c r="A303" s="33">
        <v>3045456.773</v>
      </c>
      <c r="B303" s="33" t="s">
        <v>1296</v>
      </c>
      <c r="C303" s="33">
        <v>1328.97</v>
      </c>
      <c r="D303" s="11">
        <v>45227</v>
      </c>
      <c r="E303" s="75">
        <v>990.67</v>
      </c>
    </row>
    <row r="304" ht="15.75" spans="1:5">
      <c r="A304" s="33">
        <v>3045457.773</v>
      </c>
      <c r="B304" s="33" t="s">
        <v>1297</v>
      </c>
      <c r="C304" s="33">
        <v>1329.97</v>
      </c>
      <c r="D304" s="11">
        <v>45228</v>
      </c>
      <c r="E304" s="75">
        <v>990.66</v>
      </c>
    </row>
    <row r="305" ht="15.75" spans="1:5">
      <c r="A305" s="33">
        <v>3045458.773</v>
      </c>
      <c r="B305" s="33" t="s">
        <v>1298</v>
      </c>
      <c r="C305" s="33">
        <v>1330.97</v>
      </c>
      <c r="D305" s="11">
        <v>45229</v>
      </c>
      <c r="E305" s="75">
        <v>990.66</v>
      </c>
    </row>
    <row r="306" ht="15.75" spans="1:5">
      <c r="A306" s="33">
        <v>3045459.773</v>
      </c>
      <c r="B306" s="33" t="s">
        <v>1299</v>
      </c>
      <c r="C306" s="33">
        <v>1331.97</v>
      </c>
      <c r="D306" s="11">
        <v>45230</v>
      </c>
      <c r="E306" s="75">
        <v>990.66</v>
      </c>
    </row>
    <row r="307" ht="15.75" spans="1:5">
      <c r="A307" s="33">
        <v>3045460.773</v>
      </c>
      <c r="B307" s="33" t="s">
        <v>1300</v>
      </c>
      <c r="C307" s="33">
        <v>1332.97</v>
      </c>
      <c r="D307" s="11">
        <v>45231</v>
      </c>
      <c r="E307" s="75">
        <v>990.68</v>
      </c>
    </row>
    <row r="308" ht="15.75" spans="1:5">
      <c r="A308" s="33">
        <v>3045461.773</v>
      </c>
      <c r="B308" s="33" t="s">
        <v>1301</v>
      </c>
      <c r="C308" s="33">
        <v>1333.97</v>
      </c>
      <c r="D308" s="11">
        <v>45232</v>
      </c>
      <c r="E308" s="75">
        <v>990.704</v>
      </c>
    </row>
    <row r="309" ht="15.75" spans="1:5">
      <c r="A309" s="33">
        <v>3045462.773</v>
      </c>
      <c r="B309" s="33" t="s">
        <v>1302</v>
      </c>
      <c r="C309" s="33">
        <v>1334.97</v>
      </c>
      <c r="D309" s="11">
        <v>45233</v>
      </c>
      <c r="E309" s="75">
        <v>990.67</v>
      </c>
    </row>
    <row r="310" ht="15.75" spans="1:5">
      <c r="A310" s="33">
        <v>3045463.773</v>
      </c>
      <c r="B310" s="33" t="s">
        <v>1303</v>
      </c>
      <c r="C310" s="33">
        <v>1335.97</v>
      </c>
      <c r="D310" s="11">
        <v>45234</v>
      </c>
      <c r="E310" s="75">
        <v>990.69</v>
      </c>
    </row>
    <row r="311" ht="15.75" spans="1:5">
      <c r="A311" s="33">
        <v>3045464.773</v>
      </c>
      <c r="B311" s="33" t="s">
        <v>1304</v>
      </c>
      <c r="C311" s="33">
        <v>1336.97</v>
      </c>
      <c r="D311" s="11">
        <v>45235</v>
      </c>
      <c r="E311" s="75">
        <v>990.64</v>
      </c>
    </row>
    <row r="312" ht="15.75" spans="1:5">
      <c r="A312" s="33">
        <v>3045465.773</v>
      </c>
      <c r="B312" s="33" t="s">
        <v>1305</v>
      </c>
      <c r="C312" s="33">
        <v>1337.97</v>
      </c>
      <c r="D312" s="11">
        <v>45236</v>
      </c>
      <c r="E312" s="75">
        <v>990.63</v>
      </c>
    </row>
    <row r="313" ht="15.75" spans="1:5">
      <c r="A313" s="33">
        <v>3045466.773</v>
      </c>
      <c r="B313" s="33" t="s">
        <v>1306</v>
      </c>
      <c r="C313" s="33">
        <v>1338.97</v>
      </c>
      <c r="D313" s="11">
        <v>45237</v>
      </c>
      <c r="E313" s="75">
        <v>990.67</v>
      </c>
    </row>
    <row r="314" ht="15.75" spans="1:5">
      <c r="A314" s="33">
        <v>3045467.773</v>
      </c>
      <c r="B314" s="33" t="s">
        <v>1307</v>
      </c>
      <c r="C314" s="33">
        <v>1339.97</v>
      </c>
      <c r="D314" s="11">
        <v>45238</v>
      </c>
      <c r="E314" s="75">
        <v>990.66</v>
      </c>
    </row>
    <row r="315" ht="15.75" spans="1:5">
      <c r="A315" s="33">
        <v>3045468.773</v>
      </c>
      <c r="B315" s="33" t="s">
        <v>1308</v>
      </c>
      <c r="C315" s="33">
        <v>1340.97</v>
      </c>
      <c r="D315" s="11">
        <v>45239</v>
      </c>
      <c r="E315" s="75">
        <v>990.64</v>
      </c>
    </row>
    <row r="316" ht="15.75" spans="1:5">
      <c r="A316" s="33">
        <v>3045469.773</v>
      </c>
      <c r="B316" s="33" t="s">
        <v>1309</v>
      </c>
      <c r="C316" s="33">
        <v>1341.97</v>
      </c>
      <c r="D316" s="11">
        <v>45240</v>
      </c>
      <c r="E316" s="75">
        <v>990.69</v>
      </c>
    </row>
    <row r="317" ht="15.75" spans="1:5">
      <c r="A317" s="33">
        <v>3045470.773</v>
      </c>
      <c r="B317" s="33" t="s">
        <v>1310</v>
      </c>
      <c r="C317" s="33">
        <v>1342.97</v>
      </c>
      <c r="D317" s="11">
        <v>45241</v>
      </c>
      <c r="E317" s="75">
        <v>990.63</v>
      </c>
    </row>
    <row r="318" ht="15.75" spans="1:5">
      <c r="A318" s="33">
        <v>3045471.773</v>
      </c>
      <c r="B318" s="33" t="s">
        <v>1311</v>
      </c>
      <c r="C318" s="33">
        <v>1343.97</v>
      </c>
      <c r="D318" s="11">
        <v>45242</v>
      </c>
      <c r="E318" s="75">
        <v>990.59</v>
      </c>
    </row>
    <row r="319" ht="15.75" spans="1:5">
      <c r="A319" s="33">
        <v>3045472.773</v>
      </c>
      <c r="B319" s="33" t="s">
        <v>1312</v>
      </c>
      <c r="C319" s="33">
        <v>1344.97</v>
      </c>
      <c r="D319" s="11">
        <v>45243</v>
      </c>
      <c r="E319" s="75">
        <v>990.6</v>
      </c>
    </row>
    <row r="320" ht="15.75" spans="1:5">
      <c r="A320" s="33">
        <v>3045473.773</v>
      </c>
      <c r="B320" s="33" t="s">
        <v>1313</v>
      </c>
      <c r="C320" s="33">
        <v>1345.97</v>
      </c>
      <c r="D320" s="11">
        <v>45244</v>
      </c>
      <c r="E320" s="75">
        <v>990.64</v>
      </c>
    </row>
    <row r="321" ht="15.75" spans="1:5">
      <c r="A321" s="33">
        <v>3045474.773</v>
      </c>
      <c r="B321" s="33" t="s">
        <v>1314</v>
      </c>
      <c r="C321" s="33">
        <v>1346.97</v>
      </c>
      <c r="D321" s="11">
        <v>45245</v>
      </c>
      <c r="E321" s="75">
        <v>990.62</v>
      </c>
    </row>
    <row r="322" ht="15.75" spans="1:5">
      <c r="A322" s="33">
        <v>3045475.773</v>
      </c>
      <c r="B322" s="33" t="s">
        <v>1315</v>
      </c>
      <c r="C322" s="33">
        <v>1347.97</v>
      </c>
      <c r="D322" s="11">
        <v>45246</v>
      </c>
      <c r="E322" s="75">
        <v>990.55</v>
      </c>
    </row>
    <row r="323" ht="15.75" spans="1:5">
      <c r="A323" s="33">
        <v>3045476.773</v>
      </c>
      <c r="B323" s="33" t="s">
        <v>1316</v>
      </c>
      <c r="C323" s="33">
        <v>1348.97</v>
      </c>
      <c r="D323" s="11">
        <v>45247</v>
      </c>
      <c r="E323" s="75">
        <v>990.63</v>
      </c>
    </row>
    <row r="324" ht="15.75" spans="1:5">
      <c r="A324" s="33">
        <v>3045477.773</v>
      </c>
      <c r="B324" s="33" t="s">
        <v>1317</v>
      </c>
      <c r="C324" s="33">
        <v>1349.97</v>
      </c>
      <c r="D324" s="11">
        <v>45248</v>
      </c>
      <c r="E324" s="75">
        <v>990.64</v>
      </c>
    </row>
    <row r="325" ht="15.75" spans="1:5">
      <c r="A325" s="33">
        <v>3045478.773</v>
      </c>
      <c r="B325" s="33" t="s">
        <v>1318</v>
      </c>
      <c r="C325" s="33">
        <v>1350.97</v>
      </c>
      <c r="D325" s="11">
        <v>45249</v>
      </c>
      <c r="E325" s="75">
        <v>990.65</v>
      </c>
    </row>
    <row r="326" ht="15.75" spans="1:5">
      <c r="A326" s="33">
        <v>3045479.773</v>
      </c>
      <c r="B326" s="33" t="s">
        <v>1319</v>
      </c>
      <c r="C326" s="33">
        <v>1351.97</v>
      </c>
      <c r="D326" s="11">
        <v>45250</v>
      </c>
      <c r="E326" s="75">
        <v>990.66</v>
      </c>
    </row>
    <row r="327" ht="15.75" spans="1:5">
      <c r="A327" s="33">
        <v>3045480.773</v>
      </c>
      <c r="B327" s="33" t="s">
        <v>1320</v>
      </c>
      <c r="C327" s="33">
        <v>1352.97</v>
      </c>
      <c r="D327" s="11">
        <v>45251</v>
      </c>
      <c r="E327" s="75">
        <v>990.66</v>
      </c>
    </row>
    <row r="328" ht="15.75" spans="1:5">
      <c r="A328" s="33">
        <v>3045481.773</v>
      </c>
      <c r="B328" s="33" t="s">
        <v>1321</v>
      </c>
      <c r="C328" s="33">
        <v>1353.97</v>
      </c>
      <c r="D328" s="11">
        <v>45252</v>
      </c>
      <c r="E328" s="75">
        <v>990.62</v>
      </c>
    </row>
    <row r="329" ht="15.75" spans="1:5">
      <c r="A329" s="33">
        <v>3045482.773</v>
      </c>
      <c r="B329" s="33" t="s">
        <v>1322</v>
      </c>
      <c r="C329" s="33">
        <v>1354.97</v>
      </c>
      <c r="D329" s="11">
        <v>45253</v>
      </c>
      <c r="E329" s="75">
        <v>990.61</v>
      </c>
    </row>
    <row r="330" ht="15.75" spans="1:5">
      <c r="A330" s="33">
        <v>3045483.773</v>
      </c>
      <c r="B330" s="33" t="s">
        <v>1323</v>
      </c>
      <c r="C330" s="33">
        <v>1355.97</v>
      </c>
      <c r="D330" s="11">
        <v>45254</v>
      </c>
      <c r="E330" s="75">
        <v>990.62</v>
      </c>
    </row>
    <row r="331" ht="15.75" spans="1:5">
      <c r="A331" s="33">
        <v>3045484.773</v>
      </c>
      <c r="B331" s="33" t="s">
        <v>1324</v>
      </c>
      <c r="C331" s="33">
        <v>1356.97</v>
      </c>
      <c r="D331" s="11">
        <v>45255</v>
      </c>
      <c r="E331" s="75"/>
    </row>
    <row r="332" ht="15.75" spans="1:5">
      <c r="A332" s="33">
        <v>3045485.773</v>
      </c>
      <c r="B332" s="33" t="s">
        <v>1325</v>
      </c>
      <c r="C332" s="33">
        <v>1357.97</v>
      </c>
      <c r="D332" s="11">
        <v>45256</v>
      </c>
      <c r="E332" s="75"/>
    </row>
    <row r="333" ht="15.75" spans="1:5">
      <c r="A333" s="33">
        <v>3045486.773</v>
      </c>
      <c r="B333" s="33" t="s">
        <v>1326</v>
      </c>
      <c r="C333" s="33">
        <v>1358.97</v>
      </c>
      <c r="D333" s="11">
        <v>45257</v>
      </c>
      <c r="E333" s="75"/>
    </row>
    <row r="334" ht="15.75" spans="1:5">
      <c r="A334" s="33">
        <v>3045487.773</v>
      </c>
      <c r="B334" s="33" t="s">
        <v>1327</v>
      </c>
      <c r="C334" s="33">
        <v>1359.97</v>
      </c>
      <c r="D334" s="11">
        <v>45258</v>
      </c>
      <c r="E334" s="75">
        <v>990.65</v>
      </c>
    </row>
    <row r="335" ht="15.75" spans="1:5">
      <c r="A335" s="33">
        <v>3045488.773</v>
      </c>
      <c r="B335" s="33" t="s">
        <v>1328</v>
      </c>
      <c r="C335" s="33">
        <v>1360.97</v>
      </c>
      <c r="D335" s="11">
        <v>45259</v>
      </c>
      <c r="E335" s="75">
        <v>990.6</v>
      </c>
    </row>
    <row r="336" ht="15.75" spans="1:5">
      <c r="A336" s="33">
        <v>3045489.773</v>
      </c>
      <c r="B336" s="33" t="s">
        <v>1329</v>
      </c>
      <c r="C336" s="33">
        <v>1361.97</v>
      </c>
      <c r="D336" s="11">
        <v>45260</v>
      </c>
      <c r="E336" s="75">
        <v>990.57</v>
      </c>
    </row>
    <row r="337" ht="15.75" spans="1:5">
      <c r="A337" s="33">
        <v>3045490.773</v>
      </c>
      <c r="B337" s="33" t="s">
        <v>1330</v>
      </c>
      <c r="C337" s="33">
        <v>1362.97</v>
      </c>
      <c r="D337" s="11">
        <v>45261</v>
      </c>
      <c r="E337" s="75">
        <v>990.59</v>
      </c>
    </row>
    <row r="338" ht="15.75" spans="1:5">
      <c r="A338" s="33">
        <v>3045491.773</v>
      </c>
      <c r="B338" s="33" t="s">
        <v>1331</v>
      </c>
      <c r="C338" s="33">
        <v>1363.97</v>
      </c>
      <c r="D338" s="11">
        <v>45262</v>
      </c>
      <c r="E338" s="75">
        <v>990.59</v>
      </c>
    </row>
    <row r="339" ht="15.75" spans="1:5">
      <c r="A339" s="33">
        <v>3045492.773</v>
      </c>
      <c r="B339" s="33" t="s">
        <v>1332</v>
      </c>
      <c r="C339" s="33">
        <v>1364.97</v>
      </c>
      <c r="D339" s="11">
        <v>45263</v>
      </c>
      <c r="E339" s="75">
        <v>990.68</v>
      </c>
    </row>
    <row r="340" ht="15.75" spans="1:5">
      <c r="A340" s="33">
        <v>3045493.773</v>
      </c>
      <c r="B340" s="33" t="s">
        <v>1333</v>
      </c>
      <c r="C340" s="33">
        <v>1365.97</v>
      </c>
      <c r="D340" s="11">
        <v>45264</v>
      </c>
      <c r="E340" s="75">
        <v>990.61</v>
      </c>
    </row>
    <row r="341" ht="15.75" spans="1:5">
      <c r="A341" s="33">
        <v>3045494.773</v>
      </c>
      <c r="B341" s="33" t="s">
        <v>1334</v>
      </c>
      <c r="C341" s="33">
        <v>1366.97</v>
      </c>
      <c r="D341" s="11">
        <v>45265</v>
      </c>
      <c r="E341" s="75">
        <v>990.62</v>
      </c>
    </row>
    <row r="342" ht="15.75" spans="1:5">
      <c r="A342" s="33">
        <v>3045495.773</v>
      </c>
      <c r="B342" s="33" t="s">
        <v>1335</v>
      </c>
      <c r="C342" s="33">
        <v>1367.97</v>
      </c>
      <c r="D342" s="11">
        <v>45266</v>
      </c>
      <c r="E342" s="75">
        <v>990.56</v>
      </c>
    </row>
    <row r="343" ht="15.75" spans="1:5">
      <c r="A343" s="33">
        <v>3045496.773</v>
      </c>
      <c r="B343" s="33" t="s">
        <v>1336</v>
      </c>
      <c r="C343" s="33">
        <v>1368.97</v>
      </c>
      <c r="D343" s="11">
        <v>45267</v>
      </c>
      <c r="E343" s="75">
        <v>990.63</v>
      </c>
    </row>
    <row r="344" ht="15.75" spans="1:5">
      <c r="A344" s="33">
        <v>3045497.773</v>
      </c>
      <c r="B344" s="33" t="s">
        <v>1337</v>
      </c>
      <c r="C344" s="33">
        <v>1369.97</v>
      </c>
      <c r="D344" s="11">
        <v>45268</v>
      </c>
      <c r="E344" s="75">
        <v>990.624</v>
      </c>
    </row>
    <row r="345" ht="15.75" spans="1:5">
      <c r="A345" s="33">
        <v>3045498.773</v>
      </c>
      <c r="B345" s="33" t="s">
        <v>1338</v>
      </c>
      <c r="C345" s="33">
        <v>1370.97</v>
      </c>
      <c r="D345" s="11">
        <v>45269</v>
      </c>
      <c r="E345" s="75">
        <v>990.54</v>
      </c>
    </row>
    <row r="346" ht="15.75" spans="1:5">
      <c r="A346" s="33">
        <v>3045499.773</v>
      </c>
      <c r="B346" s="33" t="s">
        <v>1339</v>
      </c>
      <c r="C346" s="33">
        <v>1371.97</v>
      </c>
      <c r="D346" s="11">
        <v>45270</v>
      </c>
      <c r="E346" s="75">
        <v>990.494</v>
      </c>
    </row>
    <row r="347" ht="15.75" spans="1:5">
      <c r="A347" s="33">
        <v>3045500.773</v>
      </c>
      <c r="B347" s="33" t="s">
        <v>1340</v>
      </c>
      <c r="C347" s="33">
        <v>1372.97</v>
      </c>
      <c r="D347" s="11">
        <v>45271</v>
      </c>
      <c r="E347" s="75">
        <v>990.403</v>
      </c>
    </row>
    <row r="348" ht="15.75" spans="1:5">
      <c r="A348" s="33">
        <v>3045501.773</v>
      </c>
      <c r="B348" s="33" t="s">
        <v>1341</v>
      </c>
      <c r="C348" s="33">
        <v>1373.97</v>
      </c>
      <c r="D348" s="11">
        <v>45272</v>
      </c>
      <c r="E348" s="75">
        <v>990.39</v>
      </c>
    </row>
    <row r="349" ht="15.75" spans="1:5">
      <c r="A349" s="33">
        <v>3045502.773</v>
      </c>
      <c r="B349" s="33" t="s">
        <v>1342</v>
      </c>
      <c r="C349" s="33">
        <v>1374.97</v>
      </c>
      <c r="D349" s="11">
        <v>45273</v>
      </c>
      <c r="E349" s="75">
        <v>990.415</v>
      </c>
    </row>
    <row r="350" ht="15.75" spans="1:5">
      <c r="A350" s="33">
        <v>3045503.773</v>
      </c>
      <c r="B350" s="33" t="s">
        <v>1343</v>
      </c>
      <c r="C350" s="33">
        <v>1375.97</v>
      </c>
      <c r="D350" s="11">
        <v>45274</v>
      </c>
      <c r="E350" s="75">
        <v>990.371</v>
      </c>
    </row>
    <row r="351" ht="15.75" spans="1:5">
      <c r="A351" s="33">
        <v>3045504.773</v>
      </c>
      <c r="B351" s="33" t="s">
        <v>1344</v>
      </c>
      <c r="C351" s="33">
        <v>1376.97</v>
      </c>
      <c r="D351" s="11">
        <v>45275</v>
      </c>
      <c r="E351" s="75">
        <v>990.278</v>
      </c>
    </row>
    <row r="352" ht="15.75" spans="1:5">
      <c r="A352" s="33">
        <v>3045505.773</v>
      </c>
      <c r="B352" s="33" t="s">
        <v>1345</v>
      </c>
      <c r="C352" s="33">
        <v>1377.97</v>
      </c>
      <c r="D352" s="11">
        <v>45276</v>
      </c>
      <c r="E352" s="75">
        <v>990.191</v>
      </c>
    </row>
    <row r="353" ht="15.75" spans="1:5">
      <c r="A353" s="33">
        <v>3045506.773</v>
      </c>
      <c r="B353" s="33" t="s">
        <v>1346</v>
      </c>
      <c r="C353" s="33">
        <v>1378.97</v>
      </c>
      <c r="D353" s="11">
        <v>45277</v>
      </c>
      <c r="E353" s="75">
        <v>990.208</v>
      </c>
    </row>
    <row r="354" ht="15.75" spans="1:5">
      <c r="A354" s="33">
        <v>3045507.773</v>
      </c>
      <c r="B354" s="33" t="s">
        <v>1347</v>
      </c>
      <c r="C354" s="33">
        <v>1379.97</v>
      </c>
      <c r="D354" s="11">
        <v>45278</v>
      </c>
      <c r="E354" s="75">
        <v>990.121</v>
      </c>
    </row>
    <row r="355" ht="15.75" spans="1:5">
      <c r="A355" s="33">
        <v>3045508.773</v>
      </c>
      <c r="B355" s="33" t="s">
        <v>1348</v>
      </c>
      <c r="C355" s="33">
        <v>1380.97</v>
      </c>
      <c r="D355" s="11">
        <v>45279</v>
      </c>
      <c r="E355" s="75">
        <v>990.077</v>
      </c>
    </row>
    <row r="356" ht="15.75" spans="1:5">
      <c r="A356" s="33">
        <v>3045509.773</v>
      </c>
      <c r="B356" s="33" t="s">
        <v>1349</v>
      </c>
      <c r="C356" s="33">
        <v>1381.97</v>
      </c>
      <c r="D356" s="11">
        <v>45280</v>
      </c>
      <c r="E356" s="75">
        <v>990.027</v>
      </c>
    </row>
    <row r="357" ht="15.75" spans="1:5">
      <c r="A357" s="33">
        <v>3045510.773</v>
      </c>
      <c r="B357" s="33" t="s">
        <v>1350</v>
      </c>
      <c r="C357" s="33">
        <v>1382.97</v>
      </c>
      <c r="D357" s="11">
        <v>45281</v>
      </c>
      <c r="E357" s="75">
        <v>989.98</v>
      </c>
    </row>
    <row r="358" ht="15.75" spans="1:5">
      <c r="A358" s="33">
        <v>3045511.773</v>
      </c>
      <c r="B358" s="33" t="s">
        <v>1351</v>
      </c>
      <c r="C358" s="33">
        <v>1383.97</v>
      </c>
      <c r="D358" s="11">
        <v>45282</v>
      </c>
      <c r="E358" s="75">
        <v>989.976</v>
      </c>
    </row>
    <row r="359" ht="15.75" spans="1:5">
      <c r="A359" s="33">
        <v>3045512.773</v>
      </c>
      <c r="B359" s="33" t="s">
        <v>1352</v>
      </c>
      <c r="C359" s="33">
        <v>1384.97</v>
      </c>
      <c r="D359" s="11">
        <v>45283</v>
      </c>
      <c r="E359" s="75">
        <v>989.912</v>
      </c>
    </row>
    <row r="360" ht="15.75" spans="1:5">
      <c r="A360" s="33">
        <v>3045513.773</v>
      </c>
      <c r="B360" s="33" t="s">
        <v>1353</v>
      </c>
      <c r="C360" s="33">
        <v>1385.97</v>
      </c>
      <c r="D360" s="11">
        <v>45284</v>
      </c>
      <c r="E360" s="75">
        <v>989.884</v>
      </c>
    </row>
    <row r="361" ht="15.75" spans="1:5">
      <c r="A361" s="33">
        <v>3045514.773</v>
      </c>
      <c r="B361" s="33" t="s">
        <v>1354</v>
      </c>
      <c r="C361" s="33">
        <v>1386.97</v>
      </c>
      <c r="D361" s="11">
        <v>45285</v>
      </c>
      <c r="E361" s="75">
        <v>989.794</v>
      </c>
    </row>
    <row r="362" ht="15.75" spans="1:5">
      <c r="A362" s="33">
        <v>3045515.773</v>
      </c>
      <c r="B362" s="33" t="s">
        <v>1355</v>
      </c>
      <c r="C362" s="33">
        <v>1387.97</v>
      </c>
      <c r="D362" s="11">
        <v>45286</v>
      </c>
      <c r="E362" s="75">
        <v>989.776</v>
      </c>
    </row>
    <row r="363" ht="15.75" spans="1:5">
      <c r="A363" s="33">
        <v>3045516.773</v>
      </c>
      <c r="B363" s="33" t="s">
        <v>1356</v>
      </c>
      <c r="C363" s="33">
        <v>1388.97</v>
      </c>
      <c r="D363" s="11">
        <v>45287</v>
      </c>
      <c r="E363" s="75">
        <v>989.782</v>
      </c>
    </row>
    <row r="364" ht="15.75" spans="1:5">
      <c r="A364" s="33">
        <v>3045517.773</v>
      </c>
      <c r="B364" s="33" t="s">
        <v>1357</v>
      </c>
      <c r="C364" s="33">
        <v>1389.97</v>
      </c>
      <c r="D364" s="11">
        <v>45288</v>
      </c>
      <c r="E364" s="75">
        <v>989.757</v>
      </c>
    </row>
    <row r="365" ht="15.75" spans="1:5">
      <c r="A365" s="33">
        <v>3045518.773</v>
      </c>
      <c r="B365" s="33" t="s">
        <v>1358</v>
      </c>
      <c r="C365" s="33">
        <v>1390.97</v>
      </c>
      <c r="D365" s="11">
        <v>45289</v>
      </c>
      <c r="E365" s="75">
        <v>989.716</v>
      </c>
    </row>
    <row r="366" ht="15.75" spans="1:5">
      <c r="A366" s="33">
        <v>3045519.773</v>
      </c>
      <c r="B366" s="33" t="s">
        <v>1359</v>
      </c>
      <c r="C366" s="33">
        <v>1391.97</v>
      </c>
      <c r="D366" s="11">
        <v>45290</v>
      </c>
      <c r="E366" s="75">
        <v>989.67</v>
      </c>
    </row>
    <row r="367" ht="15.75" spans="1:5">
      <c r="A367" s="33">
        <v>3045520.773</v>
      </c>
      <c r="B367" s="33" t="s">
        <v>1360</v>
      </c>
      <c r="C367" s="33">
        <v>1392.97</v>
      </c>
      <c r="D367" s="11">
        <v>45291</v>
      </c>
      <c r="E367" s="75">
        <v>989.609</v>
      </c>
    </row>
    <row r="368" ht="15.75" spans="1:5">
      <c r="A368" s="33">
        <v>3045521.773</v>
      </c>
      <c r="B368" s="33" t="s">
        <v>1361</v>
      </c>
      <c r="C368" s="33">
        <v>1393.97</v>
      </c>
      <c r="D368" s="11">
        <v>45292</v>
      </c>
      <c r="E368" s="75">
        <v>989.564</v>
      </c>
    </row>
    <row r="369" ht="15.75" spans="1:5">
      <c r="A369" s="33">
        <v>3045522.773</v>
      </c>
      <c r="B369" s="33" t="s">
        <v>1362</v>
      </c>
      <c r="C369" s="33">
        <v>1394.97</v>
      </c>
      <c r="D369" s="11">
        <v>45293</v>
      </c>
      <c r="E369" s="75">
        <v>989.505</v>
      </c>
    </row>
    <row r="370" ht="15.75" spans="1:5">
      <c r="A370" s="33">
        <v>3045523.773</v>
      </c>
      <c r="B370" s="33" t="s">
        <v>1363</v>
      </c>
      <c r="C370" s="33">
        <v>1395.97</v>
      </c>
      <c r="D370" s="11">
        <v>45294</v>
      </c>
      <c r="E370" s="75">
        <v>989.44</v>
      </c>
    </row>
    <row r="371" ht="15.75" spans="1:5">
      <c r="A371" s="33">
        <v>3045524.773</v>
      </c>
      <c r="B371" s="33" t="s">
        <v>1364</v>
      </c>
      <c r="C371" s="33">
        <v>1396.97</v>
      </c>
      <c r="D371" s="11">
        <v>45295</v>
      </c>
      <c r="E371" s="75">
        <v>989.44</v>
      </c>
    </row>
    <row r="372" ht="15.75" spans="1:5">
      <c r="A372" s="33">
        <v>3045525.773</v>
      </c>
      <c r="B372" s="33" t="s">
        <v>1365</v>
      </c>
      <c r="C372" s="33">
        <v>1397.97</v>
      </c>
      <c r="D372" s="11">
        <v>45296</v>
      </c>
      <c r="E372" s="75">
        <v>989.381</v>
      </c>
    </row>
    <row r="373" ht="15.75" spans="1:5">
      <c r="A373" s="33">
        <v>3045526.773</v>
      </c>
      <c r="B373" s="33" t="s">
        <v>1366</v>
      </c>
      <c r="C373" s="33">
        <v>1398.97</v>
      </c>
      <c r="D373" s="11">
        <v>45297</v>
      </c>
      <c r="E373" s="75">
        <v>989.306</v>
      </c>
    </row>
    <row r="374" ht="15.75" spans="1:5">
      <c r="A374" s="33">
        <v>3045527.773</v>
      </c>
      <c r="B374" s="33" t="s">
        <v>1367</v>
      </c>
      <c r="C374" s="33">
        <v>1399.97</v>
      </c>
      <c r="D374" s="11">
        <v>45298</v>
      </c>
      <c r="E374" s="75">
        <v>989.271</v>
      </c>
    </row>
    <row r="375" ht="15.75" spans="1:5">
      <c r="A375" s="33">
        <v>3045528.773</v>
      </c>
      <c r="B375" s="33" t="s">
        <v>1368</v>
      </c>
      <c r="C375" s="33">
        <v>1400.97</v>
      </c>
      <c r="D375" s="11">
        <v>45299</v>
      </c>
      <c r="E375" s="75">
        <v>989.225</v>
      </c>
    </row>
    <row r="376" ht="15.75" spans="1:5">
      <c r="A376" s="33">
        <v>3045529.773</v>
      </c>
      <c r="B376" s="33" t="s">
        <v>1369</v>
      </c>
      <c r="C376" s="33">
        <v>1401.97</v>
      </c>
      <c r="D376" s="11">
        <v>45300</v>
      </c>
      <c r="E376" s="75">
        <v>989.165</v>
      </c>
    </row>
    <row r="377" ht="15.75" spans="1:5">
      <c r="A377" s="33">
        <v>3045530.773</v>
      </c>
      <c r="B377" s="33" t="s">
        <v>1370</v>
      </c>
      <c r="C377" s="33">
        <v>1402.97</v>
      </c>
      <c r="D377" s="11">
        <v>45301</v>
      </c>
      <c r="E377" s="75">
        <v>989.135</v>
      </c>
    </row>
    <row r="378" ht="15.75" spans="1:5">
      <c r="A378" s="33">
        <v>3045531.773</v>
      </c>
      <c r="B378" s="33" t="s">
        <v>1371</v>
      </c>
      <c r="C378" s="33">
        <v>1403.97</v>
      </c>
      <c r="D378" s="11">
        <v>45302</v>
      </c>
      <c r="E378" s="75">
        <v>989.085</v>
      </c>
    </row>
    <row r="379" ht="15.75" spans="1:5">
      <c r="A379" s="33">
        <v>3045532.773</v>
      </c>
      <c r="B379" s="33" t="s">
        <v>1372</v>
      </c>
      <c r="C379" s="33">
        <v>1404.97</v>
      </c>
      <c r="D379" s="11">
        <v>45303</v>
      </c>
      <c r="E379" s="75">
        <v>989.053</v>
      </c>
    </row>
    <row r="380" ht="15.75" spans="1:5">
      <c r="A380" s="33">
        <v>3045533.773</v>
      </c>
      <c r="B380" s="33" t="s">
        <v>1373</v>
      </c>
      <c r="C380" s="33">
        <v>1405.97</v>
      </c>
      <c r="D380" s="11">
        <v>45304</v>
      </c>
      <c r="E380" s="75">
        <v>989.002</v>
      </c>
    </row>
    <row r="381" ht="15.75" spans="1:5">
      <c r="A381" s="33">
        <v>3045534.773</v>
      </c>
      <c r="B381" s="33" t="s">
        <v>1374</v>
      </c>
      <c r="C381" s="33">
        <v>1406.97</v>
      </c>
      <c r="D381" s="11">
        <v>45305</v>
      </c>
      <c r="E381" s="75">
        <v>988.936</v>
      </c>
    </row>
    <row r="382" ht="15.75" spans="1:5">
      <c r="A382" s="33">
        <v>3045535.773</v>
      </c>
      <c r="B382" s="33" t="s">
        <v>1375</v>
      </c>
      <c r="C382" s="33">
        <v>1407.97</v>
      </c>
      <c r="D382" s="11">
        <v>45306</v>
      </c>
      <c r="E382" s="75">
        <v>988.924</v>
      </c>
    </row>
    <row r="383" ht="15.75" spans="1:5">
      <c r="A383" s="33">
        <v>3045536.773</v>
      </c>
      <c r="B383" s="33" t="s">
        <v>1376</v>
      </c>
      <c r="C383" s="33">
        <v>1408.97</v>
      </c>
      <c r="D383" s="11">
        <v>45307</v>
      </c>
      <c r="E383" s="75">
        <v>988.885</v>
      </c>
    </row>
    <row r="384" ht="15.75" spans="1:5">
      <c r="A384" s="33">
        <v>3045537.773</v>
      </c>
      <c r="B384" s="33" t="s">
        <v>1377</v>
      </c>
      <c r="C384" s="33">
        <v>1409.97</v>
      </c>
      <c r="D384" s="11">
        <v>45308</v>
      </c>
      <c r="E384" s="75">
        <v>988.831</v>
      </c>
    </row>
    <row r="385" ht="15.75" spans="1:5">
      <c r="A385" s="33">
        <v>3045538.773</v>
      </c>
      <c r="B385" s="33" t="s">
        <v>1378</v>
      </c>
      <c r="C385" s="33">
        <v>1410.97</v>
      </c>
      <c r="D385" s="11">
        <v>45309</v>
      </c>
      <c r="E385" s="75">
        <v>988.802</v>
      </c>
    </row>
    <row r="386" ht="15.75" spans="1:5">
      <c r="A386" s="33">
        <v>3045539.773</v>
      </c>
      <c r="B386" s="33" t="s">
        <v>1379</v>
      </c>
      <c r="C386" s="33">
        <v>1411.97</v>
      </c>
      <c r="D386" s="11">
        <v>45310</v>
      </c>
      <c r="E386" s="75">
        <v>988.732</v>
      </c>
    </row>
    <row r="387" ht="15.75" spans="1:5">
      <c r="A387" s="33">
        <v>3045540.773</v>
      </c>
      <c r="B387" s="33" t="s">
        <v>1380</v>
      </c>
      <c r="C387" s="33">
        <v>1412.97</v>
      </c>
      <c r="D387" s="11">
        <v>45311</v>
      </c>
      <c r="E387" s="75">
        <v>988.668</v>
      </c>
    </row>
    <row r="388" ht="15.75" spans="1:5">
      <c r="A388" s="33">
        <v>3045541.773</v>
      </c>
      <c r="B388" s="33" t="s">
        <v>1381</v>
      </c>
      <c r="C388" s="33">
        <v>1413.97</v>
      </c>
      <c r="D388" s="11">
        <v>45312</v>
      </c>
      <c r="E388" s="75">
        <v>988.638</v>
      </c>
    </row>
    <row r="389" ht="15.75" spans="1:5">
      <c r="A389" s="33">
        <v>3045542.773</v>
      </c>
      <c r="B389" s="33" t="s">
        <v>1382</v>
      </c>
      <c r="C389" s="33">
        <v>1414.97</v>
      </c>
      <c r="D389" s="11">
        <v>45313</v>
      </c>
      <c r="E389" s="79">
        <v>988.532</v>
      </c>
    </row>
    <row r="390" ht="15.75" spans="1:5">
      <c r="A390" s="33">
        <v>3045543.773</v>
      </c>
      <c r="B390" s="33" t="s">
        <v>1383</v>
      </c>
      <c r="C390" s="33">
        <v>1415.97</v>
      </c>
      <c r="D390" s="11">
        <v>45314</v>
      </c>
      <c r="E390" s="79">
        <v>988.521</v>
      </c>
    </row>
    <row r="391" ht="15.75" spans="1:5">
      <c r="A391" s="33">
        <v>3045544.773</v>
      </c>
      <c r="B391" s="33" t="s">
        <v>1384</v>
      </c>
      <c r="C391" s="33">
        <v>1416.97</v>
      </c>
      <c r="D391" s="11">
        <v>45315</v>
      </c>
      <c r="E391" s="79">
        <v>988.458</v>
      </c>
    </row>
    <row r="392" ht="15.75" spans="1:5">
      <c r="A392" s="33">
        <v>3045545.773</v>
      </c>
      <c r="B392" s="33" t="s">
        <v>1385</v>
      </c>
      <c r="C392" s="33">
        <v>1417.97</v>
      </c>
      <c r="D392" s="11">
        <v>45316</v>
      </c>
      <c r="E392" s="79">
        <v>988.395</v>
      </c>
    </row>
    <row r="393" ht="15.75" spans="1:5">
      <c r="A393" s="33">
        <v>3045546.773</v>
      </c>
      <c r="B393" s="33" t="s">
        <v>1386</v>
      </c>
      <c r="C393" s="33">
        <v>1418.97</v>
      </c>
      <c r="D393" s="11">
        <v>45317</v>
      </c>
      <c r="E393" s="79">
        <v>988.313</v>
      </c>
    </row>
    <row r="394" ht="15.75" spans="1:5">
      <c r="A394" s="33">
        <v>3045547.773</v>
      </c>
      <c r="B394" s="33" t="s">
        <v>1387</v>
      </c>
      <c r="C394" s="33">
        <v>1419.97</v>
      </c>
      <c r="D394" s="11">
        <v>45318</v>
      </c>
      <c r="E394" s="79">
        <v>988.236</v>
      </c>
    </row>
    <row r="395" ht="15.75" spans="1:5">
      <c r="A395" s="33">
        <v>3045548.773</v>
      </c>
      <c r="B395" s="33" t="s">
        <v>1388</v>
      </c>
      <c r="C395" s="33">
        <v>1420.97</v>
      </c>
      <c r="D395" s="11">
        <v>45319</v>
      </c>
      <c r="E395" s="79">
        <v>988.173</v>
      </c>
    </row>
    <row r="396" ht="15.75" spans="1:5">
      <c r="A396" s="33">
        <v>3045549.773</v>
      </c>
      <c r="B396" s="33" t="s">
        <v>1389</v>
      </c>
      <c r="C396" s="33">
        <v>1421.97</v>
      </c>
      <c r="D396" s="11">
        <v>45320</v>
      </c>
      <c r="E396" s="79">
        <v>988.134</v>
      </c>
    </row>
    <row r="397" ht="15.75" spans="1:5">
      <c r="A397" s="33">
        <v>3045550.773</v>
      </c>
      <c r="B397" s="33" t="s">
        <v>1390</v>
      </c>
      <c r="C397" s="33">
        <v>1422.97</v>
      </c>
      <c r="D397" s="11">
        <v>45321</v>
      </c>
      <c r="E397" s="79">
        <v>988.056</v>
      </c>
    </row>
    <row r="398" ht="15.75" spans="1:5">
      <c r="A398" s="33">
        <v>3045551.773</v>
      </c>
      <c r="B398" s="33" t="s">
        <v>1391</v>
      </c>
      <c r="C398" s="33">
        <v>1423.97</v>
      </c>
      <c r="D398" s="11">
        <v>45322</v>
      </c>
      <c r="E398" s="79">
        <v>987.99</v>
      </c>
    </row>
    <row r="399" ht="15.75" spans="1:5">
      <c r="A399" s="33">
        <v>3045552.773</v>
      </c>
      <c r="B399" s="33" t="s">
        <v>1392</v>
      </c>
      <c r="C399" s="33">
        <v>1424.97</v>
      </c>
      <c r="D399" s="11">
        <v>45323</v>
      </c>
      <c r="E399" s="79">
        <v>987.88</v>
      </c>
    </row>
    <row r="400" ht="15.75" spans="1:5">
      <c r="A400" s="33">
        <v>3045553.773</v>
      </c>
      <c r="B400" s="33" t="s">
        <v>1393</v>
      </c>
      <c r="C400" s="33">
        <v>1425.97</v>
      </c>
      <c r="D400" s="11">
        <v>45324</v>
      </c>
      <c r="E400" s="79">
        <v>987.871</v>
      </c>
    </row>
    <row r="401" ht="15.75" spans="1:5">
      <c r="A401" s="33">
        <v>3045554.773</v>
      </c>
      <c r="B401" s="33" t="s">
        <v>1394</v>
      </c>
      <c r="C401" s="33">
        <v>1426.97</v>
      </c>
      <c r="D401" s="11">
        <v>45325</v>
      </c>
      <c r="E401" s="79">
        <v>987.764</v>
      </c>
    </row>
    <row r="402" ht="15.75" spans="1:5">
      <c r="A402" s="33">
        <v>3045555.773</v>
      </c>
      <c r="B402" s="33" t="s">
        <v>1395</v>
      </c>
      <c r="C402" s="33">
        <v>1427.97</v>
      </c>
      <c r="D402" s="11">
        <v>45326</v>
      </c>
      <c r="E402" s="79">
        <v>987.708</v>
      </c>
    </row>
    <row r="403" ht="15.75" spans="1:5">
      <c r="A403" s="33">
        <v>3045556.773</v>
      </c>
      <c r="B403" s="33" t="s">
        <v>1396</v>
      </c>
      <c r="C403" s="33">
        <v>1428.97</v>
      </c>
      <c r="D403" s="11">
        <v>45327</v>
      </c>
      <c r="E403" s="79">
        <v>987.656</v>
      </c>
    </row>
    <row r="404" ht="15.75" spans="1:5">
      <c r="A404" s="33">
        <v>3045557.773</v>
      </c>
      <c r="B404" s="33" t="s">
        <v>1397</v>
      </c>
      <c r="C404" s="33">
        <v>1429.97</v>
      </c>
      <c r="D404" s="11">
        <v>45328</v>
      </c>
      <c r="E404" s="79">
        <v>987.582</v>
      </c>
    </row>
    <row r="405" ht="15.75" spans="1:5">
      <c r="A405" s="33">
        <v>3045558.773</v>
      </c>
      <c r="B405" s="33" t="s">
        <v>1398</v>
      </c>
      <c r="C405" s="33">
        <v>1430.97</v>
      </c>
      <c r="D405" s="11">
        <v>45329</v>
      </c>
      <c r="E405" s="79">
        <v>987.542</v>
      </c>
    </row>
    <row r="406" ht="15.75" spans="1:5">
      <c r="A406" s="33">
        <v>3045559.773</v>
      </c>
      <c r="B406" s="33" t="s">
        <v>1399</v>
      </c>
      <c r="C406" s="33">
        <v>1431.97</v>
      </c>
      <c r="D406" s="11">
        <v>45330</v>
      </c>
      <c r="E406" s="79">
        <v>987.493</v>
      </c>
    </row>
    <row r="407" ht="15.75" spans="1:5">
      <c r="A407" s="33">
        <v>3045560.773</v>
      </c>
      <c r="B407" s="33" t="s">
        <v>1400</v>
      </c>
      <c r="C407" s="33">
        <v>1432.97</v>
      </c>
      <c r="D407" s="11">
        <v>45331</v>
      </c>
      <c r="E407" s="79">
        <v>987.378</v>
      </c>
    </row>
    <row r="408" ht="15.75" spans="1:5">
      <c r="A408" s="33">
        <v>3045561.773</v>
      </c>
      <c r="B408" s="33" t="s">
        <v>1401</v>
      </c>
      <c r="C408" s="33">
        <v>1433.97</v>
      </c>
      <c r="D408" s="11">
        <v>45332</v>
      </c>
      <c r="E408" s="79">
        <v>987.334</v>
      </c>
    </row>
    <row r="409" ht="15.75" spans="1:5">
      <c r="A409" s="33">
        <v>3045562.773</v>
      </c>
      <c r="B409" s="33" t="s">
        <v>1402</v>
      </c>
      <c r="C409" s="33">
        <v>1434.97</v>
      </c>
      <c r="D409" s="11">
        <v>45333</v>
      </c>
      <c r="E409" s="79">
        <v>987.326</v>
      </c>
    </row>
    <row r="410" ht="15.75" spans="1:5">
      <c r="A410" s="33">
        <v>3045563.773</v>
      </c>
      <c r="B410" s="33" t="s">
        <v>1403</v>
      </c>
      <c r="C410" s="33">
        <v>1435.97</v>
      </c>
      <c r="D410" s="11">
        <v>45334</v>
      </c>
      <c r="E410" s="79">
        <v>987.267</v>
      </c>
    </row>
    <row r="411" ht="15.75" spans="1:5">
      <c r="A411" s="33">
        <v>3045564.773</v>
      </c>
      <c r="B411" s="33" t="s">
        <v>1404</v>
      </c>
      <c r="C411" s="33">
        <v>1436.97</v>
      </c>
      <c r="D411" s="11">
        <v>45335</v>
      </c>
      <c r="E411" s="79">
        <v>987.202</v>
      </c>
    </row>
    <row r="412" ht="15.75" spans="1:5">
      <c r="A412" s="33">
        <v>3045565.773</v>
      </c>
      <c r="B412" s="33" t="s">
        <v>1405</v>
      </c>
      <c r="C412" s="33">
        <v>1437.97</v>
      </c>
      <c r="D412" s="11">
        <v>45336</v>
      </c>
      <c r="E412" s="80">
        <v>987.157</v>
      </c>
    </row>
    <row r="413" ht="15.75" spans="1:5">
      <c r="A413" s="33">
        <v>3045566.773</v>
      </c>
      <c r="B413" s="33" t="s">
        <v>1406</v>
      </c>
      <c r="C413" s="33">
        <v>1438.97</v>
      </c>
      <c r="D413" s="11">
        <v>45337</v>
      </c>
      <c r="E413" s="74"/>
    </row>
    <row r="414" ht="15.75" spans="1:5">
      <c r="A414" s="33">
        <v>3045567.773</v>
      </c>
      <c r="B414" s="33" t="s">
        <v>1407</v>
      </c>
      <c r="C414" s="33">
        <v>1439.97</v>
      </c>
      <c r="D414" s="11">
        <v>45338</v>
      </c>
      <c r="E414" s="74"/>
    </row>
    <row r="415" ht="15.75" spans="1:5">
      <c r="A415" s="33">
        <v>3045568.773</v>
      </c>
      <c r="B415" s="33" t="s">
        <v>1408</v>
      </c>
      <c r="C415" s="33">
        <v>1440.97</v>
      </c>
      <c r="D415" s="11">
        <v>45339</v>
      </c>
      <c r="E415" s="74"/>
    </row>
    <row r="416" ht="15.75" spans="1:5">
      <c r="A416" s="33">
        <v>3045569.773</v>
      </c>
      <c r="B416" s="33" t="s">
        <v>1409</v>
      </c>
      <c r="C416" s="33">
        <v>1441.97</v>
      </c>
      <c r="D416" s="11">
        <v>45340</v>
      </c>
      <c r="E416" s="74"/>
    </row>
    <row r="417" ht="15.75" spans="1:5">
      <c r="A417" s="33">
        <v>3045570.773</v>
      </c>
      <c r="B417" s="33" t="s">
        <v>1410</v>
      </c>
      <c r="C417" s="33">
        <v>1442.97</v>
      </c>
      <c r="D417" s="11">
        <v>45341</v>
      </c>
      <c r="E417" s="79">
        <v>986.918</v>
      </c>
    </row>
    <row r="418" ht="15.75" spans="1:5">
      <c r="A418" s="33">
        <v>3045571.773</v>
      </c>
      <c r="B418" s="33" t="s">
        <v>1411</v>
      </c>
      <c r="C418" s="33">
        <v>1443.97</v>
      </c>
      <c r="D418" s="11">
        <v>45342</v>
      </c>
      <c r="E418" s="79">
        <v>986.943</v>
      </c>
    </row>
    <row r="419" ht="15.75" spans="1:5">
      <c r="A419" s="33">
        <v>3045572.773</v>
      </c>
      <c r="B419" s="33" t="s">
        <v>1412</v>
      </c>
      <c r="C419" s="33">
        <v>1444.97</v>
      </c>
      <c r="D419" s="11">
        <v>45343</v>
      </c>
      <c r="E419" s="79">
        <v>986.76</v>
      </c>
    </row>
    <row r="420" ht="15.75" spans="1:5">
      <c r="A420" s="33">
        <v>3045573.773</v>
      </c>
      <c r="B420" s="33" t="s">
        <v>1413</v>
      </c>
      <c r="C420" s="33">
        <v>1445.97</v>
      </c>
      <c r="D420" s="11">
        <v>45344</v>
      </c>
      <c r="E420" s="79">
        <v>986.672</v>
      </c>
    </row>
    <row r="421" ht="15.75" spans="1:5">
      <c r="A421" s="33">
        <v>3045574.773</v>
      </c>
      <c r="B421" s="33" t="s">
        <v>1414</v>
      </c>
      <c r="C421" s="33">
        <v>1446.97</v>
      </c>
      <c r="D421" s="11">
        <v>45345</v>
      </c>
      <c r="E421" s="79">
        <v>986.632</v>
      </c>
    </row>
    <row r="422" ht="15.75" spans="1:5">
      <c r="A422" s="33">
        <v>3045575.773</v>
      </c>
      <c r="B422" s="33" t="s">
        <v>1415</v>
      </c>
      <c r="C422" s="33">
        <v>1447.97</v>
      </c>
      <c r="D422" s="11">
        <v>45346</v>
      </c>
      <c r="E422" s="79">
        <v>986.53</v>
      </c>
    </row>
    <row r="423" ht="15.75" spans="1:5">
      <c r="A423" s="33">
        <v>3045576.773</v>
      </c>
      <c r="B423" s="33" t="s">
        <v>1416</v>
      </c>
      <c r="C423" s="33">
        <v>1448.97</v>
      </c>
      <c r="D423" s="11">
        <v>45347</v>
      </c>
      <c r="E423" s="79">
        <v>986.472</v>
      </c>
    </row>
    <row r="424" ht="15.75" spans="1:5">
      <c r="A424" s="33">
        <v>3045577.773</v>
      </c>
      <c r="B424" s="33" t="s">
        <v>1417</v>
      </c>
      <c r="C424" s="33">
        <v>1449.97</v>
      </c>
      <c r="D424" s="11">
        <v>45348</v>
      </c>
      <c r="E424" s="79">
        <v>986.313</v>
      </c>
    </row>
    <row r="425" ht="15.75" spans="1:5">
      <c r="A425" s="33">
        <v>3045578.773</v>
      </c>
      <c r="B425" s="33" t="s">
        <v>1418</v>
      </c>
      <c r="C425" s="33">
        <v>1450.97</v>
      </c>
      <c r="D425" s="11">
        <v>45349</v>
      </c>
      <c r="E425" s="79">
        <v>986.287</v>
      </c>
    </row>
    <row r="426" ht="15.75" spans="1:5">
      <c r="A426" s="33">
        <v>3045579.773</v>
      </c>
      <c r="B426" s="33" t="s">
        <v>1419</v>
      </c>
      <c r="C426" s="33">
        <v>1451.97</v>
      </c>
      <c r="D426" s="11">
        <v>45350</v>
      </c>
      <c r="E426" s="79">
        <v>986.301</v>
      </c>
    </row>
    <row r="427" ht="15.75" spans="1:5">
      <c r="A427" s="33">
        <v>3045580.773</v>
      </c>
      <c r="B427" s="33" t="s">
        <v>1420</v>
      </c>
      <c r="C427" s="33">
        <v>1452.97</v>
      </c>
      <c r="D427" s="11">
        <v>45351</v>
      </c>
      <c r="E427" s="79">
        <v>986.33</v>
      </c>
    </row>
    <row r="428" ht="15.75" spans="1:5">
      <c r="A428" s="33">
        <v>3045581.773</v>
      </c>
      <c r="B428" s="33" t="s">
        <v>1421</v>
      </c>
      <c r="C428" s="33">
        <v>1453.97</v>
      </c>
      <c r="D428" s="11">
        <v>45352</v>
      </c>
      <c r="E428" s="79">
        <v>986.287</v>
      </c>
    </row>
    <row r="429" ht="15.75" spans="1:5">
      <c r="A429" s="33">
        <v>3045582.773</v>
      </c>
      <c r="B429" s="33" t="s">
        <v>1422</v>
      </c>
      <c r="C429" s="33">
        <v>1454.97</v>
      </c>
      <c r="D429" s="11">
        <v>45353</v>
      </c>
      <c r="E429" s="79">
        <v>986.33</v>
      </c>
    </row>
    <row r="430" ht="15.75" spans="1:5">
      <c r="A430" s="33">
        <v>3045583.773</v>
      </c>
      <c r="B430" s="33" t="s">
        <v>1423</v>
      </c>
      <c r="C430" s="33">
        <v>1455.97</v>
      </c>
      <c r="D430" s="11">
        <v>45354</v>
      </c>
      <c r="E430" s="79">
        <v>986.287</v>
      </c>
    </row>
    <row r="431" ht="15.75" spans="1:5">
      <c r="A431" s="33">
        <v>3045584.773</v>
      </c>
      <c r="B431" s="33" t="s">
        <v>1424</v>
      </c>
      <c r="C431" s="33">
        <v>1456.97</v>
      </c>
      <c r="D431" s="11">
        <v>45355</v>
      </c>
      <c r="E431" s="79">
        <v>986.29</v>
      </c>
    </row>
    <row r="432" ht="15.75" spans="1:5">
      <c r="A432" s="33">
        <v>3045585.773</v>
      </c>
      <c r="B432" s="33" t="s">
        <v>1425</v>
      </c>
      <c r="C432" s="33">
        <v>1457.97</v>
      </c>
      <c r="D432" s="11">
        <v>45356</v>
      </c>
      <c r="E432" s="79">
        <v>986.183</v>
      </c>
    </row>
    <row r="433" ht="15.75" spans="1:5">
      <c r="A433" s="33">
        <v>3045586.773</v>
      </c>
      <c r="B433" s="33" t="s">
        <v>1426</v>
      </c>
      <c r="C433" s="33">
        <v>1458.97</v>
      </c>
      <c r="D433" s="11">
        <v>45357</v>
      </c>
      <c r="E433" s="79">
        <v>986.126</v>
      </c>
    </row>
    <row r="434" ht="15.75" spans="1:5">
      <c r="A434" s="33">
        <v>3045587.773</v>
      </c>
      <c r="B434" s="33" t="s">
        <v>1427</v>
      </c>
      <c r="C434" s="33">
        <v>1459.97</v>
      </c>
      <c r="D434" s="11">
        <v>45358</v>
      </c>
      <c r="E434" s="79">
        <v>986.064</v>
      </c>
    </row>
    <row r="435" ht="15.75" spans="1:5">
      <c r="A435" s="33">
        <v>3045588.773</v>
      </c>
      <c r="B435" s="33" t="s">
        <v>1428</v>
      </c>
      <c r="C435" s="33">
        <v>1460.97</v>
      </c>
      <c r="D435" s="11">
        <v>45359</v>
      </c>
      <c r="E435" s="79">
        <v>986.026</v>
      </c>
    </row>
    <row r="436" ht="15.75" spans="1:5">
      <c r="A436" s="33">
        <v>3045589.773</v>
      </c>
      <c r="B436" s="33" t="s">
        <v>1429</v>
      </c>
      <c r="C436" s="33">
        <v>1461.97</v>
      </c>
      <c r="D436" s="11">
        <v>45360</v>
      </c>
      <c r="E436" s="79">
        <v>985.921</v>
      </c>
    </row>
    <row r="437" ht="15.75" spans="1:5">
      <c r="A437" s="33">
        <v>3045590.773</v>
      </c>
      <c r="B437" s="33" t="s">
        <v>1430</v>
      </c>
      <c r="C437" s="33">
        <v>1462.97</v>
      </c>
      <c r="D437" s="11">
        <v>45361</v>
      </c>
      <c r="E437" s="79">
        <v>985.841</v>
      </c>
    </row>
    <row r="438" ht="15.75" spans="1:5">
      <c r="A438" s="33">
        <v>3045591.773</v>
      </c>
      <c r="B438" s="33" t="s">
        <v>1431</v>
      </c>
      <c r="C438" s="33">
        <v>1463.97</v>
      </c>
      <c r="D438" s="11">
        <v>45362</v>
      </c>
      <c r="E438" s="79">
        <v>985.748</v>
      </c>
    </row>
    <row r="439" ht="15.75" spans="1:5">
      <c r="A439" s="33">
        <v>3045592.773</v>
      </c>
      <c r="B439" s="33" t="s">
        <v>1432</v>
      </c>
      <c r="C439" s="33">
        <v>1464.97</v>
      </c>
      <c r="D439" s="11">
        <v>45363</v>
      </c>
      <c r="E439" s="79">
        <v>985.709</v>
      </c>
    </row>
    <row r="440" ht="15.75" spans="1:5">
      <c r="A440" s="33">
        <v>3045593.773</v>
      </c>
      <c r="B440" s="33" t="s">
        <v>1433</v>
      </c>
      <c r="C440" s="33">
        <v>1465.97</v>
      </c>
      <c r="D440" s="11">
        <v>45364</v>
      </c>
      <c r="E440" s="79">
        <v>985.615</v>
      </c>
    </row>
    <row r="441" ht="15.75" spans="1:5">
      <c r="A441" s="33">
        <v>3045594.773</v>
      </c>
      <c r="B441" s="33" t="s">
        <v>1434</v>
      </c>
      <c r="C441" s="33">
        <v>1466.97</v>
      </c>
      <c r="D441" s="11">
        <v>45365</v>
      </c>
      <c r="E441" s="79">
        <v>985.6</v>
      </c>
    </row>
    <row r="442" ht="15.75" spans="1:5">
      <c r="A442" s="33">
        <v>3045595.773</v>
      </c>
      <c r="B442" s="33" t="s">
        <v>1435</v>
      </c>
      <c r="C442" s="33">
        <v>1467.97</v>
      </c>
      <c r="D442" s="11">
        <v>45366</v>
      </c>
      <c r="E442" s="79">
        <v>985.63</v>
      </c>
    </row>
    <row r="443" ht="15.75" spans="1:5">
      <c r="A443" s="33">
        <v>3045596.773</v>
      </c>
      <c r="B443" s="33" t="s">
        <v>1436</v>
      </c>
      <c r="C443" s="33">
        <v>1468.97</v>
      </c>
      <c r="D443" s="11">
        <v>45367</v>
      </c>
      <c r="E443" s="79">
        <v>985.53</v>
      </c>
    </row>
    <row r="444" ht="15.75" spans="1:5">
      <c r="A444" s="33">
        <v>3045597.773</v>
      </c>
      <c r="B444" s="33" t="s">
        <v>1437</v>
      </c>
      <c r="C444" s="33">
        <v>1469.97</v>
      </c>
      <c r="D444" s="11">
        <v>45368</v>
      </c>
      <c r="E444" s="79">
        <v>985.466</v>
      </c>
    </row>
    <row r="445" ht="15.75" spans="1:5">
      <c r="A445" s="33">
        <v>3045598.773</v>
      </c>
      <c r="B445" s="33" t="s">
        <v>1438</v>
      </c>
      <c r="C445" s="33">
        <v>1470.97</v>
      </c>
      <c r="D445" s="11">
        <v>45369</v>
      </c>
      <c r="E445" s="79">
        <v>985.367</v>
      </c>
    </row>
    <row r="446" ht="15.75" spans="1:5">
      <c r="A446" s="33">
        <v>3045599.773</v>
      </c>
      <c r="B446" s="33" t="s">
        <v>1439</v>
      </c>
      <c r="C446" s="33">
        <v>1471.97</v>
      </c>
      <c r="D446" s="11">
        <v>45370</v>
      </c>
      <c r="E446" s="79">
        <v>985.299</v>
      </c>
    </row>
    <row r="447" ht="15.75" spans="1:5">
      <c r="A447" s="33">
        <v>3045600.773</v>
      </c>
      <c r="B447" s="33" t="s">
        <v>1440</v>
      </c>
      <c r="C447" s="33">
        <v>1472.97</v>
      </c>
      <c r="D447" s="11">
        <v>45371</v>
      </c>
      <c r="E447" s="79">
        <v>985.252</v>
      </c>
    </row>
    <row r="448" ht="15.75" spans="1:5">
      <c r="A448" s="33">
        <v>3045601.773</v>
      </c>
      <c r="B448" s="33" t="s">
        <v>1441</v>
      </c>
      <c r="C448" s="33">
        <v>1473.97</v>
      </c>
      <c r="D448" s="11">
        <v>45372</v>
      </c>
      <c r="E448" s="79">
        <v>985.259</v>
      </c>
    </row>
    <row r="449" ht="15.75" spans="1:5">
      <c r="A449" s="33">
        <v>3045602.773</v>
      </c>
      <c r="B449" s="33" t="s">
        <v>1442</v>
      </c>
      <c r="C449" s="33">
        <v>1474.97</v>
      </c>
      <c r="D449" s="11">
        <v>45373</v>
      </c>
      <c r="E449" s="79">
        <v>985.208</v>
      </c>
    </row>
    <row r="450" ht="15.75" spans="1:5">
      <c r="A450" s="33">
        <v>3045603.773</v>
      </c>
      <c r="B450" s="33" t="s">
        <v>1443</v>
      </c>
      <c r="C450" s="33">
        <v>1475.97</v>
      </c>
      <c r="D450" s="11">
        <v>45374</v>
      </c>
      <c r="E450" s="79">
        <v>985.094</v>
      </c>
    </row>
    <row r="451" ht="15.75" spans="1:5">
      <c r="A451" s="33">
        <v>3045604.773</v>
      </c>
      <c r="B451" s="33" t="s">
        <v>1444</v>
      </c>
      <c r="C451" s="33">
        <v>1476.97</v>
      </c>
      <c r="D451" s="11">
        <v>45375</v>
      </c>
      <c r="E451" s="79">
        <v>985.033</v>
      </c>
    </row>
    <row r="452" ht="15.75" spans="1:5">
      <c r="A452" s="33">
        <v>3045605.773</v>
      </c>
      <c r="B452" s="33" t="s">
        <v>1445</v>
      </c>
      <c r="C452" s="33">
        <v>1477.97</v>
      </c>
      <c r="D452" s="11">
        <v>45376</v>
      </c>
      <c r="E452" s="79">
        <v>984.877</v>
      </c>
    </row>
    <row r="453" ht="15.75" spans="1:5">
      <c r="A453" s="33">
        <v>3045606.773</v>
      </c>
      <c r="B453" s="33" t="s">
        <v>1446</v>
      </c>
      <c r="C453" s="33">
        <v>1478.97</v>
      </c>
      <c r="D453" s="11">
        <v>45377</v>
      </c>
      <c r="E453" s="79">
        <v>984.844</v>
      </c>
    </row>
    <row r="454" ht="15.75" spans="1:5">
      <c r="A454" s="33">
        <v>3045607.773</v>
      </c>
      <c r="B454" s="33" t="s">
        <v>1447</v>
      </c>
      <c r="C454" s="33">
        <v>1479.97</v>
      </c>
      <c r="D454" s="11">
        <v>45378</v>
      </c>
      <c r="E454" s="79">
        <v>984.788</v>
      </c>
    </row>
    <row r="455" ht="15.75" spans="1:5">
      <c r="A455" s="33">
        <v>3045608.773</v>
      </c>
      <c r="B455" s="33" t="s">
        <v>1448</v>
      </c>
      <c r="C455" s="33">
        <v>1480.97</v>
      </c>
      <c r="D455" s="11">
        <v>45379</v>
      </c>
      <c r="E455" s="79">
        <v>984.658</v>
      </c>
    </row>
    <row r="456" ht="15.75" spans="1:5">
      <c r="A456" s="33">
        <v>3045609.773</v>
      </c>
      <c r="B456" s="33" t="s">
        <v>1449</v>
      </c>
      <c r="C456" s="33">
        <v>1481.97</v>
      </c>
      <c r="D456" s="11">
        <v>45380</v>
      </c>
      <c r="E456" s="79">
        <v>984.615</v>
      </c>
    </row>
    <row r="457" ht="15.75" spans="1:5">
      <c r="A457" s="33">
        <v>3045610.773</v>
      </c>
      <c r="B457" s="33" t="s">
        <v>1450</v>
      </c>
      <c r="C457" s="33">
        <v>1482.97</v>
      </c>
      <c r="D457" s="11">
        <v>45381</v>
      </c>
      <c r="E457" s="79">
        <v>984.488</v>
      </c>
    </row>
    <row r="458" ht="15.75" spans="1:5">
      <c r="A458" s="33">
        <v>3045611.773</v>
      </c>
      <c r="B458" s="33" t="s">
        <v>1451</v>
      </c>
      <c r="C458" s="33">
        <v>1483.97</v>
      </c>
      <c r="D458" s="11">
        <v>45382</v>
      </c>
      <c r="E458" s="79">
        <v>984.419</v>
      </c>
    </row>
    <row r="459" ht="15.75" spans="1:5">
      <c r="A459" s="33">
        <v>3045612.773</v>
      </c>
      <c r="B459" s="33" t="s">
        <v>1452</v>
      </c>
      <c r="C459" s="33">
        <v>1484.97</v>
      </c>
      <c r="D459" s="11">
        <v>45383</v>
      </c>
      <c r="E459" s="79">
        <v>984.39</v>
      </c>
    </row>
    <row r="460" ht="15.75" spans="1:5">
      <c r="A460" s="33">
        <v>3045613.773</v>
      </c>
      <c r="B460" s="33" t="s">
        <v>1453</v>
      </c>
      <c r="C460" s="33">
        <v>1485.97</v>
      </c>
      <c r="D460" s="11">
        <v>45384</v>
      </c>
      <c r="E460" s="79">
        <v>984.261</v>
      </c>
    </row>
    <row r="461" ht="15.75" spans="1:5">
      <c r="A461" s="33">
        <v>3045614.773</v>
      </c>
      <c r="B461" s="33" t="s">
        <v>1454</v>
      </c>
      <c r="C461" s="33">
        <v>1486.97</v>
      </c>
      <c r="D461" s="11">
        <v>45385</v>
      </c>
      <c r="E461" s="79">
        <v>984.192</v>
      </c>
    </row>
    <row r="462" ht="15.75" spans="1:5">
      <c r="A462" s="33">
        <v>3045615.773</v>
      </c>
      <c r="B462" s="33" t="s">
        <v>1455</v>
      </c>
      <c r="C462" s="33">
        <v>1487.97</v>
      </c>
      <c r="D462" s="11">
        <v>45386</v>
      </c>
      <c r="E462" s="79">
        <v>984.131</v>
      </c>
    </row>
    <row r="463" ht="15.75" spans="1:5">
      <c r="A463" s="33">
        <v>3045616.773</v>
      </c>
      <c r="B463" s="33" t="s">
        <v>1456</v>
      </c>
      <c r="C463" s="33">
        <v>1488.97</v>
      </c>
      <c r="D463" s="11">
        <v>45387</v>
      </c>
      <c r="E463" s="79">
        <v>984.124</v>
      </c>
    </row>
    <row r="464" ht="15.75" spans="1:5">
      <c r="A464" s="33">
        <v>3045617.773</v>
      </c>
      <c r="B464" s="33" t="s">
        <v>1457</v>
      </c>
      <c r="C464" s="33">
        <v>1489.97</v>
      </c>
      <c r="D464" s="11">
        <v>45388</v>
      </c>
      <c r="E464" s="79">
        <v>984.041</v>
      </c>
    </row>
    <row r="465" ht="15.75" spans="1:5">
      <c r="A465" s="33">
        <v>3045618.773</v>
      </c>
      <c r="B465" s="33" t="s">
        <v>1458</v>
      </c>
      <c r="C465" s="33">
        <v>1490.97</v>
      </c>
      <c r="D465" s="11">
        <v>45389</v>
      </c>
      <c r="E465" s="79">
        <v>983.984</v>
      </c>
    </row>
    <row r="466" ht="15.75" spans="1:5">
      <c r="A466" s="33">
        <v>3045619.773</v>
      </c>
      <c r="B466" s="33" t="s">
        <v>1459</v>
      </c>
      <c r="C466" s="33">
        <v>1491.97</v>
      </c>
      <c r="D466" s="11">
        <v>45390</v>
      </c>
      <c r="E466" s="79">
        <v>983.902</v>
      </c>
    </row>
    <row r="467" ht="15.75" spans="1:5">
      <c r="A467" s="33">
        <v>3045620.773</v>
      </c>
      <c r="B467" s="33" t="s">
        <v>1460</v>
      </c>
      <c r="C467" s="33">
        <v>1492.97</v>
      </c>
      <c r="D467" s="11">
        <v>45391</v>
      </c>
      <c r="E467" s="79">
        <v>983.848</v>
      </c>
    </row>
    <row r="468" ht="15.75" spans="1:5">
      <c r="A468" s="33">
        <v>3045621.773</v>
      </c>
      <c r="B468" s="33" t="s">
        <v>1461</v>
      </c>
      <c r="C468" s="33">
        <v>1493.97</v>
      </c>
      <c r="D468" s="11">
        <v>45392</v>
      </c>
      <c r="E468" s="79">
        <v>983.8</v>
      </c>
    </row>
    <row r="469" ht="15.75" spans="1:5">
      <c r="A469" s="33">
        <v>3045622.773</v>
      </c>
      <c r="B469" s="33" t="s">
        <v>1462</v>
      </c>
      <c r="C469" s="33">
        <v>1494.97</v>
      </c>
      <c r="D469" s="11">
        <v>45393</v>
      </c>
      <c r="E469" s="79">
        <v>983.745</v>
      </c>
    </row>
    <row r="470" ht="15.75" spans="1:5">
      <c r="A470" s="33">
        <v>3045623.773</v>
      </c>
      <c r="B470" s="33" t="s">
        <v>1463</v>
      </c>
      <c r="C470" s="33">
        <v>1495.97</v>
      </c>
      <c r="D470" s="11">
        <v>45394</v>
      </c>
      <c r="E470" s="79">
        <v>983.71</v>
      </c>
    </row>
    <row r="471" ht="15.75" spans="1:5">
      <c r="A471" s="33">
        <v>3045624.773</v>
      </c>
      <c r="B471" s="33" t="s">
        <v>1464</v>
      </c>
      <c r="C471" s="33">
        <v>1496.97</v>
      </c>
      <c r="D471" s="11">
        <v>45395</v>
      </c>
      <c r="E471" s="79">
        <v>983.67</v>
      </c>
    </row>
    <row r="472" ht="15.75" spans="1:5">
      <c r="A472" s="33">
        <v>3045625.773</v>
      </c>
      <c r="B472" s="33" t="s">
        <v>1465</v>
      </c>
      <c r="C472" s="33">
        <v>1497.97</v>
      </c>
      <c r="D472" s="11">
        <v>45396</v>
      </c>
      <c r="E472" s="79">
        <v>983.546</v>
      </c>
    </row>
    <row r="473" ht="15.75" spans="1:5">
      <c r="A473" s="33">
        <v>3045626.773</v>
      </c>
      <c r="B473" s="33" t="s">
        <v>1466</v>
      </c>
      <c r="C473" s="33">
        <v>1498.97</v>
      </c>
      <c r="D473" s="11">
        <v>45397</v>
      </c>
      <c r="E473" s="79">
        <v>983.505</v>
      </c>
    </row>
    <row r="474" ht="15.75" spans="1:5">
      <c r="A474" s="33">
        <v>3045627.773</v>
      </c>
      <c r="B474" s="33" t="s">
        <v>1467</v>
      </c>
      <c r="C474" s="33">
        <v>1499.97</v>
      </c>
      <c r="D474" s="11">
        <v>45398</v>
      </c>
      <c r="E474" s="79">
        <v>983.434</v>
      </c>
    </row>
    <row r="475" ht="15.75" spans="1:5">
      <c r="A475" s="33">
        <v>3045628.773</v>
      </c>
      <c r="B475" s="33" t="s">
        <v>1468</v>
      </c>
      <c r="C475" s="33">
        <v>1500.97</v>
      </c>
      <c r="D475" s="11">
        <v>45399</v>
      </c>
      <c r="E475" s="79">
        <v>983.321</v>
      </c>
    </row>
    <row r="476" ht="15.75" spans="1:5">
      <c r="A476" s="33">
        <v>3045629.773</v>
      </c>
      <c r="B476" s="33" t="s">
        <v>1469</v>
      </c>
      <c r="C476" s="33">
        <v>1501.97</v>
      </c>
      <c r="D476" s="11">
        <v>45400</v>
      </c>
      <c r="E476" s="79">
        <v>983.323</v>
      </c>
    </row>
    <row r="477" ht="15.75" spans="1:5">
      <c r="A477" s="33">
        <v>3045630.773</v>
      </c>
      <c r="B477" s="33" t="s">
        <v>1470</v>
      </c>
      <c r="C477" s="33">
        <v>1502.97</v>
      </c>
      <c r="D477" s="11">
        <v>45401</v>
      </c>
      <c r="E477" s="79">
        <v>983.173</v>
      </c>
    </row>
    <row r="478" ht="15.75" spans="1:5">
      <c r="A478" s="33">
        <v>3045631.773</v>
      </c>
      <c r="B478" s="33" t="s">
        <v>1471</v>
      </c>
      <c r="C478" s="33">
        <v>1503.97</v>
      </c>
      <c r="D478" s="11">
        <v>45402</v>
      </c>
      <c r="E478" s="79">
        <v>983.106</v>
      </c>
    </row>
    <row r="479" ht="15.75" spans="1:5">
      <c r="A479" s="33">
        <v>3045632.773</v>
      </c>
      <c r="B479" s="33" t="s">
        <v>1472</v>
      </c>
      <c r="C479" s="33">
        <v>1504.97</v>
      </c>
      <c r="D479" s="11">
        <v>45403</v>
      </c>
      <c r="E479" s="79">
        <v>983.014</v>
      </c>
    </row>
    <row r="480" ht="15.75" spans="1:5">
      <c r="A480" s="33">
        <v>3045633.773</v>
      </c>
      <c r="B480" s="33" t="s">
        <v>1473</v>
      </c>
      <c r="C480" s="33">
        <v>1505.97</v>
      </c>
      <c r="D480" s="11">
        <v>45404</v>
      </c>
      <c r="E480" s="79">
        <v>982.947</v>
      </c>
    </row>
    <row r="481" ht="15.75" spans="1:5">
      <c r="A481" s="33">
        <v>3045634.773</v>
      </c>
      <c r="B481" s="33" t="s">
        <v>1474</v>
      </c>
      <c r="C481" s="33">
        <v>1506.97</v>
      </c>
      <c r="D481" s="11">
        <v>45405</v>
      </c>
      <c r="E481" s="79">
        <v>982.843</v>
      </c>
    </row>
    <row r="482" ht="15.75" spans="1:5">
      <c r="A482" s="33">
        <v>3045635.773</v>
      </c>
      <c r="B482" s="33" t="s">
        <v>1475</v>
      </c>
      <c r="C482" s="33">
        <v>1507.97</v>
      </c>
      <c r="D482" s="11">
        <v>45406</v>
      </c>
      <c r="E482" s="79">
        <v>982.805</v>
      </c>
    </row>
    <row r="483" ht="15.75" spans="1:5">
      <c r="A483" s="33">
        <v>3045636.773</v>
      </c>
      <c r="B483" s="33" t="s">
        <v>1476</v>
      </c>
      <c r="C483" s="33">
        <v>1508.97</v>
      </c>
      <c r="D483" s="11">
        <v>45407</v>
      </c>
      <c r="E483" s="79">
        <v>982.714</v>
      </c>
    </row>
    <row r="484" ht="15.75" spans="1:5">
      <c r="A484" s="33">
        <v>3045637.773</v>
      </c>
      <c r="B484" s="33" t="s">
        <v>1477</v>
      </c>
      <c r="C484" s="33">
        <v>1509.97</v>
      </c>
      <c r="D484" s="11">
        <v>45408</v>
      </c>
      <c r="E484" s="79">
        <v>982.649</v>
      </c>
    </row>
    <row r="485" ht="15.75" spans="1:5">
      <c r="A485" s="33">
        <v>3045638.773</v>
      </c>
      <c r="B485" s="33" t="s">
        <v>1478</v>
      </c>
      <c r="C485" s="33">
        <v>1510.97</v>
      </c>
      <c r="D485" s="11">
        <v>45409</v>
      </c>
      <c r="E485" s="79">
        <v>982.55</v>
      </c>
    </row>
    <row r="486" ht="15.75" spans="1:5">
      <c r="A486" s="33">
        <v>3045639.773</v>
      </c>
      <c r="B486" s="33" t="s">
        <v>1479</v>
      </c>
      <c r="C486" s="33">
        <v>1511.97</v>
      </c>
      <c r="D486" s="11">
        <v>45410</v>
      </c>
      <c r="E486" s="79">
        <v>982.483</v>
      </c>
    </row>
    <row r="487" ht="15.75" spans="1:5">
      <c r="A487" s="33">
        <v>3045640.773</v>
      </c>
      <c r="B487" s="33" t="s">
        <v>1480</v>
      </c>
      <c r="C487" s="33">
        <v>1512.97</v>
      </c>
      <c r="D487" s="11">
        <v>45411</v>
      </c>
      <c r="E487" s="79">
        <v>982.439</v>
      </c>
    </row>
    <row r="488" ht="15.75" spans="1:5">
      <c r="A488" s="33">
        <v>3045641.773</v>
      </c>
      <c r="B488" s="33" t="s">
        <v>1481</v>
      </c>
      <c r="C488" s="33">
        <v>1513.97</v>
      </c>
      <c r="D488" s="11">
        <v>45412</v>
      </c>
      <c r="E488" s="79">
        <v>982.288</v>
      </c>
    </row>
    <row r="489" ht="15.75" spans="1:5">
      <c r="A489" s="33">
        <v>3045642.773</v>
      </c>
      <c r="B489" s="33" t="s">
        <v>1482</v>
      </c>
      <c r="C489" s="33">
        <v>1514.97</v>
      </c>
      <c r="D489" s="11">
        <v>45413</v>
      </c>
      <c r="E489" s="79">
        <v>982.258</v>
      </c>
    </row>
    <row r="490" ht="15.75" spans="1:5">
      <c r="A490" s="33">
        <v>3045643.773</v>
      </c>
      <c r="B490" s="33" t="s">
        <v>1483</v>
      </c>
      <c r="C490" s="33">
        <v>1515.97</v>
      </c>
      <c r="D490" s="11">
        <v>45414</v>
      </c>
      <c r="E490" s="79">
        <v>982.194</v>
      </c>
    </row>
    <row r="491" ht="15.75" spans="1:5">
      <c r="A491" s="33">
        <v>3045644.773</v>
      </c>
      <c r="B491" s="33" t="s">
        <v>1484</v>
      </c>
      <c r="C491" s="33">
        <v>1516.97</v>
      </c>
      <c r="D491" s="11">
        <v>45415</v>
      </c>
      <c r="E491" s="79">
        <v>982.082</v>
      </c>
    </row>
    <row r="492" ht="15.75" spans="1:5">
      <c r="A492" s="33">
        <v>3045645.773</v>
      </c>
      <c r="B492" s="33" t="s">
        <v>1485</v>
      </c>
      <c r="C492" s="33">
        <v>1517.97</v>
      </c>
      <c r="D492" s="11">
        <v>45416</v>
      </c>
      <c r="E492" s="79">
        <v>981.961</v>
      </c>
    </row>
    <row r="493" ht="15.75" spans="1:5">
      <c r="A493" s="33">
        <v>3045646.773</v>
      </c>
      <c r="B493" s="33" t="s">
        <v>1486</v>
      </c>
      <c r="C493" s="33">
        <v>1518.97</v>
      </c>
      <c r="D493" s="11">
        <v>45417</v>
      </c>
      <c r="E493" s="79">
        <v>981.873</v>
      </c>
    </row>
    <row r="494" ht="15.75" spans="1:5">
      <c r="A494" s="33">
        <v>3045647.773</v>
      </c>
      <c r="B494" s="33" t="s">
        <v>1487</v>
      </c>
      <c r="C494" s="33">
        <v>1519.97</v>
      </c>
      <c r="D494" s="11">
        <v>45418</v>
      </c>
      <c r="E494" s="79">
        <v>981.816</v>
      </c>
    </row>
    <row r="495" ht="15.75" spans="1:5">
      <c r="A495" s="33">
        <v>3045648.773</v>
      </c>
      <c r="B495" s="33" t="s">
        <v>1488</v>
      </c>
      <c r="C495" s="33">
        <v>1520.97</v>
      </c>
      <c r="D495" s="11">
        <v>45419</v>
      </c>
      <c r="E495" s="79">
        <v>981.755</v>
      </c>
    </row>
    <row r="496" ht="15.75" spans="1:5">
      <c r="A496" s="33">
        <v>3045649.773</v>
      </c>
      <c r="B496" s="33" t="s">
        <v>1489</v>
      </c>
      <c r="C496" s="33">
        <v>1521.97</v>
      </c>
      <c r="D496" s="11">
        <v>45420</v>
      </c>
      <c r="E496" s="79">
        <v>981.744</v>
      </c>
    </row>
    <row r="497" ht="15.75" spans="1:5">
      <c r="A497" s="33">
        <v>3045650.773</v>
      </c>
      <c r="B497" s="33" t="s">
        <v>1490</v>
      </c>
      <c r="C497" s="33">
        <v>1522.97</v>
      </c>
      <c r="D497" s="11">
        <v>45421</v>
      </c>
      <c r="E497" s="79">
        <v>981.734</v>
      </c>
    </row>
    <row r="498" ht="15.75" spans="1:5">
      <c r="A498" s="33">
        <v>3045651.773</v>
      </c>
      <c r="B498" s="33" t="s">
        <v>1491</v>
      </c>
      <c r="C498" s="33">
        <v>1523.97</v>
      </c>
      <c r="D498" s="11">
        <v>45422</v>
      </c>
      <c r="E498" s="79">
        <v>981.778</v>
      </c>
    </row>
    <row r="499" ht="15.75" spans="1:5">
      <c r="A499" s="33">
        <v>3045652.773</v>
      </c>
      <c r="B499" s="33" t="s">
        <v>1492</v>
      </c>
      <c r="C499" s="33">
        <v>1524.97</v>
      </c>
      <c r="D499" s="11">
        <v>45423</v>
      </c>
      <c r="E499" s="79">
        <v>981.756</v>
      </c>
    </row>
  </sheetData>
  <mergeCells count="1">
    <mergeCell ref="A1:C1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4"/>
  <sheetViews>
    <sheetView workbookViewId="0">
      <selection activeCell="D1" sqref="D$1:D$1048576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24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82" t="s">
        <v>492</v>
      </c>
      <c r="B2" s="3" t="s">
        <v>3</v>
      </c>
      <c r="C2" s="1" t="s">
        <v>4</v>
      </c>
      <c r="D2" s="1" t="s">
        <v>5</v>
      </c>
      <c r="E2" s="4" t="s">
        <v>6</v>
      </c>
    </row>
    <row r="3" s="1" customFormat="1" ht="15.75" spans="1:6">
      <c r="A3" s="33" t="s">
        <v>1493</v>
      </c>
      <c r="B3" s="33">
        <v>399757.297</v>
      </c>
      <c r="C3" s="33">
        <v>913.75</v>
      </c>
      <c r="D3" s="81">
        <v>44902</v>
      </c>
      <c r="E3" s="75">
        <v>911.64</v>
      </c>
      <c r="F3" s="1" t="s">
        <v>1494</v>
      </c>
    </row>
    <row r="4" s="1" customFormat="1" ht="15.75" spans="1:5">
      <c r="A4" s="33" t="s">
        <v>1495</v>
      </c>
      <c r="B4" s="33">
        <v>399757.297</v>
      </c>
      <c r="C4" s="33">
        <v>913.75</v>
      </c>
      <c r="D4" s="11">
        <v>44903</v>
      </c>
      <c r="E4" s="75"/>
    </row>
    <row r="5" ht="15.75" spans="1:5">
      <c r="A5" s="33" t="s">
        <v>1496</v>
      </c>
      <c r="B5" s="33">
        <v>399757.297</v>
      </c>
      <c r="C5" s="33">
        <v>913.75</v>
      </c>
      <c r="D5" s="11">
        <v>44904</v>
      </c>
      <c r="E5" s="75"/>
    </row>
    <row r="6" ht="15.75" spans="1:5">
      <c r="A6" s="33" t="s">
        <v>1497</v>
      </c>
      <c r="B6" s="33">
        <v>399757.297</v>
      </c>
      <c r="C6" s="33">
        <v>913.75</v>
      </c>
      <c r="D6" s="11">
        <v>44905</v>
      </c>
      <c r="E6" s="75"/>
    </row>
    <row r="7" ht="15.75" spans="1:5">
      <c r="A7" s="33" t="s">
        <v>1498</v>
      </c>
      <c r="B7" s="33">
        <v>399757.297</v>
      </c>
      <c r="C7" s="33">
        <v>913.75</v>
      </c>
      <c r="D7" s="11">
        <v>44906</v>
      </c>
      <c r="E7" s="75"/>
    </row>
    <row r="8" ht="15.75" spans="1:5">
      <c r="A8" s="33" t="s">
        <v>1499</v>
      </c>
      <c r="B8" s="33">
        <v>399757.297</v>
      </c>
      <c r="C8" s="33">
        <v>913.75</v>
      </c>
      <c r="D8" s="11">
        <v>44907</v>
      </c>
      <c r="E8" s="75"/>
    </row>
    <row r="9" ht="15.75" spans="1:5">
      <c r="A9" s="33" t="s">
        <v>1500</v>
      </c>
      <c r="B9" s="33">
        <v>399757.297</v>
      </c>
      <c r="C9" s="33">
        <v>913.75</v>
      </c>
      <c r="D9" s="11">
        <v>44908</v>
      </c>
      <c r="E9" s="75"/>
    </row>
    <row r="10" ht="15.75" spans="1:5">
      <c r="A10" s="33" t="s">
        <v>1501</v>
      </c>
      <c r="B10" s="33">
        <v>399757.297</v>
      </c>
      <c r="C10" s="33">
        <v>913.75</v>
      </c>
      <c r="D10" s="11">
        <v>44909</v>
      </c>
      <c r="E10" s="75">
        <v>911.27</v>
      </c>
    </row>
    <row r="11" ht="15.75" spans="1:5">
      <c r="A11" s="33" t="s">
        <v>1502</v>
      </c>
      <c r="B11" s="33">
        <v>399757.297</v>
      </c>
      <c r="C11" s="33">
        <v>913.75</v>
      </c>
      <c r="D11" s="11">
        <v>44910</v>
      </c>
      <c r="E11" s="75"/>
    </row>
    <row r="12" ht="15.75" spans="1:5">
      <c r="A12" s="33" t="s">
        <v>1503</v>
      </c>
      <c r="B12" s="33">
        <v>399757.297</v>
      </c>
      <c r="C12" s="33">
        <v>913.75</v>
      </c>
      <c r="D12" s="11">
        <v>44911</v>
      </c>
      <c r="E12" s="75"/>
    </row>
    <row r="13" ht="15.75" spans="1:5">
      <c r="A13" s="33" t="s">
        <v>1504</v>
      </c>
      <c r="B13" s="33">
        <v>399757.297</v>
      </c>
      <c r="C13" s="33">
        <v>913.75</v>
      </c>
      <c r="D13" s="11">
        <v>44912</v>
      </c>
      <c r="E13" s="75"/>
    </row>
    <row r="14" ht="15.75" spans="1:5">
      <c r="A14" s="33" t="s">
        <v>1505</v>
      </c>
      <c r="B14" s="33">
        <v>399757.297</v>
      </c>
      <c r="C14" s="33">
        <v>913.75</v>
      </c>
      <c r="D14" s="11">
        <v>44913</v>
      </c>
      <c r="E14" s="75"/>
    </row>
    <row r="15" ht="15.75" spans="1:5">
      <c r="A15" s="33" t="s">
        <v>1506</v>
      </c>
      <c r="B15" s="33">
        <v>399757.297</v>
      </c>
      <c r="C15" s="33">
        <v>913.75</v>
      </c>
      <c r="D15" s="11">
        <v>44914</v>
      </c>
      <c r="E15" s="75"/>
    </row>
    <row r="16" ht="15.75" spans="1:5">
      <c r="A16" s="33" t="s">
        <v>1507</v>
      </c>
      <c r="B16" s="33">
        <v>399757.297</v>
      </c>
      <c r="C16" s="33">
        <v>913.75</v>
      </c>
      <c r="D16" s="11">
        <v>44915</v>
      </c>
      <c r="E16" s="75"/>
    </row>
    <row r="17" ht="15.75" spans="1:5">
      <c r="A17" s="33" t="s">
        <v>1508</v>
      </c>
      <c r="B17" s="33">
        <v>399757.297</v>
      </c>
      <c r="C17" s="33">
        <v>913.75</v>
      </c>
      <c r="D17" s="11">
        <v>44916</v>
      </c>
      <c r="E17" s="75">
        <v>909.08</v>
      </c>
    </row>
    <row r="18" ht="15.75" spans="1:5">
      <c r="A18" s="33" t="s">
        <v>1509</v>
      </c>
      <c r="B18" s="33">
        <v>399757.297</v>
      </c>
      <c r="C18" s="33">
        <v>913.75</v>
      </c>
      <c r="D18" s="11">
        <v>44917</v>
      </c>
      <c r="E18" s="75"/>
    </row>
    <row r="19" ht="15.75" spans="1:5">
      <c r="A19" s="33" t="s">
        <v>1510</v>
      </c>
      <c r="B19" s="33">
        <v>399757.297</v>
      </c>
      <c r="C19" s="33">
        <v>913.75</v>
      </c>
      <c r="D19" s="11">
        <v>44918</v>
      </c>
      <c r="E19" s="75"/>
    </row>
    <row r="20" ht="15.75" spans="1:5">
      <c r="A20" s="33" t="s">
        <v>1511</v>
      </c>
      <c r="B20" s="33">
        <v>399757.297</v>
      </c>
      <c r="C20" s="33">
        <v>913.75</v>
      </c>
      <c r="D20" s="11">
        <v>44919</v>
      </c>
      <c r="E20" s="75"/>
    </row>
    <row r="21" ht="15.75" spans="1:5">
      <c r="A21" s="33" t="s">
        <v>1512</v>
      </c>
      <c r="B21" s="33">
        <v>399757.297</v>
      </c>
      <c r="C21" s="33">
        <v>913.75</v>
      </c>
      <c r="D21" s="11">
        <v>44920</v>
      </c>
      <c r="E21" s="75">
        <v>907.93</v>
      </c>
    </row>
    <row r="22" ht="15.75" spans="1:5">
      <c r="A22" s="33" t="s">
        <v>1513</v>
      </c>
      <c r="B22" s="33">
        <v>399757.297</v>
      </c>
      <c r="C22" s="33">
        <v>913.75</v>
      </c>
      <c r="D22" s="11">
        <v>44921</v>
      </c>
      <c r="E22" s="75">
        <v>907.78</v>
      </c>
    </row>
    <row r="23" ht="15.75" spans="1:5">
      <c r="A23" s="33" t="s">
        <v>1514</v>
      </c>
      <c r="B23" s="33">
        <v>399757.297</v>
      </c>
      <c r="C23" s="33">
        <v>913.75</v>
      </c>
      <c r="D23" s="11">
        <v>44922</v>
      </c>
      <c r="E23" s="75">
        <v>907.54</v>
      </c>
    </row>
    <row r="24" ht="15.75" spans="1:5">
      <c r="A24" s="33" t="s">
        <v>1515</v>
      </c>
      <c r="B24" s="33">
        <v>399757.297</v>
      </c>
      <c r="C24" s="33">
        <v>913.75</v>
      </c>
      <c r="D24" s="11">
        <v>44923</v>
      </c>
      <c r="E24" s="75">
        <v>907.31</v>
      </c>
    </row>
    <row r="25" ht="15.75" spans="1:5">
      <c r="A25" s="33" t="s">
        <v>1516</v>
      </c>
      <c r="B25" s="33">
        <v>399757.297</v>
      </c>
      <c r="C25" s="33">
        <v>913.75</v>
      </c>
      <c r="D25" s="11">
        <v>44924</v>
      </c>
      <c r="E25" s="75">
        <v>907.07</v>
      </c>
    </row>
    <row r="26" ht="15.75" spans="1:5">
      <c r="A26" s="33" t="s">
        <v>1517</v>
      </c>
      <c r="B26" s="33">
        <v>399757.297</v>
      </c>
      <c r="C26" s="33">
        <v>913.75</v>
      </c>
      <c r="D26" s="11">
        <v>44925</v>
      </c>
      <c r="E26" s="75">
        <v>906.86</v>
      </c>
    </row>
    <row r="27" ht="15.75" spans="1:5">
      <c r="A27" s="33" t="s">
        <v>1518</v>
      </c>
      <c r="B27" s="33">
        <v>399757.297</v>
      </c>
      <c r="C27" s="33">
        <v>913.75</v>
      </c>
      <c r="D27" s="11">
        <v>44926</v>
      </c>
      <c r="E27" s="75">
        <v>906.63</v>
      </c>
    </row>
    <row r="28" ht="15.75" spans="1:5">
      <c r="A28" s="33" t="s">
        <v>1519</v>
      </c>
      <c r="B28" s="33">
        <v>399757.297</v>
      </c>
      <c r="C28" s="33">
        <v>913.75</v>
      </c>
      <c r="D28" s="34">
        <v>44927</v>
      </c>
      <c r="E28" s="75">
        <v>906.45</v>
      </c>
    </row>
    <row r="29" ht="15.75" spans="1:5">
      <c r="A29" s="33" t="s">
        <v>1520</v>
      </c>
      <c r="B29" s="33">
        <v>399757.297</v>
      </c>
      <c r="C29" s="33">
        <v>913.75</v>
      </c>
      <c r="D29" s="11">
        <v>44928</v>
      </c>
      <c r="E29" s="75">
        <v>906.24</v>
      </c>
    </row>
    <row r="30" ht="15.75" spans="1:5">
      <c r="A30" s="33" t="s">
        <v>1521</v>
      </c>
      <c r="B30" s="33">
        <v>399757.297</v>
      </c>
      <c r="C30" s="33">
        <v>913.75</v>
      </c>
      <c r="D30" s="11">
        <v>44929</v>
      </c>
      <c r="E30" s="75">
        <v>906.07</v>
      </c>
    </row>
    <row r="31" ht="15.75" spans="1:5">
      <c r="A31" s="33" t="s">
        <v>1522</v>
      </c>
      <c r="B31" s="33">
        <v>399757.297</v>
      </c>
      <c r="C31" s="33">
        <v>913.75</v>
      </c>
      <c r="D31" s="11">
        <v>44930</v>
      </c>
      <c r="E31" s="75">
        <v>905.9</v>
      </c>
    </row>
    <row r="32" ht="15.75" spans="1:5">
      <c r="A32" s="33" t="s">
        <v>1523</v>
      </c>
      <c r="B32" s="33">
        <v>399757.297</v>
      </c>
      <c r="C32" s="33">
        <v>913.75</v>
      </c>
      <c r="D32" s="11">
        <v>44931</v>
      </c>
      <c r="E32" s="75">
        <v>905.71</v>
      </c>
    </row>
    <row r="33" ht="15.75" spans="1:5">
      <c r="A33" s="33" t="s">
        <v>1524</v>
      </c>
      <c r="B33" s="33">
        <v>399757.297</v>
      </c>
      <c r="C33" s="33">
        <v>913.75</v>
      </c>
      <c r="D33" s="11">
        <v>44932</v>
      </c>
      <c r="E33" s="75">
        <v>905.51</v>
      </c>
    </row>
    <row r="34" ht="15.75" spans="1:5">
      <c r="A34" s="33" t="s">
        <v>1525</v>
      </c>
      <c r="B34" s="33">
        <v>399757.297</v>
      </c>
      <c r="C34" s="33">
        <v>913.75</v>
      </c>
      <c r="D34" s="11">
        <v>44933</v>
      </c>
      <c r="E34" s="75">
        <v>905.42</v>
      </c>
    </row>
    <row r="35" ht="15.75" spans="1:5">
      <c r="A35" s="33" t="s">
        <v>1526</v>
      </c>
      <c r="B35" s="33">
        <v>399757.297</v>
      </c>
      <c r="C35" s="33">
        <v>913.75</v>
      </c>
      <c r="D35" s="11">
        <v>44934</v>
      </c>
      <c r="E35" s="75">
        <v>905.28</v>
      </c>
    </row>
    <row r="36" ht="15.75" spans="1:5">
      <c r="A36" s="33" t="s">
        <v>1527</v>
      </c>
      <c r="B36" s="33">
        <v>399757.297</v>
      </c>
      <c r="C36" s="33">
        <v>913.75</v>
      </c>
      <c r="D36" s="11">
        <v>44935</v>
      </c>
      <c r="E36" s="75">
        <v>905.1</v>
      </c>
    </row>
    <row r="37" ht="15.75" spans="1:5">
      <c r="A37" s="33" t="s">
        <v>1528</v>
      </c>
      <c r="B37" s="33">
        <v>399757.297</v>
      </c>
      <c r="C37" s="33">
        <v>913.75</v>
      </c>
      <c r="D37" s="11">
        <v>44936</v>
      </c>
      <c r="E37" s="75">
        <v>904.95</v>
      </c>
    </row>
    <row r="38" ht="15.75" spans="1:5">
      <c r="A38" s="33" t="s">
        <v>1529</v>
      </c>
      <c r="B38" s="33">
        <v>399757.297</v>
      </c>
      <c r="C38" s="33">
        <v>913.75</v>
      </c>
      <c r="D38" s="11">
        <v>44937</v>
      </c>
      <c r="E38" s="75">
        <v>904.83</v>
      </c>
    </row>
    <row r="39" ht="15.75" spans="1:5">
      <c r="A39" s="33" t="s">
        <v>1530</v>
      </c>
      <c r="B39" s="33">
        <v>399757.297</v>
      </c>
      <c r="C39" s="33">
        <v>913.75</v>
      </c>
      <c r="D39" s="11">
        <v>44938</v>
      </c>
      <c r="E39" s="75"/>
    </row>
    <row r="40" ht="15.75" spans="1:5">
      <c r="A40" s="33" t="s">
        <v>1531</v>
      </c>
      <c r="B40" s="33">
        <v>399757.297</v>
      </c>
      <c r="C40" s="33">
        <v>913.75</v>
      </c>
      <c r="D40" s="11">
        <v>44939</v>
      </c>
      <c r="E40" s="75"/>
    </row>
    <row r="41" ht="15.75" spans="1:5">
      <c r="A41" s="33" t="s">
        <v>1532</v>
      </c>
      <c r="B41" s="33">
        <v>399757.297</v>
      </c>
      <c r="C41" s="33">
        <v>913.75</v>
      </c>
      <c r="D41" s="11">
        <v>44940</v>
      </c>
      <c r="E41" s="75"/>
    </row>
    <row r="42" ht="15.75" spans="1:5">
      <c r="A42" s="33" t="s">
        <v>1533</v>
      </c>
      <c r="B42" s="33">
        <v>399757.297</v>
      </c>
      <c r="C42" s="33">
        <v>913.75</v>
      </c>
      <c r="D42" s="11">
        <v>44941</v>
      </c>
      <c r="E42" s="75">
        <v>904.09</v>
      </c>
    </row>
    <row r="43" ht="15.75" spans="1:5">
      <c r="A43" s="33" t="s">
        <v>1534</v>
      </c>
      <c r="B43" s="33">
        <v>399757.297</v>
      </c>
      <c r="C43" s="33">
        <v>913.75</v>
      </c>
      <c r="D43" s="11">
        <v>44942</v>
      </c>
      <c r="E43" s="75">
        <v>903.94</v>
      </c>
    </row>
    <row r="44" ht="15.75" spans="1:5">
      <c r="A44" s="33" t="s">
        <v>1535</v>
      </c>
      <c r="B44" s="33">
        <v>399757.297</v>
      </c>
      <c r="C44" s="33">
        <v>913.75</v>
      </c>
      <c r="D44" s="11">
        <v>44943</v>
      </c>
      <c r="E44" s="75">
        <v>903.85</v>
      </c>
    </row>
    <row r="45" ht="15.75" spans="1:5">
      <c r="A45" s="33" t="s">
        <v>1536</v>
      </c>
      <c r="B45" s="33">
        <v>399757.297</v>
      </c>
      <c r="C45" s="33">
        <v>913.75</v>
      </c>
      <c r="D45" s="11">
        <v>44944</v>
      </c>
      <c r="E45" s="75">
        <v>903.77</v>
      </c>
    </row>
    <row r="46" ht="15.75" spans="1:5">
      <c r="A46" s="33" t="s">
        <v>1537</v>
      </c>
      <c r="B46" s="33">
        <v>399757.297</v>
      </c>
      <c r="C46" s="33">
        <v>913.75</v>
      </c>
      <c r="D46" s="11">
        <v>44945</v>
      </c>
      <c r="E46" s="75">
        <v>903.56</v>
      </c>
    </row>
    <row r="47" ht="15.75" spans="1:5">
      <c r="A47" s="33" t="s">
        <v>1538</v>
      </c>
      <c r="B47" s="33">
        <v>399757.297</v>
      </c>
      <c r="C47" s="33">
        <v>913.75</v>
      </c>
      <c r="D47" s="11">
        <v>44946</v>
      </c>
      <c r="E47" s="75">
        <v>903.32</v>
      </c>
    </row>
    <row r="48" ht="15.75" spans="1:5">
      <c r="A48" s="33" t="s">
        <v>1539</v>
      </c>
      <c r="B48" s="33">
        <v>399757.297</v>
      </c>
      <c r="C48" s="33">
        <v>913.75</v>
      </c>
      <c r="D48" s="11">
        <v>44947</v>
      </c>
      <c r="E48" s="75">
        <v>903.24</v>
      </c>
    </row>
    <row r="49" ht="15.75" spans="1:5">
      <c r="A49" s="33" t="s">
        <v>1540</v>
      </c>
      <c r="B49" s="33">
        <v>399757.297</v>
      </c>
      <c r="C49" s="33">
        <v>913.75</v>
      </c>
      <c r="D49" s="11">
        <v>44948</v>
      </c>
      <c r="E49" s="75">
        <v>903.07</v>
      </c>
    </row>
    <row r="50" ht="15.75" spans="1:5">
      <c r="A50" s="33" t="s">
        <v>1541</v>
      </c>
      <c r="B50" s="33">
        <v>399757.297</v>
      </c>
      <c r="C50" s="33">
        <v>913.75</v>
      </c>
      <c r="D50" s="11">
        <v>44949</v>
      </c>
      <c r="E50" s="75">
        <v>902.89</v>
      </c>
    </row>
    <row r="51" ht="15.75" spans="1:5">
      <c r="A51" s="33" t="s">
        <v>1542</v>
      </c>
      <c r="B51" s="33">
        <v>399757.297</v>
      </c>
      <c r="C51" s="33">
        <v>913.75</v>
      </c>
      <c r="D51" s="11">
        <v>44950</v>
      </c>
      <c r="E51" s="75">
        <v>903.07</v>
      </c>
    </row>
    <row r="52" ht="15.75" spans="1:5">
      <c r="A52" s="33" t="s">
        <v>1543</v>
      </c>
      <c r="B52" s="33">
        <v>399757.297</v>
      </c>
      <c r="C52" s="33">
        <v>913.75</v>
      </c>
      <c r="D52" s="11">
        <v>44951</v>
      </c>
      <c r="E52" s="75">
        <v>903.02</v>
      </c>
    </row>
    <row r="53" ht="15.75" spans="1:5">
      <c r="A53" s="33" t="s">
        <v>1544</v>
      </c>
      <c r="B53" s="33">
        <v>399757.297</v>
      </c>
      <c r="C53" s="33">
        <v>913.75</v>
      </c>
      <c r="D53" s="11">
        <v>44952</v>
      </c>
      <c r="E53" s="75">
        <v>902.89</v>
      </c>
    </row>
    <row r="54" ht="15.75" spans="1:5">
      <c r="A54" s="33" t="s">
        <v>1545</v>
      </c>
      <c r="B54" s="33">
        <v>399757.297</v>
      </c>
      <c r="C54" s="33">
        <v>913.75</v>
      </c>
      <c r="D54" s="11">
        <v>44953</v>
      </c>
      <c r="E54" s="75">
        <v>902.69</v>
      </c>
    </row>
    <row r="55" ht="15.75" spans="1:5">
      <c r="A55" s="33" t="s">
        <v>1546</v>
      </c>
      <c r="B55" s="33">
        <v>399757.297</v>
      </c>
      <c r="C55" s="33">
        <v>913.75</v>
      </c>
      <c r="D55" s="11">
        <v>44954</v>
      </c>
      <c r="E55" s="75">
        <v>902.6</v>
      </c>
    </row>
    <row r="56" ht="15.75" spans="1:5">
      <c r="A56" s="33" t="s">
        <v>1547</v>
      </c>
      <c r="B56" s="33">
        <v>399757.297</v>
      </c>
      <c r="C56" s="33">
        <v>913.75</v>
      </c>
      <c r="D56" s="11">
        <v>44955</v>
      </c>
      <c r="E56" s="75">
        <v>902.47</v>
      </c>
    </row>
    <row r="57" ht="15.75" spans="1:5">
      <c r="A57" s="33" t="s">
        <v>1548</v>
      </c>
      <c r="B57" s="33">
        <v>399757.297</v>
      </c>
      <c r="C57" s="33">
        <v>913.75</v>
      </c>
      <c r="D57" s="11">
        <v>44956</v>
      </c>
      <c r="E57" s="75">
        <v>902.41</v>
      </c>
    </row>
    <row r="58" ht="15.75" spans="1:5">
      <c r="A58" s="33" t="s">
        <v>1549</v>
      </c>
      <c r="B58" s="33">
        <v>399757.297</v>
      </c>
      <c r="C58" s="33">
        <v>913.75</v>
      </c>
      <c r="D58" s="11">
        <v>44957</v>
      </c>
      <c r="E58" s="75">
        <v>902.32</v>
      </c>
    </row>
    <row r="59" ht="15.75" spans="1:5">
      <c r="A59" s="33" t="s">
        <v>1550</v>
      </c>
      <c r="B59" s="33">
        <v>399757.297</v>
      </c>
      <c r="C59" s="33">
        <v>913.75</v>
      </c>
      <c r="D59" s="11">
        <v>44958</v>
      </c>
      <c r="E59" s="75">
        <v>902.19</v>
      </c>
    </row>
    <row r="60" ht="15.75" spans="1:5">
      <c r="A60" s="33" t="s">
        <v>1551</v>
      </c>
      <c r="B60" s="33">
        <v>399757.297</v>
      </c>
      <c r="C60" s="33">
        <v>913.75</v>
      </c>
      <c r="D60" s="11">
        <v>44959</v>
      </c>
      <c r="E60" s="75">
        <v>902.07</v>
      </c>
    </row>
    <row r="61" ht="15.75" spans="1:5">
      <c r="A61" s="33" t="s">
        <v>1552</v>
      </c>
      <c r="B61" s="33">
        <v>399757.297</v>
      </c>
      <c r="C61" s="33">
        <v>913.75</v>
      </c>
      <c r="D61" s="11">
        <v>44960</v>
      </c>
      <c r="E61" s="75">
        <v>901.95</v>
      </c>
    </row>
    <row r="62" ht="15.75" spans="1:5">
      <c r="A62" s="33" t="s">
        <v>1553</v>
      </c>
      <c r="B62" s="33">
        <v>399757.297</v>
      </c>
      <c r="C62" s="33">
        <v>913.75</v>
      </c>
      <c r="D62" s="11">
        <v>44961</v>
      </c>
      <c r="E62" s="75">
        <v>901.85</v>
      </c>
    </row>
    <row r="63" ht="15.75" spans="1:5">
      <c r="A63" s="33" t="s">
        <v>1554</v>
      </c>
      <c r="B63" s="33">
        <v>399757.297</v>
      </c>
      <c r="C63" s="33">
        <v>913.75</v>
      </c>
      <c r="D63" s="11">
        <v>44962</v>
      </c>
      <c r="E63" s="75">
        <v>901.8</v>
      </c>
    </row>
    <row r="64" ht="15.75" spans="1:5">
      <c r="A64" s="33" t="s">
        <v>1555</v>
      </c>
      <c r="B64" s="33">
        <v>399757.297</v>
      </c>
      <c r="C64" s="33">
        <v>913.75</v>
      </c>
      <c r="D64" s="11">
        <v>44963</v>
      </c>
      <c r="E64" s="75">
        <v>901.72</v>
      </c>
    </row>
    <row r="65" ht="15.75" spans="1:5">
      <c r="A65" s="33" t="s">
        <v>1556</v>
      </c>
      <c r="B65" s="33">
        <v>399757.297</v>
      </c>
      <c r="C65" s="33">
        <v>913.75</v>
      </c>
      <c r="D65" s="11">
        <v>44964</v>
      </c>
      <c r="E65" s="75">
        <v>901.65</v>
      </c>
    </row>
    <row r="66" ht="15.75" spans="1:5">
      <c r="A66" s="33" t="s">
        <v>1557</v>
      </c>
      <c r="B66" s="33">
        <v>399757.297</v>
      </c>
      <c r="C66" s="33">
        <v>913.75</v>
      </c>
      <c r="D66" s="11">
        <v>44965</v>
      </c>
      <c r="E66" s="75">
        <v>901.63</v>
      </c>
    </row>
    <row r="67" ht="15.75" spans="1:5">
      <c r="A67" s="33" t="s">
        <v>1558</v>
      </c>
      <c r="B67" s="33">
        <v>399757.297</v>
      </c>
      <c r="C67" s="33">
        <v>913.75</v>
      </c>
      <c r="D67" s="11">
        <v>44966</v>
      </c>
      <c r="E67" s="75">
        <v>901.54</v>
      </c>
    </row>
    <row r="68" ht="15.75" spans="1:5">
      <c r="A68" s="33" t="s">
        <v>1559</v>
      </c>
      <c r="B68" s="33">
        <v>399757.297</v>
      </c>
      <c r="C68" s="33">
        <v>913.75</v>
      </c>
      <c r="D68" s="11">
        <v>44967</v>
      </c>
      <c r="E68" s="75">
        <v>901.54</v>
      </c>
    </row>
    <row r="69" ht="15.75" spans="1:5">
      <c r="A69" s="33" t="s">
        <v>1560</v>
      </c>
      <c r="B69" s="33">
        <v>399757.297</v>
      </c>
      <c r="C69" s="33">
        <v>913.75</v>
      </c>
      <c r="D69" s="11">
        <v>44968</v>
      </c>
      <c r="E69" s="75">
        <v>901.53</v>
      </c>
    </row>
    <row r="70" ht="15.75" spans="1:5">
      <c r="A70" s="33" t="s">
        <v>1561</v>
      </c>
      <c r="B70" s="33">
        <v>399757.297</v>
      </c>
      <c r="C70" s="33">
        <v>913.75</v>
      </c>
      <c r="D70" s="11">
        <v>44969</v>
      </c>
      <c r="E70" s="75">
        <v>901.45</v>
      </c>
    </row>
    <row r="71" ht="15.75" spans="1:5">
      <c r="A71" s="33" t="s">
        <v>1562</v>
      </c>
      <c r="B71" s="33">
        <v>399757.297</v>
      </c>
      <c r="C71" s="33">
        <v>913.75</v>
      </c>
      <c r="D71" s="11">
        <v>44970</v>
      </c>
      <c r="E71" s="75">
        <v>901.34</v>
      </c>
    </row>
    <row r="72" ht="15.75" spans="1:5">
      <c r="A72" s="33" t="s">
        <v>1563</v>
      </c>
      <c r="B72" s="33">
        <v>399757.297</v>
      </c>
      <c r="C72" s="33">
        <v>913.75</v>
      </c>
      <c r="D72" s="11">
        <v>44971</v>
      </c>
      <c r="E72" s="75">
        <v>901.29</v>
      </c>
    </row>
    <row r="73" ht="15.75" spans="1:5">
      <c r="A73" s="33" t="s">
        <v>1564</v>
      </c>
      <c r="B73" s="33">
        <v>399757.297</v>
      </c>
      <c r="C73" s="33">
        <v>913.75</v>
      </c>
      <c r="D73" s="11">
        <v>44972</v>
      </c>
      <c r="E73" s="75">
        <v>901.26</v>
      </c>
    </row>
    <row r="74" ht="15.75" spans="1:5">
      <c r="A74" s="33" t="s">
        <v>1565</v>
      </c>
      <c r="B74" s="33">
        <v>399757.297</v>
      </c>
      <c r="C74" s="33">
        <v>913.75</v>
      </c>
      <c r="D74" s="11">
        <v>44973</v>
      </c>
      <c r="E74" s="75">
        <v>901.18</v>
      </c>
    </row>
    <row r="75" ht="15.75" spans="1:5">
      <c r="A75" s="33" t="s">
        <v>1566</v>
      </c>
      <c r="B75" s="33">
        <v>399757.297</v>
      </c>
      <c r="C75" s="33">
        <v>913.75</v>
      </c>
      <c r="D75" s="11">
        <v>44974</v>
      </c>
      <c r="E75" s="75">
        <v>901.18</v>
      </c>
    </row>
    <row r="76" ht="15.75" spans="1:5">
      <c r="A76" s="33" t="s">
        <v>1567</v>
      </c>
      <c r="B76" s="33">
        <v>399757.297</v>
      </c>
      <c r="C76" s="33">
        <v>913.75</v>
      </c>
      <c r="D76" s="11">
        <v>44975</v>
      </c>
      <c r="E76" s="75">
        <v>901.1</v>
      </c>
    </row>
    <row r="77" ht="15.75" spans="1:5">
      <c r="A77" s="33" t="s">
        <v>1568</v>
      </c>
      <c r="B77" s="33">
        <v>399757.297</v>
      </c>
      <c r="C77" s="33">
        <v>913.75</v>
      </c>
      <c r="D77" s="11">
        <v>44976</v>
      </c>
      <c r="E77" s="75">
        <v>901.25</v>
      </c>
    </row>
    <row r="78" ht="15.75" spans="1:5">
      <c r="A78" s="33" t="s">
        <v>1569</v>
      </c>
      <c r="B78" s="33">
        <v>399757.297</v>
      </c>
      <c r="C78" s="33">
        <v>913.75</v>
      </c>
      <c r="D78" s="11">
        <v>44977</v>
      </c>
      <c r="E78" s="75">
        <v>901.25</v>
      </c>
    </row>
    <row r="79" ht="15.75" spans="1:5">
      <c r="A79" s="33" t="s">
        <v>1570</v>
      </c>
      <c r="B79" s="33">
        <v>399757.297</v>
      </c>
      <c r="C79" s="33">
        <v>913.75</v>
      </c>
      <c r="D79" s="11">
        <v>44978</v>
      </c>
      <c r="E79" s="75">
        <v>901.17</v>
      </c>
    </row>
    <row r="80" ht="15.75" spans="1:5">
      <c r="A80" s="33" t="s">
        <v>1571</v>
      </c>
      <c r="B80" s="33">
        <v>399757.297</v>
      </c>
      <c r="C80" s="33">
        <v>913.75</v>
      </c>
      <c r="D80" s="11">
        <v>44979</v>
      </c>
      <c r="E80" s="75">
        <v>901.09</v>
      </c>
    </row>
    <row r="81" ht="15.75" spans="1:5">
      <c r="A81" s="33" t="s">
        <v>1572</v>
      </c>
      <c r="B81" s="33">
        <v>399757.297</v>
      </c>
      <c r="C81" s="33">
        <v>913.75</v>
      </c>
      <c r="D81" s="11">
        <v>44980</v>
      </c>
      <c r="E81" s="75">
        <v>901.09</v>
      </c>
    </row>
    <row r="82" ht="15.75" spans="1:5">
      <c r="A82" s="33" t="s">
        <v>1573</v>
      </c>
      <c r="B82" s="33">
        <v>399757.297</v>
      </c>
      <c r="C82" s="33">
        <v>913.75</v>
      </c>
      <c r="D82" s="11">
        <v>44981</v>
      </c>
      <c r="E82" s="75">
        <v>900.97</v>
      </c>
    </row>
    <row r="83" ht="15.75" spans="1:5">
      <c r="A83" s="33" t="s">
        <v>1574</v>
      </c>
      <c r="B83" s="33">
        <v>399757.297</v>
      </c>
      <c r="C83" s="33">
        <v>913.75</v>
      </c>
      <c r="D83" s="11">
        <v>44982</v>
      </c>
      <c r="E83" s="75">
        <v>900.88</v>
      </c>
    </row>
    <row r="84" ht="15.75" spans="1:5">
      <c r="A84" s="33" t="s">
        <v>1575</v>
      </c>
      <c r="B84" s="33">
        <v>399757.297</v>
      </c>
      <c r="C84" s="33">
        <v>913.75</v>
      </c>
      <c r="D84" s="11">
        <v>44983</v>
      </c>
      <c r="E84" s="75">
        <v>900.82</v>
      </c>
    </row>
    <row r="85" ht="15.75" spans="1:5">
      <c r="A85" s="33" t="s">
        <v>1576</v>
      </c>
      <c r="B85" s="33">
        <v>399757.297</v>
      </c>
      <c r="C85" s="33">
        <v>913.75</v>
      </c>
      <c r="D85" s="11">
        <v>44984</v>
      </c>
      <c r="E85" s="75">
        <v>900.78</v>
      </c>
    </row>
    <row r="86" ht="15.75" spans="1:5">
      <c r="A86" s="33" t="s">
        <v>1577</v>
      </c>
      <c r="B86" s="33">
        <v>399757.297</v>
      </c>
      <c r="C86" s="33">
        <v>913.75</v>
      </c>
      <c r="D86" s="11">
        <v>44985</v>
      </c>
      <c r="E86" s="75">
        <v>900.67</v>
      </c>
    </row>
    <row r="87" ht="15.75" spans="1:5">
      <c r="A87" s="33" t="s">
        <v>1578</v>
      </c>
      <c r="B87" s="33">
        <v>399757.297</v>
      </c>
      <c r="C87" s="33">
        <v>913.75</v>
      </c>
      <c r="D87" s="11">
        <v>44986</v>
      </c>
      <c r="E87" s="75">
        <v>900.53</v>
      </c>
    </row>
    <row r="88" ht="15.75" spans="1:5">
      <c r="A88" s="33" t="s">
        <v>1579</v>
      </c>
      <c r="B88" s="33">
        <v>399757.297</v>
      </c>
      <c r="C88" s="33">
        <v>913.75</v>
      </c>
      <c r="D88" s="11">
        <v>44987</v>
      </c>
      <c r="E88" s="75">
        <v>900.39</v>
      </c>
    </row>
    <row r="89" ht="15.75" spans="1:5">
      <c r="A89" s="33" t="s">
        <v>1580</v>
      </c>
      <c r="B89" s="33">
        <v>399757.297</v>
      </c>
      <c r="C89" s="33">
        <v>913.75</v>
      </c>
      <c r="D89" s="11">
        <v>44988</v>
      </c>
      <c r="E89" s="75">
        <v>900.25</v>
      </c>
    </row>
    <row r="90" ht="15.75" spans="1:5">
      <c r="A90" s="33" t="s">
        <v>1581</v>
      </c>
      <c r="B90" s="33">
        <v>399757.297</v>
      </c>
      <c r="C90" s="33">
        <v>913.75</v>
      </c>
      <c r="D90" s="11">
        <v>44989</v>
      </c>
      <c r="E90" s="75">
        <v>900.15</v>
      </c>
    </row>
    <row r="91" ht="15.75" spans="1:5">
      <c r="A91" s="33" t="s">
        <v>1582</v>
      </c>
      <c r="B91" s="33">
        <v>399757.297</v>
      </c>
      <c r="C91" s="33">
        <v>913.75</v>
      </c>
      <c r="D91" s="11">
        <v>44990</v>
      </c>
      <c r="E91" s="75">
        <v>900.05</v>
      </c>
    </row>
    <row r="92" ht="15.75" spans="1:5">
      <c r="A92" s="33" t="s">
        <v>1583</v>
      </c>
      <c r="B92" s="33">
        <v>399757.297</v>
      </c>
      <c r="C92" s="33">
        <v>913.75</v>
      </c>
      <c r="D92" s="11">
        <v>44991</v>
      </c>
      <c r="E92" s="75">
        <v>899.97</v>
      </c>
    </row>
    <row r="93" ht="15.75" spans="1:5">
      <c r="A93" s="33" t="s">
        <v>1584</v>
      </c>
      <c r="B93" s="33">
        <v>399757.297</v>
      </c>
      <c r="C93" s="33">
        <v>913.75</v>
      </c>
      <c r="D93" s="11">
        <v>44992</v>
      </c>
      <c r="E93" s="75">
        <v>899.83</v>
      </c>
    </row>
    <row r="94" ht="15.75" spans="1:5">
      <c r="A94" s="33" t="s">
        <v>1585</v>
      </c>
      <c r="B94" s="33">
        <v>399757.297</v>
      </c>
      <c r="C94" s="33">
        <v>913.75</v>
      </c>
      <c r="D94" s="11">
        <v>44993</v>
      </c>
      <c r="E94" s="75">
        <v>899.67</v>
      </c>
    </row>
    <row r="95" ht="15.75" spans="1:5">
      <c r="A95" s="33" t="s">
        <v>1586</v>
      </c>
      <c r="B95" s="33">
        <v>399757.297</v>
      </c>
      <c r="C95" s="33">
        <v>913.75</v>
      </c>
      <c r="D95" s="11">
        <v>44994</v>
      </c>
      <c r="E95" s="75">
        <v>899.53</v>
      </c>
    </row>
    <row r="96" ht="15.75" spans="1:5">
      <c r="A96" s="33" t="s">
        <v>1587</v>
      </c>
      <c r="B96" s="33">
        <v>399757.297</v>
      </c>
      <c r="C96" s="33">
        <v>913.75</v>
      </c>
      <c r="D96" s="11">
        <v>44995</v>
      </c>
      <c r="E96" s="75">
        <v>899.44</v>
      </c>
    </row>
    <row r="97" ht="15.75" spans="1:5">
      <c r="A97" s="33" t="s">
        <v>1588</v>
      </c>
      <c r="B97" s="33">
        <v>399757.297</v>
      </c>
      <c r="C97" s="33">
        <v>913.75</v>
      </c>
      <c r="D97" s="11">
        <v>44996</v>
      </c>
      <c r="E97" s="75">
        <v>899.29</v>
      </c>
    </row>
    <row r="98" ht="15.75" spans="1:5">
      <c r="A98" s="33" t="s">
        <v>1589</v>
      </c>
      <c r="B98" s="33">
        <v>399757.297</v>
      </c>
      <c r="C98" s="33">
        <v>913.75</v>
      </c>
      <c r="D98" s="11">
        <v>44997</v>
      </c>
      <c r="E98" s="75">
        <v>899.06</v>
      </c>
    </row>
    <row r="99" ht="15.75" spans="1:5">
      <c r="A99" s="33" t="s">
        <v>1590</v>
      </c>
      <c r="B99" s="33">
        <v>399757.297</v>
      </c>
      <c r="C99" s="33">
        <v>913.75</v>
      </c>
      <c r="D99" s="11">
        <v>44998</v>
      </c>
      <c r="E99" s="75">
        <v>898.97</v>
      </c>
    </row>
    <row r="100" ht="15.75" spans="1:5">
      <c r="A100" s="33" t="s">
        <v>1591</v>
      </c>
      <c r="B100" s="33">
        <v>399757.297</v>
      </c>
      <c r="C100" s="33">
        <v>913.75</v>
      </c>
      <c r="D100" s="11">
        <v>44999</v>
      </c>
      <c r="E100" s="75">
        <v>898.88</v>
      </c>
    </row>
    <row r="101" ht="15.75" spans="1:5">
      <c r="A101" s="33" t="s">
        <v>1592</v>
      </c>
      <c r="B101" s="33">
        <v>399757.297</v>
      </c>
      <c r="C101" s="33">
        <v>913.75</v>
      </c>
      <c r="D101" s="11">
        <v>45000</v>
      </c>
      <c r="E101" s="75">
        <v>898.7</v>
      </c>
    </row>
    <row r="102" ht="15.75" spans="1:5">
      <c r="A102" s="33" t="s">
        <v>1593</v>
      </c>
      <c r="B102" s="33">
        <v>399757.297</v>
      </c>
      <c r="C102" s="33">
        <v>913.75</v>
      </c>
      <c r="D102" s="11">
        <v>45001</v>
      </c>
      <c r="E102" s="75">
        <v>898.56</v>
      </c>
    </row>
    <row r="103" ht="15.75" spans="1:5">
      <c r="A103" s="33" t="s">
        <v>1594</v>
      </c>
      <c r="B103" s="33">
        <v>399757.297</v>
      </c>
      <c r="C103" s="33">
        <v>913.75</v>
      </c>
      <c r="D103" s="11">
        <v>45002</v>
      </c>
      <c r="E103" s="83"/>
    </row>
    <row r="104" ht="15.75" spans="1:5">
      <c r="A104" s="33" t="s">
        <v>1595</v>
      </c>
      <c r="B104" s="33">
        <v>399757.297</v>
      </c>
      <c r="C104" s="33">
        <v>913.75</v>
      </c>
      <c r="D104" s="11">
        <v>45003</v>
      </c>
      <c r="E104" s="84"/>
    </row>
    <row r="105" ht="15.75" spans="1:5">
      <c r="A105" s="33" t="s">
        <v>1596</v>
      </c>
      <c r="B105" s="33">
        <v>399757.297</v>
      </c>
      <c r="C105" s="33">
        <v>913.75</v>
      </c>
      <c r="D105" s="11">
        <v>45004</v>
      </c>
      <c r="E105" s="75"/>
    </row>
    <row r="106" ht="15.75" spans="1:5">
      <c r="A106" s="33" t="s">
        <v>1597</v>
      </c>
      <c r="B106" s="33">
        <v>399757.297</v>
      </c>
      <c r="C106" s="33">
        <v>913.75</v>
      </c>
      <c r="D106" s="11">
        <v>45005</v>
      </c>
      <c r="E106" s="75"/>
    </row>
    <row r="107" ht="15.75" spans="1:5">
      <c r="A107" s="33" t="s">
        <v>1598</v>
      </c>
      <c r="B107" s="33">
        <v>399757.297</v>
      </c>
      <c r="C107" s="33">
        <v>913.75</v>
      </c>
      <c r="D107" s="11">
        <v>45006</v>
      </c>
      <c r="E107" s="75">
        <v>897.72</v>
      </c>
    </row>
    <row r="108" ht="15.75" spans="1:5">
      <c r="A108" s="33" t="s">
        <v>1599</v>
      </c>
      <c r="B108" s="33">
        <v>399757.297</v>
      </c>
      <c r="C108" s="33">
        <v>913.75</v>
      </c>
      <c r="D108" s="11">
        <v>45007</v>
      </c>
      <c r="E108" s="75">
        <v>897.46</v>
      </c>
    </row>
    <row r="109" ht="15.75" spans="1:5">
      <c r="A109" s="33" t="s">
        <v>1600</v>
      </c>
      <c r="B109" s="33">
        <v>399757.297</v>
      </c>
      <c r="C109" s="33">
        <v>913.75</v>
      </c>
      <c r="D109" s="11">
        <v>45008</v>
      </c>
      <c r="E109" s="75">
        <v>897.25</v>
      </c>
    </row>
    <row r="110" ht="15.75" spans="1:5">
      <c r="A110" s="33" t="s">
        <v>1601</v>
      </c>
      <c r="B110" s="33">
        <v>399757.297</v>
      </c>
      <c r="C110" s="33">
        <v>913.75</v>
      </c>
      <c r="D110" s="11">
        <v>45009</v>
      </c>
      <c r="E110" s="75">
        <v>896.95</v>
      </c>
    </row>
    <row r="111" ht="15.75" spans="1:5">
      <c r="A111" s="33" t="s">
        <v>1602</v>
      </c>
      <c r="B111" s="33">
        <v>399757.297</v>
      </c>
      <c r="C111" s="33">
        <v>913.75</v>
      </c>
      <c r="D111" s="11">
        <v>45010</v>
      </c>
      <c r="E111" s="75">
        <v>896.72</v>
      </c>
    </row>
    <row r="112" ht="15.75" spans="1:5">
      <c r="A112" s="33" t="s">
        <v>1603</v>
      </c>
      <c r="B112" s="33">
        <v>399757.297</v>
      </c>
      <c r="C112" s="33">
        <v>913.75</v>
      </c>
      <c r="D112" s="11">
        <v>45011</v>
      </c>
      <c r="E112" s="75">
        <v>896.54</v>
      </c>
    </row>
    <row r="113" ht="15.75" spans="1:5">
      <c r="A113" s="33" t="s">
        <v>1604</v>
      </c>
      <c r="B113" s="33">
        <v>399757.297</v>
      </c>
      <c r="C113" s="33">
        <v>913.75</v>
      </c>
      <c r="D113" s="11">
        <v>45012</v>
      </c>
      <c r="E113" s="75">
        <v>896.32</v>
      </c>
    </row>
    <row r="114" ht="15.75" spans="1:5">
      <c r="A114" s="33" t="s">
        <v>1605</v>
      </c>
      <c r="B114" s="33">
        <v>399757.297</v>
      </c>
      <c r="C114" s="33">
        <v>913.75</v>
      </c>
      <c r="D114" s="11">
        <v>45013</v>
      </c>
      <c r="E114" s="74"/>
    </row>
    <row r="115" ht="15.75" spans="1:5">
      <c r="A115" s="33" t="s">
        <v>1606</v>
      </c>
      <c r="B115" s="33">
        <v>399757.297</v>
      </c>
      <c r="C115" s="33">
        <v>913.75</v>
      </c>
      <c r="D115" s="11">
        <v>45014</v>
      </c>
      <c r="E115" s="74"/>
    </row>
    <row r="116" ht="15.75" spans="1:5">
      <c r="A116" s="33" t="s">
        <v>1607</v>
      </c>
      <c r="B116" s="33">
        <v>399757.297</v>
      </c>
      <c r="C116" s="33">
        <v>913.75</v>
      </c>
      <c r="D116" s="11">
        <v>45015</v>
      </c>
      <c r="E116" s="77">
        <v>895.82</v>
      </c>
    </row>
    <row r="117" ht="15.75" spans="1:5">
      <c r="A117" s="33" t="s">
        <v>1608</v>
      </c>
      <c r="B117" s="33">
        <v>399757.297</v>
      </c>
      <c r="C117" s="33">
        <v>913.75</v>
      </c>
      <c r="D117" s="11">
        <v>45016</v>
      </c>
      <c r="E117" s="74"/>
    </row>
    <row r="118" ht="15.75" spans="1:5">
      <c r="A118" s="33" t="s">
        <v>1609</v>
      </c>
      <c r="B118" s="33">
        <v>399757.297</v>
      </c>
      <c r="C118" s="33">
        <v>913.75</v>
      </c>
      <c r="D118" s="11">
        <v>45017</v>
      </c>
      <c r="E118" s="75">
        <v>895.82</v>
      </c>
    </row>
    <row r="119" ht="15.75" spans="1:5">
      <c r="A119" s="33" t="s">
        <v>1610</v>
      </c>
      <c r="B119" s="33">
        <v>399757.297</v>
      </c>
      <c r="C119" s="33">
        <v>913.75</v>
      </c>
      <c r="D119" s="11">
        <v>45018</v>
      </c>
      <c r="E119" s="75">
        <v>895.8</v>
      </c>
    </row>
    <row r="120" ht="15.75" spans="1:5">
      <c r="A120" s="33" t="s">
        <v>1611</v>
      </c>
      <c r="B120" s="33">
        <v>399757.297</v>
      </c>
      <c r="C120" s="33">
        <v>913.75</v>
      </c>
      <c r="D120" s="11">
        <v>45019</v>
      </c>
      <c r="E120" s="75">
        <v>895.68</v>
      </c>
    </row>
    <row r="121" ht="15.75" spans="1:5">
      <c r="A121" s="33" t="s">
        <v>1612</v>
      </c>
      <c r="B121" s="33">
        <v>399757.297</v>
      </c>
      <c r="C121" s="33">
        <v>913.75</v>
      </c>
      <c r="D121" s="11">
        <v>45020</v>
      </c>
      <c r="E121" s="75">
        <v>895.55</v>
      </c>
    </row>
    <row r="122" ht="15.75" spans="1:5">
      <c r="A122" s="33" t="s">
        <v>1613</v>
      </c>
      <c r="B122" s="33">
        <v>399757.297</v>
      </c>
      <c r="C122" s="33">
        <v>913.75</v>
      </c>
      <c r="D122" s="11">
        <v>45021</v>
      </c>
      <c r="E122" s="75">
        <v>895.47</v>
      </c>
    </row>
    <row r="123" ht="15.75" spans="1:5">
      <c r="A123" s="33" t="s">
        <v>1614</v>
      </c>
      <c r="B123" s="33">
        <v>399757.297</v>
      </c>
      <c r="C123" s="33">
        <v>913.75</v>
      </c>
      <c r="D123" s="11">
        <v>45022</v>
      </c>
      <c r="E123" s="75">
        <v>895.38</v>
      </c>
    </row>
    <row r="124" ht="15.75" spans="1:5">
      <c r="A124" s="33" t="s">
        <v>1615</v>
      </c>
      <c r="B124" s="33">
        <v>399757.297</v>
      </c>
      <c r="C124" s="33">
        <v>913.75</v>
      </c>
      <c r="D124" s="11">
        <v>45023</v>
      </c>
      <c r="E124" s="75">
        <v>895.36</v>
      </c>
    </row>
    <row r="125" ht="15.75" spans="1:5">
      <c r="A125" s="33" t="s">
        <v>1616</v>
      </c>
      <c r="B125" s="33">
        <v>399757.297</v>
      </c>
      <c r="C125" s="33">
        <v>913.75</v>
      </c>
      <c r="D125" s="11">
        <v>45024</v>
      </c>
      <c r="E125" s="75">
        <v>895.27</v>
      </c>
    </row>
    <row r="126" ht="15.75" spans="1:5">
      <c r="A126" s="33" t="s">
        <v>1617</v>
      </c>
      <c r="B126" s="33">
        <v>399757.297</v>
      </c>
      <c r="C126" s="33">
        <v>913.75</v>
      </c>
      <c r="D126" s="11">
        <v>45025</v>
      </c>
      <c r="E126" s="75">
        <v>895.3</v>
      </c>
    </row>
    <row r="127" ht="15.75" spans="1:5">
      <c r="A127" s="33" t="s">
        <v>1618</v>
      </c>
      <c r="B127" s="33">
        <v>399757.297</v>
      </c>
      <c r="C127" s="33">
        <v>913.75</v>
      </c>
      <c r="D127" s="11">
        <v>45026</v>
      </c>
      <c r="E127" s="75">
        <v>895.27</v>
      </c>
    </row>
    <row r="128" ht="15.75" spans="1:5">
      <c r="A128" s="33" t="s">
        <v>1619</v>
      </c>
      <c r="B128" s="33">
        <v>399757.297</v>
      </c>
      <c r="C128" s="33">
        <v>913.75</v>
      </c>
      <c r="D128" s="11">
        <v>45027</v>
      </c>
      <c r="E128" s="75">
        <v>895.18</v>
      </c>
    </row>
    <row r="129" ht="15.75" spans="1:5">
      <c r="A129" s="33" t="s">
        <v>1620</v>
      </c>
      <c r="B129" s="33">
        <v>399757.297</v>
      </c>
      <c r="C129" s="33">
        <v>913.75</v>
      </c>
      <c r="D129" s="11">
        <v>45028</v>
      </c>
      <c r="E129" s="75">
        <v>895.12</v>
      </c>
    </row>
    <row r="130" ht="15.75" spans="1:5">
      <c r="A130" s="33" t="s">
        <v>1621</v>
      </c>
      <c r="B130" s="33">
        <v>399757.297</v>
      </c>
      <c r="C130" s="33">
        <v>913.75</v>
      </c>
      <c r="D130" s="11">
        <v>45029</v>
      </c>
      <c r="E130" s="75">
        <v>895.07</v>
      </c>
    </row>
    <row r="131" ht="15.75" spans="1:5">
      <c r="A131" s="33" t="s">
        <v>1622</v>
      </c>
      <c r="B131" s="33">
        <v>399757.297</v>
      </c>
      <c r="C131" s="33">
        <v>913.75</v>
      </c>
      <c r="D131" s="11">
        <v>45030</v>
      </c>
      <c r="E131" s="75">
        <v>894.96</v>
      </c>
    </row>
    <row r="132" ht="15.75" spans="1:5">
      <c r="A132" s="33" t="s">
        <v>1623</v>
      </c>
      <c r="B132" s="33">
        <v>399757.297</v>
      </c>
      <c r="C132" s="33">
        <v>913.75</v>
      </c>
      <c r="D132" s="11">
        <v>45031</v>
      </c>
      <c r="E132" s="75">
        <v>894.93</v>
      </c>
    </row>
    <row r="133" ht="15.75" spans="1:5">
      <c r="A133" s="33" t="s">
        <v>1624</v>
      </c>
      <c r="B133" s="33">
        <v>399757.297</v>
      </c>
      <c r="C133" s="33">
        <v>913.75</v>
      </c>
      <c r="D133" s="11">
        <v>45032</v>
      </c>
      <c r="E133" s="75">
        <v>895.01</v>
      </c>
    </row>
    <row r="134" ht="15.75" spans="1:5">
      <c r="A134" s="33" t="s">
        <v>1625</v>
      </c>
      <c r="B134" s="33">
        <v>399757.297</v>
      </c>
      <c r="C134" s="33">
        <v>913.75</v>
      </c>
      <c r="D134" s="11">
        <v>45033</v>
      </c>
      <c r="E134" s="75">
        <v>894.97</v>
      </c>
    </row>
    <row r="135" ht="15.75" spans="1:5">
      <c r="A135" s="33" t="s">
        <v>1626</v>
      </c>
      <c r="B135" s="33">
        <v>399757.297</v>
      </c>
      <c r="C135" s="33">
        <v>913.75</v>
      </c>
      <c r="D135" s="11">
        <v>45034</v>
      </c>
      <c r="E135" s="75">
        <v>894.87</v>
      </c>
    </row>
    <row r="136" ht="15.75" spans="1:5">
      <c r="A136" s="33" t="s">
        <v>1627</v>
      </c>
      <c r="B136" s="33">
        <v>399757.297</v>
      </c>
      <c r="C136" s="33">
        <v>913.75</v>
      </c>
      <c r="D136" s="11">
        <v>45035</v>
      </c>
      <c r="E136" s="75">
        <v>894.82</v>
      </c>
    </row>
    <row r="137" ht="15.75" spans="1:5">
      <c r="A137" s="33" t="s">
        <v>1628</v>
      </c>
      <c r="B137" s="33">
        <v>399757.297</v>
      </c>
      <c r="C137" s="33">
        <v>913.75</v>
      </c>
      <c r="D137" s="11">
        <v>45036</v>
      </c>
      <c r="E137" s="75">
        <v>894.85</v>
      </c>
    </row>
    <row r="138" ht="15.75" spans="1:5">
      <c r="A138" s="33" t="s">
        <v>1629</v>
      </c>
      <c r="B138" s="33">
        <v>399757.297</v>
      </c>
      <c r="C138" s="33">
        <v>913.75</v>
      </c>
      <c r="D138" s="11">
        <v>45037</v>
      </c>
      <c r="E138" s="75">
        <v>894.74</v>
      </c>
    </row>
    <row r="139" ht="15.75" spans="1:5">
      <c r="A139" s="33" t="s">
        <v>1630</v>
      </c>
      <c r="B139" s="33">
        <v>399757.297</v>
      </c>
      <c r="C139" s="33">
        <v>913.75</v>
      </c>
      <c r="D139" s="11">
        <v>45038</v>
      </c>
      <c r="E139" s="75">
        <v>894.66</v>
      </c>
    </row>
    <row r="140" ht="15.75" spans="1:5">
      <c r="A140" s="33" t="s">
        <v>1631</v>
      </c>
      <c r="B140" s="33">
        <v>399757.297</v>
      </c>
      <c r="C140" s="33">
        <v>913.75</v>
      </c>
      <c r="D140" s="11">
        <v>45039</v>
      </c>
      <c r="E140" s="75">
        <v>894.54</v>
      </c>
    </row>
    <row r="141" ht="15.75" spans="1:5">
      <c r="A141" s="33" t="s">
        <v>1632</v>
      </c>
      <c r="B141" s="33">
        <v>399757.297</v>
      </c>
      <c r="C141" s="33">
        <v>913.75</v>
      </c>
      <c r="D141" s="11">
        <v>45040</v>
      </c>
      <c r="E141" s="75">
        <v>894.42</v>
      </c>
    </row>
    <row r="142" ht="15.75" spans="1:5">
      <c r="A142" s="33" t="s">
        <v>1633</v>
      </c>
      <c r="B142" s="33">
        <v>399757.297</v>
      </c>
      <c r="C142" s="33">
        <v>913.75</v>
      </c>
      <c r="D142" s="11">
        <v>45041</v>
      </c>
      <c r="E142" s="75">
        <v>894.32</v>
      </c>
    </row>
    <row r="143" ht="15.75" spans="1:5">
      <c r="A143" s="33" t="s">
        <v>1634</v>
      </c>
      <c r="B143" s="33">
        <v>399757.297</v>
      </c>
      <c r="C143" s="33">
        <v>913.75</v>
      </c>
      <c r="D143" s="11">
        <v>45042</v>
      </c>
      <c r="E143" s="75">
        <v>894.28</v>
      </c>
    </row>
    <row r="144" ht="15.75" spans="1:5">
      <c r="A144" s="33" t="s">
        <v>1635</v>
      </c>
      <c r="B144" s="33">
        <v>399757.297</v>
      </c>
      <c r="C144" s="33">
        <v>913.75</v>
      </c>
      <c r="D144" s="11">
        <v>45043</v>
      </c>
      <c r="E144" s="75">
        <v>894.23</v>
      </c>
    </row>
    <row r="145" ht="15.75" spans="1:5">
      <c r="A145" s="33" t="s">
        <v>1636</v>
      </c>
      <c r="B145" s="33">
        <v>399757.297</v>
      </c>
      <c r="C145" s="33">
        <v>913.75</v>
      </c>
      <c r="D145" s="11">
        <v>45044</v>
      </c>
      <c r="E145" s="75">
        <v>894.11</v>
      </c>
    </row>
    <row r="146" ht="15.75" spans="1:5">
      <c r="A146" s="33" t="s">
        <v>1637</v>
      </c>
      <c r="B146" s="33">
        <v>399757.297</v>
      </c>
      <c r="C146" s="33">
        <v>913.75</v>
      </c>
      <c r="D146" s="11">
        <v>45045</v>
      </c>
      <c r="E146" s="75">
        <v>893.99</v>
      </c>
    </row>
    <row r="147" ht="15.75" spans="1:5">
      <c r="A147" s="33" t="s">
        <v>1638</v>
      </c>
      <c r="B147" s="33">
        <v>399757.297</v>
      </c>
      <c r="C147" s="33">
        <v>913.75</v>
      </c>
      <c r="D147" s="11">
        <v>45046</v>
      </c>
      <c r="E147" s="75">
        <v>894.02</v>
      </c>
    </row>
    <row r="148" ht="15.75" spans="1:5">
      <c r="A148" s="33" t="s">
        <v>1639</v>
      </c>
      <c r="B148" s="33">
        <v>399757.297</v>
      </c>
      <c r="C148" s="33">
        <v>913.75</v>
      </c>
      <c r="D148" s="11">
        <v>45047</v>
      </c>
      <c r="E148" s="75">
        <v>893.97</v>
      </c>
    </row>
    <row r="149" ht="15.75" spans="1:5">
      <c r="A149" s="33" t="s">
        <v>1640</v>
      </c>
      <c r="B149" s="33">
        <v>399757.297</v>
      </c>
      <c r="C149" s="33">
        <v>913.75</v>
      </c>
      <c r="D149" s="11">
        <v>45048</v>
      </c>
      <c r="E149" s="75">
        <v>893.85</v>
      </c>
    </row>
    <row r="150" ht="15.75" spans="1:5">
      <c r="A150" s="33" t="s">
        <v>1641</v>
      </c>
      <c r="B150" s="33">
        <v>399757.297</v>
      </c>
      <c r="C150" s="33">
        <v>913.75</v>
      </c>
      <c r="D150" s="11">
        <v>45049</v>
      </c>
      <c r="E150" s="75">
        <v>893.8</v>
      </c>
    </row>
    <row r="151" ht="15.75" spans="1:5">
      <c r="A151" s="33" t="s">
        <v>1642</v>
      </c>
      <c r="B151" s="33">
        <v>399757.297</v>
      </c>
      <c r="C151" s="33">
        <v>913.75</v>
      </c>
      <c r="D151" s="11">
        <v>45050</v>
      </c>
      <c r="E151" s="75">
        <v>893.7</v>
      </c>
    </row>
    <row r="152" ht="15.75" spans="1:5">
      <c r="A152" s="33" t="s">
        <v>1643</v>
      </c>
      <c r="B152" s="33">
        <v>399757.297</v>
      </c>
      <c r="C152" s="33">
        <v>913.75</v>
      </c>
      <c r="D152" s="11">
        <v>45051</v>
      </c>
      <c r="E152" s="75">
        <v>893.63</v>
      </c>
    </row>
    <row r="153" ht="15.75" spans="1:5">
      <c r="A153" s="33" t="s">
        <v>1644</v>
      </c>
      <c r="B153" s="33">
        <v>399757.297</v>
      </c>
      <c r="C153" s="33">
        <v>913.75</v>
      </c>
      <c r="D153" s="11">
        <v>45052</v>
      </c>
      <c r="E153" s="75">
        <v>893.53</v>
      </c>
    </row>
    <row r="154" ht="15.75" spans="1:5">
      <c r="A154" s="33" t="s">
        <v>1645</v>
      </c>
      <c r="B154" s="33">
        <v>399757.297</v>
      </c>
      <c r="C154" s="33">
        <v>913.75</v>
      </c>
      <c r="D154" s="11">
        <v>45053</v>
      </c>
      <c r="E154" s="75">
        <v>893.47</v>
      </c>
    </row>
    <row r="155" ht="15.75" spans="1:5">
      <c r="A155" s="33" t="s">
        <v>1646</v>
      </c>
      <c r="B155" s="33">
        <v>399757.297</v>
      </c>
      <c r="C155" s="33">
        <v>913.75</v>
      </c>
      <c r="D155" s="11">
        <v>45054</v>
      </c>
      <c r="E155" s="75">
        <v>893.39</v>
      </c>
    </row>
    <row r="156" ht="15.75" spans="1:5">
      <c r="A156" s="33" t="s">
        <v>1647</v>
      </c>
      <c r="B156" s="33">
        <v>399757.297</v>
      </c>
      <c r="C156" s="33">
        <v>913.75</v>
      </c>
      <c r="D156" s="11">
        <v>45055</v>
      </c>
      <c r="E156" s="75">
        <v>893.35</v>
      </c>
    </row>
    <row r="157" ht="15.75" spans="1:5">
      <c r="A157" s="33" t="s">
        <v>1648</v>
      </c>
      <c r="B157" s="33">
        <v>399757.297</v>
      </c>
      <c r="C157" s="33">
        <v>913.75</v>
      </c>
      <c r="D157" s="11">
        <v>45056</v>
      </c>
      <c r="E157" s="75">
        <v>893.29</v>
      </c>
    </row>
    <row r="158" ht="15.75" spans="1:5">
      <c r="A158" s="33" t="s">
        <v>1649</v>
      </c>
      <c r="B158" s="33">
        <v>399757.297</v>
      </c>
      <c r="C158" s="33">
        <v>913.75</v>
      </c>
      <c r="D158" s="11">
        <v>45057</v>
      </c>
      <c r="E158" s="75">
        <v>893.25</v>
      </c>
    </row>
    <row r="159" ht="15.75" spans="1:5">
      <c r="A159" s="33" t="s">
        <v>1650</v>
      </c>
      <c r="B159" s="33">
        <v>399757.297</v>
      </c>
      <c r="C159" s="33">
        <v>913.75</v>
      </c>
      <c r="D159" s="11">
        <v>45058</v>
      </c>
      <c r="E159" s="75">
        <v>893.23</v>
      </c>
    </row>
    <row r="160" ht="15.75" spans="1:5">
      <c r="A160" s="33" t="s">
        <v>1651</v>
      </c>
      <c r="B160" s="33">
        <v>399757.297</v>
      </c>
      <c r="C160" s="33">
        <v>913.75</v>
      </c>
      <c r="D160" s="11">
        <v>45059</v>
      </c>
      <c r="E160" s="75"/>
    </row>
    <row r="161" ht="15.75" spans="1:5">
      <c r="A161" s="33" t="s">
        <v>1652</v>
      </c>
      <c r="B161" s="33">
        <v>399757.297</v>
      </c>
      <c r="C161" s="33">
        <v>913.75</v>
      </c>
      <c r="D161" s="11">
        <v>45060</v>
      </c>
      <c r="E161" s="75">
        <v>893.16</v>
      </c>
    </row>
    <row r="162" ht="15.75" spans="1:5">
      <c r="A162" s="33" t="s">
        <v>1653</v>
      </c>
      <c r="B162" s="33">
        <v>399757.297</v>
      </c>
      <c r="C162" s="33">
        <v>913.75</v>
      </c>
      <c r="D162" s="11">
        <v>45061</v>
      </c>
      <c r="E162" s="75">
        <v>893.07</v>
      </c>
    </row>
    <row r="163" ht="15.75" spans="1:5">
      <c r="A163" s="33" t="s">
        <v>1654</v>
      </c>
      <c r="B163" s="33">
        <v>399757.297</v>
      </c>
      <c r="C163" s="33">
        <v>913.75</v>
      </c>
      <c r="D163" s="11">
        <v>45062</v>
      </c>
      <c r="E163" s="75">
        <v>892.98</v>
      </c>
    </row>
    <row r="164" ht="15.75" spans="1:5">
      <c r="A164" s="33" t="s">
        <v>1655</v>
      </c>
      <c r="B164" s="33">
        <v>399757.297</v>
      </c>
      <c r="C164" s="33">
        <v>913.75</v>
      </c>
      <c r="D164" s="11">
        <v>45063</v>
      </c>
      <c r="E164" s="75">
        <v>892.84</v>
      </c>
    </row>
    <row r="165" ht="15.75" spans="1:5">
      <c r="A165" s="33" t="s">
        <v>1656</v>
      </c>
      <c r="B165" s="33">
        <v>399757.297</v>
      </c>
      <c r="C165" s="33">
        <v>913.75</v>
      </c>
      <c r="D165" s="11">
        <v>45064</v>
      </c>
      <c r="E165" s="75">
        <v>892.78</v>
      </c>
    </row>
    <row r="166" ht="15.75" spans="1:5">
      <c r="A166" s="33" t="s">
        <v>1657</v>
      </c>
      <c r="B166" s="33">
        <v>399757.297</v>
      </c>
      <c r="C166" s="33">
        <v>913.75</v>
      </c>
      <c r="D166" s="11">
        <v>45065</v>
      </c>
      <c r="E166" s="75">
        <v>892.71</v>
      </c>
    </row>
    <row r="167" ht="15.75" spans="1:5">
      <c r="A167" s="33" t="s">
        <v>1658</v>
      </c>
      <c r="B167" s="33">
        <v>399757.297</v>
      </c>
      <c r="C167" s="33">
        <v>913.75</v>
      </c>
      <c r="D167" s="11">
        <v>45066</v>
      </c>
      <c r="E167" s="75">
        <v>892.7</v>
      </c>
    </row>
    <row r="168" ht="15.75" spans="1:5">
      <c r="A168" s="33" t="s">
        <v>1659</v>
      </c>
      <c r="B168" s="33">
        <v>399757.297</v>
      </c>
      <c r="C168" s="33">
        <v>913.75</v>
      </c>
      <c r="D168" s="11">
        <v>45067</v>
      </c>
      <c r="E168" s="75">
        <v>892.69</v>
      </c>
    </row>
    <row r="169" ht="15.75" spans="1:5">
      <c r="A169" s="33" t="s">
        <v>1660</v>
      </c>
      <c r="B169" s="33">
        <v>399757.297</v>
      </c>
      <c r="C169" s="33">
        <v>913.75</v>
      </c>
      <c r="D169" s="11">
        <v>45068</v>
      </c>
      <c r="E169" s="75">
        <v>892.61</v>
      </c>
    </row>
    <row r="170" ht="15.75" spans="1:5">
      <c r="A170" s="33" t="s">
        <v>1661</v>
      </c>
      <c r="B170" s="33">
        <v>399757.297</v>
      </c>
      <c r="C170" s="33">
        <v>913.75</v>
      </c>
      <c r="D170" s="11">
        <v>45069</v>
      </c>
      <c r="E170" s="75">
        <v>892.59</v>
      </c>
    </row>
    <row r="171" ht="15.75" spans="1:5">
      <c r="A171" s="33" t="s">
        <v>1662</v>
      </c>
      <c r="B171" s="33">
        <v>399757.297</v>
      </c>
      <c r="C171" s="33">
        <v>913.75</v>
      </c>
      <c r="D171" s="11">
        <v>45070</v>
      </c>
      <c r="E171" s="75">
        <v>892.46</v>
      </c>
    </row>
    <row r="172" ht="15.75" spans="1:5">
      <c r="A172" s="33" t="s">
        <v>1663</v>
      </c>
      <c r="B172" s="33">
        <v>399757.297</v>
      </c>
      <c r="C172" s="33">
        <v>913.75</v>
      </c>
      <c r="D172" s="11">
        <v>45071</v>
      </c>
      <c r="E172" s="75">
        <v>892.45</v>
      </c>
    </row>
    <row r="173" ht="15.75" spans="1:5">
      <c r="A173" s="33" t="s">
        <v>1664</v>
      </c>
      <c r="B173" s="33">
        <v>399757.297</v>
      </c>
      <c r="C173" s="33">
        <v>913.75</v>
      </c>
      <c r="D173" s="11">
        <v>45072</v>
      </c>
      <c r="E173" s="75">
        <v>892.39</v>
      </c>
    </row>
    <row r="174" ht="15.75" spans="1:5">
      <c r="A174" s="33" t="s">
        <v>1665</v>
      </c>
      <c r="B174" s="33">
        <v>399757.297</v>
      </c>
      <c r="C174" s="33">
        <v>913.75</v>
      </c>
      <c r="D174" s="11">
        <v>45073</v>
      </c>
      <c r="E174" s="75">
        <v>892.34</v>
      </c>
    </row>
    <row r="175" ht="15.75" spans="1:5">
      <c r="A175" s="33" t="s">
        <v>1666</v>
      </c>
      <c r="B175" s="33">
        <v>399757.297</v>
      </c>
      <c r="C175" s="33">
        <v>913.75</v>
      </c>
      <c r="D175" s="11">
        <v>45074</v>
      </c>
      <c r="E175" s="75">
        <v>892.25</v>
      </c>
    </row>
    <row r="176" ht="15.75" spans="1:5">
      <c r="A176" s="33" t="s">
        <v>1667</v>
      </c>
      <c r="B176" s="33">
        <v>399757.297</v>
      </c>
      <c r="C176" s="33">
        <v>913.75</v>
      </c>
      <c r="D176" s="11">
        <v>45075</v>
      </c>
      <c r="E176" s="75">
        <v>892.16</v>
      </c>
    </row>
    <row r="177" ht="15.75" spans="1:5">
      <c r="A177" s="33" t="s">
        <v>1668</v>
      </c>
      <c r="B177" s="33">
        <v>399757.297</v>
      </c>
      <c r="C177" s="33">
        <v>913.75</v>
      </c>
      <c r="D177" s="11">
        <v>45076</v>
      </c>
      <c r="E177" s="75">
        <v>891.97</v>
      </c>
    </row>
    <row r="178" ht="15.75" spans="1:5">
      <c r="A178" s="33" t="s">
        <v>1669</v>
      </c>
      <c r="B178" s="33">
        <v>399757.297</v>
      </c>
      <c r="C178" s="33">
        <v>913.75</v>
      </c>
      <c r="D178" s="11">
        <v>45077</v>
      </c>
      <c r="E178" s="75">
        <v>891.8</v>
      </c>
    </row>
    <row r="179" ht="15.75" spans="1:5">
      <c r="A179" s="33" t="s">
        <v>1670</v>
      </c>
      <c r="B179" s="33">
        <v>399757.297</v>
      </c>
      <c r="C179" s="33">
        <v>913.75</v>
      </c>
      <c r="D179" s="11">
        <v>45078</v>
      </c>
      <c r="E179" s="75">
        <v>891.8</v>
      </c>
    </row>
    <row r="180" ht="15.75" spans="1:5">
      <c r="A180" s="33" t="s">
        <v>1671</v>
      </c>
      <c r="B180" s="33">
        <v>399757.297</v>
      </c>
      <c r="C180" s="33">
        <v>913.75</v>
      </c>
      <c r="D180" s="11">
        <v>45079</v>
      </c>
      <c r="E180" s="75">
        <v>891.73</v>
      </c>
    </row>
    <row r="181" ht="15.75" spans="1:5">
      <c r="A181" s="33" t="s">
        <v>1672</v>
      </c>
      <c r="B181" s="33">
        <v>399757.297</v>
      </c>
      <c r="C181" s="33">
        <v>913.75</v>
      </c>
      <c r="D181" s="11">
        <v>45080</v>
      </c>
      <c r="E181" s="75">
        <v>891.66</v>
      </c>
    </row>
    <row r="182" ht="15.75" spans="1:5">
      <c r="A182" s="33" t="s">
        <v>1673</v>
      </c>
      <c r="B182" s="33">
        <v>399757.297</v>
      </c>
      <c r="C182" s="33">
        <v>913.75</v>
      </c>
      <c r="D182" s="11">
        <v>45081</v>
      </c>
      <c r="E182" s="75">
        <v>891.59</v>
      </c>
    </row>
    <row r="183" ht="15.75" spans="1:5">
      <c r="A183" s="33" t="s">
        <v>1674</v>
      </c>
      <c r="B183" s="33">
        <v>399757.297</v>
      </c>
      <c r="C183" s="33">
        <v>913.75</v>
      </c>
      <c r="D183" s="11">
        <v>45082</v>
      </c>
      <c r="E183" s="75">
        <v>891.55</v>
      </c>
    </row>
    <row r="184" ht="15.75" spans="1:5">
      <c r="A184" s="33" t="s">
        <v>1675</v>
      </c>
      <c r="B184" s="33">
        <v>399757.297</v>
      </c>
      <c r="C184" s="33">
        <v>913.75</v>
      </c>
      <c r="D184" s="11">
        <v>45083</v>
      </c>
      <c r="E184" s="75">
        <v>891.54</v>
      </c>
    </row>
    <row r="185" ht="15.75" spans="1:5">
      <c r="A185" s="33" t="s">
        <v>1676</v>
      </c>
      <c r="B185" s="33">
        <v>399757.297</v>
      </c>
      <c r="C185" s="33">
        <v>913.75</v>
      </c>
      <c r="D185" s="11">
        <v>45084</v>
      </c>
      <c r="E185" s="75">
        <v>891.5</v>
      </c>
    </row>
    <row r="186" ht="15.75" spans="1:5">
      <c r="A186" s="33" t="s">
        <v>1677</v>
      </c>
      <c r="B186" s="33">
        <v>399757.297</v>
      </c>
      <c r="C186" s="33">
        <v>913.75</v>
      </c>
      <c r="D186" s="11">
        <v>45085</v>
      </c>
      <c r="E186" s="75">
        <v>891.42</v>
      </c>
    </row>
    <row r="187" ht="15.75" spans="1:5">
      <c r="A187" s="33" t="s">
        <v>1678</v>
      </c>
      <c r="B187" s="33">
        <v>399757.297</v>
      </c>
      <c r="C187" s="33">
        <v>913.75</v>
      </c>
      <c r="D187" s="11">
        <v>45086</v>
      </c>
      <c r="E187" s="75">
        <v>891.38</v>
      </c>
    </row>
    <row r="188" ht="15.75" spans="1:5">
      <c r="A188" s="33" t="s">
        <v>1679</v>
      </c>
      <c r="B188" s="33">
        <v>399757.297</v>
      </c>
      <c r="C188" s="33">
        <v>913.75</v>
      </c>
      <c r="D188" s="11">
        <v>45087</v>
      </c>
      <c r="E188" s="75">
        <v>891.31</v>
      </c>
    </row>
    <row r="189" ht="15.75" spans="1:5">
      <c r="A189" s="33" t="s">
        <v>1680</v>
      </c>
      <c r="B189" s="33">
        <v>399757.297</v>
      </c>
      <c r="C189" s="33">
        <v>913.75</v>
      </c>
      <c r="D189" s="11">
        <v>45088</v>
      </c>
      <c r="E189" s="75">
        <v>891.25</v>
      </c>
    </row>
    <row r="190" ht="15.75" spans="1:5">
      <c r="A190" s="33" t="s">
        <v>1681</v>
      </c>
      <c r="B190" s="33">
        <v>399757.297</v>
      </c>
      <c r="C190" s="33">
        <v>913.75</v>
      </c>
      <c r="D190" s="11">
        <v>45089</v>
      </c>
      <c r="E190" s="75">
        <v>891.14</v>
      </c>
    </row>
    <row r="191" ht="15.75" spans="1:5">
      <c r="A191" s="33" t="s">
        <v>1682</v>
      </c>
      <c r="B191" s="33">
        <v>399757.297</v>
      </c>
      <c r="C191" s="33">
        <v>913.75</v>
      </c>
      <c r="D191" s="11">
        <v>45090</v>
      </c>
      <c r="E191" s="75">
        <v>891.06</v>
      </c>
    </row>
    <row r="192" ht="15.75" spans="1:5">
      <c r="A192" s="33" t="s">
        <v>1683</v>
      </c>
      <c r="B192" s="33">
        <v>399757.297</v>
      </c>
      <c r="C192" s="33">
        <v>913.75</v>
      </c>
      <c r="D192" s="11">
        <v>45091</v>
      </c>
      <c r="E192" s="75">
        <v>890.97</v>
      </c>
    </row>
    <row r="193" ht="15.75" spans="1:5">
      <c r="A193" s="33" t="s">
        <v>1684</v>
      </c>
      <c r="B193" s="33">
        <v>399757.297</v>
      </c>
      <c r="C193" s="33">
        <v>913.75</v>
      </c>
      <c r="D193" s="11">
        <v>45092</v>
      </c>
      <c r="E193" s="75">
        <v>890.97</v>
      </c>
    </row>
    <row r="194" ht="15.75" spans="1:5">
      <c r="A194" s="33" t="s">
        <v>1685</v>
      </c>
      <c r="B194" s="33">
        <v>399757.297</v>
      </c>
      <c r="C194" s="33">
        <v>913.75</v>
      </c>
      <c r="D194" s="11">
        <v>45093</v>
      </c>
      <c r="E194" s="75">
        <v>891.06</v>
      </c>
    </row>
    <row r="195" ht="15.75" spans="1:5">
      <c r="A195" s="33" t="s">
        <v>1686</v>
      </c>
      <c r="B195" s="33">
        <v>399757.297</v>
      </c>
      <c r="C195" s="33">
        <v>913.75</v>
      </c>
      <c r="D195" s="11">
        <v>45094</v>
      </c>
      <c r="E195" s="75">
        <v>891.05</v>
      </c>
    </row>
    <row r="196" ht="15.75" spans="1:5">
      <c r="A196" s="33" t="s">
        <v>1687</v>
      </c>
      <c r="B196" s="33">
        <v>399757.297</v>
      </c>
      <c r="C196" s="33">
        <v>913.75</v>
      </c>
      <c r="D196" s="11">
        <v>45095</v>
      </c>
      <c r="E196" s="75">
        <v>890.96</v>
      </c>
    </row>
    <row r="197" ht="15.75" spans="1:5">
      <c r="A197" s="33" t="s">
        <v>1688</v>
      </c>
      <c r="B197" s="33">
        <v>399757.297</v>
      </c>
      <c r="C197" s="33">
        <v>913.75</v>
      </c>
      <c r="D197" s="11">
        <v>45096</v>
      </c>
      <c r="E197" s="75">
        <v>890.92</v>
      </c>
    </row>
    <row r="198" ht="15.75" spans="1:5">
      <c r="A198" s="33" t="s">
        <v>1689</v>
      </c>
      <c r="B198" s="33">
        <v>399757.297</v>
      </c>
      <c r="C198" s="33">
        <v>913.75</v>
      </c>
      <c r="D198" s="11">
        <v>45097</v>
      </c>
      <c r="E198" s="75">
        <v>891.12</v>
      </c>
    </row>
    <row r="199" ht="15.75" spans="1:5">
      <c r="A199" s="33" t="s">
        <v>1690</v>
      </c>
      <c r="B199" s="33">
        <v>399757.297</v>
      </c>
      <c r="C199" s="33">
        <v>913.75</v>
      </c>
      <c r="D199" s="11">
        <v>45098</v>
      </c>
      <c r="E199" s="75">
        <v>891.05</v>
      </c>
    </row>
    <row r="200" ht="15.75" spans="1:5">
      <c r="A200" s="33" t="s">
        <v>1691</v>
      </c>
      <c r="B200" s="33">
        <v>399757.297</v>
      </c>
      <c r="C200" s="33">
        <v>913.75</v>
      </c>
      <c r="D200" s="11">
        <v>45099</v>
      </c>
      <c r="E200" s="75">
        <v>891.22</v>
      </c>
    </row>
    <row r="201" ht="15.75" spans="1:5">
      <c r="A201" s="33" t="s">
        <v>1692</v>
      </c>
      <c r="B201" s="33">
        <v>399757.297</v>
      </c>
      <c r="C201" s="33">
        <v>913.75</v>
      </c>
      <c r="D201" s="11">
        <v>45100</v>
      </c>
      <c r="E201" s="75">
        <v>891.4</v>
      </c>
    </row>
    <row r="202" ht="15.75" spans="1:5">
      <c r="A202" s="33" t="s">
        <v>1693</v>
      </c>
      <c r="B202" s="33">
        <v>399757.297</v>
      </c>
      <c r="C202" s="33">
        <v>913.75</v>
      </c>
      <c r="D202" s="11">
        <v>45101</v>
      </c>
      <c r="E202" s="75">
        <v>891.4</v>
      </c>
    </row>
    <row r="203" ht="15.75" spans="1:5">
      <c r="A203" s="33" t="s">
        <v>1694</v>
      </c>
      <c r="B203" s="33">
        <v>399757.297</v>
      </c>
      <c r="C203" s="33">
        <v>913.75</v>
      </c>
      <c r="D203" s="11">
        <v>45102</v>
      </c>
      <c r="E203" s="75">
        <v>891.31</v>
      </c>
    </row>
    <row r="204" ht="15.75" spans="1:5">
      <c r="A204" s="33" t="s">
        <v>1695</v>
      </c>
      <c r="B204" s="33">
        <v>399757.297</v>
      </c>
      <c r="C204" s="33">
        <v>913.75</v>
      </c>
      <c r="D204" s="11">
        <v>45103</v>
      </c>
      <c r="E204" s="75">
        <v>891.2</v>
      </c>
    </row>
    <row r="205" ht="15.75" spans="1:5">
      <c r="A205" s="33" t="s">
        <v>1696</v>
      </c>
      <c r="B205" s="33">
        <v>399757.297</v>
      </c>
      <c r="C205" s="33">
        <v>913.75</v>
      </c>
      <c r="D205" s="11">
        <v>45104</v>
      </c>
      <c r="E205" s="75">
        <v>891.09</v>
      </c>
    </row>
    <row r="206" ht="15.75" spans="1:5">
      <c r="A206" s="33" t="s">
        <v>1697</v>
      </c>
      <c r="B206" s="33">
        <v>399757.297</v>
      </c>
      <c r="C206" s="33">
        <v>913.75</v>
      </c>
      <c r="D206" s="11">
        <v>45105</v>
      </c>
      <c r="E206" s="75">
        <v>890.97</v>
      </c>
    </row>
    <row r="207" ht="15.75" spans="1:5">
      <c r="A207" s="33" t="s">
        <v>1698</v>
      </c>
      <c r="B207" s="33">
        <v>399757.297</v>
      </c>
      <c r="C207" s="33">
        <v>913.75</v>
      </c>
      <c r="D207" s="11">
        <v>45106</v>
      </c>
      <c r="E207" s="75">
        <v>890.85</v>
      </c>
    </row>
    <row r="208" ht="15.75" spans="1:5">
      <c r="A208" s="33" t="s">
        <v>1699</v>
      </c>
      <c r="B208" s="33">
        <v>399757.297</v>
      </c>
      <c r="C208" s="33">
        <v>913.75</v>
      </c>
      <c r="D208" s="11">
        <v>45107</v>
      </c>
      <c r="E208" s="75">
        <v>890.77</v>
      </c>
    </row>
    <row r="209" ht="15.75" spans="1:5">
      <c r="A209" s="33" t="s">
        <v>1700</v>
      </c>
      <c r="B209" s="33">
        <v>399757.297</v>
      </c>
      <c r="C209" s="33">
        <v>913.75</v>
      </c>
      <c r="D209" s="11">
        <v>45108</v>
      </c>
      <c r="E209" s="75">
        <v>890.73</v>
      </c>
    </row>
    <row r="210" ht="15.75" spans="1:5">
      <c r="A210" s="33" t="s">
        <v>1701</v>
      </c>
      <c r="B210" s="33">
        <v>399757.297</v>
      </c>
      <c r="C210" s="33">
        <v>913.75</v>
      </c>
      <c r="D210" s="11">
        <v>45109</v>
      </c>
      <c r="E210" s="75">
        <v>890.66</v>
      </c>
    </row>
    <row r="211" ht="15.75" spans="1:5">
      <c r="A211" s="33" t="s">
        <v>1702</v>
      </c>
      <c r="B211" s="33">
        <v>399757.297</v>
      </c>
      <c r="C211" s="33">
        <v>913.75</v>
      </c>
      <c r="D211" s="11">
        <v>45110</v>
      </c>
      <c r="E211" s="75">
        <v>890.63</v>
      </c>
    </row>
    <row r="212" ht="15.75" spans="1:5">
      <c r="A212" s="33" t="s">
        <v>1703</v>
      </c>
      <c r="B212" s="33">
        <v>399757.297</v>
      </c>
      <c r="C212" s="33">
        <v>913.75</v>
      </c>
      <c r="D212" s="11">
        <v>45111</v>
      </c>
      <c r="E212" s="75">
        <v>890.66</v>
      </c>
    </row>
    <row r="213" ht="15.75" spans="1:5">
      <c r="A213" s="33" t="s">
        <v>1704</v>
      </c>
      <c r="B213" s="33">
        <v>399757.297</v>
      </c>
      <c r="C213" s="33">
        <v>913.75</v>
      </c>
      <c r="D213" s="11">
        <v>45112</v>
      </c>
      <c r="E213" s="75">
        <v>891.1</v>
      </c>
    </row>
    <row r="214" ht="15.75" spans="1:5">
      <c r="A214" s="33" t="s">
        <v>1705</v>
      </c>
      <c r="B214" s="33">
        <v>399757.297</v>
      </c>
      <c r="C214" s="33">
        <v>913.75</v>
      </c>
      <c r="D214" s="11">
        <v>45113</v>
      </c>
      <c r="E214" s="75">
        <v>891.3</v>
      </c>
    </row>
    <row r="215" ht="15.75" spans="1:5">
      <c r="A215" s="33" t="s">
        <v>1706</v>
      </c>
      <c r="B215" s="33">
        <v>399757.297</v>
      </c>
      <c r="C215" s="33">
        <v>913.75</v>
      </c>
      <c r="D215" s="11">
        <v>45114</v>
      </c>
      <c r="E215" s="75">
        <v>891.25</v>
      </c>
    </row>
    <row r="216" ht="15.75" spans="1:5">
      <c r="A216" s="33" t="s">
        <v>1707</v>
      </c>
      <c r="B216" s="33">
        <v>399757.297</v>
      </c>
      <c r="C216" s="33">
        <v>913.75</v>
      </c>
      <c r="D216" s="11">
        <v>45115</v>
      </c>
      <c r="E216" s="75">
        <v>891.16</v>
      </c>
    </row>
    <row r="217" ht="15.75" spans="1:5">
      <c r="A217" s="33" t="s">
        <v>1708</v>
      </c>
      <c r="B217" s="33">
        <v>399757.297</v>
      </c>
      <c r="C217" s="33">
        <v>913.75</v>
      </c>
      <c r="D217" s="11">
        <v>45116</v>
      </c>
      <c r="E217" s="75">
        <v>891.24</v>
      </c>
    </row>
    <row r="218" ht="15.75" spans="1:5">
      <c r="A218" s="33" t="s">
        <v>1709</v>
      </c>
      <c r="B218" s="33">
        <v>399757.297</v>
      </c>
      <c r="C218" s="33">
        <v>913.75</v>
      </c>
      <c r="D218" s="11">
        <v>45117</v>
      </c>
      <c r="E218" s="75">
        <v>891.15</v>
      </c>
    </row>
    <row r="219" ht="15.75" spans="1:5">
      <c r="A219" s="33" t="s">
        <v>1710</v>
      </c>
      <c r="B219" s="33">
        <v>399757.297</v>
      </c>
      <c r="C219" s="33">
        <v>913.75</v>
      </c>
      <c r="D219" s="11">
        <v>45118</v>
      </c>
      <c r="E219" s="75">
        <v>891.05</v>
      </c>
    </row>
    <row r="220" ht="15.75" spans="1:5">
      <c r="A220" s="33" t="s">
        <v>1711</v>
      </c>
      <c r="B220" s="33">
        <v>399757.297</v>
      </c>
      <c r="C220" s="33">
        <v>913.75</v>
      </c>
      <c r="D220" s="11">
        <v>45119</v>
      </c>
      <c r="E220" s="75">
        <v>891.05</v>
      </c>
    </row>
    <row r="221" ht="15.75" spans="1:5">
      <c r="A221" s="33" t="s">
        <v>1712</v>
      </c>
      <c r="B221" s="33">
        <v>399757.297</v>
      </c>
      <c r="C221" s="33">
        <v>913.75</v>
      </c>
      <c r="D221" s="11">
        <v>45120</v>
      </c>
      <c r="E221" s="75">
        <v>890.95</v>
      </c>
    </row>
    <row r="222" ht="15.75" spans="1:5">
      <c r="A222" s="33" t="s">
        <v>1713</v>
      </c>
      <c r="B222" s="33">
        <v>399757.297</v>
      </c>
      <c r="C222" s="33">
        <v>913.75</v>
      </c>
      <c r="D222" s="11">
        <v>45121</v>
      </c>
      <c r="E222" s="75">
        <v>891.03</v>
      </c>
    </row>
    <row r="223" ht="15.75" spans="1:5">
      <c r="A223" s="33" t="s">
        <v>1714</v>
      </c>
      <c r="B223" s="33">
        <v>399757.297</v>
      </c>
      <c r="C223" s="33">
        <v>913.75</v>
      </c>
      <c r="D223" s="11">
        <v>45122</v>
      </c>
      <c r="E223" s="75">
        <v>891.44</v>
      </c>
    </row>
    <row r="224" ht="15.75" spans="1:5">
      <c r="A224" s="33" t="s">
        <v>1715</v>
      </c>
      <c r="B224" s="33">
        <v>399757.297</v>
      </c>
      <c r="C224" s="33">
        <v>913.75</v>
      </c>
      <c r="D224" s="11">
        <v>45123</v>
      </c>
      <c r="E224" s="75">
        <v>891.61</v>
      </c>
    </row>
    <row r="225" ht="15.75" spans="1:5">
      <c r="A225" s="33" t="s">
        <v>1716</v>
      </c>
      <c r="B225" s="33">
        <v>399757.297</v>
      </c>
      <c r="C225" s="33">
        <v>913.75</v>
      </c>
      <c r="D225" s="11">
        <v>45124</v>
      </c>
      <c r="E225" s="75">
        <v>891.63</v>
      </c>
    </row>
    <row r="226" ht="15.75" spans="1:5">
      <c r="A226" s="33" t="s">
        <v>1717</v>
      </c>
      <c r="B226" s="33">
        <v>399757.297</v>
      </c>
      <c r="C226" s="33">
        <v>913.75</v>
      </c>
      <c r="D226" s="11">
        <v>45125</v>
      </c>
      <c r="E226" s="75">
        <v>891.52</v>
      </c>
    </row>
    <row r="227" ht="15.75" spans="1:5">
      <c r="A227" s="33" t="s">
        <v>1718</v>
      </c>
      <c r="B227" s="33">
        <v>399757.297</v>
      </c>
      <c r="C227" s="33">
        <v>913.75</v>
      </c>
      <c r="D227" s="11">
        <v>45126</v>
      </c>
      <c r="E227" s="75">
        <v>891.37</v>
      </c>
    </row>
    <row r="228" ht="15.75" spans="1:5">
      <c r="A228" s="33" t="s">
        <v>1719</v>
      </c>
      <c r="B228" s="33">
        <v>399757.297</v>
      </c>
      <c r="C228" s="33">
        <v>913.75</v>
      </c>
      <c r="D228" s="11">
        <v>45127</v>
      </c>
      <c r="E228" s="75">
        <v>891.25</v>
      </c>
    </row>
    <row r="229" ht="15.75" spans="1:5">
      <c r="A229" s="33" t="s">
        <v>1720</v>
      </c>
      <c r="B229" s="33">
        <v>399757.297</v>
      </c>
      <c r="C229" s="33">
        <v>913.75</v>
      </c>
      <c r="D229" s="11">
        <v>45128</v>
      </c>
      <c r="E229" s="75">
        <v>891.12</v>
      </c>
    </row>
    <row r="230" ht="15.75" spans="1:5">
      <c r="A230" s="33" t="s">
        <v>1721</v>
      </c>
      <c r="B230" s="33">
        <v>399757.297</v>
      </c>
      <c r="C230" s="33">
        <v>913.75</v>
      </c>
      <c r="D230" s="11">
        <v>45129</v>
      </c>
      <c r="E230" s="75">
        <v>891.16</v>
      </c>
    </row>
    <row r="231" ht="15.75" spans="1:5">
      <c r="A231" s="33" t="s">
        <v>1722</v>
      </c>
      <c r="B231" s="33">
        <v>399757.297</v>
      </c>
      <c r="C231" s="33">
        <v>913.75</v>
      </c>
      <c r="D231" s="11">
        <v>45130</v>
      </c>
      <c r="E231" s="75">
        <v>891.05</v>
      </c>
    </row>
    <row r="232" ht="15.75" spans="1:5">
      <c r="A232" s="33" t="s">
        <v>1723</v>
      </c>
      <c r="B232" s="33">
        <v>399757.297</v>
      </c>
      <c r="C232" s="33">
        <v>913.75</v>
      </c>
      <c r="D232" s="11">
        <v>45131</v>
      </c>
      <c r="E232" s="75">
        <v>891.05</v>
      </c>
    </row>
    <row r="233" ht="15.75" spans="1:5">
      <c r="A233" s="33" t="s">
        <v>1724</v>
      </c>
      <c r="B233" s="33">
        <v>399757.297</v>
      </c>
      <c r="C233" s="33">
        <v>913.75</v>
      </c>
      <c r="D233" s="11">
        <v>45132</v>
      </c>
      <c r="E233" s="75">
        <v>890.96</v>
      </c>
    </row>
    <row r="234" ht="15.75" spans="1:5">
      <c r="A234" s="33" t="s">
        <v>1725</v>
      </c>
      <c r="B234" s="33">
        <v>399757.297</v>
      </c>
      <c r="C234" s="33">
        <v>913.75</v>
      </c>
      <c r="D234" s="11">
        <v>45133</v>
      </c>
      <c r="E234" s="75">
        <v>890.75</v>
      </c>
    </row>
    <row r="235" ht="15.75" spans="1:5">
      <c r="A235" s="33" t="s">
        <v>1726</v>
      </c>
      <c r="B235" s="33">
        <v>399757.297</v>
      </c>
      <c r="C235" s="33">
        <v>913.75</v>
      </c>
      <c r="D235" s="11">
        <v>45134</v>
      </c>
      <c r="E235" s="75">
        <v>890.78</v>
      </c>
    </row>
    <row r="236" ht="15.75" spans="1:5">
      <c r="A236" s="33" t="s">
        <v>1727</v>
      </c>
      <c r="B236" s="33">
        <v>399757.297</v>
      </c>
      <c r="C236" s="33">
        <v>913.75</v>
      </c>
      <c r="D236" s="11">
        <v>45135</v>
      </c>
      <c r="E236" s="75">
        <v>890.86</v>
      </c>
    </row>
    <row r="237" ht="15.75" spans="1:5">
      <c r="A237" s="33" t="s">
        <v>1728</v>
      </c>
      <c r="B237" s="33">
        <v>399757.297</v>
      </c>
      <c r="C237" s="33">
        <v>913.75</v>
      </c>
      <c r="D237" s="11">
        <v>45136</v>
      </c>
      <c r="E237" s="75">
        <v>891.01</v>
      </c>
    </row>
    <row r="238" ht="15.75" spans="1:5">
      <c r="A238" s="33" t="s">
        <v>1729</v>
      </c>
      <c r="B238" s="33">
        <v>399757.297</v>
      </c>
      <c r="C238" s="33">
        <v>913.75</v>
      </c>
      <c r="D238" s="11">
        <v>45137</v>
      </c>
      <c r="E238" s="75">
        <v>890.98</v>
      </c>
    </row>
    <row r="239" ht="15.75" spans="1:5">
      <c r="A239" s="33" t="s">
        <v>1730</v>
      </c>
      <c r="B239" s="33">
        <v>399757.297</v>
      </c>
      <c r="C239" s="33">
        <v>913.75</v>
      </c>
      <c r="D239" s="11">
        <v>45138</v>
      </c>
      <c r="E239" s="75">
        <v>890.85</v>
      </c>
    </row>
    <row r="240" ht="15.75" spans="1:5">
      <c r="A240" s="33" t="s">
        <v>1731</v>
      </c>
      <c r="B240" s="33">
        <v>399757.297</v>
      </c>
      <c r="C240" s="33">
        <v>913.75</v>
      </c>
      <c r="D240" s="11">
        <v>45139</v>
      </c>
      <c r="E240" s="75">
        <v>890.75</v>
      </c>
    </row>
    <row r="241" ht="15.75" spans="1:5">
      <c r="A241" s="33" t="s">
        <v>1732</v>
      </c>
      <c r="B241" s="33">
        <v>399757.297</v>
      </c>
      <c r="C241" s="33">
        <v>913.75</v>
      </c>
      <c r="D241" s="11">
        <v>45140</v>
      </c>
      <c r="E241" s="75">
        <v>890.75</v>
      </c>
    </row>
    <row r="242" ht="15.75" spans="1:5">
      <c r="A242" s="33" t="s">
        <v>1733</v>
      </c>
      <c r="B242" s="33">
        <v>399757.297</v>
      </c>
      <c r="C242" s="33">
        <v>913.75</v>
      </c>
      <c r="D242" s="11">
        <v>45141</v>
      </c>
      <c r="E242" s="75">
        <v>890.792</v>
      </c>
    </row>
    <row r="243" ht="15.75" spans="1:5">
      <c r="A243" s="33" t="s">
        <v>1734</v>
      </c>
      <c r="B243" s="33">
        <v>399757.297</v>
      </c>
      <c r="C243" s="33">
        <v>913.75</v>
      </c>
      <c r="D243" s="11">
        <v>45142</v>
      </c>
      <c r="E243" s="75">
        <v>890.805</v>
      </c>
    </row>
    <row r="244" ht="15.75" spans="1:5">
      <c r="A244" s="33" t="s">
        <v>1735</v>
      </c>
      <c r="B244" s="33">
        <v>399757.297</v>
      </c>
      <c r="C244" s="33">
        <v>913.75</v>
      </c>
      <c r="D244" s="11">
        <v>45143</v>
      </c>
      <c r="E244" s="75">
        <v>890.958</v>
      </c>
    </row>
    <row r="245" ht="15.75" spans="1:5">
      <c r="A245" s="33" t="s">
        <v>1736</v>
      </c>
      <c r="B245" s="33">
        <v>399757.297</v>
      </c>
      <c r="C245" s="33">
        <v>913.75</v>
      </c>
      <c r="D245" s="11">
        <v>45144</v>
      </c>
      <c r="E245" s="75">
        <v>891.057</v>
      </c>
    </row>
    <row r="246" ht="15.75" spans="1:5">
      <c r="A246" s="33" t="s">
        <v>1737</v>
      </c>
      <c r="B246" s="33">
        <v>399757.297</v>
      </c>
      <c r="C246" s="33">
        <v>913.75</v>
      </c>
      <c r="D246" s="11">
        <v>45145</v>
      </c>
      <c r="E246" s="75">
        <v>891.113</v>
      </c>
    </row>
    <row r="247" ht="15.75" spans="1:5">
      <c r="A247" s="33" t="s">
        <v>1738</v>
      </c>
      <c r="B247" s="33">
        <v>399757.297</v>
      </c>
      <c r="C247" s="33">
        <v>913.75</v>
      </c>
      <c r="D247" s="11">
        <v>45146</v>
      </c>
      <c r="E247" s="75">
        <v>891.066</v>
      </c>
    </row>
    <row r="248" ht="15.75" spans="1:5">
      <c r="A248" s="33" t="s">
        <v>1739</v>
      </c>
      <c r="B248" s="33">
        <v>399757.297</v>
      </c>
      <c r="C248" s="33">
        <v>913.75</v>
      </c>
      <c r="D248" s="11">
        <v>45147</v>
      </c>
      <c r="E248" s="75">
        <v>891.054</v>
      </c>
    </row>
    <row r="249" ht="15.75" spans="1:5">
      <c r="A249" s="33" t="s">
        <v>1740</v>
      </c>
      <c r="B249" s="33">
        <v>399757.297</v>
      </c>
      <c r="C249" s="33">
        <v>913.75</v>
      </c>
      <c r="D249" s="11">
        <v>45148</v>
      </c>
      <c r="E249" s="74"/>
    </row>
    <row r="250" ht="15.75" spans="1:5">
      <c r="A250" s="33" t="s">
        <v>1741</v>
      </c>
      <c r="B250" s="33">
        <v>399757.297</v>
      </c>
      <c r="C250" s="33">
        <v>913.75</v>
      </c>
      <c r="D250" s="11">
        <v>45149</v>
      </c>
      <c r="E250" s="75">
        <v>890.83</v>
      </c>
    </row>
    <row r="251" ht="15.75" spans="1:5">
      <c r="A251" s="33" t="s">
        <v>1742</v>
      </c>
      <c r="B251" s="33">
        <v>399757.297</v>
      </c>
      <c r="C251" s="33">
        <v>913.75</v>
      </c>
      <c r="D251" s="11">
        <v>45150</v>
      </c>
      <c r="E251" s="75">
        <v>890.65</v>
      </c>
    </row>
    <row r="252" ht="15.75" spans="1:5">
      <c r="A252" s="33" t="s">
        <v>1743</v>
      </c>
      <c r="B252" s="33">
        <v>399757.297</v>
      </c>
      <c r="C252" s="33">
        <v>913.75</v>
      </c>
      <c r="D252" s="11">
        <v>45151</v>
      </c>
      <c r="E252" s="75">
        <v>890.46</v>
      </c>
    </row>
    <row r="253" ht="15.75" spans="1:5">
      <c r="A253" s="33" t="s">
        <v>1744</v>
      </c>
      <c r="B253" s="33">
        <v>399757.297</v>
      </c>
      <c r="C253" s="33">
        <v>913.75</v>
      </c>
      <c r="D253" s="11">
        <v>45152</v>
      </c>
      <c r="E253" s="75">
        <v>890.46</v>
      </c>
    </row>
    <row r="254" ht="15.75" spans="1:5">
      <c r="A254" s="33" t="s">
        <v>1745</v>
      </c>
      <c r="B254" s="33">
        <v>399757.297</v>
      </c>
      <c r="C254" s="33">
        <v>913.75</v>
      </c>
      <c r="D254" s="11">
        <v>45153</v>
      </c>
      <c r="E254" s="77">
        <v>890.32</v>
      </c>
    </row>
    <row r="255" ht="15.75" spans="1:5">
      <c r="A255" s="33" t="s">
        <v>1746</v>
      </c>
      <c r="B255" s="33">
        <v>399757.297</v>
      </c>
      <c r="C255" s="33">
        <v>913.75</v>
      </c>
      <c r="D255" s="11">
        <v>45154</v>
      </c>
      <c r="E255" s="75">
        <v>890.24</v>
      </c>
    </row>
    <row r="256" ht="15.75" spans="1:5">
      <c r="A256" s="33" t="s">
        <v>1747</v>
      </c>
      <c r="B256" s="33">
        <v>399757.297</v>
      </c>
      <c r="C256" s="33">
        <v>913.75</v>
      </c>
      <c r="D256" s="11">
        <v>45155</v>
      </c>
      <c r="E256" s="75">
        <v>890.34</v>
      </c>
    </row>
    <row r="257" ht="15.75" spans="1:5">
      <c r="A257" s="33" t="s">
        <v>1748</v>
      </c>
      <c r="B257" s="33">
        <v>399757.297</v>
      </c>
      <c r="C257" s="33">
        <v>913.75</v>
      </c>
      <c r="D257" s="11">
        <v>45156</v>
      </c>
      <c r="E257" s="75">
        <v>890.251</v>
      </c>
    </row>
    <row r="258" ht="15.75" spans="1:5">
      <c r="A258" s="33" t="s">
        <v>1749</v>
      </c>
      <c r="B258" s="33">
        <v>399757.297</v>
      </c>
      <c r="C258" s="33">
        <v>913.75</v>
      </c>
      <c r="D258" s="11">
        <v>45157</v>
      </c>
      <c r="E258" s="75">
        <v>890.42</v>
      </c>
    </row>
    <row r="259" ht="15.75" spans="1:5">
      <c r="A259" s="33" t="s">
        <v>1750</v>
      </c>
      <c r="B259" s="33">
        <v>399757.297</v>
      </c>
      <c r="C259" s="33">
        <v>913.75</v>
      </c>
      <c r="D259" s="11">
        <v>45158</v>
      </c>
      <c r="E259" s="75">
        <v>890.621</v>
      </c>
    </row>
    <row r="260" ht="15.75" spans="1:5">
      <c r="A260" s="33" t="s">
        <v>1751</v>
      </c>
      <c r="B260" s="33">
        <v>399757.297</v>
      </c>
      <c r="C260" s="33">
        <v>913.75</v>
      </c>
      <c r="D260" s="11">
        <v>45159</v>
      </c>
      <c r="E260" s="75">
        <v>890.621</v>
      </c>
    </row>
    <row r="261" ht="15.75" spans="1:5">
      <c r="A261" s="33" t="s">
        <v>1752</v>
      </c>
      <c r="B261" s="33">
        <v>399757.297</v>
      </c>
      <c r="C261" s="33">
        <v>913.75</v>
      </c>
      <c r="D261" s="11">
        <v>45160</v>
      </c>
      <c r="E261" s="75">
        <v>890.696</v>
      </c>
    </row>
    <row r="262" ht="15.75" spans="1:5">
      <c r="A262" s="33" t="s">
        <v>1753</v>
      </c>
      <c r="B262" s="33">
        <v>399757.297</v>
      </c>
      <c r="C262" s="33">
        <v>913.75</v>
      </c>
      <c r="D262" s="11">
        <v>45161</v>
      </c>
      <c r="E262" s="75">
        <v>890.617</v>
      </c>
    </row>
    <row r="263" ht="15.75" spans="1:5">
      <c r="A263" s="33" t="s">
        <v>1754</v>
      </c>
      <c r="B263" s="33">
        <v>399757.297</v>
      </c>
      <c r="C263" s="33">
        <v>913.75</v>
      </c>
      <c r="D263" s="11">
        <v>45162</v>
      </c>
      <c r="E263" s="75">
        <v>890.758</v>
      </c>
    </row>
    <row r="264" ht="15.75" spans="1:5">
      <c r="A264" s="33" t="s">
        <v>1755</v>
      </c>
      <c r="B264" s="33">
        <v>399757.297</v>
      </c>
      <c r="C264" s="33">
        <v>913.75</v>
      </c>
      <c r="D264" s="11">
        <v>45163</v>
      </c>
      <c r="E264" s="75">
        <v>891.045</v>
      </c>
    </row>
    <row r="265" ht="15.75" spans="1:5">
      <c r="A265" s="33" t="s">
        <v>1756</v>
      </c>
      <c r="B265" s="33">
        <v>399757.297</v>
      </c>
      <c r="C265" s="33">
        <v>913.75</v>
      </c>
      <c r="D265" s="11">
        <v>45164</v>
      </c>
      <c r="E265" s="75">
        <v>891.175</v>
      </c>
    </row>
    <row r="266" ht="15.75" spans="1:5">
      <c r="A266" s="33" t="s">
        <v>1757</v>
      </c>
      <c r="B266" s="33">
        <v>399757.297</v>
      </c>
      <c r="C266" s="33">
        <v>913.75</v>
      </c>
      <c r="D266" s="11">
        <v>45165</v>
      </c>
      <c r="E266" s="75">
        <v>891.087</v>
      </c>
    </row>
    <row r="267" ht="15.75" spans="1:5">
      <c r="A267" s="33" t="s">
        <v>1758</v>
      </c>
      <c r="B267" s="33">
        <v>399757.297</v>
      </c>
      <c r="C267" s="33">
        <v>913.75</v>
      </c>
      <c r="D267" s="11">
        <v>45166</v>
      </c>
      <c r="E267" s="75">
        <v>891.093</v>
      </c>
    </row>
    <row r="268" ht="15.75" spans="1:5">
      <c r="A268" s="33" t="s">
        <v>1759</v>
      </c>
      <c r="B268" s="33">
        <v>399757.297</v>
      </c>
      <c r="C268" s="33">
        <v>913.75</v>
      </c>
      <c r="D268" s="11">
        <v>45167</v>
      </c>
      <c r="E268" s="75">
        <v>891.092</v>
      </c>
    </row>
    <row r="269" ht="15.75" spans="1:5">
      <c r="A269" s="33" t="s">
        <v>1760</v>
      </c>
      <c r="B269" s="33">
        <v>399757.297</v>
      </c>
      <c r="C269" s="33">
        <v>913.75</v>
      </c>
      <c r="D269" s="11">
        <v>45168</v>
      </c>
      <c r="E269" s="75">
        <v>890.985</v>
      </c>
    </row>
    <row r="270" ht="15.75" spans="1:5">
      <c r="A270" s="33" t="s">
        <v>1761</v>
      </c>
      <c r="B270" s="33">
        <v>399757.297</v>
      </c>
      <c r="C270" s="33">
        <v>913.75</v>
      </c>
      <c r="D270" s="11">
        <v>45169</v>
      </c>
      <c r="E270" s="75"/>
    </row>
    <row r="271" ht="15.75" spans="1:5">
      <c r="A271" s="33" t="s">
        <v>1762</v>
      </c>
      <c r="B271" s="33">
        <v>399757.297</v>
      </c>
      <c r="C271" s="33">
        <v>913.75</v>
      </c>
      <c r="D271" s="11">
        <v>45170</v>
      </c>
      <c r="E271" s="75">
        <v>890.821</v>
      </c>
    </row>
    <row r="272" ht="15.75" spans="1:5">
      <c r="A272" s="33" t="s">
        <v>1763</v>
      </c>
      <c r="B272" s="33">
        <v>399757.297</v>
      </c>
      <c r="C272" s="33">
        <v>913.75</v>
      </c>
      <c r="D272" s="11">
        <v>45171</v>
      </c>
      <c r="E272" s="75">
        <v>890.718</v>
      </c>
    </row>
    <row r="273" ht="15.75" spans="1:5">
      <c r="A273" s="33" t="s">
        <v>1764</v>
      </c>
      <c r="B273" s="33">
        <v>399757.297</v>
      </c>
      <c r="C273" s="33">
        <v>913.75</v>
      </c>
      <c r="D273" s="11">
        <v>45172</v>
      </c>
      <c r="E273" s="75">
        <v>890.616</v>
      </c>
    </row>
    <row r="274" ht="15.75" spans="1:5">
      <c r="A274" s="33" t="s">
        <v>1765</v>
      </c>
      <c r="B274" s="33">
        <v>399757.297</v>
      </c>
      <c r="C274" s="33">
        <v>913.75</v>
      </c>
      <c r="D274" s="11">
        <v>45173</v>
      </c>
      <c r="E274" s="75">
        <v>890.412</v>
      </c>
    </row>
    <row r="275" ht="15.75" spans="1:5">
      <c r="A275" s="33" t="s">
        <v>1766</v>
      </c>
      <c r="B275" s="33">
        <v>399757.297</v>
      </c>
      <c r="C275" s="33">
        <v>913.75</v>
      </c>
      <c r="D275" s="11">
        <v>45174</v>
      </c>
      <c r="E275" s="75">
        <v>890.248</v>
      </c>
    </row>
    <row r="276" ht="15.75" spans="1:5">
      <c r="A276" s="33" t="s">
        <v>1767</v>
      </c>
      <c r="B276" s="33">
        <v>399757.297</v>
      </c>
      <c r="C276" s="33">
        <v>913.75</v>
      </c>
      <c r="D276" s="11">
        <v>45175</v>
      </c>
      <c r="E276" s="75">
        <v>890.179</v>
      </c>
    </row>
    <row r="277" ht="15.75" spans="1:5">
      <c r="A277" s="33" t="s">
        <v>1768</v>
      </c>
      <c r="B277" s="33">
        <v>399757.297</v>
      </c>
      <c r="C277" s="33">
        <v>913.75</v>
      </c>
      <c r="D277" s="11">
        <v>45176</v>
      </c>
      <c r="E277" s="75">
        <v>890.038</v>
      </c>
    </row>
    <row r="278" ht="15.75" spans="1:5">
      <c r="A278" s="33" t="s">
        <v>1769</v>
      </c>
      <c r="B278" s="33">
        <v>399757.297</v>
      </c>
      <c r="C278" s="33">
        <v>913.75</v>
      </c>
      <c r="D278" s="11">
        <v>45177</v>
      </c>
      <c r="E278" s="75">
        <v>890.008</v>
      </c>
    </row>
    <row r="279" ht="15.75" spans="1:5">
      <c r="A279" s="33" t="s">
        <v>1770</v>
      </c>
      <c r="B279" s="33">
        <v>399757.297</v>
      </c>
      <c r="C279" s="33">
        <v>913.75</v>
      </c>
      <c r="D279" s="11">
        <v>45178</v>
      </c>
      <c r="E279" s="75">
        <v>890</v>
      </c>
    </row>
    <row r="280" ht="15.75" spans="1:5">
      <c r="A280" s="33" t="s">
        <v>1771</v>
      </c>
      <c r="B280" s="33">
        <v>399757.297</v>
      </c>
      <c r="C280" s="33">
        <v>913.75</v>
      </c>
      <c r="D280" s="11">
        <v>45179</v>
      </c>
      <c r="E280" s="75">
        <v>890.166</v>
      </c>
    </row>
    <row r="281" ht="15.75" spans="1:5">
      <c r="A281" s="33" t="s">
        <v>1772</v>
      </c>
      <c r="B281" s="33">
        <v>399757.297</v>
      </c>
      <c r="C281" s="33">
        <v>913.75</v>
      </c>
      <c r="D281" s="11">
        <v>45180</v>
      </c>
      <c r="E281" s="75">
        <v>890.307</v>
      </c>
    </row>
    <row r="282" ht="15.75" spans="1:5">
      <c r="A282" s="33" t="s">
        <v>1773</v>
      </c>
      <c r="B282" s="33">
        <v>399757.297</v>
      </c>
      <c r="C282" s="33">
        <v>913.75</v>
      </c>
      <c r="D282" s="11">
        <v>45181</v>
      </c>
      <c r="E282" s="75">
        <v>890.214</v>
      </c>
    </row>
    <row r="283" ht="15.75" spans="1:5">
      <c r="A283" s="33" t="s">
        <v>1774</v>
      </c>
      <c r="B283" s="33">
        <v>399757.297</v>
      </c>
      <c r="C283" s="33">
        <v>913.75</v>
      </c>
      <c r="D283" s="11">
        <v>45182</v>
      </c>
      <c r="E283" s="75">
        <v>890.238</v>
      </c>
    </row>
    <row r="284" ht="15.75" spans="1:5">
      <c r="A284" s="33" t="s">
        <v>1775</v>
      </c>
      <c r="B284" s="33">
        <v>399757.297</v>
      </c>
      <c r="C284" s="33">
        <v>913.75</v>
      </c>
      <c r="D284" s="11">
        <v>45183</v>
      </c>
      <c r="E284" s="75">
        <v>890.122</v>
      </c>
    </row>
    <row r="285" ht="15.75" spans="1:5">
      <c r="A285" s="33" t="s">
        <v>1776</v>
      </c>
      <c r="B285" s="33">
        <v>399757.297</v>
      </c>
      <c r="C285" s="33">
        <v>913.75</v>
      </c>
      <c r="D285" s="11">
        <v>45184</v>
      </c>
      <c r="E285" s="75">
        <v>890.118</v>
      </c>
    </row>
    <row r="286" ht="15.75" spans="1:5">
      <c r="A286" s="33" t="s">
        <v>1777</v>
      </c>
      <c r="B286" s="33">
        <v>399757.297</v>
      </c>
      <c r="C286" s="33">
        <v>913.75</v>
      </c>
      <c r="D286" s="11">
        <v>45185</v>
      </c>
      <c r="E286" s="75">
        <v>890.038</v>
      </c>
    </row>
    <row r="287" ht="15.75" spans="1:5">
      <c r="A287" s="33" t="s">
        <v>1778</v>
      </c>
      <c r="B287" s="33">
        <v>399757.297</v>
      </c>
      <c r="C287" s="33">
        <v>913.75</v>
      </c>
      <c r="D287" s="11">
        <v>45186</v>
      </c>
      <c r="E287" s="75">
        <v>889.868</v>
      </c>
    </row>
    <row r="288" ht="15.75" spans="1:5">
      <c r="A288" s="33" t="s">
        <v>1779</v>
      </c>
      <c r="B288" s="33">
        <v>399757.297</v>
      </c>
      <c r="C288" s="33">
        <v>913.75</v>
      </c>
      <c r="D288" s="11">
        <v>45187</v>
      </c>
      <c r="E288" s="75">
        <v>889.878</v>
      </c>
    </row>
    <row r="289" ht="15.75" spans="1:5">
      <c r="A289" s="33" t="s">
        <v>1780</v>
      </c>
      <c r="B289" s="33">
        <v>399757.297</v>
      </c>
      <c r="C289" s="33">
        <v>913.75</v>
      </c>
      <c r="D289" s="11">
        <v>45188</v>
      </c>
      <c r="E289" s="75">
        <v>889.768</v>
      </c>
    </row>
    <row r="290" ht="15.75" spans="1:5">
      <c r="A290" s="33" t="s">
        <v>1781</v>
      </c>
      <c r="B290" s="33">
        <v>399757.297</v>
      </c>
      <c r="C290" s="33">
        <v>913.75</v>
      </c>
      <c r="D290" s="11">
        <v>45189</v>
      </c>
      <c r="E290" s="75">
        <v>889.667</v>
      </c>
    </row>
    <row r="291" ht="15.75" spans="1:5">
      <c r="A291" s="33" t="s">
        <v>1782</v>
      </c>
      <c r="B291" s="33">
        <v>399757.297</v>
      </c>
      <c r="C291" s="33">
        <v>913.75</v>
      </c>
      <c r="D291" s="11">
        <v>45190</v>
      </c>
      <c r="E291" s="75">
        <v>889.547</v>
      </c>
    </row>
    <row r="292" ht="15.75" spans="1:5">
      <c r="A292" s="33" t="s">
        <v>1783</v>
      </c>
      <c r="B292" s="33">
        <v>399757.297</v>
      </c>
      <c r="C292" s="33">
        <v>913.75</v>
      </c>
      <c r="D292" s="11">
        <v>45191</v>
      </c>
      <c r="E292" s="75">
        <v>889.583</v>
      </c>
    </row>
    <row r="293" ht="15.75" spans="1:5">
      <c r="A293" s="33" t="s">
        <v>1784</v>
      </c>
      <c r="B293" s="33">
        <v>399757.297</v>
      </c>
      <c r="C293" s="33">
        <v>913.75</v>
      </c>
      <c r="D293" s="11">
        <v>45192</v>
      </c>
      <c r="E293" s="75">
        <v>889.607</v>
      </c>
    </row>
    <row r="294" ht="15.75" spans="1:5">
      <c r="A294" s="33" t="s">
        <v>1785</v>
      </c>
      <c r="B294" s="33">
        <v>399757.297</v>
      </c>
      <c r="C294" s="33">
        <v>913.75</v>
      </c>
      <c r="D294" s="11">
        <v>45193</v>
      </c>
      <c r="E294" s="75">
        <v>889.521</v>
      </c>
    </row>
    <row r="295" ht="15.75" spans="1:5">
      <c r="A295" s="33" t="s">
        <v>1786</v>
      </c>
      <c r="B295" s="33">
        <v>399757.297</v>
      </c>
      <c r="C295" s="33">
        <v>913.75</v>
      </c>
      <c r="D295" s="11">
        <v>45194</v>
      </c>
      <c r="E295" s="75">
        <v>889.454</v>
      </c>
    </row>
    <row r="296" ht="15.75" spans="1:5">
      <c r="A296" s="33" t="s">
        <v>1787</v>
      </c>
      <c r="B296" s="33">
        <v>399757.297</v>
      </c>
      <c r="C296" s="33">
        <v>913.75</v>
      </c>
      <c r="D296" s="11">
        <v>45195</v>
      </c>
      <c r="E296" s="75">
        <v>889.315</v>
      </c>
    </row>
    <row r="297" ht="15.75" spans="1:5">
      <c r="A297" s="33" t="s">
        <v>1788</v>
      </c>
      <c r="B297" s="33">
        <v>399757.297</v>
      </c>
      <c r="C297" s="33">
        <v>913.75</v>
      </c>
      <c r="D297" s="11">
        <v>45196</v>
      </c>
      <c r="E297" s="75">
        <v>888.968</v>
      </c>
    </row>
    <row r="298" ht="15.75" spans="1:5">
      <c r="A298" s="33" t="s">
        <v>1789</v>
      </c>
      <c r="B298" s="33">
        <v>399757.297</v>
      </c>
      <c r="C298" s="33">
        <v>913.75</v>
      </c>
      <c r="D298" s="11">
        <v>45197</v>
      </c>
      <c r="E298" s="75">
        <v>888.956</v>
      </c>
    </row>
    <row r="299" ht="15.75" spans="1:5">
      <c r="A299" s="33" t="s">
        <v>1790</v>
      </c>
      <c r="B299" s="33">
        <v>399757.297</v>
      </c>
      <c r="C299" s="33">
        <v>913.75</v>
      </c>
      <c r="D299" s="11">
        <v>45198</v>
      </c>
      <c r="E299" s="75">
        <v>889.02</v>
      </c>
    </row>
    <row r="300" ht="15.75" spans="1:5">
      <c r="A300" s="33" t="s">
        <v>1791</v>
      </c>
      <c r="B300" s="33">
        <v>399757.297</v>
      </c>
      <c r="C300" s="33">
        <v>913.75</v>
      </c>
      <c r="D300" s="11">
        <v>45199</v>
      </c>
      <c r="E300" s="75">
        <v>889.051</v>
      </c>
    </row>
    <row r="301" ht="15.75" spans="1:5">
      <c r="A301" s="33" t="s">
        <v>1792</v>
      </c>
      <c r="B301" s="33">
        <v>399757.297</v>
      </c>
      <c r="C301" s="33">
        <v>913.75</v>
      </c>
      <c r="D301" s="11">
        <v>45200</v>
      </c>
      <c r="E301" s="75">
        <v>889.041</v>
      </c>
    </row>
    <row r="302" ht="15.75" spans="1:5">
      <c r="A302" s="33" t="s">
        <v>1793</v>
      </c>
      <c r="B302" s="33">
        <v>399757.297</v>
      </c>
      <c r="C302" s="33">
        <v>913.75</v>
      </c>
      <c r="D302" s="11">
        <v>45201</v>
      </c>
      <c r="E302" s="75">
        <v>889.013</v>
      </c>
    </row>
    <row r="303" ht="15.75" spans="1:5">
      <c r="A303" s="33" t="s">
        <v>1794</v>
      </c>
      <c r="B303" s="33">
        <v>399757.297</v>
      </c>
      <c r="C303" s="33">
        <v>913.75</v>
      </c>
      <c r="D303" s="11">
        <v>45202</v>
      </c>
      <c r="E303" s="75">
        <v>888.81</v>
      </c>
    </row>
    <row r="304" ht="15.75" spans="1:5">
      <c r="A304" s="33" t="s">
        <v>1795</v>
      </c>
      <c r="B304" s="33">
        <v>399757.297</v>
      </c>
      <c r="C304" s="33">
        <v>913.75</v>
      </c>
      <c r="D304" s="11">
        <v>45203</v>
      </c>
      <c r="E304" s="75">
        <v>888.725</v>
      </c>
    </row>
    <row r="305" ht="15.75" spans="1:5">
      <c r="A305" s="33" t="s">
        <v>1796</v>
      </c>
      <c r="B305" s="33">
        <v>399757.297</v>
      </c>
      <c r="C305" s="33">
        <v>913.75</v>
      </c>
      <c r="D305" s="11">
        <v>45204</v>
      </c>
      <c r="E305" s="75">
        <v>888.625</v>
      </c>
    </row>
    <row r="306" ht="15.75" spans="1:5">
      <c r="A306" s="33" t="s">
        <v>1797</v>
      </c>
      <c r="B306" s="33">
        <v>399757.297</v>
      </c>
      <c r="C306" s="33">
        <v>913.75</v>
      </c>
      <c r="D306" s="11">
        <v>45205</v>
      </c>
      <c r="E306" s="75">
        <v>888.625</v>
      </c>
    </row>
    <row r="307" ht="15.75" spans="1:5">
      <c r="A307" s="33" t="s">
        <v>1798</v>
      </c>
      <c r="B307" s="33">
        <v>399757.297</v>
      </c>
      <c r="C307" s="33">
        <v>913.75</v>
      </c>
      <c r="D307" s="11">
        <v>45206</v>
      </c>
      <c r="E307" s="75">
        <v>888.564</v>
      </c>
    </row>
    <row r="308" ht="15.75" spans="1:5">
      <c r="A308" s="33" t="s">
        <v>1799</v>
      </c>
      <c r="B308" s="33">
        <v>399757.297</v>
      </c>
      <c r="C308" s="33">
        <v>913.75</v>
      </c>
      <c r="D308" s="11">
        <v>45207</v>
      </c>
      <c r="E308" s="75">
        <v>888.65</v>
      </c>
    </row>
    <row r="309" ht="15.75" spans="1:5">
      <c r="A309" s="33" t="s">
        <v>1800</v>
      </c>
      <c r="B309" s="33">
        <v>399757.297</v>
      </c>
      <c r="C309" s="33">
        <v>913.75</v>
      </c>
      <c r="D309" s="11">
        <v>45208</v>
      </c>
      <c r="E309" s="75">
        <v>888.545</v>
      </c>
    </row>
    <row r="310" ht="15.75" spans="1:5">
      <c r="A310" s="33" t="s">
        <v>1801</v>
      </c>
      <c r="B310" s="33">
        <v>399757.297</v>
      </c>
      <c r="C310" s="33">
        <v>913.75</v>
      </c>
      <c r="D310" s="11">
        <v>45209</v>
      </c>
      <c r="E310" s="75">
        <v>888.655</v>
      </c>
    </row>
    <row r="311" ht="15.75" spans="1:5">
      <c r="A311" s="33" t="s">
        <v>1802</v>
      </c>
      <c r="B311" s="33">
        <v>399757.297</v>
      </c>
      <c r="C311" s="33">
        <v>913.75</v>
      </c>
      <c r="D311" s="11">
        <v>45210</v>
      </c>
      <c r="E311" s="75">
        <v>888.715</v>
      </c>
    </row>
    <row r="312" ht="15.75" spans="1:5">
      <c r="A312" s="33" t="s">
        <v>1803</v>
      </c>
      <c r="B312" s="33">
        <v>399757.297</v>
      </c>
      <c r="C312" s="33">
        <v>913.75</v>
      </c>
      <c r="D312" s="11">
        <v>45211</v>
      </c>
      <c r="E312" s="75">
        <v>888.699</v>
      </c>
    </row>
    <row r="313" ht="15.75" spans="1:5">
      <c r="A313" s="33" t="s">
        <v>1804</v>
      </c>
      <c r="B313" s="33">
        <v>399757.297</v>
      </c>
      <c r="C313" s="33">
        <v>913.75</v>
      </c>
      <c r="D313" s="11">
        <v>45212</v>
      </c>
      <c r="E313" s="75">
        <v>888.744</v>
      </c>
    </row>
    <row r="314" ht="15.75" spans="1:5">
      <c r="A314" s="33" t="s">
        <v>1805</v>
      </c>
      <c r="B314" s="33">
        <v>399757.297</v>
      </c>
      <c r="C314" s="33">
        <v>913.75</v>
      </c>
      <c r="D314" s="11">
        <v>45213</v>
      </c>
      <c r="E314" s="75">
        <v>888.905</v>
      </c>
    </row>
    <row r="315" ht="15.75" spans="1:5">
      <c r="A315" s="33" t="s">
        <v>1806</v>
      </c>
      <c r="B315" s="33">
        <v>399757.297</v>
      </c>
      <c r="C315" s="33">
        <v>913.75</v>
      </c>
      <c r="D315" s="11">
        <v>45214</v>
      </c>
      <c r="E315" s="75">
        <v>888.866</v>
      </c>
    </row>
    <row r="316" ht="15.75" spans="1:5">
      <c r="A316" s="33" t="s">
        <v>1807</v>
      </c>
      <c r="B316" s="33">
        <v>399757.297</v>
      </c>
      <c r="C316" s="33">
        <v>913.75</v>
      </c>
      <c r="D316" s="11">
        <v>45215</v>
      </c>
      <c r="E316" s="75">
        <v>888.768</v>
      </c>
    </row>
    <row r="317" ht="15.75" spans="1:5">
      <c r="A317" s="33" t="s">
        <v>1808</v>
      </c>
      <c r="B317" s="33">
        <v>399757.297</v>
      </c>
      <c r="C317" s="33">
        <v>913.75</v>
      </c>
      <c r="D317" s="11">
        <v>45216</v>
      </c>
      <c r="E317" s="75">
        <v>888.772</v>
      </c>
    </row>
    <row r="318" ht="15.75" spans="1:5">
      <c r="A318" s="33" t="s">
        <v>1809</v>
      </c>
      <c r="B318" s="33">
        <v>399757.297</v>
      </c>
      <c r="C318" s="33">
        <v>913.75</v>
      </c>
      <c r="D318" s="11">
        <v>45217</v>
      </c>
      <c r="E318" s="75">
        <v>888.576</v>
      </c>
    </row>
    <row r="319" ht="15.75" spans="1:5">
      <c r="A319" s="33" t="s">
        <v>1810</v>
      </c>
      <c r="B319" s="33">
        <v>399757.297</v>
      </c>
      <c r="C319" s="33">
        <v>913.75</v>
      </c>
      <c r="D319" s="11">
        <v>45218</v>
      </c>
      <c r="E319" s="75"/>
    </row>
    <row r="320" ht="15.75" spans="1:5">
      <c r="A320" s="33" t="s">
        <v>1811</v>
      </c>
      <c r="B320" s="33">
        <v>399757.297</v>
      </c>
      <c r="C320" s="33">
        <v>913.75</v>
      </c>
      <c r="D320" s="11">
        <v>45219</v>
      </c>
      <c r="E320" s="75">
        <v>888.103</v>
      </c>
    </row>
    <row r="321" ht="15.75" spans="1:5">
      <c r="A321" s="33" t="s">
        <v>1812</v>
      </c>
      <c r="B321" s="33">
        <v>399757.297</v>
      </c>
      <c r="C321" s="33">
        <v>913.75</v>
      </c>
      <c r="D321" s="11">
        <v>45220</v>
      </c>
      <c r="E321" s="75">
        <v>887.95</v>
      </c>
    </row>
    <row r="322" ht="15.75" spans="1:5">
      <c r="A322" s="33" t="s">
        <v>1813</v>
      </c>
      <c r="B322" s="33">
        <v>399757.297</v>
      </c>
      <c r="C322" s="33">
        <v>913.75</v>
      </c>
      <c r="D322" s="11">
        <v>45221</v>
      </c>
      <c r="E322" s="75">
        <v>887.726</v>
      </c>
    </row>
    <row r="323" ht="15.75" spans="1:5">
      <c r="A323" s="33" t="s">
        <v>1814</v>
      </c>
      <c r="B323" s="33">
        <v>399757.297</v>
      </c>
      <c r="C323" s="33">
        <v>913.75</v>
      </c>
      <c r="D323" s="11">
        <v>45222</v>
      </c>
      <c r="E323" s="75">
        <v>887.343</v>
      </c>
    </row>
    <row r="324" ht="15.75" spans="1:5">
      <c r="A324" s="33" t="s">
        <v>1815</v>
      </c>
      <c r="B324" s="33">
        <v>399757.297</v>
      </c>
      <c r="C324" s="33">
        <v>913.75</v>
      </c>
      <c r="D324" s="11">
        <v>45223</v>
      </c>
      <c r="E324" s="75">
        <v>887.222</v>
      </c>
    </row>
    <row r="325" ht="15.75" spans="1:5">
      <c r="A325" s="33" t="s">
        <v>1816</v>
      </c>
      <c r="B325" s="33">
        <v>399757.297</v>
      </c>
      <c r="C325" s="33">
        <v>913.75</v>
      </c>
      <c r="D325" s="11">
        <v>45224</v>
      </c>
      <c r="E325" s="75">
        <v>887.159</v>
      </c>
    </row>
    <row r="326" ht="15.75" spans="1:5">
      <c r="A326" s="33" t="s">
        <v>1817</v>
      </c>
      <c r="B326" s="33">
        <v>399757.297</v>
      </c>
      <c r="C326" s="33">
        <v>913.75</v>
      </c>
      <c r="D326" s="11">
        <v>45225</v>
      </c>
      <c r="E326" s="75">
        <v>887.086</v>
      </c>
    </row>
    <row r="327" ht="15.75" spans="1:5">
      <c r="A327" s="33" t="s">
        <v>1818</v>
      </c>
      <c r="B327" s="33">
        <v>399757.297</v>
      </c>
      <c r="C327" s="33">
        <v>913.75</v>
      </c>
      <c r="D327" s="11">
        <v>45226</v>
      </c>
      <c r="E327" s="75">
        <v>886.95</v>
      </c>
    </row>
    <row r="328" ht="15.75" spans="1:5">
      <c r="A328" s="33" t="s">
        <v>1819</v>
      </c>
      <c r="B328" s="33">
        <v>399757.297</v>
      </c>
      <c r="C328" s="33">
        <v>913.75</v>
      </c>
      <c r="D328" s="11">
        <v>45227</v>
      </c>
      <c r="E328" s="75">
        <v>886.84</v>
      </c>
    </row>
    <row r="329" ht="15.75" spans="1:5">
      <c r="A329" s="33" t="s">
        <v>1820</v>
      </c>
      <c r="B329" s="33">
        <v>399757.297</v>
      </c>
      <c r="C329" s="33">
        <v>913.75</v>
      </c>
      <c r="D329" s="11">
        <v>45228</v>
      </c>
      <c r="E329" s="75">
        <v>886.69</v>
      </c>
    </row>
    <row r="330" ht="15.75" spans="1:5">
      <c r="A330" s="33" t="s">
        <v>1821</v>
      </c>
      <c r="B330" s="33">
        <v>399757.297</v>
      </c>
      <c r="C330" s="33">
        <v>913.75</v>
      </c>
      <c r="D330" s="11">
        <v>45229</v>
      </c>
      <c r="E330" s="75">
        <v>886.55</v>
      </c>
    </row>
    <row r="331" ht="15.75" spans="1:5">
      <c r="A331" s="33" t="s">
        <v>1822</v>
      </c>
      <c r="B331" s="33">
        <v>399757.297</v>
      </c>
      <c r="C331" s="33">
        <v>913.75</v>
      </c>
      <c r="D331" s="11">
        <v>45230</v>
      </c>
      <c r="E331" s="75">
        <v>886.39</v>
      </c>
    </row>
    <row r="332" ht="15.75" spans="1:5">
      <c r="A332" s="33" t="s">
        <v>1823</v>
      </c>
      <c r="B332" s="33">
        <v>399757.297</v>
      </c>
      <c r="C332" s="33">
        <v>913.75</v>
      </c>
      <c r="D332" s="11">
        <v>45231</v>
      </c>
      <c r="E332" s="75">
        <v>886.28</v>
      </c>
    </row>
    <row r="333" ht="15.75" spans="1:5">
      <c r="A333" s="33" t="s">
        <v>1824</v>
      </c>
      <c r="B333" s="33">
        <v>399757.297</v>
      </c>
      <c r="C333" s="33">
        <v>913.75</v>
      </c>
      <c r="D333" s="11">
        <v>45232</v>
      </c>
      <c r="E333" s="75">
        <v>886.289</v>
      </c>
    </row>
    <row r="334" ht="15.75" spans="1:5">
      <c r="A334" s="33" t="s">
        <v>1825</v>
      </c>
      <c r="B334" s="33">
        <v>399757.297</v>
      </c>
      <c r="C334" s="33">
        <v>913.75</v>
      </c>
      <c r="D334" s="11">
        <v>45233</v>
      </c>
      <c r="E334" s="75">
        <v>886.12</v>
      </c>
    </row>
    <row r="335" ht="15.75" spans="1:5">
      <c r="A335" s="33" t="s">
        <v>1826</v>
      </c>
      <c r="B335" s="33">
        <v>399757.297</v>
      </c>
      <c r="C335" s="33">
        <v>913.75</v>
      </c>
      <c r="D335" s="11">
        <v>45234</v>
      </c>
      <c r="E335" s="75">
        <v>886.14</v>
      </c>
    </row>
    <row r="336" ht="15.75" spans="1:5">
      <c r="A336" s="33" t="s">
        <v>1827</v>
      </c>
      <c r="B336" s="33">
        <v>399757.297</v>
      </c>
      <c r="C336" s="33">
        <v>913.75</v>
      </c>
      <c r="D336" s="11">
        <v>45235</v>
      </c>
      <c r="E336" s="75">
        <v>885.95</v>
      </c>
    </row>
    <row r="337" ht="15.75" spans="1:5">
      <c r="A337" s="33" t="s">
        <v>1828</v>
      </c>
      <c r="B337" s="33">
        <v>399757.297</v>
      </c>
      <c r="C337" s="33">
        <v>913.75</v>
      </c>
      <c r="D337" s="11">
        <v>45236</v>
      </c>
      <c r="E337" s="75">
        <v>885.82</v>
      </c>
    </row>
    <row r="338" ht="15.75" spans="1:5">
      <c r="A338" s="33" t="s">
        <v>1829</v>
      </c>
      <c r="B338" s="33">
        <v>399757.297</v>
      </c>
      <c r="C338" s="33">
        <v>913.75</v>
      </c>
      <c r="D338" s="11">
        <v>45237</v>
      </c>
      <c r="E338" s="75">
        <v>885.69</v>
      </c>
    </row>
    <row r="339" ht="15.75" spans="1:5">
      <c r="A339" s="33" t="s">
        <v>1830</v>
      </c>
      <c r="B339" s="33">
        <v>399757.297</v>
      </c>
      <c r="C339" s="33">
        <v>913.75</v>
      </c>
      <c r="D339" s="11">
        <v>45238</v>
      </c>
      <c r="E339" s="75">
        <v>885.59</v>
      </c>
    </row>
    <row r="340" ht="15.75" spans="1:5">
      <c r="A340" s="33" t="s">
        <v>1831</v>
      </c>
      <c r="B340" s="33">
        <v>399757.297</v>
      </c>
      <c r="C340" s="33">
        <v>913.75</v>
      </c>
      <c r="D340" s="11">
        <v>45239</v>
      </c>
      <c r="E340" s="75">
        <v>885.57</v>
      </c>
    </row>
    <row r="341" ht="15.75" spans="1:5">
      <c r="A341" s="33" t="s">
        <v>1832</v>
      </c>
      <c r="B341" s="33">
        <v>399757.297</v>
      </c>
      <c r="C341" s="33">
        <v>913.75</v>
      </c>
      <c r="D341" s="11">
        <v>45240</v>
      </c>
      <c r="E341" s="75">
        <v>885.52</v>
      </c>
    </row>
    <row r="342" ht="15.75" spans="1:5">
      <c r="A342" s="33" t="s">
        <v>1833</v>
      </c>
      <c r="B342" s="33">
        <v>399757.297</v>
      </c>
      <c r="C342" s="33">
        <v>913.75</v>
      </c>
      <c r="D342" s="11">
        <v>45241</v>
      </c>
      <c r="E342" s="75">
        <v>885.47</v>
      </c>
    </row>
    <row r="343" ht="15.75" spans="1:5">
      <c r="A343" s="33" t="s">
        <v>1834</v>
      </c>
      <c r="B343" s="33">
        <v>399757.297</v>
      </c>
      <c r="C343" s="33">
        <v>913.75</v>
      </c>
      <c r="D343" s="11">
        <v>45242</v>
      </c>
      <c r="E343" s="75">
        <v>885.36</v>
      </c>
    </row>
    <row r="344" ht="15.75" spans="1:5">
      <c r="A344" s="33" t="s">
        <v>1835</v>
      </c>
      <c r="B344" s="33">
        <v>399757.297</v>
      </c>
      <c r="C344" s="33">
        <v>913.75</v>
      </c>
      <c r="D344" s="11">
        <v>45243</v>
      </c>
      <c r="E344" s="75">
        <v>885.34</v>
      </c>
    </row>
    <row r="345" ht="15.75" spans="1:5">
      <c r="A345" s="33" t="s">
        <v>1836</v>
      </c>
      <c r="B345" s="33">
        <v>399757.297</v>
      </c>
      <c r="C345" s="33">
        <v>913.75</v>
      </c>
      <c r="D345" s="11">
        <v>45244</v>
      </c>
      <c r="E345" s="75">
        <v>885.23</v>
      </c>
    </row>
    <row r="346" ht="15.75" spans="1:5">
      <c r="A346" s="33" t="s">
        <v>1837</v>
      </c>
      <c r="B346" s="33">
        <v>399757.297</v>
      </c>
      <c r="C346" s="33">
        <v>913.75</v>
      </c>
      <c r="D346" s="11">
        <v>45245</v>
      </c>
      <c r="E346" s="75">
        <v>885.12</v>
      </c>
    </row>
    <row r="347" ht="15.75" spans="1:5">
      <c r="A347" s="33" t="s">
        <v>1838</v>
      </c>
      <c r="B347" s="33">
        <v>399757.297</v>
      </c>
      <c r="C347" s="33">
        <v>913.75</v>
      </c>
      <c r="D347" s="11">
        <v>45246</v>
      </c>
      <c r="E347" s="75">
        <v>884.99</v>
      </c>
    </row>
    <row r="348" ht="15.75" spans="1:5">
      <c r="A348" s="33" t="s">
        <v>1839</v>
      </c>
      <c r="B348" s="33">
        <v>399757.297</v>
      </c>
      <c r="C348" s="33">
        <v>913.75</v>
      </c>
      <c r="D348" s="11">
        <v>45247</v>
      </c>
      <c r="E348" s="75">
        <v>884.98</v>
      </c>
    </row>
    <row r="349" ht="15.75" spans="1:5">
      <c r="A349" s="33" t="s">
        <v>1840</v>
      </c>
      <c r="B349" s="33">
        <v>399757.297</v>
      </c>
      <c r="C349" s="33">
        <v>913.75</v>
      </c>
      <c r="D349" s="11">
        <v>45248</v>
      </c>
      <c r="E349" s="75">
        <v>884.95</v>
      </c>
    </row>
    <row r="350" ht="15.75" spans="1:5">
      <c r="A350" s="33" t="s">
        <v>1841</v>
      </c>
      <c r="B350" s="33">
        <v>399757.297</v>
      </c>
      <c r="C350" s="33">
        <v>913.75</v>
      </c>
      <c r="D350" s="11">
        <v>45249</v>
      </c>
      <c r="E350" s="75">
        <v>884.95</v>
      </c>
    </row>
    <row r="351" ht="15.75" spans="1:5">
      <c r="A351" s="33" t="s">
        <v>1842</v>
      </c>
      <c r="B351" s="33">
        <v>399757.297</v>
      </c>
      <c r="C351" s="33">
        <v>913.75</v>
      </c>
      <c r="D351" s="11">
        <v>45250</v>
      </c>
      <c r="E351" s="75">
        <v>884.95</v>
      </c>
    </row>
    <row r="352" ht="15.75" spans="1:5">
      <c r="A352" s="33" t="s">
        <v>1843</v>
      </c>
      <c r="B352" s="33">
        <v>399757.297</v>
      </c>
      <c r="C352" s="33">
        <v>913.75</v>
      </c>
      <c r="D352" s="11">
        <v>45251</v>
      </c>
      <c r="E352" s="75">
        <v>884.86</v>
      </c>
    </row>
    <row r="353" ht="15.75" spans="1:5">
      <c r="A353" s="33" t="s">
        <v>1844</v>
      </c>
      <c r="B353" s="33">
        <v>399757.297</v>
      </c>
      <c r="C353" s="33">
        <v>913.75</v>
      </c>
      <c r="D353" s="11">
        <v>45252</v>
      </c>
      <c r="E353" s="75">
        <v>884.9</v>
      </c>
    </row>
    <row r="354" ht="15.75" spans="1:5">
      <c r="A354" s="33" t="s">
        <v>1845</v>
      </c>
      <c r="B354" s="33">
        <v>399757.297</v>
      </c>
      <c r="C354" s="33">
        <v>913.75</v>
      </c>
      <c r="D354" s="11">
        <v>45253</v>
      </c>
      <c r="E354" s="75">
        <v>884.88</v>
      </c>
    </row>
    <row r="355" ht="15.75" spans="1:5">
      <c r="A355" s="33" t="s">
        <v>1846</v>
      </c>
      <c r="B355" s="33">
        <v>399757.297</v>
      </c>
      <c r="C355" s="33">
        <v>913.75</v>
      </c>
      <c r="D355" s="11">
        <v>45254</v>
      </c>
      <c r="E355" s="75">
        <v>884.89</v>
      </c>
    </row>
    <row r="356" ht="15.75" spans="1:5">
      <c r="A356" s="33" t="s">
        <v>1847</v>
      </c>
      <c r="B356" s="33">
        <v>399757.297</v>
      </c>
      <c r="C356" s="33">
        <v>913.75</v>
      </c>
      <c r="D356" s="11">
        <v>45255</v>
      </c>
      <c r="E356" s="75"/>
    </row>
    <row r="357" ht="15.75" spans="1:5">
      <c r="A357" s="33" t="s">
        <v>1848</v>
      </c>
      <c r="B357" s="33">
        <v>399757.297</v>
      </c>
      <c r="C357" s="33">
        <v>913.75</v>
      </c>
      <c r="D357" s="11">
        <v>45256</v>
      </c>
      <c r="E357" s="75"/>
    </row>
    <row r="358" ht="15.75" spans="1:5">
      <c r="A358" s="33" t="s">
        <v>1849</v>
      </c>
      <c r="B358" s="33">
        <v>399757.297</v>
      </c>
      <c r="C358" s="33">
        <v>913.75</v>
      </c>
      <c r="D358" s="11">
        <v>45257</v>
      </c>
      <c r="E358" s="75"/>
    </row>
    <row r="359" ht="15.75" spans="1:5">
      <c r="A359" s="33" t="s">
        <v>1850</v>
      </c>
      <c r="B359" s="33">
        <v>399757.297</v>
      </c>
      <c r="C359" s="33">
        <v>913.75</v>
      </c>
      <c r="D359" s="11">
        <v>45258</v>
      </c>
      <c r="E359" s="75">
        <v>884.84</v>
      </c>
    </row>
    <row r="360" ht="15.75" spans="1:5">
      <c r="A360" s="33" t="s">
        <v>1851</v>
      </c>
      <c r="B360" s="33">
        <v>399757.297</v>
      </c>
      <c r="C360" s="33">
        <v>913.75</v>
      </c>
      <c r="D360" s="11">
        <v>45259</v>
      </c>
      <c r="E360" s="75">
        <v>884.64</v>
      </c>
    </row>
    <row r="361" ht="15.75" spans="1:5">
      <c r="A361" s="33" t="s">
        <v>1852</v>
      </c>
      <c r="B361" s="33">
        <v>399757.297</v>
      </c>
      <c r="C361" s="33">
        <v>913.75</v>
      </c>
      <c r="D361" s="11">
        <v>45260</v>
      </c>
      <c r="E361" s="75">
        <v>884.66</v>
      </c>
    </row>
    <row r="362" ht="15.75" spans="1:5">
      <c r="A362" s="33" t="s">
        <v>1853</v>
      </c>
      <c r="B362" s="33">
        <v>399757.297</v>
      </c>
      <c r="C362" s="33">
        <v>913.75</v>
      </c>
      <c r="D362" s="11">
        <v>45261</v>
      </c>
      <c r="E362" s="75">
        <v>884.63</v>
      </c>
    </row>
    <row r="363" ht="15.75" spans="1:5">
      <c r="A363" s="33" t="s">
        <v>1854</v>
      </c>
      <c r="B363" s="33">
        <v>399757.297</v>
      </c>
      <c r="C363" s="33">
        <v>913.75</v>
      </c>
      <c r="D363" s="11">
        <v>45262</v>
      </c>
      <c r="E363" s="75">
        <v>884.6</v>
      </c>
    </row>
    <row r="364" ht="15.75" spans="1:5">
      <c r="A364" s="33" t="s">
        <v>1855</v>
      </c>
      <c r="B364" s="33">
        <v>399757.297</v>
      </c>
      <c r="C364" s="33">
        <v>913.75</v>
      </c>
      <c r="D364" s="11">
        <v>45263</v>
      </c>
      <c r="E364" s="75">
        <v>884.69</v>
      </c>
    </row>
    <row r="365" ht="15.75" spans="1:5">
      <c r="A365" s="33" t="s">
        <v>1856</v>
      </c>
      <c r="B365" s="33">
        <v>399757.297</v>
      </c>
      <c r="C365" s="33">
        <v>913.75</v>
      </c>
      <c r="D365" s="11">
        <v>45264</v>
      </c>
      <c r="E365" s="75">
        <v>884.69</v>
      </c>
    </row>
    <row r="366" ht="15.75" spans="1:5">
      <c r="A366" s="33" t="s">
        <v>1857</v>
      </c>
      <c r="B366" s="33">
        <v>399757.297</v>
      </c>
      <c r="C366" s="33">
        <v>913.75</v>
      </c>
      <c r="D366" s="11">
        <v>45265</v>
      </c>
      <c r="E366" s="75">
        <v>884.72</v>
      </c>
    </row>
    <row r="367" ht="15.75" spans="1:5">
      <c r="A367" s="33" t="s">
        <v>1858</v>
      </c>
      <c r="B367" s="33">
        <v>399757.297</v>
      </c>
      <c r="C367" s="33">
        <v>913.75</v>
      </c>
      <c r="D367" s="11">
        <v>45266</v>
      </c>
      <c r="E367" s="75">
        <v>884.62</v>
      </c>
    </row>
    <row r="368" ht="15.75" spans="1:5">
      <c r="A368" s="33" t="s">
        <v>1859</v>
      </c>
      <c r="B368" s="33">
        <v>399757.297</v>
      </c>
      <c r="C368" s="33">
        <v>913.75</v>
      </c>
      <c r="D368" s="11">
        <v>45267</v>
      </c>
      <c r="E368" s="75">
        <v>884.67</v>
      </c>
    </row>
    <row r="369" ht="15.75" spans="1:5">
      <c r="A369" s="33" t="s">
        <v>1860</v>
      </c>
      <c r="B369" s="33">
        <v>399757.297</v>
      </c>
      <c r="C369" s="33">
        <v>913.75</v>
      </c>
      <c r="D369" s="11">
        <v>45268</v>
      </c>
      <c r="E369" s="75">
        <v>884.669</v>
      </c>
    </row>
    <row r="370" ht="15.75" spans="1:5">
      <c r="A370" s="33" t="s">
        <v>1861</v>
      </c>
      <c r="B370" s="33">
        <v>399757.297</v>
      </c>
      <c r="C370" s="33">
        <v>913.75</v>
      </c>
      <c r="D370" s="11">
        <v>45269</v>
      </c>
      <c r="E370" s="75">
        <v>884.209</v>
      </c>
    </row>
    <row r="371" ht="15.75" spans="1:5">
      <c r="A371" s="33" t="s">
        <v>1862</v>
      </c>
      <c r="B371" s="33">
        <v>399757.297</v>
      </c>
      <c r="C371" s="33">
        <v>913.75</v>
      </c>
      <c r="D371" s="11">
        <v>45270</v>
      </c>
      <c r="E371" s="75">
        <v>884.262</v>
      </c>
    </row>
    <row r="372" ht="15.75" spans="1:5">
      <c r="A372" s="33" t="s">
        <v>1863</v>
      </c>
      <c r="B372" s="33">
        <v>399757.297</v>
      </c>
      <c r="C372" s="33">
        <v>913.75</v>
      </c>
      <c r="D372" s="11">
        <v>45271</v>
      </c>
      <c r="E372" s="75">
        <v>884.219</v>
      </c>
    </row>
    <row r="373" ht="15.75" spans="1:5">
      <c r="A373" s="33" t="s">
        <v>1864</v>
      </c>
      <c r="B373" s="33">
        <v>399757.297</v>
      </c>
      <c r="C373" s="33">
        <v>913.75</v>
      </c>
      <c r="D373" s="11">
        <v>45272</v>
      </c>
      <c r="E373" s="75">
        <v>884.305</v>
      </c>
    </row>
    <row r="374" ht="15.75" spans="1:5">
      <c r="A374" s="33" t="s">
        <v>1865</v>
      </c>
      <c r="B374" s="33">
        <v>399757.297</v>
      </c>
      <c r="C374" s="33">
        <v>913.75</v>
      </c>
      <c r="D374" s="11">
        <v>45273</v>
      </c>
      <c r="E374" s="75">
        <v>884.371</v>
      </c>
    </row>
    <row r="375" ht="15.75" spans="1:5">
      <c r="A375" s="33" t="s">
        <v>1866</v>
      </c>
      <c r="B375" s="33">
        <v>399757.297</v>
      </c>
      <c r="C375" s="33">
        <v>913.75</v>
      </c>
      <c r="D375" s="11">
        <v>45274</v>
      </c>
      <c r="E375" s="75">
        <v>884.358</v>
      </c>
    </row>
    <row r="376" ht="15.75" spans="1:5">
      <c r="A376" s="33" t="s">
        <v>1867</v>
      </c>
      <c r="B376" s="33">
        <v>399757.297</v>
      </c>
      <c r="C376" s="33">
        <v>913.75</v>
      </c>
      <c r="D376" s="11">
        <v>45275</v>
      </c>
      <c r="E376" s="75">
        <v>884.363</v>
      </c>
    </row>
    <row r="377" ht="15.75" spans="1:5">
      <c r="A377" s="33" t="s">
        <v>1868</v>
      </c>
      <c r="B377" s="33">
        <v>399757.297</v>
      </c>
      <c r="C377" s="33">
        <v>913.75</v>
      </c>
      <c r="D377" s="11">
        <v>45276</v>
      </c>
      <c r="E377" s="75">
        <v>884.278</v>
      </c>
    </row>
    <row r="378" ht="15.75" spans="1:5">
      <c r="A378" s="33" t="s">
        <v>1869</v>
      </c>
      <c r="B378" s="33">
        <v>399757.297</v>
      </c>
      <c r="C378" s="33">
        <v>913.75</v>
      </c>
      <c r="D378" s="11">
        <v>45277</v>
      </c>
      <c r="E378" s="75">
        <v>884.296</v>
      </c>
    </row>
    <row r="379" ht="15.75" spans="1:5">
      <c r="A379" s="33" t="s">
        <v>1870</v>
      </c>
      <c r="B379" s="33">
        <v>399757.297</v>
      </c>
      <c r="C379" s="33">
        <v>913.75</v>
      </c>
      <c r="D379" s="11">
        <v>45278</v>
      </c>
      <c r="E379" s="75">
        <v>884.23</v>
      </c>
    </row>
    <row r="380" ht="15.75" spans="1:5">
      <c r="A380" s="33" t="s">
        <v>1871</v>
      </c>
      <c r="B380" s="33">
        <v>399757.297</v>
      </c>
      <c r="C380" s="33">
        <v>913.75</v>
      </c>
      <c r="D380" s="11">
        <v>45279</v>
      </c>
      <c r="E380" s="75">
        <v>884.169</v>
      </c>
    </row>
    <row r="381" ht="15.75" spans="1:5">
      <c r="A381" s="33" t="s">
        <v>1872</v>
      </c>
      <c r="B381" s="33">
        <v>399757.297</v>
      </c>
      <c r="C381" s="33">
        <v>913.75</v>
      </c>
      <c r="D381" s="11">
        <v>45280</v>
      </c>
      <c r="E381" s="75">
        <v>884.129</v>
      </c>
    </row>
    <row r="382" ht="15.75" spans="1:5">
      <c r="A382" s="33" t="s">
        <v>1873</v>
      </c>
      <c r="B382" s="33">
        <v>399757.297</v>
      </c>
      <c r="C382" s="33">
        <v>913.75</v>
      </c>
      <c r="D382" s="11">
        <v>45281</v>
      </c>
      <c r="E382" s="75">
        <v>884.075</v>
      </c>
    </row>
    <row r="383" ht="15.75" spans="1:5">
      <c r="A383" s="33" t="s">
        <v>1874</v>
      </c>
      <c r="B383" s="33">
        <v>399757.297</v>
      </c>
      <c r="C383" s="33">
        <v>913.75</v>
      </c>
      <c r="D383" s="11">
        <v>45282</v>
      </c>
      <c r="E383" s="75">
        <v>884.076</v>
      </c>
    </row>
    <row r="384" ht="15.75" spans="1:5">
      <c r="A384" s="33" t="s">
        <v>1875</v>
      </c>
      <c r="B384" s="33">
        <v>399757.297</v>
      </c>
      <c r="C384" s="33">
        <v>913.75</v>
      </c>
      <c r="D384" s="11">
        <v>45283</v>
      </c>
      <c r="E384" s="75">
        <v>884.035</v>
      </c>
    </row>
    <row r="385" ht="15.75" spans="1:5">
      <c r="A385" s="33" t="s">
        <v>1876</v>
      </c>
      <c r="B385" s="33">
        <v>399757.297</v>
      </c>
      <c r="C385" s="33">
        <v>913.75</v>
      </c>
      <c r="D385" s="11">
        <v>45284</v>
      </c>
      <c r="E385" s="75">
        <v>883.96</v>
      </c>
    </row>
    <row r="386" ht="15.75" spans="1:5">
      <c r="A386" s="33" t="s">
        <v>1877</v>
      </c>
      <c r="B386" s="33">
        <v>399757.297</v>
      </c>
      <c r="C386" s="33">
        <v>913.75</v>
      </c>
      <c r="D386" s="11">
        <v>45285</v>
      </c>
      <c r="E386" s="75">
        <v>883.914</v>
      </c>
    </row>
    <row r="387" ht="15.75" spans="1:5">
      <c r="A387" s="33" t="s">
        <v>1878</v>
      </c>
      <c r="B387" s="33">
        <v>399757.297</v>
      </c>
      <c r="C387" s="33">
        <v>913.75</v>
      </c>
      <c r="D387" s="11">
        <v>45286</v>
      </c>
      <c r="E387" s="75">
        <v>883.796</v>
      </c>
    </row>
    <row r="388" ht="15.75" spans="1:5">
      <c r="A388" s="33" t="s">
        <v>1879</v>
      </c>
      <c r="B388" s="33">
        <v>399757.297</v>
      </c>
      <c r="C388" s="33">
        <v>913.75</v>
      </c>
      <c r="D388" s="11">
        <v>45287</v>
      </c>
      <c r="E388" s="75">
        <v>883.758</v>
      </c>
    </row>
    <row r="389" ht="15.75" spans="1:5">
      <c r="A389" s="33" t="s">
        <v>1880</v>
      </c>
      <c r="B389" s="33">
        <v>399757.297</v>
      </c>
      <c r="C389" s="33">
        <v>913.75</v>
      </c>
      <c r="D389" s="11">
        <v>45288</v>
      </c>
      <c r="E389" s="75">
        <v>883.782</v>
      </c>
    </row>
    <row r="390" ht="15.75" spans="1:5">
      <c r="A390" s="33" t="s">
        <v>1881</v>
      </c>
      <c r="B390" s="33">
        <v>399757.297</v>
      </c>
      <c r="C390" s="33">
        <v>913.75</v>
      </c>
      <c r="D390" s="11">
        <v>45289</v>
      </c>
      <c r="E390" s="75">
        <v>883.857</v>
      </c>
    </row>
    <row r="391" ht="15.75" spans="1:5">
      <c r="A391" s="33" t="s">
        <v>1882</v>
      </c>
      <c r="B391" s="33">
        <v>399757.297</v>
      </c>
      <c r="C391" s="33">
        <v>913.75</v>
      </c>
      <c r="D391" s="11">
        <v>45290</v>
      </c>
      <c r="E391" s="75">
        <v>883.634</v>
      </c>
    </row>
    <row r="392" ht="15.75" spans="1:5">
      <c r="A392" s="33" t="s">
        <v>1883</v>
      </c>
      <c r="B392" s="33">
        <v>399757.297</v>
      </c>
      <c r="C392" s="33">
        <v>913.75</v>
      </c>
      <c r="D392" s="11">
        <v>45291</v>
      </c>
      <c r="E392" s="75">
        <v>883.646</v>
      </c>
    </row>
    <row r="393" ht="15.75" spans="1:5">
      <c r="A393" s="33" t="s">
        <v>1884</v>
      </c>
      <c r="B393" s="33">
        <v>399757.297</v>
      </c>
      <c r="C393" s="33">
        <v>913.75</v>
      </c>
      <c r="D393" s="11">
        <v>45292</v>
      </c>
      <c r="E393" s="75">
        <v>883.723</v>
      </c>
    </row>
    <row r="394" ht="15.75" spans="1:5">
      <c r="A394" s="33" t="s">
        <v>1885</v>
      </c>
      <c r="B394" s="33">
        <v>399757.297</v>
      </c>
      <c r="C394" s="33">
        <v>913.75</v>
      </c>
      <c r="D394" s="11">
        <v>45293</v>
      </c>
      <c r="E394" s="75">
        <v>883.723</v>
      </c>
    </row>
    <row r="395" ht="15.75" spans="1:5">
      <c r="A395" s="33" t="s">
        <v>1886</v>
      </c>
      <c r="B395" s="33">
        <v>399757.297</v>
      </c>
      <c r="C395" s="33">
        <v>913.75</v>
      </c>
      <c r="D395" s="11">
        <v>45294</v>
      </c>
      <c r="E395" s="75">
        <v>883.723</v>
      </c>
    </row>
    <row r="396" ht="15.75" spans="1:5">
      <c r="A396" s="33" t="s">
        <v>1887</v>
      </c>
      <c r="B396" s="33">
        <v>399757.297</v>
      </c>
      <c r="C396" s="33">
        <v>913.75</v>
      </c>
      <c r="D396" s="11">
        <v>45295</v>
      </c>
      <c r="E396" s="75"/>
    </row>
    <row r="397" ht="15.75" spans="1:5">
      <c r="A397" s="33" t="s">
        <v>1888</v>
      </c>
      <c r="B397" s="33">
        <v>399757.297</v>
      </c>
      <c r="C397" s="33">
        <v>913.75</v>
      </c>
      <c r="D397" s="11">
        <v>45296</v>
      </c>
      <c r="E397" s="79">
        <v>883.799</v>
      </c>
    </row>
    <row r="398" ht="15.75" spans="1:5">
      <c r="A398" s="33" t="s">
        <v>1889</v>
      </c>
      <c r="B398" s="33">
        <v>399757.297</v>
      </c>
      <c r="C398" s="33">
        <v>913.75</v>
      </c>
      <c r="D398" s="11">
        <v>45297</v>
      </c>
      <c r="E398" s="79">
        <v>883.803</v>
      </c>
    </row>
    <row r="399" ht="15.75" spans="1:5">
      <c r="A399" s="33" t="s">
        <v>1890</v>
      </c>
      <c r="B399" s="33">
        <v>399757.297</v>
      </c>
      <c r="C399" s="33">
        <v>913.75</v>
      </c>
      <c r="D399" s="11">
        <v>45298</v>
      </c>
      <c r="E399" s="79">
        <v>883.78</v>
      </c>
    </row>
    <row r="400" ht="15.75" spans="1:5">
      <c r="A400" s="33" t="s">
        <v>1891</v>
      </c>
      <c r="B400" s="33">
        <v>399757.297</v>
      </c>
      <c r="C400" s="33">
        <v>913.75</v>
      </c>
      <c r="D400" s="11">
        <v>45299</v>
      </c>
      <c r="E400" s="75"/>
    </row>
    <row r="401" ht="15.75" spans="1:5">
      <c r="A401" s="33" t="s">
        <v>1892</v>
      </c>
      <c r="B401" s="33">
        <v>399757.297</v>
      </c>
      <c r="C401" s="33">
        <v>913.75</v>
      </c>
      <c r="D401" s="11">
        <v>45300</v>
      </c>
      <c r="E401" s="79">
        <v>883.497</v>
      </c>
    </row>
    <row r="402" ht="15.75" spans="1:5">
      <c r="A402" s="33" t="s">
        <v>1893</v>
      </c>
      <c r="B402" s="33">
        <v>399757.297</v>
      </c>
      <c r="C402" s="33">
        <v>913.75</v>
      </c>
      <c r="D402" s="11">
        <v>45301</v>
      </c>
      <c r="E402" s="79">
        <v>883.609</v>
      </c>
    </row>
    <row r="403" ht="15.75" spans="1:5">
      <c r="A403" s="33" t="s">
        <v>1894</v>
      </c>
      <c r="B403" s="33">
        <v>399757.297</v>
      </c>
      <c r="C403" s="33">
        <v>913.75</v>
      </c>
      <c r="D403" s="11">
        <v>45302</v>
      </c>
      <c r="E403" s="79">
        <v>883.67</v>
      </c>
    </row>
    <row r="404" ht="15.75" spans="1:5">
      <c r="A404" s="33" t="s">
        <v>1895</v>
      </c>
      <c r="B404" s="33">
        <v>399757.297</v>
      </c>
      <c r="C404" s="33">
        <v>913.75</v>
      </c>
      <c r="D404" s="11">
        <v>45303</v>
      </c>
      <c r="E404" s="79">
        <v>883.736</v>
      </c>
    </row>
    <row r="405" ht="15.75" spans="1:5">
      <c r="A405" s="33" t="s">
        <v>1896</v>
      </c>
      <c r="B405" s="33">
        <v>399757.297</v>
      </c>
      <c r="C405" s="33">
        <v>913.75</v>
      </c>
      <c r="D405" s="11">
        <v>45304</v>
      </c>
      <c r="E405" s="79">
        <v>883.769</v>
      </c>
    </row>
    <row r="406" ht="15.75" spans="1:5">
      <c r="A406" s="33" t="s">
        <v>1897</v>
      </c>
      <c r="B406" s="33">
        <v>399757.297</v>
      </c>
      <c r="C406" s="33">
        <v>913.75</v>
      </c>
      <c r="D406" s="11">
        <v>45305</v>
      </c>
      <c r="E406" s="79">
        <v>883.756</v>
      </c>
    </row>
    <row r="407" ht="15.75" spans="1:5">
      <c r="A407" s="33" t="s">
        <v>1898</v>
      </c>
      <c r="B407" s="33">
        <v>399757.297</v>
      </c>
      <c r="C407" s="33">
        <v>913.75</v>
      </c>
      <c r="D407" s="11">
        <v>45306</v>
      </c>
      <c r="E407" s="79">
        <v>883.745</v>
      </c>
    </row>
    <row r="408" ht="15.75" spans="1:5">
      <c r="A408" s="33" t="s">
        <v>1899</v>
      </c>
      <c r="B408" s="33">
        <v>399757.297</v>
      </c>
      <c r="C408" s="33">
        <v>913.75</v>
      </c>
      <c r="D408" s="11">
        <v>45307</v>
      </c>
      <c r="E408" s="79">
        <v>883.719</v>
      </c>
    </row>
    <row r="409" ht="15.75" spans="1:5">
      <c r="A409" s="33" t="s">
        <v>1900</v>
      </c>
      <c r="B409" s="33">
        <v>399757.297</v>
      </c>
      <c r="C409" s="33">
        <v>913.75</v>
      </c>
      <c r="D409" s="11">
        <v>45308</v>
      </c>
      <c r="E409" s="79">
        <v>883.729</v>
      </c>
    </row>
    <row r="410" ht="15.75" spans="1:5">
      <c r="A410" s="33" t="s">
        <v>1901</v>
      </c>
      <c r="B410" s="33">
        <v>399757.297</v>
      </c>
      <c r="C410" s="33">
        <v>913.75</v>
      </c>
      <c r="D410" s="11">
        <v>45309</v>
      </c>
      <c r="E410" s="79">
        <v>883.703</v>
      </c>
    </row>
    <row r="411" ht="15.75" spans="1:5">
      <c r="A411" s="33" t="s">
        <v>1902</v>
      </c>
      <c r="B411" s="33">
        <v>399757.297</v>
      </c>
      <c r="C411" s="33">
        <v>913.75</v>
      </c>
      <c r="D411" s="11">
        <v>45310</v>
      </c>
      <c r="E411" s="79">
        <v>883.655</v>
      </c>
    </row>
    <row r="412" ht="15.75" spans="1:5">
      <c r="A412" s="33" t="s">
        <v>1903</v>
      </c>
      <c r="B412" s="33">
        <v>399757.297</v>
      </c>
      <c r="C412" s="33">
        <v>913.75</v>
      </c>
      <c r="D412" s="11">
        <v>45311</v>
      </c>
      <c r="E412" s="79">
        <v>883.639</v>
      </c>
    </row>
    <row r="413" ht="15.75" spans="1:5">
      <c r="A413" s="33" t="s">
        <v>1904</v>
      </c>
      <c r="B413" s="33">
        <v>399757.297</v>
      </c>
      <c r="C413" s="33">
        <v>913.75</v>
      </c>
      <c r="D413" s="11">
        <v>45312</v>
      </c>
      <c r="E413" s="79">
        <v>883.533</v>
      </c>
    </row>
    <row r="414" ht="15.75" spans="1:5">
      <c r="A414" s="33" t="s">
        <v>1905</v>
      </c>
      <c r="B414" s="33">
        <v>399757.297</v>
      </c>
      <c r="C414" s="33">
        <v>913.75</v>
      </c>
      <c r="D414" s="11">
        <v>45313</v>
      </c>
      <c r="E414" s="79">
        <v>883.549</v>
      </c>
    </row>
    <row r="415" ht="15.75" spans="1:5">
      <c r="A415" s="33" t="s">
        <v>1906</v>
      </c>
      <c r="B415" s="33">
        <v>399757.297</v>
      </c>
      <c r="C415" s="33">
        <v>913.75</v>
      </c>
      <c r="D415" s="11">
        <v>45314</v>
      </c>
      <c r="E415" s="79">
        <v>883.584</v>
      </c>
    </row>
    <row r="416" ht="15.75" spans="1:5">
      <c r="A416" s="33" t="s">
        <v>1907</v>
      </c>
      <c r="B416" s="33">
        <v>399757.297</v>
      </c>
      <c r="C416" s="33">
        <v>913.75</v>
      </c>
      <c r="D416" s="11">
        <v>45315</v>
      </c>
      <c r="E416" s="79">
        <v>883.612</v>
      </c>
    </row>
    <row r="417" ht="15.75" spans="1:5">
      <c r="A417" s="33" t="s">
        <v>1908</v>
      </c>
      <c r="B417" s="33">
        <v>399757.297</v>
      </c>
      <c r="C417" s="33">
        <v>913.75</v>
      </c>
      <c r="D417" s="11">
        <v>45316</v>
      </c>
      <c r="E417" s="79">
        <v>883.597</v>
      </c>
    </row>
    <row r="418" ht="15.75" spans="1:5">
      <c r="A418" s="33" t="s">
        <v>1909</v>
      </c>
      <c r="B418" s="33">
        <v>399757.297</v>
      </c>
      <c r="C418" s="33">
        <v>913.75</v>
      </c>
      <c r="D418" s="11">
        <v>45317</v>
      </c>
      <c r="E418" s="79">
        <v>883.39</v>
      </c>
    </row>
    <row r="419" ht="15.75" spans="1:5">
      <c r="A419" s="33" t="s">
        <v>1910</v>
      </c>
      <c r="B419" s="33">
        <v>399757.297</v>
      </c>
      <c r="C419" s="33">
        <v>913.75</v>
      </c>
      <c r="D419" s="11">
        <v>45318</v>
      </c>
      <c r="E419" s="79">
        <v>883.25</v>
      </c>
    </row>
    <row r="420" ht="15.75" spans="1:5">
      <c r="A420" s="33" t="s">
        <v>1911</v>
      </c>
      <c r="B420" s="33">
        <v>399757.297</v>
      </c>
      <c r="C420" s="33">
        <v>913.75</v>
      </c>
      <c r="D420" s="11">
        <v>45319</v>
      </c>
      <c r="E420" s="79">
        <v>883.348</v>
      </c>
    </row>
    <row r="421" ht="15.75" spans="1:5">
      <c r="A421" s="33" t="s">
        <v>1912</v>
      </c>
      <c r="B421" s="33">
        <v>399757.297</v>
      </c>
      <c r="C421" s="33">
        <v>913.75</v>
      </c>
      <c r="D421" s="11">
        <v>45320</v>
      </c>
      <c r="E421" s="79">
        <v>883.491</v>
      </c>
    </row>
    <row r="422" ht="15.75" spans="1:5">
      <c r="A422" s="33" t="s">
        <v>1913</v>
      </c>
      <c r="B422" s="33">
        <v>399757.297</v>
      </c>
      <c r="C422" s="33">
        <v>913.75</v>
      </c>
      <c r="D422" s="11">
        <v>45321</v>
      </c>
      <c r="E422" s="79">
        <v>883.563</v>
      </c>
    </row>
    <row r="423" ht="15.75" spans="1:5">
      <c r="A423" s="33" t="s">
        <v>1914</v>
      </c>
      <c r="B423" s="33">
        <v>399757.297</v>
      </c>
      <c r="C423" s="33">
        <v>913.75</v>
      </c>
      <c r="D423" s="11">
        <v>45322</v>
      </c>
      <c r="E423" s="79">
        <v>883.67</v>
      </c>
    </row>
    <row r="424" ht="15.75" spans="1:5">
      <c r="A424" s="33" t="s">
        <v>1915</v>
      </c>
      <c r="B424" s="33">
        <v>399757.297</v>
      </c>
      <c r="C424" s="33">
        <v>913.75</v>
      </c>
      <c r="D424" s="11">
        <v>45323</v>
      </c>
      <c r="E424" s="79">
        <v>883.727</v>
      </c>
    </row>
    <row r="425" ht="15.75" spans="1:5">
      <c r="A425" s="33" t="s">
        <v>1916</v>
      </c>
      <c r="B425" s="33">
        <v>399757.297</v>
      </c>
      <c r="C425" s="33">
        <v>913.75</v>
      </c>
      <c r="D425" s="11">
        <v>45324</v>
      </c>
      <c r="E425" s="79">
        <v>883.786</v>
      </c>
    </row>
    <row r="426" ht="15.75" spans="1:5">
      <c r="A426" s="33" t="s">
        <v>1917</v>
      </c>
      <c r="B426" s="33">
        <v>399757.297</v>
      </c>
      <c r="C426" s="33">
        <v>913.75</v>
      </c>
      <c r="D426" s="11">
        <v>45325</v>
      </c>
      <c r="E426" s="79">
        <v>883.76</v>
      </c>
    </row>
    <row r="427" ht="15.75" spans="1:5">
      <c r="A427" s="33" t="s">
        <v>1918</v>
      </c>
      <c r="B427" s="33">
        <v>399757.297</v>
      </c>
      <c r="C427" s="33">
        <v>913.75</v>
      </c>
      <c r="D427" s="11">
        <v>45326</v>
      </c>
      <c r="E427" s="79">
        <v>883.79</v>
      </c>
    </row>
    <row r="428" ht="15.75" spans="1:5">
      <c r="A428" s="33" t="s">
        <v>1919</v>
      </c>
      <c r="B428" s="33">
        <v>399757.297</v>
      </c>
      <c r="C428" s="33">
        <v>913.75</v>
      </c>
      <c r="D428" s="11">
        <v>45327</v>
      </c>
      <c r="E428" s="79">
        <v>883.796</v>
      </c>
    </row>
    <row r="429" ht="15.75" spans="1:5">
      <c r="A429" s="33" t="s">
        <v>1920</v>
      </c>
      <c r="B429" s="33">
        <v>399757.297</v>
      </c>
      <c r="C429" s="33">
        <v>913.75</v>
      </c>
      <c r="D429" s="11">
        <v>45328</v>
      </c>
      <c r="E429" s="79">
        <v>883.865</v>
      </c>
    </row>
    <row r="430" ht="15.75" spans="1:5">
      <c r="A430" s="33" t="s">
        <v>1921</v>
      </c>
      <c r="B430" s="33">
        <v>399757.297</v>
      </c>
      <c r="C430" s="33">
        <v>913.75</v>
      </c>
      <c r="D430" s="11">
        <v>45329</v>
      </c>
      <c r="E430" s="79">
        <v>883.864</v>
      </c>
    </row>
    <row r="431" ht="15.75" spans="1:5">
      <c r="A431" s="33" t="s">
        <v>1922</v>
      </c>
      <c r="B431" s="33">
        <v>399757.297</v>
      </c>
      <c r="C431" s="33">
        <v>913.75</v>
      </c>
      <c r="D431" s="11">
        <v>45330</v>
      </c>
      <c r="E431" s="79">
        <v>883.809</v>
      </c>
    </row>
    <row r="432" ht="15.75" spans="1:5">
      <c r="A432" s="33" t="s">
        <v>1923</v>
      </c>
      <c r="B432" s="33">
        <v>399757.297</v>
      </c>
      <c r="C432" s="33">
        <v>913.75</v>
      </c>
      <c r="D432" s="11">
        <v>45331</v>
      </c>
      <c r="E432" s="79">
        <v>883.734</v>
      </c>
    </row>
    <row r="433" ht="15.75" spans="1:5">
      <c r="A433" s="33" t="s">
        <v>1924</v>
      </c>
      <c r="B433" s="33">
        <v>399757.297</v>
      </c>
      <c r="C433" s="33">
        <v>913.75</v>
      </c>
      <c r="D433" s="11">
        <v>45332</v>
      </c>
      <c r="E433" s="79">
        <v>883.775</v>
      </c>
    </row>
    <row r="434" ht="15.75" spans="1:5">
      <c r="A434" s="33" t="s">
        <v>1925</v>
      </c>
      <c r="B434" s="33">
        <v>399757.297</v>
      </c>
      <c r="C434" s="33">
        <v>913.75</v>
      </c>
      <c r="D434" s="11">
        <v>45333</v>
      </c>
      <c r="E434" s="79">
        <v>883.846</v>
      </c>
    </row>
    <row r="435" ht="15.75" spans="1:5">
      <c r="A435" s="33" t="s">
        <v>1926</v>
      </c>
      <c r="B435" s="33">
        <v>399757.297</v>
      </c>
      <c r="C435" s="33">
        <v>913.75</v>
      </c>
      <c r="D435" s="11">
        <v>45334</v>
      </c>
      <c r="E435" s="79">
        <v>883.955</v>
      </c>
    </row>
    <row r="436" ht="15.75" spans="1:5">
      <c r="A436" s="33" t="s">
        <v>1927</v>
      </c>
      <c r="B436" s="33">
        <v>399757.297</v>
      </c>
      <c r="C436" s="33">
        <v>913.75</v>
      </c>
      <c r="D436" s="11">
        <v>45335</v>
      </c>
      <c r="E436" s="79">
        <v>883.98</v>
      </c>
    </row>
    <row r="437" ht="15.75" spans="1:5">
      <c r="A437" s="33" t="s">
        <v>1928</v>
      </c>
      <c r="B437" s="33">
        <v>399757.297</v>
      </c>
      <c r="C437" s="33">
        <v>913.75</v>
      </c>
      <c r="D437" s="11">
        <v>45336</v>
      </c>
      <c r="E437" s="80">
        <v>883.962</v>
      </c>
    </row>
    <row r="438" ht="15.75" spans="1:5">
      <c r="A438" s="33" t="s">
        <v>1929</v>
      </c>
      <c r="B438" s="33">
        <v>399757.297</v>
      </c>
      <c r="C438" s="33">
        <v>913.75</v>
      </c>
      <c r="D438" s="11">
        <v>45337</v>
      </c>
      <c r="E438" s="74"/>
    </row>
    <row r="439" ht="15.75" spans="1:5">
      <c r="A439" s="33" t="s">
        <v>1930</v>
      </c>
      <c r="B439" s="33">
        <v>399757.297</v>
      </c>
      <c r="C439" s="33">
        <v>913.75</v>
      </c>
      <c r="D439" s="11">
        <v>45338</v>
      </c>
      <c r="E439" s="74"/>
    </row>
    <row r="440" ht="15.75" spans="1:5">
      <c r="A440" s="33" t="s">
        <v>1931</v>
      </c>
      <c r="B440" s="33">
        <v>399757.297</v>
      </c>
      <c r="C440" s="33">
        <v>913.75</v>
      </c>
      <c r="D440" s="11">
        <v>45339</v>
      </c>
      <c r="E440" s="74"/>
    </row>
    <row r="441" ht="15.75" spans="1:5">
      <c r="A441" s="33" t="s">
        <v>1932</v>
      </c>
      <c r="B441" s="33">
        <v>399757.297</v>
      </c>
      <c r="C441" s="33">
        <v>913.75</v>
      </c>
      <c r="D441" s="11">
        <v>45340</v>
      </c>
      <c r="E441" s="74"/>
    </row>
    <row r="442" ht="15.75" spans="1:5">
      <c r="A442" s="33" t="s">
        <v>1933</v>
      </c>
      <c r="B442" s="33">
        <v>399757.297</v>
      </c>
      <c r="C442" s="33">
        <v>913.75</v>
      </c>
      <c r="D442" s="11">
        <v>45341</v>
      </c>
      <c r="E442" s="79">
        <v>883.732</v>
      </c>
    </row>
    <row r="443" ht="15.75" spans="1:5">
      <c r="A443" s="33" t="s">
        <v>1934</v>
      </c>
      <c r="B443" s="33">
        <v>399757.297</v>
      </c>
      <c r="C443" s="33">
        <v>913.75</v>
      </c>
      <c r="D443" s="11">
        <v>45342</v>
      </c>
      <c r="E443" s="79">
        <v>883.813</v>
      </c>
    </row>
    <row r="444" ht="15.75" spans="1:5">
      <c r="A444" s="33" t="s">
        <v>1935</v>
      </c>
      <c r="B444" s="33">
        <v>399757.297</v>
      </c>
      <c r="C444" s="33">
        <v>913.75</v>
      </c>
      <c r="D444" s="11">
        <v>45343</v>
      </c>
      <c r="E444" s="79">
        <v>883.804</v>
      </c>
    </row>
    <row r="445" ht="15.75" spans="1:5">
      <c r="A445" s="33" t="s">
        <v>1936</v>
      </c>
      <c r="B445" s="33">
        <v>399757.297</v>
      </c>
      <c r="C445" s="33">
        <v>913.75</v>
      </c>
      <c r="D445" s="11">
        <v>45344</v>
      </c>
      <c r="E445" s="79">
        <v>883.645</v>
      </c>
    </row>
    <row r="446" ht="15.75" spans="1:5">
      <c r="A446" s="33" t="s">
        <v>1937</v>
      </c>
      <c r="B446" s="33">
        <v>399757.297</v>
      </c>
      <c r="C446" s="33">
        <v>913.75</v>
      </c>
      <c r="D446" s="11">
        <v>45345</v>
      </c>
      <c r="E446" s="79">
        <v>883.384</v>
      </c>
    </row>
    <row r="447" ht="15.75" spans="1:5">
      <c r="A447" s="33" t="s">
        <v>1938</v>
      </c>
      <c r="B447" s="33">
        <v>399757.297</v>
      </c>
      <c r="C447" s="33">
        <v>913.75</v>
      </c>
      <c r="D447" s="11">
        <v>45346</v>
      </c>
      <c r="E447" s="79">
        <v>883.505</v>
      </c>
    </row>
    <row r="448" ht="15.75" spans="1:5">
      <c r="A448" s="33" t="s">
        <v>1939</v>
      </c>
      <c r="B448" s="33">
        <v>399757.297</v>
      </c>
      <c r="C448" s="33">
        <v>913.75</v>
      </c>
      <c r="D448" s="11">
        <v>45347</v>
      </c>
      <c r="E448" s="79">
        <v>883.553</v>
      </c>
    </row>
    <row r="449" ht="15.75" spans="1:5">
      <c r="A449" s="33" t="s">
        <v>1940</v>
      </c>
      <c r="B449" s="33">
        <v>399757.297</v>
      </c>
      <c r="C449" s="33">
        <v>913.75</v>
      </c>
      <c r="D449" s="11">
        <v>45348</v>
      </c>
      <c r="E449" s="79">
        <v>883.575</v>
      </c>
    </row>
    <row r="450" ht="15.75" spans="1:5">
      <c r="A450" s="33" t="s">
        <v>1941</v>
      </c>
      <c r="B450" s="33">
        <v>399757.297</v>
      </c>
      <c r="C450" s="33">
        <v>913.75</v>
      </c>
      <c r="D450" s="11">
        <v>45349</v>
      </c>
      <c r="E450" s="79">
        <v>883.665</v>
      </c>
    </row>
    <row r="451" ht="15.75" spans="1:5">
      <c r="A451" s="33" t="s">
        <v>1942</v>
      </c>
      <c r="B451" s="33">
        <v>399757.297</v>
      </c>
      <c r="C451" s="33">
        <v>913.75</v>
      </c>
      <c r="D451" s="11">
        <v>45350</v>
      </c>
      <c r="E451" s="79">
        <v>883.66</v>
      </c>
    </row>
    <row r="452" ht="15.75" spans="1:5">
      <c r="A452" s="33" t="s">
        <v>1943</v>
      </c>
      <c r="B452" s="33">
        <v>399757.297</v>
      </c>
      <c r="C452" s="33">
        <v>913.75</v>
      </c>
      <c r="D452" s="11">
        <v>45351</v>
      </c>
      <c r="E452" s="79">
        <v>883.777</v>
      </c>
    </row>
    <row r="453" ht="15.75" spans="1:5">
      <c r="A453" s="33" t="s">
        <v>1944</v>
      </c>
      <c r="B453" s="33">
        <v>399757.297</v>
      </c>
      <c r="C453" s="33">
        <v>913.75</v>
      </c>
      <c r="D453" s="11">
        <v>45352</v>
      </c>
      <c r="E453" s="79">
        <v>883.737</v>
      </c>
    </row>
    <row r="454" ht="15.75" spans="1:5">
      <c r="A454" s="33" t="s">
        <v>1945</v>
      </c>
      <c r="B454" s="33">
        <v>399757.297</v>
      </c>
      <c r="C454" s="33">
        <v>913.75</v>
      </c>
      <c r="D454" s="11">
        <v>45353</v>
      </c>
      <c r="E454" s="79">
        <v>883.777</v>
      </c>
    </row>
    <row r="455" ht="15.75" spans="1:5">
      <c r="A455" s="33" t="s">
        <v>1946</v>
      </c>
      <c r="B455" s="33">
        <v>399757.297</v>
      </c>
      <c r="C455" s="33">
        <v>913.75</v>
      </c>
      <c r="D455" s="11">
        <v>45354</v>
      </c>
      <c r="E455" s="79">
        <v>883.737</v>
      </c>
    </row>
    <row r="456" ht="15.75" spans="1:5">
      <c r="A456" s="33" t="s">
        <v>1947</v>
      </c>
      <c r="B456" s="33">
        <v>399757.297</v>
      </c>
      <c r="C456" s="33">
        <v>913.75</v>
      </c>
      <c r="D456" s="11">
        <v>45355</v>
      </c>
      <c r="E456" s="79">
        <v>883.896</v>
      </c>
    </row>
    <row r="457" ht="15.75" spans="1:5">
      <c r="A457" s="33" t="s">
        <v>1948</v>
      </c>
      <c r="B457" s="33">
        <v>399757.297</v>
      </c>
      <c r="C457" s="33">
        <v>913.75</v>
      </c>
      <c r="D457" s="11">
        <v>45356</v>
      </c>
      <c r="E457" s="79">
        <v>883.829</v>
      </c>
    </row>
    <row r="458" ht="15.75" spans="1:5">
      <c r="A458" s="33" t="s">
        <v>1949</v>
      </c>
      <c r="B458" s="33">
        <v>399757.297</v>
      </c>
      <c r="C458" s="33">
        <v>913.75</v>
      </c>
      <c r="D458" s="11">
        <v>45357</v>
      </c>
      <c r="E458" s="79">
        <v>883.91</v>
      </c>
    </row>
    <row r="459" ht="15.75" spans="1:5">
      <c r="A459" s="33" t="s">
        <v>1950</v>
      </c>
      <c r="B459" s="33">
        <v>399757.297</v>
      </c>
      <c r="C459" s="33">
        <v>913.75</v>
      </c>
      <c r="D459" s="11">
        <v>45358</v>
      </c>
      <c r="E459" s="79">
        <v>883.891</v>
      </c>
    </row>
    <row r="460" ht="15.75" spans="1:5">
      <c r="A460" s="33" t="s">
        <v>1951</v>
      </c>
      <c r="B460" s="33">
        <v>399757.297</v>
      </c>
      <c r="C460" s="33">
        <v>913.75</v>
      </c>
      <c r="D460" s="11">
        <v>45359</v>
      </c>
      <c r="E460" s="79">
        <v>883.987</v>
      </c>
    </row>
    <row r="461" ht="15.75" spans="1:5">
      <c r="A461" s="33" t="s">
        <v>1952</v>
      </c>
      <c r="B461" s="33">
        <v>399757.297</v>
      </c>
      <c r="C461" s="33">
        <v>913.75</v>
      </c>
      <c r="D461" s="11">
        <v>45360</v>
      </c>
      <c r="E461" s="79">
        <v>884.02</v>
      </c>
    </row>
    <row r="462" ht="15.75" spans="1:5">
      <c r="A462" s="33" t="s">
        <v>1953</v>
      </c>
      <c r="B462" s="33">
        <v>399757.297</v>
      </c>
      <c r="C462" s="33">
        <v>913.75</v>
      </c>
      <c r="D462" s="11">
        <v>45361</v>
      </c>
      <c r="E462" s="79">
        <v>883.968</v>
      </c>
    </row>
    <row r="463" ht="15.75" spans="1:5">
      <c r="A463" s="33" t="s">
        <v>1954</v>
      </c>
      <c r="B463" s="33">
        <v>399757.297</v>
      </c>
      <c r="C463" s="33">
        <v>913.75</v>
      </c>
      <c r="D463" s="11">
        <v>45362</v>
      </c>
      <c r="E463" s="79">
        <v>884.016</v>
      </c>
    </row>
    <row r="464" ht="15.75" spans="1:5">
      <c r="A464" s="33" t="s">
        <v>1955</v>
      </c>
      <c r="B464" s="33">
        <v>399757.297</v>
      </c>
      <c r="C464" s="33">
        <v>913.75</v>
      </c>
      <c r="D464" s="11">
        <v>45363</v>
      </c>
      <c r="E464" s="79">
        <v>884.038</v>
      </c>
    </row>
    <row r="465" ht="15.75" spans="1:5">
      <c r="A465" s="33" t="s">
        <v>1956</v>
      </c>
      <c r="B465" s="33">
        <v>399757.297</v>
      </c>
      <c r="C465" s="33">
        <v>913.75</v>
      </c>
      <c r="D465" s="11">
        <v>45364</v>
      </c>
      <c r="E465" s="79">
        <v>884.05</v>
      </c>
    </row>
    <row r="466" ht="15.75" spans="1:5">
      <c r="A466" s="33" t="s">
        <v>1957</v>
      </c>
      <c r="B466" s="33">
        <v>399757.297</v>
      </c>
      <c r="C466" s="33">
        <v>913.75</v>
      </c>
      <c r="D466" s="11">
        <v>45365</v>
      </c>
      <c r="E466" s="79">
        <v>883.972</v>
      </c>
    </row>
    <row r="467" ht="15.75" spans="1:5">
      <c r="A467" s="33" t="s">
        <v>1958</v>
      </c>
      <c r="B467" s="33">
        <v>399757.297</v>
      </c>
      <c r="C467" s="33">
        <v>913.75</v>
      </c>
      <c r="D467" s="11">
        <v>45366</v>
      </c>
      <c r="E467" s="79">
        <v>883.956</v>
      </c>
    </row>
    <row r="468" ht="15.75" spans="1:5">
      <c r="A468" s="33" t="s">
        <v>1959</v>
      </c>
      <c r="B468" s="33">
        <v>399757.297</v>
      </c>
      <c r="C468" s="33">
        <v>913.75</v>
      </c>
      <c r="D468" s="11">
        <v>45367</v>
      </c>
      <c r="E468" s="79">
        <v>883.892</v>
      </c>
    </row>
    <row r="469" ht="15.75" spans="1:5">
      <c r="A469" s="33" t="s">
        <v>1960</v>
      </c>
      <c r="B469" s="33">
        <v>399757.297</v>
      </c>
      <c r="C469" s="33">
        <v>913.75</v>
      </c>
      <c r="D469" s="11">
        <v>45368</v>
      </c>
      <c r="E469" s="79">
        <v>883.946</v>
      </c>
    </row>
    <row r="470" ht="15.75" spans="1:5">
      <c r="A470" s="33" t="s">
        <v>1961</v>
      </c>
      <c r="B470" s="33">
        <v>399757.297</v>
      </c>
      <c r="C470" s="33">
        <v>913.75</v>
      </c>
      <c r="D470" s="11">
        <v>45369</v>
      </c>
      <c r="E470" s="79">
        <v>883.838</v>
      </c>
    </row>
    <row r="471" ht="15.75" spans="1:5">
      <c r="A471" s="33" t="s">
        <v>1962</v>
      </c>
      <c r="B471" s="33">
        <v>399757.297</v>
      </c>
      <c r="C471" s="33">
        <v>913.75</v>
      </c>
      <c r="D471" s="11">
        <v>45370</v>
      </c>
      <c r="E471" s="79">
        <v>883.898</v>
      </c>
    </row>
    <row r="472" ht="15.75" spans="1:5">
      <c r="A472" s="33" t="s">
        <v>1963</v>
      </c>
      <c r="B472" s="33">
        <v>399757.297</v>
      </c>
      <c r="C472" s="33">
        <v>913.75</v>
      </c>
      <c r="D472" s="11">
        <v>45371</v>
      </c>
      <c r="E472" s="79">
        <v>883.842</v>
      </c>
    </row>
    <row r="473" ht="15.75" spans="1:5">
      <c r="A473" s="33" t="s">
        <v>1964</v>
      </c>
      <c r="B473" s="33">
        <v>399757.297</v>
      </c>
      <c r="C473" s="33">
        <v>913.75</v>
      </c>
      <c r="D473" s="11">
        <v>45372</v>
      </c>
      <c r="E473" s="79">
        <v>883.898</v>
      </c>
    </row>
    <row r="474" ht="15.75" spans="1:5">
      <c r="A474" s="33" t="s">
        <v>1965</v>
      </c>
      <c r="B474" s="33">
        <v>399757.297</v>
      </c>
      <c r="C474" s="33">
        <v>913.75</v>
      </c>
      <c r="D474" s="11">
        <v>45373</v>
      </c>
      <c r="E474" s="79">
        <v>883.929</v>
      </c>
    </row>
    <row r="475" ht="15.75" spans="1:5">
      <c r="A475" s="33" t="s">
        <v>1966</v>
      </c>
      <c r="B475" s="33">
        <v>399757.297</v>
      </c>
      <c r="C475" s="33">
        <v>913.75</v>
      </c>
      <c r="D475" s="11">
        <v>45374</v>
      </c>
      <c r="E475" s="79">
        <v>883.855</v>
      </c>
    </row>
    <row r="476" ht="15.75" spans="1:5">
      <c r="A476" s="33" t="s">
        <v>1967</v>
      </c>
      <c r="B476" s="33">
        <v>399757.297</v>
      </c>
      <c r="C476" s="33">
        <v>913.75</v>
      </c>
      <c r="D476" s="11">
        <v>45375</v>
      </c>
      <c r="E476" s="79">
        <v>883.904</v>
      </c>
    </row>
    <row r="477" ht="15.75" spans="1:5">
      <c r="A477" s="33" t="s">
        <v>1968</v>
      </c>
      <c r="B477" s="33">
        <v>399757.297</v>
      </c>
      <c r="C477" s="33">
        <v>913.75</v>
      </c>
      <c r="D477" s="11">
        <v>45376</v>
      </c>
      <c r="E477" s="79">
        <v>883.813</v>
      </c>
    </row>
    <row r="478" ht="15.75" spans="1:5">
      <c r="A478" s="33" t="s">
        <v>1969</v>
      </c>
      <c r="B478" s="33">
        <v>399757.297</v>
      </c>
      <c r="C478" s="33">
        <v>913.75</v>
      </c>
      <c r="D478" s="11">
        <v>45377</v>
      </c>
      <c r="E478" s="79">
        <v>883.857</v>
      </c>
    </row>
    <row r="479" ht="15.75" spans="1:5">
      <c r="A479" s="33" t="s">
        <v>1970</v>
      </c>
      <c r="B479" s="33">
        <v>399757.297</v>
      </c>
      <c r="C479" s="33">
        <v>913.75</v>
      </c>
      <c r="D479" s="11">
        <v>45378</v>
      </c>
      <c r="E479" s="79">
        <v>883.821</v>
      </c>
    </row>
    <row r="480" ht="15.75" spans="1:5">
      <c r="A480" s="33" t="s">
        <v>1971</v>
      </c>
      <c r="B480" s="33">
        <v>399757.297</v>
      </c>
      <c r="C480" s="33">
        <v>913.75</v>
      </c>
      <c r="D480" s="11">
        <v>45379</v>
      </c>
      <c r="E480" s="79">
        <v>883.847</v>
      </c>
    </row>
    <row r="481" ht="15.75" spans="1:5">
      <c r="A481" s="33" t="s">
        <v>1972</v>
      </c>
      <c r="B481" s="33">
        <v>399757.297</v>
      </c>
      <c r="C481" s="33">
        <v>913.75</v>
      </c>
      <c r="D481" s="11">
        <v>45380</v>
      </c>
      <c r="E481" s="79">
        <v>883.872</v>
      </c>
    </row>
    <row r="482" ht="15.75" spans="1:5">
      <c r="A482" s="33" t="s">
        <v>1973</v>
      </c>
      <c r="B482" s="33">
        <v>399757.297</v>
      </c>
      <c r="C482" s="33">
        <v>913.75</v>
      </c>
      <c r="D482" s="11">
        <v>45381</v>
      </c>
      <c r="E482" s="79">
        <v>883.897</v>
      </c>
    </row>
    <row r="483" ht="15.75" spans="1:5">
      <c r="A483" s="33" t="s">
        <v>1974</v>
      </c>
      <c r="B483" s="33">
        <v>399757.297</v>
      </c>
      <c r="C483" s="33">
        <v>913.75</v>
      </c>
      <c r="D483" s="11">
        <v>45382</v>
      </c>
      <c r="E483" s="79">
        <v>883.904</v>
      </c>
    </row>
    <row r="484" ht="15.75" spans="1:5">
      <c r="A484" s="33" t="s">
        <v>1975</v>
      </c>
      <c r="B484" s="33">
        <v>399757.297</v>
      </c>
      <c r="C484" s="33">
        <v>913.75</v>
      </c>
      <c r="D484" s="11">
        <v>45383</v>
      </c>
      <c r="E484" s="79">
        <v>883.95</v>
      </c>
    </row>
    <row r="485" ht="15.75" spans="1:5">
      <c r="A485" s="33" t="s">
        <v>1976</v>
      </c>
      <c r="B485" s="33">
        <v>399757.297</v>
      </c>
      <c r="C485" s="33">
        <v>913.75</v>
      </c>
      <c r="D485" s="11">
        <v>45384</v>
      </c>
      <c r="E485" s="79">
        <v>883.919</v>
      </c>
    </row>
    <row r="486" ht="15.75" spans="1:5">
      <c r="A486" s="33" t="s">
        <v>1977</v>
      </c>
      <c r="B486" s="33">
        <v>399757.297</v>
      </c>
      <c r="C486" s="33">
        <v>913.75</v>
      </c>
      <c r="D486" s="11">
        <v>45385</v>
      </c>
      <c r="E486" s="79">
        <v>883.842</v>
      </c>
    </row>
    <row r="487" ht="15.75" spans="1:5">
      <c r="A487" s="33" t="s">
        <v>1978</v>
      </c>
      <c r="B487" s="33">
        <v>399757.297</v>
      </c>
      <c r="C487" s="33">
        <v>913.75</v>
      </c>
      <c r="D487" s="11">
        <v>45386</v>
      </c>
      <c r="E487" s="79">
        <v>883.837</v>
      </c>
    </row>
    <row r="488" ht="15.75" spans="1:5">
      <c r="A488" s="33" t="s">
        <v>1979</v>
      </c>
      <c r="B488" s="33">
        <v>399757.297</v>
      </c>
      <c r="C488" s="33">
        <v>913.75</v>
      </c>
      <c r="D488" s="11">
        <v>45387</v>
      </c>
      <c r="E488" s="79">
        <v>883.856</v>
      </c>
    </row>
    <row r="489" ht="15.75" spans="1:5">
      <c r="A489" s="33" t="s">
        <v>1980</v>
      </c>
      <c r="B489" s="33">
        <v>399757.297</v>
      </c>
      <c r="C489" s="33">
        <v>913.75</v>
      </c>
      <c r="D489" s="11">
        <v>45388</v>
      </c>
      <c r="E489" s="79">
        <v>883.845</v>
      </c>
    </row>
    <row r="490" ht="15.75" spans="1:5">
      <c r="A490" s="33" t="s">
        <v>1981</v>
      </c>
      <c r="B490" s="33">
        <v>399757.297</v>
      </c>
      <c r="C490" s="33">
        <v>913.75</v>
      </c>
      <c r="D490" s="11">
        <v>45389</v>
      </c>
      <c r="E490" s="79">
        <v>883.883</v>
      </c>
    </row>
    <row r="491" ht="15.75" spans="1:5">
      <c r="A491" s="33" t="s">
        <v>1982</v>
      </c>
      <c r="B491" s="33">
        <v>399757.297</v>
      </c>
      <c r="C491" s="33">
        <v>913.75</v>
      </c>
      <c r="D491" s="11">
        <v>45390</v>
      </c>
      <c r="E491" s="79">
        <v>884.022</v>
      </c>
    </row>
    <row r="492" ht="15.75" spans="1:5">
      <c r="A492" s="33" t="s">
        <v>1983</v>
      </c>
      <c r="B492" s="33">
        <v>399757.297</v>
      </c>
      <c r="C492" s="33">
        <v>913.75</v>
      </c>
      <c r="D492" s="11">
        <v>45391</v>
      </c>
      <c r="E492" s="79">
        <v>884.015</v>
      </c>
    </row>
    <row r="493" ht="15.75" spans="1:5">
      <c r="A493" s="33" t="s">
        <v>1984</v>
      </c>
      <c r="B493" s="33">
        <v>399757.297</v>
      </c>
      <c r="C493" s="33">
        <v>913.75</v>
      </c>
      <c r="D493" s="11">
        <v>45392</v>
      </c>
      <c r="E493" s="79">
        <v>884.062</v>
      </c>
    </row>
    <row r="494" ht="15.75" spans="1:5">
      <c r="A494" s="33" t="s">
        <v>1985</v>
      </c>
      <c r="B494" s="33">
        <v>399757.297</v>
      </c>
      <c r="C494" s="33">
        <v>913.75</v>
      </c>
      <c r="D494" s="11">
        <v>45393</v>
      </c>
      <c r="E494" s="79">
        <v>884.047</v>
      </c>
    </row>
    <row r="495" ht="15.75" spans="1:5">
      <c r="A495" s="33" t="s">
        <v>1986</v>
      </c>
      <c r="B495" s="33">
        <v>399757.297</v>
      </c>
      <c r="C495" s="33">
        <v>913.75</v>
      </c>
      <c r="D495" s="11">
        <v>45394</v>
      </c>
      <c r="E495" s="79">
        <v>884.04</v>
      </c>
    </row>
    <row r="496" ht="15.75" spans="1:5">
      <c r="A496" s="33" t="s">
        <v>1987</v>
      </c>
      <c r="B496" s="33">
        <v>399757.297</v>
      </c>
      <c r="C496" s="33">
        <v>913.75</v>
      </c>
      <c r="D496" s="11">
        <v>45395</v>
      </c>
      <c r="E496" s="79">
        <v>884.015</v>
      </c>
    </row>
    <row r="497" ht="15.75" spans="1:5">
      <c r="A497" s="33" t="s">
        <v>1988</v>
      </c>
      <c r="B497" s="33">
        <v>399757.297</v>
      </c>
      <c r="C497" s="33">
        <v>913.75</v>
      </c>
      <c r="D497" s="11">
        <v>45396</v>
      </c>
      <c r="E497" s="79">
        <v>884.013</v>
      </c>
    </row>
    <row r="498" ht="15.75" spans="1:5">
      <c r="A498" s="33" t="s">
        <v>1989</v>
      </c>
      <c r="B498" s="33">
        <v>399757.297</v>
      </c>
      <c r="C498" s="33">
        <v>913.75</v>
      </c>
      <c r="D498" s="11">
        <v>45397</v>
      </c>
      <c r="E498" s="79">
        <v>883.982</v>
      </c>
    </row>
    <row r="499" ht="15.75" spans="1:5">
      <c r="A499" s="33" t="s">
        <v>1990</v>
      </c>
      <c r="B499" s="33">
        <v>399757.297</v>
      </c>
      <c r="C499" s="33">
        <v>913.75</v>
      </c>
      <c r="D499" s="11">
        <v>45398</v>
      </c>
      <c r="E499" s="79">
        <v>883.927</v>
      </c>
    </row>
    <row r="500" ht="15.75" spans="1:5">
      <c r="A500" s="33" t="s">
        <v>1991</v>
      </c>
      <c r="B500" s="33">
        <v>399757.297</v>
      </c>
      <c r="C500" s="33">
        <v>913.75</v>
      </c>
      <c r="D500" s="11">
        <v>45399</v>
      </c>
      <c r="E500" s="79">
        <v>883.814</v>
      </c>
    </row>
    <row r="501" ht="15.75" spans="1:5">
      <c r="A501" s="33" t="s">
        <v>1992</v>
      </c>
      <c r="B501" s="33">
        <v>399757.297</v>
      </c>
      <c r="C501" s="33">
        <v>913.75</v>
      </c>
      <c r="D501" s="11">
        <v>45400</v>
      </c>
      <c r="E501" s="79">
        <v>883.859</v>
      </c>
    </row>
    <row r="502" ht="15.75" spans="1:5">
      <c r="A502" s="33" t="s">
        <v>1993</v>
      </c>
      <c r="B502" s="33">
        <v>399757.297</v>
      </c>
      <c r="C502" s="33">
        <v>913.75</v>
      </c>
      <c r="D502" s="11">
        <v>45401</v>
      </c>
      <c r="E502" s="79">
        <v>883.8</v>
      </c>
    </row>
    <row r="503" ht="15.75" spans="1:5">
      <c r="A503" s="33" t="s">
        <v>1994</v>
      </c>
      <c r="B503" s="33">
        <v>399757.297</v>
      </c>
      <c r="C503" s="33">
        <v>913.75</v>
      </c>
      <c r="D503" s="11">
        <v>45402</v>
      </c>
      <c r="E503" s="79">
        <v>883.781</v>
      </c>
    </row>
    <row r="504" ht="15.75" spans="1:5">
      <c r="A504" s="33" t="s">
        <v>1995</v>
      </c>
      <c r="B504" s="33">
        <v>399757.297</v>
      </c>
      <c r="C504" s="33">
        <v>913.75</v>
      </c>
      <c r="D504" s="11">
        <v>45403</v>
      </c>
      <c r="E504" s="79">
        <v>883.761</v>
      </c>
    </row>
    <row r="505" ht="15.75" spans="1:5">
      <c r="A505" s="33" t="s">
        <v>1996</v>
      </c>
      <c r="B505" s="33">
        <v>399757.297</v>
      </c>
      <c r="C505" s="33">
        <v>913.75</v>
      </c>
      <c r="D505" s="11">
        <v>45404</v>
      </c>
      <c r="E505" s="79">
        <v>883.876</v>
      </c>
    </row>
    <row r="506" ht="15.75" spans="1:5">
      <c r="A506" s="33" t="s">
        <v>1997</v>
      </c>
      <c r="B506" s="33">
        <v>399757.297</v>
      </c>
      <c r="C506" s="33">
        <v>913.75</v>
      </c>
      <c r="D506" s="11">
        <v>45405</v>
      </c>
      <c r="E506" s="79">
        <v>883.853</v>
      </c>
    </row>
    <row r="507" ht="15.75" spans="1:5">
      <c r="A507" s="33" t="s">
        <v>1998</v>
      </c>
      <c r="B507" s="33">
        <v>399757.297</v>
      </c>
      <c r="C507" s="33">
        <v>913.75</v>
      </c>
      <c r="D507" s="11">
        <v>45406</v>
      </c>
      <c r="E507" s="79">
        <v>883.934</v>
      </c>
    </row>
    <row r="508" ht="15.75" spans="1:5">
      <c r="A508" s="33" t="s">
        <v>1999</v>
      </c>
      <c r="B508" s="33">
        <v>399757.297</v>
      </c>
      <c r="C508" s="33">
        <v>913.75</v>
      </c>
      <c r="D508" s="11">
        <v>45407</v>
      </c>
      <c r="E508" s="79">
        <v>883.917</v>
      </c>
    </row>
    <row r="509" ht="15.75" spans="1:5">
      <c r="A509" s="33" t="s">
        <v>2000</v>
      </c>
      <c r="B509" s="33">
        <v>399757.297</v>
      </c>
      <c r="C509" s="33">
        <v>913.75</v>
      </c>
      <c r="D509" s="11">
        <v>45408</v>
      </c>
      <c r="E509" s="79">
        <v>883.92</v>
      </c>
    </row>
    <row r="510" ht="15.75" spans="1:5">
      <c r="A510" s="33" t="s">
        <v>2001</v>
      </c>
      <c r="B510" s="33">
        <v>399757.297</v>
      </c>
      <c r="C510" s="33">
        <v>913.75</v>
      </c>
      <c r="D510" s="11">
        <v>45409</v>
      </c>
      <c r="E510" s="79">
        <v>883.295</v>
      </c>
    </row>
    <row r="511" ht="15.75" spans="1:5">
      <c r="A511" s="33" t="s">
        <v>2002</v>
      </c>
      <c r="B511" s="33">
        <v>399757.297</v>
      </c>
      <c r="C511" s="33">
        <v>913.75</v>
      </c>
      <c r="D511" s="11">
        <v>45410</v>
      </c>
      <c r="E511" s="79">
        <v>883.377</v>
      </c>
    </row>
    <row r="512" ht="15.75" spans="1:5">
      <c r="A512" s="33" t="s">
        <v>2003</v>
      </c>
      <c r="B512" s="33">
        <v>399757.297</v>
      </c>
      <c r="C512" s="33">
        <v>913.75</v>
      </c>
      <c r="D512" s="11">
        <v>45411</v>
      </c>
      <c r="E512" s="79">
        <v>883.411</v>
      </c>
    </row>
    <row r="513" ht="15.75" spans="1:5">
      <c r="A513" s="33" t="s">
        <v>2004</v>
      </c>
      <c r="B513" s="33">
        <v>399757.297</v>
      </c>
      <c r="C513" s="33">
        <v>913.75</v>
      </c>
      <c r="D513" s="11">
        <v>45412</v>
      </c>
      <c r="E513" s="79">
        <v>883.384</v>
      </c>
    </row>
    <row r="514" ht="15.75" spans="1:5">
      <c r="A514" s="33" t="s">
        <v>2005</v>
      </c>
      <c r="B514" s="33">
        <v>399757.297</v>
      </c>
      <c r="C514" s="33">
        <v>913.75</v>
      </c>
      <c r="D514" s="11">
        <v>45413</v>
      </c>
      <c r="E514" s="79">
        <v>883.424</v>
      </c>
    </row>
    <row r="515" ht="15.75" spans="1:5">
      <c r="A515" s="33" t="s">
        <v>2006</v>
      </c>
      <c r="B515" s="33">
        <v>399757.297</v>
      </c>
      <c r="C515" s="33">
        <v>913.75</v>
      </c>
      <c r="D515" s="11">
        <v>45414</v>
      </c>
      <c r="E515" s="79">
        <v>883.515</v>
      </c>
    </row>
    <row r="516" ht="15.75" spans="1:5">
      <c r="A516" s="33" t="s">
        <v>2007</v>
      </c>
      <c r="B516" s="33">
        <v>399757.297</v>
      </c>
      <c r="C516" s="33">
        <v>913.75</v>
      </c>
      <c r="D516" s="11">
        <v>45415</v>
      </c>
      <c r="E516" s="79">
        <v>883.567</v>
      </c>
    </row>
    <row r="517" ht="15.75" spans="1:5">
      <c r="A517" s="33" t="s">
        <v>2008</v>
      </c>
      <c r="B517" s="33">
        <v>399757.297</v>
      </c>
      <c r="C517" s="33">
        <v>913.75</v>
      </c>
      <c r="D517" s="11">
        <v>45416</v>
      </c>
      <c r="E517" s="79">
        <v>883.567</v>
      </c>
    </row>
    <row r="518" ht="15.75" spans="1:5">
      <c r="A518" s="33" t="s">
        <v>2009</v>
      </c>
      <c r="B518" s="33">
        <v>399757.297</v>
      </c>
      <c r="C518" s="33">
        <v>913.75</v>
      </c>
      <c r="D518" s="11">
        <v>45417</v>
      </c>
      <c r="E518" s="79">
        <v>883.716</v>
      </c>
    </row>
    <row r="519" ht="15.75" spans="1:5">
      <c r="A519" s="33" t="s">
        <v>2010</v>
      </c>
      <c r="B519" s="33">
        <v>399757.297</v>
      </c>
      <c r="C519" s="33">
        <v>913.75</v>
      </c>
      <c r="D519" s="11">
        <v>45418</v>
      </c>
      <c r="E519" s="79">
        <v>883.736</v>
      </c>
    </row>
    <row r="520" ht="15.75" spans="1:5">
      <c r="A520" s="33" t="s">
        <v>2011</v>
      </c>
      <c r="B520" s="33">
        <v>399757.297</v>
      </c>
      <c r="C520" s="33">
        <v>913.75</v>
      </c>
      <c r="D520" s="11">
        <v>45419</v>
      </c>
      <c r="E520" s="79">
        <v>883.862</v>
      </c>
    </row>
    <row r="521" ht="15.75" spans="1:5">
      <c r="A521" s="33" t="s">
        <v>2012</v>
      </c>
      <c r="B521" s="33">
        <v>399757.297</v>
      </c>
      <c r="C521" s="33">
        <v>913.75</v>
      </c>
      <c r="D521" s="11">
        <v>45420</v>
      </c>
      <c r="E521" s="79">
        <v>884.107</v>
      </c>
    </row>
    <row r="522" ht="15.75" spans="1:5">
      <c r="A522" s="33" t="s">
        <v>2013</v>
      </c>
      <c r="B522" s="33">
        <v>399757.297</v>
      </c>
      <c r="C522" s="33">
        <v>913.75</v>
      </c>
      <c r="D522" s="11">
        <v>45421</v>
      </c>
      <c r="E522" s="79">
        <v>884.153</v>
      </c>
    </row>
    <row r="523" ht="15.75" spans="1:5">
      <c r="A523" s="33" t="s">
        <v>2014</v>
      </c>
      <c r="B523" s="33">
        <v>399757.297</v>
      </c>
      <c r="C523" s="33">
        <v>913.75</v>
      </c>
      <c r="D523" s="11">
        <v>45422</v>
      </c>
      <c r="E523" s="79">
        <v>884.367</v>
      </c>
    </row>
    <row r="524" ht="15.75" spans="1:5">
      <c r="A524" s="33" t="s">
        <v>2015</v>
      </c>
      <c r="B524" s="33">
        <v>399757.297</v>
      </c>
      <c r="C524" s="33">
        <v>913.75</v>
      </c>
      <c r="D524" s="11">
        <v>45423</v>
      </c>
      <c r="E524" s="79">
        <v>884.29</v>
      </c>
    </row>
  </sheetData>
  <mergeCells count="1">
    <mergeCell ref="A1:C1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4"/>
  <sheetViews>
    <sheetView workbookViewId="0">
      <selection activeCell="H6" sqref="H6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  <col min="6" max="6" width="26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 t="s">
        <v>2016</v>
      </c>
      <c r="B3" s="33">
        <v>399483.556</v>
      </c>
      <c r="C3" s="33" t="s">
        <v>2017</v>
      </c>
      <c r="D3" s="81">
        <v>44902</v>
      </c>
      <c r="E3" s="75">
        <v>903.52</v>
      </c>
      <c r="F3" t="s">
        <v>2018</v>
      </c>
    </row>
    <row r="4" ht="15.75" spans="1:5">
      <c r="A4" s="33" t="s">
        <v>2019</v>
      </c>
      <c r="B4" s="33">
        <v>399484.556</v>
      </c>
      <c r="C4" s="33" t="s">
        <v>2020</v>
      </c>
      <c r="D4" s="11">
        <v>44903</v>
      </c>
      <c r="E4" s="75"/>
    </row>
    <row r="5" ht="15.75" spans="1:5">
      <c r="A5" s="33" t="s">
        <v>2021</v>
      </c>
      <c r="B5" s="33">
        <v>399485.556</v>
      </c>
      <c r="C5" s="33" t="s">
        <v>2022</v>
      </c>
      <c r="D5" s="11">
        <v>44904</v>
      </c>
      <c r="E5" s="75"/>
    </row>
    <row r="6" ht="15.75" spans="1:5">
      <c r="A6" s="33" t="s">
        <v>2023</v>
      </c>
      <c r="B6" s="33">
        <v>399486.556</v>
      </c>
      <c r="C6" s="33" t="s">
        <v>2024</v>
      </c>
      <c r="D6" s="11">
        <v>44905</v>
      </c>
      <c r="E6" s="75"/>
    </row>
    <row r="7" ht="15.75" spans="1:5">
      <c r="A7" s="33" t="s">
        <v>2025</v>
      </c>
      <c r="B7" s="33">
        <v>399487.556</v>
      </c>
      <c r="C7" s="33" t="s">
        <v>2026</v>
      </c>
      <c r="D7" s="11">
        <v>44906</v>
      </c>
      <c r="E7" s="75"/>
    </row>
    <row r="8" ht="15.75" spans="1:5">
      <c r="A8" s="33" t="s">
        <v>2027</v>
      </c>
      <c r="B8" s="33">
        <v>399488.556</v>
      </c>
      <c r="C8" s="33" t="s">
        <v>2028</v>
      </c>
      <c r="D8" s="11">
        <v>44907</v>
      </c>
      <c r="E8" s="75"/>
    </row>
    <row r="9" ht="15.75" spans="1:5">
      <c r="A9" s="33" t="s">
        <v>2029</v>
      </c>
      <c r="B9" s="33">
        <v>399489.556</v>
      </c>
      <c r="C9" s="33" t="s">
        <v>2030</v>
      </c>
      <c r="D9" s="11">
        <v>44908</v>
      </c>
      <c r="E9" s="75"/>
    </row>
    <row r="10" ht="15.75" spans="1:5">
      <c r="A10" s="33" t="s">
        <v>2031</v>
      </c>
      <c r="B10" s="33">
        <v>399490.556</v>
      </c>
      <c r="C10" s="33" t="s">
        <v>2032</v>
      </c>
      <c r="D10" s="11">
        <v>44909</v>
      </c>
      <c r="E10" s="75">
        <v>903.95</v>
      </c>
    </row>
    <row r="11" ht="15.75" spans="1:5">
      <c r="A11" s="33" t="s">
        <v>2033</v>
      </c>
      <c r="B11" s="33">
        <v>399491.556</v>
      </c>
      <c r="C11" s="33" t="s">
        <v>2034</v>
      </c>
      <c r="D11" s="11">
        <v>44910</v>
      </c>
      <c r="E11" s="75"/>
    </row>
    <row r="12" ht="15.75" spans="1:5">
      <c r="A12" s="33" t="s">
        <v>2035</v>
      </c>
      <c r="B12" s="33">
        <v>399492.556</v>
      </c>
      <c r="C12" s="33" t="s">
        <v>2036</v>
      </c>
      <c r="D12" s="11">
        <v>44911</v>
      </c>
      <c r="E12" s="75"/>
    </row>
    <row r="13" ht="15.75" spans="1:5">
      <c r="A13" s="33" t="s">
        <v>2037</v>
      </c>
      <c r="B13" s="33">
        <v>399493.556</v>
      </c>
      <c r="C13" s="33" t="s">
        <v>2038</v>
      </c>
      <c r="D13" s="11">
        <v>44912</v>
      </c>
      <c r="E13" s="75"/>
    </row>
    <row r="14" ht="15.75" spans="1:5">
      <c r="A14" s="33" t="s">
        <v>2039</v>
      </c>
      <c r="B14" s="33">
        <v>399494.556</v>
      </c>
      <c r="C14" s="33" t="s">
        <v>2040</v>
      </c>
      <c r="D14" s="11">
        <v>44913</v>
      </c>
      <c r="E14" s="75"/>
    </row>
    <row r="15" ht="15.75" spans="1:5">
      <c r="A15" s="33" t="s">
        <v>2041</v>
      </c>
      <c r="B15" s="33">
        <v>399495.556</v>
      </c>
      <c r="C15" s="33" t="s">
        <v>2042</v>
      </c>
      <c r="D15" s="11">
        <v>44914</v>
      </c>
      <c r="E15" s="75"/>
    </row>
    <row r="16" ht="15.75" spans="1:5">
      <c r="A16" s="33" t="s">
        <v>2043</v>
      </c>
      <c r="B16" s="33">
        <v>399496.556</v>
      </c>
      <c r="C16" s="33" t="s">
        <v>2044</v>
      </c>
      <c r="D16" s="11">
        <v>44915</v>
      </c>
      <c r="E16" s="75"/>
    </row>
    <row r="17" ht="15.75" spans="1:5">
      <c r="A17" s="33" t="s">
        <v>2045</v>
      </c>
      <c r="B17" s="33">
        <v>399497.556</v>
      </c>
      <c r="C17" s="33" t="s">
        <v>2046</v>
      </c>
      <c r="D17" s="11">
        <v>44916</v>
      </c>
      <c r="E17" s="75">
        <v>904.02</v>
      </c>
    </row>
    <row r="18" ht="15.75" spans="1:5">
      <c r="A18" s="33" t="s">
        <v>2047</v>
      </c>
      <c r="B18" s="33">
        <v>399498.556</v>
      </c>
      <c r="C18" s="33" t="s">
        <v>2048</v>
      </c>
      <c r="D18" s="11">
        <v>44917</v>
      </c>
      <c r="E18" s="75"/>
    </row>
    <row r="19" ht="15.75" spans="1:5">
      <c r="A19" s="33" t="s">
        <v>2049</v>
      </c>
      <c r="B19" s="33">
        <v>399499.556</v>
      </c>
      <c r="C19" s="33" t="s">
        <v>2050</v>
      </c>
      <c r="D19" s="11">
        <v>44918</v>
      </c>
      <c r="E19" s="75"/>
    </row>
    <row r="20" ht="15.75" spans="1:5">
      <c r="A20" s="33" t="s">
        <v>2051</v>
      </c>
      <c r="B20" s="33">
        <v>399500.556</v>
      </c>
      <c r="C20" s="33" t="s">
        <v>2052</v>
      </c>
      <c r="D20" s="11">
        <v>44919</v>
      </c>
      <c r="E20" s="75"/>
    </row>
    <row r="21" ht="15.75" spans="1:5">
      <c r="A21" s="33" t="s">
        <v>2053</v>
      </c>
      <c r="B21" s="33">
        <v>399501.556</v>
      </c>
      <c r="C21" s="33" t="s">
        <v>2054</v>
      </c>
      <c r="D21" s="11">
        <v>44920</v>
      </c>
      <c r="E21" s="75">
        <v>903.98</v>
      </c>
    </row>
    <row r="22" ht="15.75" spans="1:5">
      <c r="A22" s="33" t="s">
        <v>2055</v>
      </c>
      <c r="B22" s="33">
        <v>399502.556</v>
      </c>
      <c r="C22" s="33" t="s">
        <v>2056</v>
      </c>
      <c r="D22" s="11">
        <v>44921</v>
      </c>
      <c r="E22" s="75"/>
    </row>
    <row r="23" ht="15.75" spans="1:5">
      <c r="A23" s="33" t="s">
        <v>2057</v>
      </c>
      <c r="B23" s="33">
        <v>399503.556</v>
      </c>
      <c r="C23" s="33" t="s">
        <v>2058</v>
      </c>
      <c r="D23" s="11">
        <v>44922</v>
      </c>
      <c r="E23" s="75"/>
    </row>
    <row r="24" ht="15.75" spans="1:5">
      <c r="A24" s="33" t="s">
        <v>2059</v>
      </c>
      <c r="B24" s="33">
        <v>399504.556</v>
      </c>
      <c r="C24" s="33" t="s">
        <v>2060</v>
      </c>
      <c r="D24" s="11">
        <v>44923</v>
      </c>
      <c r="E24" s="75"/>
    </row>
    <row r="25" ht="15.75" spans="1:5">
      <c r="A25" s="33" t="s">
        <v>2061</v>
      </c>
      <c r="B25" s="33">
        <v>399505.556</v>
      </c>
      <c r="C25" s="33" t="s">
        <v>2062</v>
      </c>
      <c r="D25" s="11">
        <v>44924</v>
      </c>
      <c r="E25" s="75"/>
    </row>
    <row r="26" ht="15.75" spans="1:5">
      <c r="A26" s="33" t="s">
        <v>2063</v>
      </c>
      <c r="B26" s="33">
        <v>399506.556</v>
      </c>
      <c r="C26" s="33" t="s">
        <v>2064</v>
      </c>
      <c r="D26" s="11">
        <v>44925</v>
      </c>
      <c r="E26" s="75">
        <v>903.96</v>
      </c>
    </row>
    <row r="27" ht="15.75" spans="1:5">
      <c r="A27" s="33" t="s">
        <v>2065</v>
      </c>
      <c r="B27" s="33">
        <v>399507.556</v>
      </c>
      <c r="C27" s="33" t="s">
        <v>2066</v>
      </c>
      <c r="D27" s="11">
        <v>44926</v>
      </c>
      <c r="E27" s="75"/>
    </row>
    <row r="28" ht="15.75" spans="1:5">
      <c r="A28" s="33" t="s">
        <v>2067</v>
      </c>
      <c r="B28" s="33">
        <v>399508.556</v>
      </c>
      <c r="C28" s="33" t="s">
        <v>2068</v>
      </c>
      <c r="D28" s="34">
        <v>44927</v>
      </c>
      <c r="E28" s="75"/>
    </row>
    <row r="29" ht="15.75" spans="1:5">
      <c r="A29" s="33" t="s">
        <v>2069</v>
      </c>
      <c r="B29" s="33">
        <v>399509.556</v>
      </c>
      <c r="C29" s="33" t="s">
        <v>2070</v>
      </c>
      <c r="D29" s="11">
        <v>44928</v>
      </c>
      <c r="E29" s="75"/>
    </row>
    <row r="30" ht="15.75" spans="1:5">
      <c r="A30" s="33" t="s">
        <v>2071</v>
      </c>
      <c r="B30" s="33">
        <v>399510.556</v>
      </c>
      <c r="C30" s="33" t="s">
        <v>2072</v>
      </c>
      <c r="D30" s="11">
        <v>44929</v>
      </c>
      <c r="E30" s="75"/>
    </row>
    <row r="31" ht="15.75" spans="1:5">
      <c r="A31" s="33" t="s">
        <v>2073</v>
      </c>
      <c r="B31" s="33">
        <v>399511.556</v>
      </c>
      <c r="C31" s="33" t="s">
        <v>2074</v>
      </c>
      <c r="D31" s="11">
        <v>44930</v>
      </c>
      <c r="E31" s="75"/>
    </row>
    <row r="32" ht="15.75" spans="1:5">
      <c r="A32" s="33" t="s">
        <v>2075</v>
      </c>
      <c r="B32" s="33">
        <v>399512.556</v>
      </c>
      <c r="C32" s="33" t="s">
        <v>2076</v>
      </c>
      <c r="D32" s="11">
        <v>44931</v>
      </c>
      <c r="E32" s="75"/>
    </row>
    <row r="33" ht="15.75" spans="1:5">
      <c r="A33" s="33" t="s">
        <v>2077</v>
      </c>
      <c r="B33" s="33">
        <v>399513.556</v>
      </c>
      <c r="C33" s="33" t="s">
        <v>2078</v>
      </c>
      <c r="D33" s="11">
        <v>44932</v>
      </c>
      <c r="E33" s="75"/>
    </row>
    <row r="34" ht="15.75" spans="1:5">
      <c r="A34" s="33" t="s">
        <v>2079</v>
      </c>
      <c r="B34" s="33">
        <v>399514.556</v>
      </c>
      <c r="C34" s="33" t="s">
        <v>2080</v>
      </c>
      <c r="D34" s="11">
        <v>44933</v>
      </c>
      <c r="E34" s="75"/>
    </row>
    <row r="35" ht="15.75" spans="1:5">
      <c r="A35" s="33" t="s">
        <v>2081</v>
      </c>
      <c r="B35" s="33">
        <v>399515.556</v>
      </c>
      <c r="C35" s="33" t="s">
        <v>2082</v>
      </c>
      <c r="D35" s="11">
        <v>44934</v>
      </c>
      <c r="E35" s="75"/>
    </row>
    <row r="36" ht="15.75" spans="1:5">
      <c r="A36" s="33" t="s">
        <v>2083</v>
      </c>
      <c r="B36" s="33">
        <v>399516.556</v>
      </c>
      <c r="C36" s="33" t="s">
        <v>2084</v>
      </c>
      <c r="D36" s="11">
        <v>44935</v>
      </c>
      <c r="E36" s="75"/>
    </row>
    <row r="37" ht="15.75" spans="1:5">
      <c r="A37" s="33" t="s">
        <v>2085</v>
      </c>
      <c r="B37" s="33">
        <v>399517.556</v>
      </c>
      <c r="C37" s="33" t="s">
        <v>2086</v>
      </c>
      <c r="D37" s="11">
        <v>44936</v>
      </c>
      <c r="E37" s="75">
        <v>903.84</v>
      </c>
    </row>
    <row r="38" ht="15.75" spans="1:5">
      <c r="A38" s="33" t="s">
        <v>2087</v>
      </c>
      <c r="B38" s="33">
        <v>399518.556</v>
      </c>
      <c r="C38" s="33" t="s">
        <v>2088</v>
      </c>
      <c r="D38" s="11">
        <v>44937</v>
      </c>
      <c r="E38" s="75"/>
    </row>
    <row r="39" ht="15.75" spans="1:5">
      <c r="A39" s="33" t="s">
        <v>2089</v>
      </c>
      <c r="B39" s="33">
        <v>399519.556</v>
      </c>
      <c r="C39" s="33" t="s">
        <v>2090</v>
      </c>
      <c r="D39" s="11">
        <v>44938</v>
      </c>
      <c r="E39" s="75"/>
    </row>
    <row r="40" ht="15.75" spans="1:5">
      <c r="A40" s="33" t="s">
        <v>2091</v>
      </c>
      <c r="B40" s="33">
        <v>399520.556</v>
      </c>
      <c r="C40" s="33" t="s">
        <v>2092</v>
      </c>
      <c r="D40" s="11">
        <v>44939</v>
      </c>
      <c r="E40" s="75"/>
    </row>
    <row r="41" ht="15.75" spans="1:5">
      <c r="A41" s="33" t="s">
        <v>2093</v>
      </c>
      <c r="B41" s="33">
        <v>399521.556</v>
      </c>
      <c r="C41" s="33" t="s">
        <v>2094</v>
      </c>
      <c r="D41" s="11">
        <v>44940</v>
      </c>
      <c r="E41" s="75"/>
    </row>
    <row r="42" ht="15.75" spans="1:5">
      <c r="A42" s="33" t="s">
        <v>2095</v>
      </c>
      <c r="B42" s="33">
        <v>399522.556</v>
      </c>
      <c r="C42" s="33" t="s">
        <v>2096</v>
      </c>
      <c r="D42" s="11">
        <v>44941</v>
      </c>
      <c r="E42" s="75"/>
    </row>
    <row r="43" ht="15.75" spans="1:5">
      <c r="A43" s="33" t="s">
        <v>2097</v>
      </c>
      <c r="B43" s="33">
        <v>399523.556</v>
      </c>
      <c r="C43" s="33" t="s">
        <v>2098</v>
      </c>
      <c r="D43" s="11">
        <v>44942</v>
      </c>
      <c r="E43" s="75"/>
    </row>
    <row r="44" ht="15.75" spans="1:5">
      <c r="A44" s="33" t="s">
        <v>2099</v>
      </c>
      <c r="B44" s="33">
        <v>399524.556</v>
      </c>
      <c r="C44" s="33" t="s">
        <v>2100</v>
      </c>
      <c r="D44" s="11">
        <v>44943</v>
      </c>
      <c r="E44" s="75"/>
    </row>
    <row r="45" ht="15.75" spans="1:5">
      <c r="A45" s="33" t="s">
        <v>2101</v>
      </c>
      <c r="B45" s="33">
        <v>399525.556</v>
      </c>
      <c r="C45" s="33" t="s">
        <v>2102</v>
      </c>
      <c r="D45" s="11">
        <v>44944</v>
      </c>
      <c r="E45" s="75">
        <v>903.7</v>
      </c>
    </row>
    <row r="46" ht="15.75" spans="1:5">
      <c r="A46" s="33" t="s">
        <v>2103</v>
      </c>
      <c r="B46" s="33">
        <v>399526.556</v>
      </c>
      <c r="C46" s="33" t="s">
        <v>2104</v>
      </c>
      <c r="D46" s="11">
        <v>44945</v>
      </c>
      <c r="E46" s="75"/>
    </row>
    <row r="47" ht="15.75" spans="1:5">
      <c r="A47" s="33" t="s">
        <v>2105</v>
      </c>
      <c r="B47" s="33">
        <v>399527.556</v>
      </c>
      <c r="C47" s="33" t="s">
        <v>2106</v>
      </c>
      <c r="D47" s="11">
        <v>44946</v>
      </c>
      <c r="E47" s="75"/>
    </row>
    <row r="48" ht="15.75" spans="1:5">
      <c r="A48" s="33" t="s">
        <v>2107</v>
      </c>
      <c r="B48" s="33">
        <v>399528.556</v>
      </c>
      <c r="C48" s="33" t="s">
        <v>2108</v>
      </c>
      <c r="D48" s="11">
        <v>44947</v>
      </c>
      <c r="E48" s="75"/>
    </row>
    <row r="49" ht="15.75" spans="1:5">
      <c r="A49" s="33" t="s">
        <v>2109</v>
      </c>
      <c r="B49" s="33">
        <v>399529.556</v>
      </c>
      <c r="C49" s="33" t="s">
        <v>2110</v>
      </c>
      <c r="D49" s="11">
        <v>44948</v>
      </c>
      <c r="E49" s="75"/>
    </row>
    <row r="50" ht="15.75" spans="1:5">
      <c r="A50" s="33" t="s">
        <v>2111</v>
      </c>
      <c r="B50" s="33">
        <v>399530.556</v>
      </c>
      <c r="C50" s="33" t="s">
        <v>2112</v>
      </c>
      <c r="D50" s="11">
        <v>44949</v>
      </c>
      <c r="E50" s="75"/>
    </row>
    <row r="51" ht="15.75" spans="1:5">
      <c r="A51" s="33" t="s">
        <v>2113</v>
      </c>
      <c r="B51" s="33">
        <v>399531.556</v>
      </c>
      <c r="C51" s="33" t="s">
        <v>2114</v>
      </c>
      <c r="D51" s="11">
        <v>44950</v>
      </c>
      <c r="E51" s="75"/>
    </row>
    <row r="52" ht="15.75" spans="1:5">
      <c r="A52" s="33" t="s">
        <v>2115</v>
      </c>
      <c r="B52" s="33">
        <v>399532.556</v>
      </c>
      <c r="C52" s="33" t="s">
        <v>2116</v>
      </c>
      <c r="D52" s="11">
        <v>44951</v>
      </c>
      <c r="E52" s="75"/>
    </row>
    <row r="53" ht="15.75" spans="1:5">
      <c r="A53" s="33" t="s">
        <v>2117</v>
      </c>
      <c r="B53" s="33">
        <v>399533.556</v>
      </c>
      <c r="C53" s="33" t="s">
        <v>2118</v>
      </c>
      <c r="D53" s="11">
        <v>44952</v>
      </c>
      <c r="E53" s="75"/>
    </row>
    <row r="54" ht="15.75" spans="1:5">
      <c r="A54" s="33" t="s">
        <v>2119</v>
      </c>
      <c r="B54" s="33">
        <v>399534.556</v>
      </c>
      <c r="C54" s="33" t="s">
        <v>2120</v>
      </c>
      <c r="D54" s="11">
        <v>44953</v>
      </c>
      <c r="E54" s="75"/>
    </row>
    <row r="55" ht="15.75" spans="1:5">
      <c r="A55" s="33" t="s">
        <v>2121</v>
      </c>
      <c r="B55" s="33">
        <v>399535.556</v>
      </c>
      <c r="C55" s="33" t="s">
        <v>2122</v>
      </c>
      <c r="D55" s="11">
        <v>44954</v>
      </c>
      <c r="E55" s="75">
        <v>903.6</v>
      </c>
    </row>
    <row r="56" ht="15.75" spans="1:5">
      <c r="A56" s="33" t="s">
        <v>2123</v>
      </c>
      <c r="B56" s="33">
        <v>399536.556</v>
      </c>
      <c r="C56" s="33" t="s">
        <v>2124</v>
      </c>
      <c r="D56" s="11">
        <v>44955</v>
      </c>
      <c r="E56" s="75"/>
    </row>
    <row r="57" ht="15.75" spans="1:5">
      <c r="A57" s="33" t="s">
        <v>2125</v>
      </c>
      <c r="B57" s="33">
        <v>399537.556</v>
      </c>
      <c r="C57" s="33" t="s">
        <v>2126</v>
      </c>
      <c r="D57" s="11">
        <v>44956</v>
      </c>
      <c r="E57" s="75"/>
    </row>
    <row r="58" ht="15.75" spans="1:5">
      <c r="A58" s="33" t="s">
        <v>2127</v>
      </c>
      <c r="B58" s="33">
        <v>399538.556</v>
      </c>
      <c r="C58" s="33" t="s">
        <v>2128</v>
      </c>
      <c r="D58" s="11">
        <v>44957</v>
      </c>
      <c r="E58" s="75"/>
    </row>
    <row r="59" ht="15.75" spans="1:5">
      <c r="A59" s="33" t="s">
        <v>2129</v>
      </c>
      <c r="B59" s="33">
        <v>399539.556</v>
      </c>
      <c r="C59" s="33" t="s">
        <v>2130</v>
      </c>
      <c r="D59" s="11">
        <v>44958</v>
      </c>
      <c r="E59" s="75"/>
    </row>
    <row r="60" ht="15.75" spans="1:5">
      <c r="A60" s="33" t="s">
        <v>2131</v>
      </c>
      <c r="B60" s="33">
        <v>399540.556</v>
      </c>
      <c r="C60" s="33" t="s">
        <v>2132</v>
      </c>
      <c r="D60" s="11">
        <v>44959</v>
      </c>
      <c r="E60" s="75">
        <v>902.98</v>
      </c>
    </row>
    <row r="61" ht="15.75" spans="1:5">
      <c r="A61" s="33" t="s">
        <v>2133</v>
      </c>
      <c r="B61" s="33">
        <v>399541.556</v>
      </c>
      <c r="C61" s="33" t="s">
        <v>2134</v>
      </c>
      <c r="D61" s="11">
        <v>44960</v>
      </c>
      <c r="E61" s="75"/>
    </row>
    <row r="62" ht="15.75" spans="1:5">
      <c r="A62" s="33" t="s">
        <v>2135</v>
      </c>
      <c r="B62" s="33">
        <v>399542.556</v>
      </c>
      <c r="C62" s="33" t="s">
        <v>2136</v>
      </c>
      <c r="D62" s="11">
        <v>44961</v>
      </c>
      <c r="E62" s="75"/>
    </row>
    <row r="63" ht="15.75" spans="1:5">
      <c r="A63" s="33" t="s">
        <v>2137</v>
      </c>
      <c r="B63" s="33">
        <v>399543.556</v>
      </c>
      <c r="C63" s="33" t="s">
        <v>2138</v>
      </c>
      <c r="D63" s="11">
        <v>44962</v>
      </c>
      <c r="E63" s="75"/>
    </row>
    <row r="64" ht="15.75" spans="1:5">
      <c r="A64" s="33" t="s">
        <v>2139</v>
      </c>
      <c r="B64" s="33">
        <v>399544.556</v>
      </c>
      <c r="C64" s="33" t="s">
        <v>2140</v>
      </c>
      <c r="D64" s="11">
        <v>44963</v>
      </c>
      <c r="E64" s="75"/>
    </row>
    <row r="65" ht="15.75" spans="1:5">
      <c r="A65" s="33" t="s">
        <v>2141</v>
      </c>
      <c r="B65" s="33">
        <v>399545.556</v>
      </c>
      <c r="C65" s="33" t="s">
        <v>2142</v>
      </c>
      <c r="D65" s="11">
        <v>44964</v>
      </c>
      <c r="E65" s="75"/>
    </row>
    <row r="66" ht="15.75" spans="1:5">
      <c r="A66" s="33" t="s">
        <v>2143</v>
      </c>
      <c r="B66" s="33">
        <v>399546.556</v>
      </c>
      <c r="C66" s="33" t="s">
        <v>2144</v>
      </c>
      <c r="D66" s="11">
        <v>44965</v>
      </c>
      <c r="E66" s="75">
        <v>902.98</v>
      </c>
    </row>
    <row r="67" ht="15.75" spans="1:5">
      <c r="A67" s="33" t="s">
        <v>2145</v>
      </c>
      <c r="B67" s="33">
        <v>399547.556</v>
      </c>
      <c r="C67" s="33" t="s">
        <v>2146</v>
      </c>
      <c r="D67" s="11">
        <v>44966</v>
      </c>
      <c r="E67" s="75"/>
    </row>
    <row r="68" ht="15.75" spans="1:5">
      <c r="A68" s="33" t="s">
        <v>2147</v>
      </c>
      <c r="B68" s="33">
        <v>399548.556</v>
      </c>
      <c r="C68" s="33" t="s">
        <v>2148</v>
      </c>
      <c r="D68" s="11">
        <v>44967</v>
      </c>
      <c r="E68" s="75"/>
    </row>
    <row r="69" ht="15.75" spans="1:5">
      <c r="A69" s="33" t="s">
        <v>2149</v>
      </c>
      <c r="B69" s="33">
        <v>399549.556</v>
      </c>
      <c r="C69" s="33" t="s">
        <v>2150</v>
      </c>
      <c r="D69" s="11">
        <v>44968</v>
      </c>
      <c r="E69" s="75"/>
    </row>
    <row r="70" ht="15.75" spans="1:5">
      <c r="A70" s="33" t="s">
        <v>2151</v>
      </c>
      <c r="B70" s="33">
        <v>399550.556</v>
      </c>
      <c r="C70" s="33" t="s">
        <v>2152</v>
      </c>
      <c r="D70" s="11">
        <v>44969</v>
      </c>
      <c r="E70" s="75"/>
    </row>
    <row r="71" ht="15.75" spans="1:5">
      <c r="A71" s="33" t="s">
        <v>2153</v>
      </c>
      <c r="B71" s="33">
        <v>399551.556</v>
      </c>
      <c r="C71" s="33" t="s">
        <v>2154</v>
      </c>
      <c r="D71" s="11">
        <v>44970</v>
      </c>
      <c r="E71" s="75"/>
    </row>
    <row r="72" ht="15.75" spans="1:5">
      <c r="A72" s="33" t="s">
        <v>2155</v>
      </c>
      <c r="B72" s="33">
        <v>399552.556</v>
      </c>
      <c r="C72" s="33" t="s">
        <v>2156</v>
      </c>
      <c r="D72" s="11">
        <v>44971</v>
      </c>
      <c r="E72" s="75">
        <v>902.97</v>
      </c>
    </row>
    <row r="73" ht="15.75" spans="1:5">
      <c r="A73" s="33" t="s">
        <v>2157</v>
      </c>
      <c r="B73" s="33">
        <v>399553.556</v>
      </c>
      <c r="C73" s="33" t="s">
        <v>2158</v>
      </c>
      <c r="D73" s="11">
        <v>44972</v>
      </c>
      <c r="E73" s="75"/>
    </row>
    <row r="74" ht="15.75" spans="1:5">
      <c r="A74" s="33" t="s">
        <v>2159</v>
      </c>
      <c r="B74" s="33">
        <v>399554.556</v>
      </c>
      <c r="C74" s="33" t="s">
        <v>2160</v>
      </c>
      <c r="D74" s="11">
        <v>44973</v>
      </c>
      <c r="E74" s="75"/>
    </row>
    <row r="75" ht="15.75" spans="1:5">
      <c r="A75" s="33" t="s">
        <v>2161</v>
      </c>
      <c r="B75" s="33">
        <v>399555.556</v>
      </c>
      <c r="C75" s="33" t="s">
        <v>2162</v>
      </c>
      <c r="D75" s="11">
        <v>44974</v>
      </c>
      <c r="E75" s="75"/>
    </row>
    <row r="76" ht="15.75" spans="1:5">
      <c r="A76" s="33" t="s">
        <v>2163</v>
      </c>
      <c r="B76" s="33">
        <v>399556.556</v>
      </c>
      <c r="C76" s="33" t="s">
        <v>2164</v>
      </c>
      <c r="D76" s="11">
        <v>44975</v>
      </c>
      <c r="E76" s="75"/>
    </row>
    <row r="77" ht="15.75" spans="1:5">
      <c r="A77" s="33" t="s">
        <v>2165</v>
      </c>
      <c r="B77" s="33">
        <v>399557.556</v>
      </c>
      <c r="C77" s="33" t="s">
        <v>2166</v>
      </c>
      <c r="D77" s="11">
        <v>44976</v>
      </c>
      <c r="E77" s="75"/>
    </row>
    <row r="78" ht="15.75" spans="1:5">
      <c r="A78" s="33" t="s">
        <v>2167</v>
      </c>
      <c r="B78" s="33">
        <v>399558.556</v>
      </c>
      <c r="C78" s="33" t="s">
        <v>2168</v>
      </c>
      <c r="D78" s="11">
        <v>44977</v>
      </c>
      <c r="E78" s="75"/>
    </row>
    <row r="79" ht="15.75" spans="1:5">
      <c r="A79" s="33" t="s">
        <v>2169</v>
      </c>
      <c r="B79" s="33">
        <v>399559.556</v>
      </c>
      <c r="C79" s="33" t="s">
        <v>2170</v>
      </c>
      <c r="D79" s="11">
        <v>44978</v>
      </c>
      <c r="E79" s="75"/>
    </row>
    <row r="80" ht="15.75" spans="1:5">
      <c r="A80" s="33" t="s">
        <v>2171</v>
      </c>
      <c r="B80" s="33">
        <v>399560.556</v>
      </c>
      <c r="C80" s="33" t="s">
        <v>2172</v>
      </c>
      <c r="D80" s="11">
        <v>44979</v>
      </c>
      <c r="E80" s="75"/>
    </row>
    <row r="81" ht="15.75" spans="1:5">
      <c r="A81" s="33" t="s">
        <v>2173</v>
      </c>
      <c r="B81" s="33">
        <v>399561.556</v>
      </c>
      <c r="C81" s="33" t="s">
        <v>2174</v>
      </c>
      <c r="D81" s="11">
        <v>44980</v>
      </c>
      <c r="E81" s="75">
        <v>902.44</v>
      </c>
    </row>
    <row r="82" ht="15.75" spans="1:5">
      <c r="A82" s="33" t="s">
        <v>2175</v>
      </c>
      <c r="B82" s="33">
        <v>399562.556</v>
      </c>
      <c r="C82" s="33" t="s">
        <v>2176</v>
      </c>
      <c r="D82" s="11">
        <v>44981</v>
      </c>
      <c r="E82" s="75"/>
    </row>
    <row r="83" ht="15.75" spans="1:5">
      <c r="A83" s="33" t="s">
        <v>2177</v>
      </c>
      <c r="B83" s="33">
        <v>399563.556</v>
      </c>
      <c r="C83" s="33" t="s">
        <v>2178</v>
      </c>
      <c r="D83" s="11">
        <v>44982</v>
      </c>
      <c r="E83" s="75"/>
    </row>
    <row r="84" ht="15.75" spans="1:5">
      <c r="A84" s="33" t="s">
        <v>2179</v>
      </c>
      <c r="B84" s="33">
        <v>399564.556</v>
      </c>
      <c r="C84" s="33" t="s">
        <v>2180</v>
      </c>
      <c r="D84" s="11">
        <v>44983</v>
      </c>
      <c r="E84" s="75"/>
    </row>
    <row r="85" ht="15.75" spans="1:5">
      <c r="A85" s="33" t="s">
        <v>2181</v>
      </c>
      <c r="B85" s="33">
        <v>399565.556</v>
      </c>
      <c r="C85" s="33" t="s">
        <v>2182</v>
      </c>
      <c r="D85" s="11">
        <v>44984</v>
      </c>
      <c r="E85" s="75"/>
    </row>
    <row r="86" ht="15.75" spans="1:5">
      <c r="A86" s="33" t="s">
        <v>2183</v>
      </c>
      <c r="B86" s="33">
        <v>399566.556</v>
      </c>
      <c r="C86" s="33" t="s">
        <v>2184</v>
      </c>
      <c r="D86" s="11">
        <v>44985</v>
      </c>
      <c r="E86" s="75">
        <v>902.7</v>
      </c>
    </row>
    <row r="87" ht="15.75" spans="1:5">
      <c r="A87" s="33" t="s">
        <v>2185</v>
      </c>
      <c r="B87" s="33">
        <v>399567.556</v>
      </c>
      <c r="C87" s="33" t="s">
        <v>2186</v>
      </c>
      <c r="D87" s="11">
        <v>44986</v>
      </c>
      <c r="E87" s="75"/>
    </row>
    <row r="88" ht="15.75" spans="1:5">
      <c r="A88" s="33" t="s">
        <v>2187</v>
      </c>
      <c r="B88" s="33">
        <v>399568.556</v>
      </c>
      <c r="C88" s="33" t="s">
        <v>2188</v>
      </c>
      <c r="D88" s="11">
        <v>44987</v>
      </c>
      <c r="E88" s="75"/>
    </row>
    <row r="89" ht="15.75" spans="1:5">
      <c r="A89" s="33" t="s">
        <v>2189</v>
      </c>
      <c r="B89" s="33">
        <v>399569.556</v>
      </c>
      <c r="C89" s="33" t="s">
        <v>2190</v>
      </c>
      <c r="D89" s="11">
        <v>44988</v>
      </c>
      <c r="E89" s="75"/>
    </row>
    <row r="90" ht="15.75" spans="1:5">
      <c r="A90" s="33" t="s">
        <v>2191</v>
      </c>
      <c r="B90" s="33">
        <v>399570.556</v>
      </c>
      <c r="C90" s="33" t="s">
        <v>2192</v>
      </c>
      <c r="D90" s="11">
        <v>44989</v>
      </c>
      <c r="E90" s="75"/>
    </row>
    <row r="91" ht="15.75" spans="1:5">
      <c r="A91" s="33" t="s">
        <v>2193</v>
      </c>
      <c r="B91" s="33">
        <v>399571.556</v>
      </c>
      <c r="C91" s="33" t="s">
        <v>2194</v>
      </c>
      <c r="D91" s="11">
        <v>44990</v>
      </c>
      <c r="E91" s="75">
        <v>902.65</v>
      </c>
    </row>
    <row r="92" ht="15.75" spans="1:5">
      <c r="A92" s="33" t="s">
        <v>2195</v>
      </c>
      <c r="B92" s="33">
        <v>399572.556</v>
      </c>
      <c r="C92" s="33" t="s">
        <v>2196</v>
      </c>
      <c r="D92" s="11">
        <v>44991</v>
      </c>
      <c r="E92" s="75"/>
    </row>
    <row r="93" ht="15.75" spans="1:5">
      <c r="A93" s="33" t="s">
        <v>2197</v>
      </c>
      <c r="B93" s="33">
        <v>399573.556</v>
      </c>
      <c r="C93" s="33" t="s">
        <v>2198</v>
      </c>
      <c r="D93" s="11">
        <v>44992</v>
      </c>
      <c r="E93" s="75"/>
    </row>
    <row r="94" ht="15.75" spans="1:5">
      <c r="A94" s="33" t="s">
        <v>2199</v>
      </c>
      <c r="B94" s="33">
        <v>399574.556</v>
      </c>
      <c r="C94" s="33" t="s">
        <v>2200</v>
      </c>
      <c r="D94" s="11">
        <v>44993</v>
      </c>
      <c r="E94" s="75"/>
    </row>
    <row r="95" ht="15.75" spans="1:5">
      <c r="A95" s="33" t="s">
        <v>2201</v>
      </c>
      <c r="B95" s="33">
        <v>399575.556</v>
      </c>
      <c r="C95" s="33" t="s">
        <v>2202</v>
      </c>
      <c r="D95" s="11">
        <v>44994</v>
      </c>
      <c r="E95" s="75"/>
    </row>
    <row r="96" ht="15.75" spans="1:5">
      <c r="A96" s="33" t="s">
        <v>2203</v>
      </c>
      <c r="B96" s="33">
        <v>399576.556</v>
      </c>
      <c r="C96" s="33" t="s">
        <v>2204</v>
      </c>
      <c r="D96" s="11">
        <v>44995</v>
      </c>
      <c r="E96" s="75"/>
    </row>
    <row r="97" ht="15.75" spans="1:5">
      <c r="A97" s="33" t="s">
        <v>2205</v>
      </c>
      <c r="B97" s="33">
        <v>399577.556</v>
      </c>
      <c r="C97" s="33" t="s">
        <v>2206</v>
      </c>
      <c r="D97" s="11">
        <v>44996</v>
      </c>
      <c r="E97" s="75"/>
    </row>
    <row r="98" ht="15.75" spans="1:5">
      <c r="A98" s="33" t="s">
        <v>2207</v>
      </c>
      <c r="B98" s="33">
        <v>399578.556</v>
      </c>
      <c r="C98" s="33" t="s">
        <v>2208</v>
      </c>
      <c r="D98" s="11">
        <v>44997</v>
      </c>
      <c r="E98" s="75"/>
    </row>
    <row r="99" ht="15.75" spans="1:5">
      <c r="A99" s="33" t="s">
        <v>2209</v>
      </c>
      <c r="B99" s="33">
        <v>399579.556</v>
      </c>
      <c r="C99" s="33" t="s">
        <v>2210</v>
      </c>
      <c r="D99" s="11">
        <v>44998</v>
      </c>
      <c r="E99" s="75"/>
    </row>
    <row r="100" ht="15.75" spans="1:5">
      <c r="A100" s="33" t="s">
        <v>2211</v>
      </c>
      <c r="B100" s="33">
        <v>399580.556</v>
      </c>
      <c r="C100" s="33" t="s">
        <v>2212</v>
      </c>
      <c r="D100" s="11">
        <v>44999</v>
      </c>
      <c r="E100" s="75"/>
    </row>
    <row r="101" ht="15.75" spans="1:5">
      <c r="A101" s="33" t="s">
        <v>2213</v>
      </c>
      <c r="B101" s="33">
        <v>399581.556</v>
      </c>
      <c r="C101" s="33" t="s">
        <v>2214</v>
      </c>
      <c r="D101" s="11">
        <v>45000</v>
      </c>
      <c r="E101" s="75">
        <v>902.44</v>
      </c>
    </row>
    <row r="102" ht="15.75" spans="1:5">
      <c r="A102" s="33" t="s">
        <v>2215</v>
      </c>
      <c r="B102" s="33">
        <v>399582.556</v>
      </c>
      <c r="C102" s="33" t="s">
        <v>2216</v>
      </c>
      <c r="D102" s="11">
        <v>45001</v>
      </c>
      <c r="E102" s="75"/>
    </row>
    <row r="103" ht="15.75" spans="1:5">
      <c r="A103" s="33" t="s">
        <v>2217</v>
      </c>
      <c r="B103" s="33">
        <v>399583.556</v>
      </c>
      <c r="C103" s="33" t="s">
        <v>2218</v>
      </c>
      <c r="D103" s="11">
        <v>45002</v>
      </c>
      <c r="E103" s="75"/>
    </row>
    <row r="104" ht="15.75" spans="1:5">
      <c r="A104" s="33" t="s">
        <v>2219</v>
      </c>
      <c r="B104" s="33">
        <v>399584.556</v>
      </c>
      <c r="C104" s="33" t="s">
        <v>2220</v>
      </c>
      <c r="D104" s="11">
        <v>45003</v>
      </c>
      <c r="E104" s="75"/>
    </row>
    <row r="105" ht="15.75" spans="1:5">
      <c r="A105" s="33" t="s">
        <v>2221</v>
      </c>
      <c r="B105" s="33">
        <v>399585.556</v>
      </c>
      <c r="C105" s="33" t="s">
        <v>2222</v>
      </c>
      <c r="D105" s="11">
        <v>45004</v>
      </c>
      <c r="E105" s="75"/>
    </row>
    <row r="106" ht="15.75" spans="1:5">
      <c r="A106" s="33" t="s">
        <v>2223</v>
      </c>
      <c r="B106" s="33">
        <v>399586.556</v>
      </c>
      <c r="C106" s="33" t="s">
        <v>2224</v>
      </c>
      <c r="D106" s="11">
        <v>45005</v>
      </c>
      <c r="E106" s="75"/>
    </row>
    <row r="107" ht="15.75" spans="1:5">
      <c r="A107" s="33" t="s">
        <v>2225</v>
      </c>
      <c r="B107" s="33">
        <v>399587.556</v>
      </c>
      <c r="C107" s="33" t="s">
        <v>2226</v>
      </c>
      <c r="D107" s="11">
        <v>45006</v>
      </c>
      <c r="E107" s="75"/>
    </row>
    <row r="108" ht="15.75" spans="1:5">
      <c r="A108" s="33" t="s">
        <v>2227</v>
      </c>
      <c r="B108" s="33">
        <v>399588.556</v>
      </c>
      <c r="C108" s="33" t="s">
        <v>2228</v>
      </c>
      <c r="D108" s="11">
        <v>45007</v>
      </c>
      <c r="E108" s="75">
        <v>902.37</v>
      </c>
    </row>
    <row r="109" ht="15.75" spans="1:5">
      <c r="A109" s="33" t="s">
        <v>2229</v>
      </c>
      <c r="B109" s="33">
        <v>399589.556</v>
      </c>
      <c r="C109" s="33" t="s">
        <v>2230</v>
      </c>
      <c r="D109" s="11">
        <v>45008</v>
      </c>
      <c r="E109" s="75"/>
    </row>
    <row r="110" ht="15.75" spans="1:5">
      <c r="A110" s="33" t="s">
        <v>2231</v>
      </c>
      <c r="B110" s="33">
        <v>399590.556</v>
      </c>
      <c r="C110" s="33" t="s">
        <v>2232</v>
      </c>
      <c r="D110" s="11">
        <v>45009</v>
      </c>
      <c r="E110" s="75"/>
    </row>
    <row r="111" ht="15.75" spans="1:5">
      <c r="A111" s="33" t="s">
        <v>2233</v>
      </c>
      <c r="B111" s="33">
        <v>399591.556</v>
      </c>
      <c r="C111" s="33" t="s">
        <v>2234</v>
      </c>
      <c r="D111" s="11">
        <v>45010</v>
      </c>
      <c r="E111" s="75"/>
    </row>
    <row r="112" ht="15.75" spans="1:5">
      <c r="A112" s="33" t="s">
        <v>2235</v>
      </c>
      <c r="B112" s="33">
        <v>399592.556</v>
      </c>
      <c r="C112" s="33" t="s">
        <v>2236</v>
      </c>
      <c r="D112" s="11">
        <v>45011</v>
      </c>
      <c r="E112" s="75"/>
    </row>
    <row r="113" ht="15.75" spans="1:5">
      <c r="A113" s="33" t="s">
        <v>2237</v>
      </c>
      <c r="B113" s="33">
        <v>399593.556</v>
      </c>
      <c r="C113" s="33" t="s">
        <v>2238</v>
      </c>
      <c r="D113" s="11">
        <v>45012</v>
      </c>
      <c r="E113" s="75"/>
    </row>
    <row r="114" ht="15.75" spans="1:5">
      <c r="A114" s="33" t="s">
        <v>2239</v>
      </c>
      <c r="B114" s="33">
        <v>399594.556</v>
      </c>
      <c r="C114" s="33" t="s">
        <v>2240</v>
      </c>
      <c r="D114" s="11">
        <v>45013</v>
      </c>
      <c r="E114" s="75"/>
    </row>
    <row r="115" ht="15.75" spans="1:5">
      <c r="A115" s="33" t="s">
        <v>2241</v>
      </c>
      <c r="B115" s="33">
        <v>399595.556</v>
      </c>
      <c r="C115" s="33" t="s">
        <v>2242</v>
      </c>
      <c r="D115" s="11">
        <v>45014</v>
      </c>
      <c r="E115" s="75"/>
    </row>
    <row r="116" ht="15.75" spans="1:5">
      <c r="A116" s="33" t="s">
        <v>2243</v>
      </c>
      <c r="B116" s="33">
        <v>399596.556</v>
      </c>
      <c r="C116" s="33" t="s">
        <v>2244</v>
      </c>
      <c r="D116" s="11">
        <v>45015</v>
      </c>
      <c r="E116" s="75">
        <v>903.09</v>
      </c>
    </row>
    <row r="117" ht="15.75" spans="1:5">
      <c r="A117" s="33" t="s">
        <v>2245</v>
      </c>
      <c r="B117" s="33">
        <v>399597.556</v>
      </c>
      <c r="C117" s="33" t="s">
        <v>2246</v>
      </c>
      <c r="D117" s="11">
        <v>45016</v>
      </c>
      <c r="E117" s="75"/>
    </row>
    <row r="118" ht="15.75" spans="1:5">
      <c r="A118" s="33" t="s">
        <v>2247</v>
      </c>
      <c r="B118" s="33">
        <v>399598.556</v>
      </c>
      <c r="C118" s="33" t="s">
        <v>2248</v>
      </c>
      <c r="D118" s="11">
        <v>45017</v>
      </c>
      <c r="E118" s="75"/>
    </row>
    <row r="119" ht="15.75" spans="1:5">
      <c r="A119" s="33" t="s">
        <v>2249</v>
      </c>
      <c r="B119" s="33">
        <v>399599.556</v>
      </c>
      <c r="C119" s="33" t="s">
        <v>2250</v>
      </c>
      <c r="D119" s="11">
        <v>45018</v>
      </c>
      <c r="E119" s="75"/>
    </row>
    <row r="120" ht="15.75" spans="1:5">
      <c r="A120" s="33" t="s">
        <v>2251</v>
      </c>
      <c r="B120" s="33">
        <v>399600.556</v>
      </c>
      <c r="C120" s="33" t="s">
        <v>2252</v>
      </c>
      <c r="D120" s="11">
        <v>45019</v>
      </c>
      <c r="E120" s="75"/>
    </row>
    <row r="121" ht="15.75" spans="1:5">
      <c r="A121" s="33" t="s">
        <v>2253</v>
      </c>
      <c r="B121" s="33">
        <v>399601.556</v>
      </c>
      <c r="C121" s="33" t="s">
        <v>2254</v>
      </c>
      <c r="D121" s="11">
        <v>45020</v>
      </c>
      <c r="E121" s="75"/>
    </row>
    <row r="122" ht="15.75" spans="1:5">
      <c r="A122" s="33" t="s">
        <v>2255</v>
      </c>
      <c r="B122" s="33">
        <v>399602.556</v>
      </c>
      <c r="C122" s="33" t="s">
        <v>2256</v>
      </c>
      <c r="D122" s="11">
        <v>45021</v>
      </c>
      <c r="E122" s="75"/>
    </row>
    <row r="123" ht="15.75" spans="1:5">
      <c r="A123" s="33" t="s">
        <v>2257</v>
      </c>
      <c r="B123" s="33">
        <v>399603.556</v>
      </c>
      <c r="C123" s="33" t="s">
        <v>2258</v>
      </c>
      <c r="D123" s="11">
        <v>45022</v>
      </c>
      <c r="E123" s="75">
        <v>902.89</v>
      </c>
    </row>
    <row r="124" ht="15.75" spans="1:5">
      <c r="A124" s="33" t="s">
        <v>2259</v>
      </c>
      <c r="B124" s="33">
        <v>399604.556</v>
      </c>
      <c r="C124" s="33" t="s">
        <v>2260</v>
      </c>
      <c r="D124" s="11">
        <v>45023</v>
      </c>
      <c r="E124" s="75">
        <v>902.61</v>
      </c>
    </row>
    <row r="125" ht="15.75" spans="1:5">
      <c r="A125" s="33" t="s">
        <v>2261</v>
      </c>
      <c r="B125" s="33">
        <v>399605.556</v>
      </c>
      <c r="C125" s="33" t="s">
        <v>2262</v>
      </c>
      <c r="D125" s="11">
        <v>45024</v>
      </c>
      <c r="E125" s="75">
        <v>902.62</v>
      </c>
    </row>
    <row r="126" ht="15.75" spans="1:5">
      <c r="A126" s="33" t="s">
        <v>2263</v>
      </c>
      <c r="B126" s="33">
        <v>399606.556</v>
      </c>
      <c r="C126" s="33" t="s">
        <v>2264</v>
      </c>
      <c r="D126" s="11">
        <v>45025</v>
      </c>
      <c r="E126" s="75">
        <v>902.59</v>
      </c>
    </row>
    <row r="127" ht="15.75" spans="1:5">
      <c r="A127" s="33" t="s">
        <v>2265</v>
      </c>
      <c r="B127" s="33">
        <v>399607.556</v>
      </c>
      <c r="C127" s="33" t="s">
        <v>2266</v>
      </c>
      <c r="D127" s="11">
        <v>45026</v>
      </c>
      <c r="E127" s="75">
        <v>902.51</v>
      </c>
    </row>
    <row r="128" ht="15.75" spans="1:5">
      <c r="A128" s="33" t="s">
        <v>2267</v>
      </c>
      <c r="B128" s="33">
        <v>399608.556</v>
      </c>
      <c r="C128" s="33" t="s">
        <v>2268</v>
      </c>
      <c r="D128" s="11">
        <v>45027</v>
      </c>
      <c r="E128" s="75">
        <v>902.51</v>
      </c>
    </row>
    <row r="129" ht="15.75" spans="1:5">
      <c r="A129" s="33" t="s">
        <v>2269</v>
      </c>
      <c r="B129" s="33">
        <v>399609.556</v>
      </c>
      <c r="C129" s="33" t="s">
        <v>2270</v>
      </c>
      <c r="D129" s="11">
        <v>45028</v>
      </c>
      <c r="E129" s="75">
        <v>902.5</v>
      </c>
    </row>
    <row r="130" ht="15.75" spans="1:5">
      <c r="A130" s="33" t="s">
        <v>2271</v>
      </c>
      <c r="B130" s="33">
        <v>399610.556</v>
      </c>
      <c r="C130" s="33" t="s">
        <v>2272</v>
      </c>
      <c r="D130" s="11">
        <v>45029</v>
      </c>
      <c r="E130" s="75">
        <v>902.48</v>
      </c>
    </row>
    <row r="131" ht="15.75" spans="1:5">
      <c r="A131" s="33" t="s">
        <v>2273</v>
      </c>
      <c r="B131" s="33">
        <v>399611.556</v>
      </c>
      <c r="C131" s="33" t="s">
        <v>2274</v>
      </c>
      <c r="D131" s="11">
        <v>45030</v>
      </c>
      <c r="E131" s="75">
        <v>902.44</v>
      </c>
    </row>
    <row r="132" ht="15.75" spans="1:5">
      <c r="A132" s="33" t="s">
        <v>2275</v>
      </c>
      <c r="B132" s="33">
        <v>399612.556</v>
      </c>
      <c r="C132" s="33" t="s">
        <v>2276</v>
      </c>
      <c r="D132" s="11">
        <v>45031</v>
      </c>
      <c r="E132" s="75">
        <v>902.42</v>
      </c>
    </row>
    <row r="133" ht="15.75" spans="1:5">
      <c r="A133" s="33" t="s">
        <v>2277</v>
      </c>
      <c r="B133" s="33">
        <v>399613.556</v>
      </c>
      <c r="C133" s="33" t="s">
        <v>2278</v>
      </c>
      <c r="D133" s="11">
        <v>45032</v>
      </c>
      <c r="E133" s="75">
        <v>902.69</v>
      </c>
    </row>
    <row r="134" ht="15.75" spans="1:5">
      <c r="A134" s="33" t="s">
        <v>2279</v>
      </c>
      <c r="B134" s="33">
        <v>399614.556</v>
      </c>
      <c r="C134" s="33" t="s">
        <v>2280</v>
      </c>
      <c r="D134" s="11">
        <v>45033</v>
      </c>
      <c r="E134" s="75">
        <v>902.7</v>
      </c>
    </row>
    <row r="135" ht="15.75" spans="1:5">
      <c r="A135" s="33" t="s">
        <v>2281</v>
      </c>
      <c r="B135" s="33">
        <v>399615.556</v>
      </c>
      <c r="C135" s="33" t="s">
        <v>2282</v>
      </c>
      <c r="D135" s="11">
        <v>45034</v>
      </c>
      <c r="E135" s="75">
        <v>902.65</v>
      </c>
    </row>
    <row r="136" ht="15.75" spans="1:5">
      <c r="A136" s="33" t="s">
        <v>2283</v>
      </c>
      <c r="B136" s="33">
        <v>399616.556</v>
      </c>
      <c r="C136" s="33" t="s">
        <v>2284</v>
      </c>
      <c r="D136" s="11">
        <v>45035</v>
      </c>
      <c r="E136" s="75">
        <v>902.64</v>
      </c>
    </row>
    <row r="137" ht="15.75" spans="1:5">
      <c r="A137" s="33" t="s">
        <v>2285</v>
      </c>
      <c r="B137" s="33">
        <v>399617.556</v>
      </c>
      <c r="C137" s="33" t="s">
        <v>2286</v>
      </c>
      <c r="D137" s="11">
        <v>45036</v>
      </c>
      <c r="E137" s="75">
        <v>902.62</v>
      </c>
    </row>
    <row r="138" ht="15.75" spans="1:5">
      <c r="A138" s="33" t="s">
        <v>2287</v>
      </c>
      <c r="B138" s="33">
        <v>399618.556</v>
      </c>
      <c r="C138" s="33" t="s">
        <v>2288</v>
      </c>
      <c r="D138" s="11">
        <v>45037</v>
      </c>
      <c r="E138" s="75">
        <v>902.6</v>
      </c>
    </row>
    <row r="139" ht="15.75" spans="1:5">
      <c r="A139" s="33" t="s">
        <v>2289</v>
      </c>
      <c r="B139" s="33">
        <v>399619.556</v>
      </c>
      <c r="C139" s="33" t="s">
        <v>2290</v>
      </c>
      <c r="D139" s="11">
        <v>45038</v>
      </c>
      <c r="E139" s="75">
        <v>902.57</v>
      </c>
    </row>
    <row r="140" ht="15.75" spans="1:5">
      <c r="A140" s="33" t="s">
        <v>2291</v>
      </c>
      <c r="B140" s="33">
        <v>399620.556</v>
      </c>
      <c r="C140" s="33" t="s">
        <v>2292</v>
      </c>
      <c r="D140" s="11">
        <v>45039</v>
      </c>
      <c r="E140" s="75">
        <v>902.51</v>
      </c>
    </row>
    <row r="141" ht="15.75" spans="1:5">
      <c r="A141" s="33" t="s">
        <v>2293</v>
      </c>
      <c r="B141" s="33">
        <v>399621.556</v>
      </c>
      <c r="C141" s="33" t="s">
        <v>2294</v>
      </c>
      <c r="D141" s="11">
        <v>45040</v>
      </c>
      <c r="E141" s="75">
        <v>902.42</v>
      </c>
    </row>
    <row r="142" ht="15.75" spans="1:5">
      <c r="A142" s="33" t="s">
        <v>2295</v>
      </c>
      <c r="B142" s="33">
        <v>399622.556</v>
      </c>
      <c r="C142" s="33" t="s">
        <v>2296</v>
      </c>
      <c r="D142" s="11">
        <v>45041</v>
      </c>
      <c r="E142" s="75">
        <v>902.37</v>
      </c>
    </row>
    <row r="143" ht="15.75" spans="1:5">
      <c r="A143" s="33" t="s">
        <v>2297</v>
      </c>
      <c r="B143" s="33">
        <v>399623.556</v>
      </c>
      <c r="C143" s="33" t="s">
        <v>2298</v>
      </c>
      <c r="D143" s="11">
        <v>45042</v>
      </c>
      <c r="E143" s="75">
        <v>902.49</v>
      </c>
    </row>
    <row r="144" ht="15.75" spans="1:5">
      <c r="A144" s="33" t="s">
        <v>2299</v>
      </c>
      <c r="B144" s="33">
        <v>399624.556</v>
      </c>
      <c r="C144" s="33" t="s">
        <v>2300</v>
      </c>
      <c r="D144" s="11">
        <v>45043</v>
      </c>
      <c r="E144" s="75">
        <v>902.52</v>
      </c>
    </row>
    <row r="145" ht="15.75" spans="1:5">
      <c r="A145" s="33" t="s">
        <v>2301</v>
      </c>
      <c r="B145" s="33">
        <v>399625.556</v>
      </c>
      <c r="C145" s="33" t="s">
        <v>2302</v>
      </c>
      <c r="D145" s="11">
        <v>45044</v>
      </c>
      <c r="E145" s="75">
        <v>902.49</v>
      </c>
    </row>
    <row r="146" ht="15.75" spans="1:5">
      <c r="A146" s="33" t="s">
        <v>2303</v>
      </c>
      <c r="B146" s="33">
        <v>399626.556</v>
      </c>
      <c r="C146" s="33" t="s">
        <v>2304</v>
      </c>
      <c r="D146" s="11">
        <v>45045</v>
      </c>
      <c r="E146" s="75">
        <v>902.46</v>
      </c>
    </row>
    <row r="147" ht="15.75" spans="1:5">
      <c r="A147" s="33" t="s">
        <v>2305</v>
      </c>
      <c r="B147" s="33">
        <v>399627.556</v>
      </c>
      <c r="C147" s="33" t="s">
        <v>2306</v>
      </c>
      <c r="D147" s="11">
        <v>45046</v>
      </c>
      <c r="E147" s="75">
        <v>902.64</v>
      </c>
    </row>
    <row r="148" ht="15.75" spans="1:5">
      <c r="A148" s="33" t="s">
        <v>2307</v>
      </c>
      <c r="B148" s="33">
        <v>399628.556</v>
      </c>
      <c r="C148" s="33" t="s">
        <v>2308</v>
      </c>
      <c r="D148" s="11">
        <v>45047</v>
      </c>
      <c r="E148" s="75">
        <v>902.65</v>
      </c>
    </row>
    <row r="149" ht="15.75" spans="1:5">
      <c r="A149" s="33" t="s">
        <v>2309</v>
      </c>
      <c r="B149" s="33">
        <v>399629.556</v>
      </c>
      <c r="C149" s="33" t="s">
        <v>2310</v>
      </c>
      <c r="D149" s="11">
        <v>45048</v>
      </c>
      <c r="E149" s="75">
        <v>902.56</v>
      </c>
    </row>
    <row r="150" ht="15.75" spans="1:5">
      <c r="A150" s="33" t="s">
        <v>2311</v>
      </c>
      <c r="B150" s="33">
        <v>399630.556</v>
      </c>
      <c r="C150" s="33" t="s">
        <v>2312</v>
      </c>
      <c r="D150" s="11">
        <v>45049</v>
      </c>
      <c r="E150" s="75">
        <v>902.54</v>
      </c>
    </row>
    <row r="151" ht="15.75" spans="1:5">
      <c r="A151" s="33" t="s">
        <v>2313</v>
      </c>
      <c r="B151" s="33">
        <v>399631.556</v>
      </c>
      <c r="C151" s="33" t="s">
        <v>2314</v>
      </c>
      <c r="D151" s="11">
        <v>45050</v>
      </c>
      <c r="E151" s="75">
        <v>902.46</v>
      </c>
    </row>
    <row r="152" ht="15.75" spans="1:5">
      <c r="A152" s="33" t="s">
        <v>2315</v>
      </c>
      <c r="B152" s="33">
        <v>399632.556</v>
      </c>
      <c r="C152" s="33" t="s">
        <v>2316</v>
      </c>
      <c r="D152" s="11">
        <v>45051</v>
      </c>
      <c r="E152" s="75">
        <v>902.43</v>
      </c>
    </row>
    <row r="153" ht="15.75" spans="1:5">
      <c r="A153" s="33" t="s">
        <v>2317</v>
      </c>
      <c r="B153" s="33">
        <v>399633.556</v>
      </c>
      <c r="C153" s="33" t="s">
        <v>2318</v>
      </c>
      <c r="D153" s="11">
        <v>45052</v>
      </c>
      <c r="E153" s="75">
        <v>902.39</v>
      </c>
    </row>
    <row r="154" ht="15.75" spans="1:5">
      <c r="A154" s="33" t="s">
        <v>2319</v>
      </c>
      <c r="B154" s="33">
        <v>399634.556</v>
      </c>
      <c r="C154" s="33" t="s">
        <v>2320</v>
      </c>
      <c r="D154" s="11">
        <v>45053</v>
      </c>
      <c r="E154" s="75">
        <v>902.37</v>
      </c>
    </row>
    <row r="155" ht="15.75" spans="1:5">
      <c r="A155" s="33" t="s">
        <v>2321</v>
      </c>
      <c r="B155" s="33">
        <v>399635.556</v>
      </c>
      <c r="C155" s="33" t="s">
        <v>2322</v>
      </c>
      <c r="D155" s="11">
        <v>45054</v>
      </c>
      <c r="E155" s="75">
        <v>902.37</v>
      </c>
    </row>
    <row r="156" ht="15.75" spans="1:5">
      <c r="A156" s="33" t="s">
        <v>2323</v>
      </c>
      <c r="B156" s="33">
        <v>399636.556</v>
      </c>
      <c r="C156" s="33" t="s">
        <v>2324</v>
      </c>
      <c r="D156" s="11">
        <v>45055</v>
      </c>
      <c r="E156" s="75">
        <v>902.15</v>
      </c>
    </row>
    <row r="157" ht="15.75" spans="1:5">
      <c r="A157" s="33" t="s">
        <v>2325</v>
      </c>
      <c r="B157" s="33">
        <v>399637.556</v>
      </c>
      <c r="C157" s="33" t="s">
        <v>2326</v>
      </c>
      <c r="D157" s="11">
        <v>45056</v>
      </c>
      <c r="E157" s="75">
        <v>902.14</v>
      </c>
    </row>
    <row r="158" ht="15.75" spans="1:5">
      <c r="A158" s="33" t="s">
        <v>2327</v>
      </c>
      <c r="B158" s="33">
        <v>399638.556</v>
      </c>
      <c r="C158" s="33" t="s">
        <v>2328</v>
      </c>
      <c r="D158" s="11">
        <v>45057</v>
      </c>
      <c r="E158" s="75">
        <v>902.28</v>
      </c>
    </row>
    <row r="159" ht="15.75" spans="1:5">
      <c r="A159" s="33" t="s">
        <v>2329</v>
      </c>
      <c r="B159" s="33">
        <v>399639.556</v>
      </c>
      <c r="C159" s="33" t="s">
        <v>2330</v>
      </c>
      <c r="D159" s="11">
        <v>45058</v>
      </c>
      <c r="E159" s="75"/>
    </row>
    <row r="160" ht="15.75" spans="1:5">
      <c r="A160" s="33" t="s">
        <v>2331</v>
      </c>
      <c r="B160" s="33">
        <v>399640.556</v>
      </c>
      <c r="C160" s="33" t="s">
        <v>2332</v>
      </c>
      <c r="D160" s="11">
        <v>45059</v>
      </c>
      <c r="E160" s="75">
        <v>902.66</v>
      </c>
    </row>
    <row r="161" ht="15.75" spans="1:5">
      <c r="A161" s="33" t="s">
        <v>2333</v>
      </c>
      <c r="B161" s="33">
        <v>399641.556</v>
      </c>
      <c r="C161" s="33" t="s">
        <v>2334</v>
      </c>
      <c r="D161" s="11">
        <v>45060</v>
      </c>
      <c r="E161" s="75">
        <v>902.62</v>
      </c>
    </row>
    <row r="162" ht="15.75" spans="1:5">
      <c r="A162" s="33" t="s">
        <v>2335</v>
      </c>
      <c r="B162" s="33">
        <v>399642.556</v>
      </c>
      <c r="C162" s="33" t="s">
        <v>2336</v>
      </c>
      <c r="D162" s="11">
        <v>45061</v>
      </c>
      <c r="E162" s="75">
        <v>902.58</v>
      </c>
    </row>
    <row r="163" ht="15.75" spans="1:5">
      <c r="A163" s="33" t="s">
        <v>2337</v>
      </c>
      <c r="B163" s="33">
        <v>399643.556</v>
      </c>
      <c r="C163" s="33" t="s">
        <v>2338</v>
      </c>
      <c r="D163" s="11">
        <v>45062</v>
      </c>
      <c r="E163" s="75">
        <v>902.55</v>
      </c>
    </row>
    <row r="164" ht="15.75" spans="1:5">
      <c r="A164" s="33" t="s">
        <v>2339</v>
      </c>
      <c r="B164" s="33">
        <v>399644.556</v>
      </c>
      <c r="C164" s="33" t="s">
        <v>2340</v>
      </c>
      <c r="D164" s="11">
        <v>45063</v>
      </c>
      <c r="E164" s="75">
        <v>902.47</v>
      </c>
    </row>
    <row r="165" ht="15.75" spans="1:5">
      <c r="A165" s="33" t="s">
        <v>2341</v>
      </c>
      <c r="B165" s="33">
        <v>399645.556</v>
      </c>
      <c r="C165" s="33" t="s">
        <v>2342</v>
      </c>
      <c r="D165" s="11">
        <v>45064</v>
      </c>
      <c r="E165" s="75">
        <v>902.41</v>
      </c>
    </row>
    <row r="166" ht="15.75" spans="1:5">
      <c r="A166" s="33" t="s">
        <v>2343</v>
      </c>
      <c r="B166" s="33">
        <v>399646.556</v>
      </c>
      <c r="C166" s="33" t="s">
        <v>2344</v>
      </c>
      <c r="D166" s="11">
        <v>45065</v>
      </c>
      <c r="E166" s="75">
        <v>902.51</v>
      </c>
    </row>
    <row r="167" ht="15.75" spans="1:5">
      <c r="A167" s="33" t="s">
        <v>2345</v>
      </c>
      <c r="B167" s="33">
        <v>399647.556</v>
      </c>
      <c r="C167" s="33" t="s">
        <v>2346</v>
      </c>
      <c r="D167" s="11">
        <v>45066</v>
      </c>
      <c r="E167" s="75">
        <v>902.6</v>
      </c>
    </row>
    <row r="168" ht="15.75" spans="1:5">
      <c r="A168" s="33" t="s">
        <v>2347</v>
      </c>
      <c r="B168" s="33">
        <v>399648.556</v>
      </c>
      <c r="C168" s="33" t="s">
        <v>2348</v>
      </c>
      <c r="D168" s="11">
        <v>45067</v>
      </c>
      <c r="E168" s="75">
        <v>902.87</v>
      </c>
    </row>
    <row r="169" ht="15.75" spans="1:5">
      <c r="A169" s="33" t="s">
        <v>2349</v>
      </c>
      <c r="B169" s="33">
        <v>399649.556</v>
      </c>
      <c r="C169" s="33" t="s">
        <v>2350</v>
      </c>
      <c r="D169" s="11">
        <v>45068</v>
      </c>
      <c r="E169" s="75">
        <v>902.93</v>
      </c>
    </row>
    <row r="170" ht="15.75" spans="1:5">
      <c r="A170" s="33" t="s">
        <v>2351</v>
      </c>
      <c r="B170" s="33">
        <v>399650.556</v>
      </c>
      <c r="C170" s="33" t="s">
        <v>2352</v>
      </c>
      <c r="D170" s="11">
        <v>45069</v>
      </c>
      <c r="E170" s="75">
        <v>902.92</v>
      </c>
    </row>
    <row r="171" ht="15.75" spans="1:5">
      <c r="A171" s="33" t="s">
        <v>2353</v>
      </c>
      <c r="B171" s="33">
        <v>399651.556</v>
      </c>
      <c r="C171" s="33" t="s">
        <v>2354</v>
      </c>
      <c r="D171" s="11">
        <v>45070</v>
      </c>
      <c r="E171" s="75">
        <v>902.83</v>
      </c>
    </row>
    <row r="172" ht="15.75" spans="1:5">
      <c r="A172" s="33" t="s">
        <v>2355</v>
      </c>
      <c r="B172" s="33">
        <v>399652.556</v>
      </c>
      <c r="C172" s="33" t="s">
        <v>2356</v>
      </c>
      <c r="D172" s="11">
        <v>45071</v>
      </c>
      <c r="E172" s="75">
        <v>902.75</v>
      </c>
    </row>
    <row r="173" ht="15.75" spans="1:5">
      <c r="A173" s="33" t="s">
        <v>2357</v>
      </c>
      <c r="B173" s="33">
        <v>399653.556</v>
      </c>
      <c r="C173" s="33" t="s">
        <v>2358</v>
      </c>
      <c r="D173" s="11">
        <v>45072</v>
      </c>
      <c r="E173" s="75">
        <v>902.6</v>
      </c>
    </row>
    <row r="174" ht="15.75" spans="1:5">
      <c r="A174" s="33" t="s">
        <v>2359</v>
      </c>
      <c r="B174" s="33">
        <v>399654.556</v>
      </c>
      <c r="C174" s="33" t="s">
        <v>2360</v>
      </c>
      <c r="D174" s="11">
        <v>45073</v>
      </c>
      <c r="E174" s="75">
        <v>902.56</v>
      </c>
    </row>
    <row r="175" ht="15.75" spans="1:5">
      <c r="A175" s="33" t="s">
        <v>2361</v>
      </c>
      <c r="B175" s="33">
        <v>399655.556</v>
      </c>
      <c r="C175" s="33" t="s">
        <v>2362</v>
      </c>
      <c r="D175" s="11">
        <v>45074</v>
      </c>
      <c r="E175" s="75">
        <v>902.54</v>
      </c>
    </row>
    <row r="176" ht="15.75" spans="1:5">
      <c r="A176" s="33" t="s">
        <v>2363</v>
      </c>
      <c r="B176" s="33">
        <v>399656.556</v>
      </c>
      <c r="C176" s="33" t="s">
        <v>2364</v>
      </c>
      <c r="D176" s="11">
        <v>45075</v>
      </c>
      <c r="E176" s="75">
        <v>902.51</v>
      </c>
    </row>
    <row r="177" ht="15.75" spans="1:5">
      <c r="A177" s="33" t="s">
        <v>2365</v>
      </c>
      <c r="B177" s="33">
        <v>399657.556</v>
      </c>
      <c r="C177" s="33" t="s">
        <v>2366</v>
      </c>
      <c r="D177" s="11">
        <v>45076</v>
      </c>
      <c r="E177" s="75">
        <v>902.46</v>
      </c>
    </row>
    <row r="178" ht="15.75" spans="1:5">
      <c r="A178" s="33" t="s">
        <v>2367</v>
      </c>
      <c r="B178" s="33">
        <v>399658.556</v>
      </c>
      <c r="C178" s="33" t="s">
        <v>2368</v>
      </c>
      <c r="D178" s="11">
        <v>45077</v>
      </c>
      <c r="E178" s="75">
        <v>902.4</v>
      </c>
    </row>
    <row r="179" ht="15.75" spans="1:5">
      <c r="A179" s="33" t="s">
        <v>2369</v>
      </c>
      <c r="B179" s="33">
        <v>399659.556</v>
      </c>
      <c r="C179" s="33" t="s">
        <v>2370</v>
      </c>
      <c r="D179" s="11">
        <v>45078</v>
      </c>
      <c r="E179" s="75">
        <v>902.35</v>
      </c>
    </row>
    <row r="180" ht="15.75" spans="1:5">
      <c r="A180" s="33" t="s">
        <v>2371</v>
      </c>
      <c r="B180" s="33">
        <v>399660.556</v>
      </c>
      <c r="C180" s="33" t="s">
        <v>2372</v>
      </c>
      <c r="D180" s="11">
        <v>45079</v>
      </c>
      <c r="E180" s="75">
        <v>902.29</v>
      </c>
    </row>
    <row r="181" ht="15.75" spans="1:5">
      <c r="A181" s="33" t="s">
        <v>2373</v>
      </c>
      <c r="B181" s="33">
        <v>399661.556</v>
      </c>
      <c r="C181" s="33" t="s">
        <v>2374</v>
      </c>
      <c r="D181" s="11">
        <v>45080</v>
      </c>
      <c r="E181" s="75">
        <v>902.28</v>
      </c>
    </row>
    <row r="182" ht="15.75" spans="1:5">
      <c r="A182" s="33" t="s">
        <v>2375</v>
      </c>
      <c r="B182" s="33">
        <v>399662.556</v>
      </c>
      <c r="C182" s="33" t="s">
        <v>2376</v>
      </c>
      <c r="D182" s="11">
        <v>45081</v>
      </c>
      <c r="E182" s="75">
        <v>902.22</v>
      </c>
    </row>
    <row r="183" ht="15.75" spans="1:5">
      <c r="A183" s="33" t="s">
        <v>2377</v>
      </c>
      <c r="B183" s="33">
        <v>399663.556</v>
      </c>
      <c r="C183" s="33" t="s">
        <v>2378</v>
      </c>
      <c r="D183" s="11">
        <v>45082</v>
      </c>
      <c r="E183" s="75">
        <v>902.17</v>
      </c>
    </row>
    <row r="184" ht="15.75" spans="1:5">
      <c r="A184" s="33" t="s">
        <v>2379</v>
      </c>
      <c r="B184" s="33">
        <v>399664.556</v>
      </c>
      <c r="C184" s="33" t="s">
        <v>2380</v>
      </c>
      <c r="D184" s="11">
        <v>45083</v>
      </c>
      <c r="E184" s="75">
        <v>902.24</v>
      </c>
    </row>
    <row r="185" ht="15.75" spans="1:5">
      <c r="A185" s="33" t="s">
        <v>2381</v>
      </c>
      <c r="B185" s="33">
        <v>399665.556</v>
      </c>
      <c r="C185" s="33" t="s">
        <v>2382</v>
      </c>
      <c r="D185" s="11">
        <v>45084</v>
      </c>
      <c r="E185" s="75">
        <v>902.26</v>
      </c>
    </row>
    <row r="186" ht="15.75" spans="1:5">
      <c r="A186" s="33" t="s">
        <v>2383</v>
      </c>
      <c r="B186" s="33">
        <v>399666.556</v>
      </c>
      <c r="C186" s="33" t="s">
        <v>2384</v>
      </c>
      <c r="D186" s="11">
        <v>45085</v>
      </c>
      <c r="E186" s="75">
        <v>902.23</v>
      </c>
    </row>
    <row r="187" ht="15.75" spans="1:5">
      <c r="A187" s="33" t="s">
        <v>2385</v>
      </c>
      <c r="B187" s="33">
        <v>399667.556</v>
      </c>
      <c r="C187" s="33" t="s">
        <v>2386</v>
      </c>
      <c r="D187" s="11">
        <v>45086</v>
      </c>
      <c r="E187" s="75">
        <v>902.26</v>
      </c>
    </row>
    <row r="188" ht="15.75" spans="1:5">
      <c r="A188" s="33" t="s">
        <v>2387</v>
      </c>
      <c r="B188" s="33">
        <v>399668.556</v>
      </c>
      <c r="C188" s="33" t="s">
        <v>2388</v>
      </c>
      <c r="D188" s="11">
        <v>45087</v>
      </c>
      <c r="E188" s="75">
        <v>902.29</v>
      </c>
    </row>
    <row r="189" ht="15.75" spans="1:5">
      <c r="A189" s="33" t="s">
        <v>2389</v>
      </c>
      <c r="B189" s="33">
        <v>399669.556</v>
      </c>
      <c r="C189" s="33" t="s">
        <v>2390</v>
      </c>
      <c r="D189" s="11">
        <v>45088</v>
      </c>
      <c r="E189" s="75">
        <v>902.26</v>
      </c>
    </row>
    <row r="190" ht="15.75" spans="1:5">
      <c r="A190" s="33" t="s">
        <v>2391</v>
      </c>
      <c r="B190" s="33">
        <v>399670.556</v>
      </c>
      <c r="C190" s="33" t="s">
        <v>2392</v>
      </c>
      <c r="D190" s="11">
        <v>45089</v>
      </c>
      <c r="E190" s="75">
        <v>902.12</v>
      </c>
    </row>
    <row r="191" ht="15.75" spans="1:5">
      <c r="A191" s="33" t="s">
        <v>2393</v>
      </c>
      <c r="B191" s="33">
        <v>399671.556</v>
      </c>
      <c r="C191" s="33" t="s">
        <v>2394</v>
      </c>
      <c r="D191" s="11">
        <v>45090</v>
      </c>
      <c r="E191" s="75">
        <v>901.93</v>
      </c>
    </row>
    <row r="192" ht="15.75" spans="1:5">
      <c r="A192" s="33" t="s">
        <v>2395</v>
      </c>
      <c r="B192" s="33">
        <v>399672.556</v>
      </c>
      <c r="C192" s="33" t="s">
        <v>2396</v>
      </c>
      <c r="D192" s="11">
        <v>45091</v>
      </c>
      <c r="E192" s="75">
        <v>901.89</v>
      </c>
    </row>
    <row r="193" ht="15.75" spans="1:5">
      <c r="A193" s="33" t="s">
        <v>2397</v>
      </c>
      <c r="B193" s="33">
        <v>399673.556</v>
      </c>
      <c r="C193" s="33" t="s">
        <v>2398</v>
      </c>
      <c r="D193" s="11">
        <v>45092</v>
      </c>
      <c r="E193" s="75">
        <v>901.97</v>
      </c>
    </row>
    <row r="194" ht="15.75" spans="1:5">
      <c r="A194" s="33" t="s">
        <v>2399</v>
      </c>
      <c r="B194" s="33">
        <v>399674.556</v>
      </c>
      <c r="C194" s="33" t="s">
        <v>2400</v>
      </c>
      <c r="D194" s="11">
        <v>45093</v>
      </c>
      <c r="E194" s="75">
        <v>902.16</v>
      </c>
    </row>
    <row r="195" ht="15.75" spans="1:5">
      <c r="A195" s="33" t="s">
        <v>2401</v>
      </c>
      <c r="B195" s="33">
        <v>399675.556</v>
      </c>
      <c r="C195" s="33" t="s">
        <v>2402</v>
      </c>
      <c r="D195" s="11">
        <v>45094</v>
      </c>
      <c r="E195" s="75">
        <v>902.25</v>
      </c>
    </row>
    <row r="196" ht="15.75" spans="1:5">
      <c r="A196" s="33" t="s">
        <v>2403</v>
      </c>
      <c r="B196" s="33">
        <v>399676.556</v>
      </c>
      <c r="C196" s="33" t="s">
        <v>2404</v>
      </c>
      <c r="D196" s="11">
        <v>45095</v>
      </c>
      <c r="E196" s="75">
        <v>902.24</v>
      </c>
    </row>
    <row r="197" ht="15.75" spans="1:5">
      <c r="A197" s="33" t="s">
        <v>2405</v>
      </c>
      <c r="B197" s="33">
        <v>399677.556</v>
      </c>
      <c r="C197" s="33" t="s">
        <v>2406</v>
      </c>
      <c r="D197" s="11">
        <v>45096</v>
      </c>
      <c r="E197" s="75">
        <v>902.26</v>
      </c>
    </row>
    <row r="198" ht="15.75" spans="1:5">
      <c r="A198" s="33" t="s">
        <v>2407</v>
      </c>
      <c r="B198" s="33">
        <v>399678.556</v>
      </c>
      <c r="C198" s="33" t="s">
        <v>2408</v>
      </c>
      <c r="D198" s="11">
        <v>45097</v>
      </c>
      <c r="E198" s="75">
        <v>903.06</v>
      </c>
    </row>
    <row r="199" ht="15.75" spans="1:5">
      <c r="A199" s="33" t="s">
        <v>2409</v>
      </c>
      <c r="B199" s="33">
        <v>399679.556</v>
      </c>
      <c r="C199" s="33" t="s">
        <v>2410</v>
      </c>
      <c r="D199" s="11">
        <v>45098</v>
      </c>
      <c r="E199" s="75">
        <v>903.08</v>
      </c>
    </row>
    <row r="200" ht="15.75" spans="1:5">
      <c r="A200" s="33" t="s">
        <v>2411</v>
      </c>
      <c r="B200" s="33">
        <v>399680.556</v>
      </c>
      <c r="C200" s="33" t="s">
        <v>2412</v>
      </c>
      <c r="D200" s="11">
        <v>45099</v>
      </c>
      <c r="E200" s="75">
        <v>903.46</v>
      </c>
    </row>
    <row r="201" ht="15.75" spans="1:5">
      <c r="A201" s="33" t="s">
        <v>2413</v>
      </c>
      <c r="B201" s="33">
        <v>399681.556</v>
      </c>
      <c r="C201" s="33" t="s">
        <v>2414</v>
      </c>
      <c r="D201" s="11">
        <v>45100</v>
      </c>
      <c r="E201" s="75">
        <v>903.88</v>
      </c>
    </row>
    <row r="202" ht="15.75" spans="1:5">
      <c r="A202" s="33" t="s">
        <v>2415</v>
      </c>
      <c r="B202" s="33">
        <v>399682.556</v>
      </c>
      <c r="C202" s="33" t="s">
        <v>2416</v>
      </c>
      <c r="D202" s="11">
        <v>45101</v>
      </c>
      <c r="E202" s="75">
        <v>903.85</v>
      </c>
    </row>
    <row r="203" ht="15.75" spans="1:5">
      <c r="A203" s="33" t="s">
        <v>2417</v>
      </c>
      <c r="B203" s="33">
        <v>399683.556</v>
      </c>
      <c r="C203" s="33" t="s">
        <v>2418</v>
      </c>
      <c r="D203" s="11">
        <v>45102</v>
      </c>
      <c r="E203" s="75">
        <v>903.57</v>
      </c>
    </row>
    <row r="204" ht="15.75" spans="1:5">
      <c r="A204" s="33" t="s">
        <v>2419</v>
      </c>
      <c r="B204" s="33">
        <v>399684.556</v>
      </c>
      <c r="C204" s="33" t="s">
        <v>2420</v>
      </c>
      <c r="D204" s="11">
        <v>45103</v>
      </c>
      <c r="E204" s="75">
        <v>903.31</v>
      </c>
    </row>
    <row r="205" ht="15.75" spans="1:5">
      <c r="A205" s="33" t="s">
        <v>2421</v>
      </c>
      <c r="B205" s="33">
        <v>399685.556</v>
      </c>
      <c r="C205" s="33" t="s">
        <v>2422</v>
      </c>
      <c r="D205" s="11">
        <v>45104</v>
      </c>
      <c r="E205" s="75">
        <v>903.14</v>
      </c>
    </row>
    <row r="206" ht="15.75" spans="1:5">
      <c r="A206" s="33" t="s">
        <v>2423</v>
      </c>
      <c r="B206" s="33">
        <v>399686.556</v>
      </c>
      <c r="C206" s="33" t="s">
        <v>2424</v>
      </c>
      <c r="D206" s="11">
        <v>45105</v>
      </c>
      <c r="E206" s="75">
        <v>903.05</v>
      </c>
    </row>
    <row r="207" ht="15.75" spans="1:5">
      <c r="A207" s="33" t="s">
        <v>2425</v>
      </c>
      <c r="B207" s="33">
        <v>399687.556</v>
      </c>
      <c r="C207" s="33" t="s">
        <v>2426</v>
      </c>
      <c r="D207" s="11">
        <v>45106</v>
      </c>
      <c r="E207" s="75">
        <v>902.98</v>
      </c>
    </row>
    <row r="208" ht="15.75" spans="1:5">
      <c r="A208" s="33" t="s">
        <v>2427</v>
      </c>
      <c r="B208" s="33">
        <v>399688.556</v>
      </c>
      <c r="C208" s="33" t="s">
        <v>2428</v>
      </c>
      <c r="D208" s="11">
        <v>45107</v>
      </c>
      <c r="E208" s="75">
        <v>902.97</v>
      </c>
    </row>
    <row r="209" ht="15.75" spans="1:5">
      <c r="A209" s="33" t="s">
        <v>2429</v>
      </c>
      <c r="B209" s="33">
        <v>399689.556</v>
      </c>
      <c r="C209" s="33" t="s">
        <v>2430</v>
      </c>
      <c r="D209" s="11">
        <v>45108</v>
      </c>
      <c r="E209" s="75">
        <v>902.86</v>
      </c>
    </row>
    <row r="210" ht="15.75" spans="1:5">
      <c r="A210" s="33" t="s">
        <v>2431</v>
      </c>
      <c r="B210" s="33">
        <v>399690.556</v>
      </c>
      <c r="C210" s="33" t="s">
        <v>2432</v>
      </c>
      <c r="D210" s="11">
        <v>45109</v>
      </c>
      <c r="E210" s="75">
        <v>902.74</v>
      </c>
    </row>
    <row r="211" ht="15.75" spans="1:5">
      <c r="A211" s="33" t="s">
        <v>2433</v>
      </c>
      <c r="B211" s="33">
        <v>399691.556</v>
      </c>
      <c r="C211" s="33" t="s">
        <v>2434</v>
      </c>
      <c r="D211" s="11">
        <v>45110</v>
      </c>
      <c r="E211" s="75">
        <v>902.7</v>
      </c>
    </row>
    <row r="212" ht="15.75" spans="1:5">
      <c r="A212" s="33" t="s">
        <v>2435</v>
      </c>
      <c r="B212" s="33">
        <v>399692.556</v>
      </c>
      <c r="C212" s="33" t="s">
        <v>2436</v>
      </c>
      <c r="D212" s="11">
        <v>45111</v>
      </c>
      <c r="E212" s="75">
        <v>902.74</v>
      </c>
    </row>
    <row r="213" ht="15.75" spans="1:5">
      <c r="A213" s="33" t="s">
        <v>2437</v>
      </c>
      <c r="B213" s="33">
        <v>399693.556</v>
      </c>
      <c r="C213" s="33" t="s">
        <v>2438</v>
      </c>
      <c r="D213" s="11">
        <v>45112</v>
      </c>
      <c r="E213" s="75">
        <v>904.04</v>
      </c>
    </row>
    <row r="214" ht="15.75" spans="1:5">
      <c r="A214" s="33" t="s">
        <v>2439</v>
      </c>
      <c r="B214" s="33">
        <v>399694.556</v>
      </c>
      <c r="C214" s="33" t="s">
        <v>2440</v>
      </c>
      <c r="D214" s="11">
        <v>45113</v>
      </c>
      <c r="E214" s="75">
        <v>904.31</v>
      </c>
    </row>
    <row r="215" ht="15.75" spans="1:5">
      <c r="A215" s="33" t="s">
        <v>2441</v>
      </c>
      <c r="B215" s="33">
        <v>399695.556</v>
      </c>
      <c r="C215" s="33" t="s">
        <v>2442</v>
      </c>
      <c r="D215" s="11">
        <v>45114</v>
      </c>
      <c r="E215" s="75">
        <v>903.86</v>
      </c>
    </row>
    <row r="216" ht="15.75" spans="1:5">
      <c r="A216" s="33" t="s">
        <v>2443</v>
      </c>
      <c r="B216" s="33">
        <v>399696.556</v>
      </c>
      <c r="C216" s="33" t="s">
        <v>2444</v>
      </c>
      <c r="D216" s="11">
        <v>45115</v>
      </c>
      <c r="E216" s="75">
        <v>903.45</v>
      </c>
    </row>
    <row r="217" ht="15.75" spans="1:5">
      <c r="A217" s="33" t="s">
        <v>2445</v>
      </c>
      <c r="B217" s="33">
        <v>399697.556</v>
      </c>
      <c r="C217" s="33" t="s">
        <v>2446</v>
      </c>
      <c r="D217" s="11">
        <v>45116</v>
      </c>
      <c r="E217" s="75">
        <v>903.49</v>
      </c>
    </row>
    <row r="218" ht="15.75" spans="1:5">
      <c r="A218" s="33" t="s">
        <v>2447</v>
      </c>
      <c r="B218" s="33">
        <v>399698.556</v>
      </c>
      <c r="C218" s="33" t="s">
        <v>2448</v>
      </c>
      <c r="D218" s="11">
        <v>45117</v>
      </c>
      <c r="E218" s="75">
        <v>903.67</v>
      </c>
    </row>
    <row r="219" ht="15.75" spans="1:5">
      <c r="A219" s="33" t="s">
        <v>2449</v>
      </c>
      <c r="B219" s="33">
        <v>399699.556</v>
      </c>
      <c r="C219" s="33" t="s">
        <v>2450</v>
      </c>
      <c r="D219" s="11">
        <v>45118</v>
      </c>
      <c r="E219" s="75">
        <v>903.48</v>
      </c>
    </row>
    <row r="220" ht="15.75" spans="1:5">
      <c r="A220" s="33" t="s">
        <v>2451</v>
      </c>
      <c r="B220" s="33">
        <v>399700.556</v>
      </c>
      <c r="C220" s="33" t="s">
        <v>2452</v>
      </c>
      <c r="D220" s="11">
        <v>45119</v>
      </c>
      <c r="E220" s="75">
        <v>903.23</v>
      </c>
    </row>
    <row r="221" ht="15.75" spans="1:5">
      <c r="A221" s="33" t="s">
        <v>2453</v>
      </c>
      <c r="B221" s="33">
        <v>399701.556</v>
      </c>
      <c r="C221" s="33" t="s">
        <v>2454</v>
      </c>
      <c r="D221" s="11">
        <v>45120</v>
      </c>
      <c r="E221" s="75">
        <v>903.26</v>
      </c>
    </row>
    <row r="222" ht="15.75" spans="1:5">
      <c r="A222" s="33" t="s">
        <v>2455</v>
      </c>
      <c r="B222" s="33">
        <v>399702.556</v>
      </c>
      <c r="C222" s="33" t="s">
        <v>2456</v>
      </c>
      <c r="D222" s="11">
        <v>45121</v>
      </c>
      <c r="E222" s="75">
        <v>903.79</v>
      </c>
    </row>
    <row r="223" ht="15.75" spans="1:5">
      <c r="A223" s="33" t="s">
        <v>2457</v>
      </c>
      <c r="B223" s="33">
        <v>399703.556</v>
      </c>
      <c r="C223" s="33" t="s">
        <v>2458</v>
      </c>
      <c r="D223" s="11">
        <v>45122</v>
      </c>
      <c r="E223" s="75">
        <v>905.41</v>
      </c>
    </row>
    <row r="224" ht="15.75" spans="1:5">
      <c r="A224" s="33" t="s">
        <v>2459</v>
      </c>
      <c r="B224" s="33">
        <v>399704.556</v>
      </c>
      <c r="C224" s="33" t="s">
        <v>2460</v>
      </c>
      <c r="D224" s="11">
        <v>45123</v>
      </c>
      <c r="E224" s="75">
        <v>905.96</v>
      </c>
    </row>
    <row r="225" ht="15.75" spans="1:5">
      <c r="A225" s="33" t="s">
        <v>2461</v>
      </c>
      <c r="B225" s="33">
        <v>399705.556</v>
      </c>
      <c r="C225" s="33" t="s">
        <v>2462</v>
      </c>
      <c r="D225" s="11">
        <v>45124</v>
      </c>
      <c r="E225" s="75">
        <v>905.74</v>
      </c>
    </row>
    <row r="226" ht="15.75" spans="1:5">
      <c r="A226" s="33" t="s">
        <v>2463</v>
      </c>
      <c r="B226" s="33">
        <v>399706.556</v>
      </c>
      <c r="C226" s="33" t="s">
        <v>2464</v>
      </c>
      <c r="D226" s="11">
        <v>45125</v>
      </c>
      <c r="E226" s="75">
        <v>905.08</v>
      </c>
    </row>
    <row r="227" ht="15.75" spans="1:5">
      <c r="A227" s="33" t="s">
        <v>2465</v>
      </c>
      <c r="B227" s="33">
        <v>399707.556</v>
      </c>
      <c r="C227" s="33" t="s">
        <v>2466</v>
      </c>
      <c r="D227" s="11">
        <v>45126</v>
      </c>
      <c r="E227" s="75">
        <v>904.65</v>
      </c>
    </row>
    <row r="228" ht="15.75" spans="1:5">
      <c r="A228" s="33" t="s">
        <v>2467</v>
      </c>
      <c r="B228" s="33">
        <v>399708.556</v>
      </c>
      <c r="C228" s="33" t="s">
        <v>2468</v>
      </c>
      <c r="D228" s="11">
        <v>45127</v>
      </c>
      <c r="E228" s="75">
        <v>904.3</v>
      </c>
    </row>
    <row r="229" ht="15.75" spans="1:5">
      <c r="A229" s="33" t="s">
        <v>2469</v>
      </c>
      <c r="B229" s="33">
        <v>399709.556</v>
      </c>
      <c r="C229" s="33" t="s">
        <v>2470</v>
      </c>
      <c r="D229" s="11">
        <v>45128</v>
      </c>
      <c r="E229" s="75">
        <v>904.01</v>
      </c>
    </row>
    <row r="230" ht="15.75" spans="1:5">
      <c r="A230" s="33" t="s">
        <v>2471</v>
      </c>
      <c r="B230" s="33">
        <v>399710.556</v>
      </c>
      <c r="C230" s="33" t="s">
        <v>2472</v>
      </c>
      <c r="D230" s="11">
        <v>45129</v>
      </c>
      <c r="E230" s="75">
        <v>904.11</v>
      </c>
    </row>
    <row r="231" ht="15.75" spans="1:5">
      <c r="A231" s="33" t="s">
        <v>2473</v>
      </c>
      <c r="B231" s="33">
        <v>399711.556</v>
      </c>
      <c r="C231" s="33" t="s">
        <v>2474</v>
      </c>
      <c r="D231" s="11">
        <v>45130</v>
      </c>
      <c r="E231" s="75">
        <v>904.37</v>
      </c>
    </row>
    <row r="232" ht="15.75" spans="1:5">
      <c r="A232" s="33" t="s">
        <v>2475</v>
      </c>
      <c r="B232" s="33">
        <v>399712.556</v>
      </c>
      <c r="C232" s="33" t="s">
        <v>2476</v>
      </c>
      <c r="D232" s="11">
        <v>45131</v>
      </c>
      <c r="E232" s="75">
        <v>904.28</v>
      </c>
    </row>
    <row r="233" ht="15.75" spans="1:5">
      <c r="A233" s="33" t="s">
        <v>2477</v>
      </c>
      <c r="B233" s="33">
        <v>399713.556</v>
      </c>
      <c r="C233" s="33" t="s">
        <v>2478</v>
      </c>
      <c r="D233" s="11">
        <v>45132</v>
      </c>
      <c r="E233" s="75">
        <v>904.14</v>
      </c>
    </row>
    <row r="234" ht="15.75" spans="1:5">
      <c r="A234" s="33" t="s">
        <v>2479</v>
      </c>
      <c r="B234" s="33">
        <v>399714.556</v>
      </c>
      <c r="C234" s="33" t="s">
        <v>2480</v>
      </c>
      <c r="D234" s="11">
        <v>45133</v>
      </c>
      <c r="E234" s="75">
        <v>903.94</v>
      </c>
    </row>
    <row r="235" ht="15.75" spans="1:5">
      <c r="A235" s="33" t="s">
        <v>2481</v>
      </c>
      <c r="B235" s="33">
        <v>399715.556</v>
      </c>
      <c r="C235" s="33" t="s">
        <v>2482</v>
      </c>
      <c r="D235" s="11">
        <v>45134</v>
      </c>
      <c r="E235" s="75">
        <v>903.68</v>
      </c>
    </row>
    <row r="236" ht="15.75" spans="1:5">
      <c r="A236" s="33" t="s">
        <v>2483</v>
      </c>
      <c r="B236" s="33">
        <v>399716.556</v>
      </c>
      <c r="C236" s="33" t="s">
        <v>2484</v>
      </c>
      <c r="D236" s="11">
        <v>45135</v>
      </c>
      <c r="E236" s="75">
        <v>904.05</v>
      </c>
    </row>
    <row r="237" ht="15.75" spans="1:5">
      <c r="A237" s="33" t="s">
        <v>2485</v>
      </c>
      <c r="B237" s="33">
        <v>399717.556</v>
      </c>
      <c r="C237" s="33" t="s">
        <v>2486</v>
      </c>
      <c r="D237" s="11">
        <v>45136</v>
      </c>
      <c r="E237" s="75">
        <v>904.7</v>
      </c>
    </row>
    <row r="238" ht="15.75" spans="1:5">
      <c r="A238" s="33" t="s">
        <v>2487</v>
      </c>
      <c r="B238" s="33">
        <v>399718.556</v>
      </c>
      <c r="C238" s="33" t="s">
        <v>2488</v>
      </c>
      <c r="D238" s="11">
        <v>45137</v>
      </c>
      <c r="E238" s="75">
        <v>904.9</v>
      </c>
    </row>
    <row r="239" ht="15.75" spans="1:5">
      <c r="A239" s="33" t="s">
        <v>2489</v>
      </c>
      <c r="B239" s="33">
        <v>399719.556</v>
      </c>
      <c r="C239" s="33" t="s">
        <v>2490</v>
      </c>
      <c r="D239" s="11">
        <v>45138</v>
      </c>
      <c r="E239" s="75">
        <v>904.76</v>
      </c>
    </row>
    <row r="240" ht="15.75" spans="1:5">
      <c r="A240" s="33" t="s">
        <v>2491</v>
      </c>
      <c r="B240" s="33">
        <v>399720.556</v>
      </c>
      <c r="C240" s="33" t="s">
        <v>2492</v>
      </c>
      <c r="D240" s="11">
        <v>45139</v>
      </c>
      <c r="E240" s="75">
        <v>904.5</v>
      </c>
    </row>
    <row r="241" ht="15.75" spans="1:5">
      <c r="A241" s="33" t="s">
        <v>2493</v>
      </c>
      <c r="B241" s="33">
        <v>399721.556</v>
      </c>
      <c r="C241" s="33" t="s">
        <v>2494</v>
      </c>
      <c r="D241" s="11">
        <v>45140</v>
      </c>
      <c r="E241" s="75">
        <v>904.36</v>
      </c>
    </row>
    <row r="242" ht="15.75" spans="1:5">
      <c r="A242" s="33" t="s">
        <v>2495</v>
      </c>
      <c r="B242" s="33">
        <v>399722.556</v>
      </c>
      <c r="C242" s="33" t="s">
        <v>2496</v>
      </c>
      <c r="D242" s="11">
        <v>45141</v>
      </c>
      <c r="E242" s="75">
        <v>904.665</v>
      </c>
    </row>
    <row r="243" ht="15.75" spans="1:5">
      <c r="A243" s="33" t="s">
        <v>2497</v>
      </c>
      <c r="B243" s="33">
        <v>399723.556</v>
      </c>
      <c r="C243" s="33" t="s">
        <v>2498</v>
      </c>
      <c r="D243" s="11">
        <v>45142</v>
      </c>
      <c r="E243" s="75">
        <v>904.854</v>
      </c>
    </row>
    <row r="244" ht="15.75" spans="1:5">
      <c r="A244" s="33" t="s">
        <v>2499</v>
      </c>
      <c r="B244" s="33">
        <v>399724.556</v>
      </c>
      <c r="C244" s="33" t="s">
        <v>2500</v>
      </c>
      <c r="D244" s="11">
        <v>45143</v>
      </c>
      <c r="E244" s="75">
        <v>905.052</v>
      </c>
    </row>
    <row r="245" ht="15.75" spans="1:5">
      <c r="A245" s="33" t="s">
        <v>2501</v>
      </c>
      <c r="B245" s="33">
        <v>399725.556</v>
      </c>
      <c r="C245" s="33" t="s">
        <v>2502</v>
      </c>
      <c r="D245" s="11">
        <v>45144</v>
      </c>
      <c r="E245" s="75">
        <v>905.561</v>
      </c>
    </row>
    <row r="246" ht="15.75" spans="1:5">
      <c r="A246" s="33" t="s">
        <v>2503</v>
      </c>
      <c r="B246" s="33">
        <v>399726.556</v>
      </c>
      <c r="C246" s="33" t="s">
        <v>2504</v>
      </c>
      <c r="D246" s="11">
        <v>45145</v>
      </c>
      <c r="E246" s="75">
        <v>905.862</v>
      </c>
    </row>
    <row r="247" ht="15.75" spans="1:5">
      <c r="A247" s="33" t="s">
        <v>2505</v>
      </c>
      <c r="B247" s="33">
        <v>399727.556</v>
      </c>
      <c r="C247" s="33" t="s">
        <v>2506</v>
      </c>
      <c r="D247" s="11">
        <v>45146</v>
      </c>
      <c r="E247" s="75">
        <v>905.848</v>
      </c>
    </row>
    <row r="248" ht="15.75" spans="1:5">
      <c r="A248" s="33" t="s">
        <v>2507</v>
      </c>
      <c r="B248" s="33">
        <v>399728.556</v>
      </c>
      <c r="C248" s="33" t="s">
        <v>2508</v>
      </c>
      <c r="D248" s="11">
        <v>45147</v>
      </c>
      <c r="E248" s="75">
        <v>905.703</v>
      </c>
    </row>
    <row r="249" ht="15.75" spans="1:5">
      <c r="A249" s="33" t="s">
        <v>2509</v>
      </c>
      <c r="B249" s="33">
        <v>399729.556</v>
      </c>
      <c r="C249" s="33" t="s">
        <v>2510</v>
      </c>
      <c r="D249" s="11">
        <v>45148</v>
      </c>
      <c r="E249" s="74"/>
    </row>
    <row r="250" ht="15.75" spans="1:5">
      <c r="A250" s="33" t="s">
        <v>2511</v>
      </c>
      <c r="B250" s="33">
        <v>399730.556</v>
      </c>
      <c r="C250" s="33" t="s">
        <v>2512</v>
      </c>
      <c r="D250" s="11">
        <v>45149</v>
      </c>
      <c r="E250" s="75">
        <v>905.26</v>
      </c>
    </row>
    <row r="251" ht="15.75" spans="1:5">
      <c r="A251" s="33" t="s">
        <v>2513</v>
      </c>
      <c r="B251" s="33">
        <v>399731.556</v>
      </c>
      <c r="C251" s="33" t="s">
        <v>2514</v>
      </c>
      <c r="D251" s="11">
        <v>45150</v>
      </c>
      <c r="E251" s="75">
        <v>905.08</v>
      </c>
    </row>
    <row r="252" ht="15.75" spans="1:5">
      <c r="A252" s="33" t="s">
        <v>2515</v>
      </c>
      <c r="B252" s="33">
        <v>399732.556</v>
      </c>
      <c r="C252" s="33" t="s">
        <v>2516</v>
      </c>
      <c r="D252" s="11">
        <v>45151</v>
      </c>
      <c r="E252" s="75">
        <v>905.203</v>
      </c>
    </row>
    <row r="253" ht="15.75" spans="1:5">
      <c r="A253" s="33" t="s">
        <v>2517</v>
      </c>
      <c r="B253" s="33">
        <v>399733.556</v>
      </c>
      <c r="C253" s="33" t="s">
        <v>2518</v>
      </c>
      <c r="D253" s="11">
        <v>45152</v>
      </c>
      <c r="E253" s="75">
        <v>905.052</v>
      </c>
    </row>
    <row r="254" ht="15.75" spans="1:5">
      <c r="A254" s="33" t="s">
        <v>2519</v>
      </c>
      <c r="B254" s="33">
        <v>399734.556</v>
      </c>
      <c r="C254" s="33" t="s">
        <v>2520</v>
      </c>
      <c r="D254" s="11">
        <v>45153</v>
      </c>
      <c r="E254" s="77">
        <v>904.811</v>
      </c>
    </row>
    <row r="255" ht="15.75" spans="1:5">
      <c r="A255" s="33" t="s">
        <v>2521</v>
      </c>
      <c r="B255" s="33">
        <v>399735.556</v>
      </c>
      <c r="C255" s="33" t="s">
        <v>2522</v>
      </c>
      <c r="D255" s="11">
        <v>45154</v>
      </c>
      <c r="E255" s="75">
        <v>904.589</v>
      </c>
    </row>
    <row r="256" ht="15.75" spans="1:5">
      <c r="A256" s="33" t="s">
        <v>2523</v>
      </c>
      <c r="B256" s="33">
        <v>399736.556</v>
      </c>
      <c r="C256" s="33" t="s">
        <v>2524</v>
      </c>
      <c r="D256" s="11">
        <v>45155</v>
      </c>
      <c r="E256" s="75">
        <v>904.416</v>
      </c>
    </row>
    <row r="257" ht="15.75" spans="1:5">
      <c r="A257" s="33" t="s">
        <v>2525</v>
      </c>
      <c r="B257" s="33">
        <v>399737.556</v>
      </c>
      <c r="C257" s="33" t="s">
        <v>2526</v>
      </c>
      <c r="D257" s="11">
        <v>45156</v>
      </c>
      <c r="E257" s="75">
        <v>904.238</v>
      </c>
    </row>
    <row r="258" ht="15.75" spans="1:5">
      <c r="A258" s="33" t="s">
        <v>2527</v>
      </c>
      <c r="B258" s="33">
        <v>399738.556</v>
      </c>
      <c r="C258" s="33" t="s">
        <v>2528</v>
      </c>
      <c r="D258" s="11">
        <v>45157</v>
      </c>
      <c r="E258" s="75">
        <v>905.073</v>
      </c>
    </row>
    <row r="259" ht="15.75" spans="1:5">
      <c r="A259" s="33" t="s">
        <v>2529</v>
      </c>
      <c r="B259" s="33">
        <v>399739.556</v>
      </c>
      <c r="C259" s="33" t="s">
        <v>2530</v>
      </c>
      <c r="D259" s="11">
        <v>45158</v>
      </c>
      <c r="E259" s="75">
        <v>905.822</v>
      </c>
    </row>
    <row r="260" ht="15.75" spans="1:5">
      <c r="A260" s="33" t="s">
        <v>2531</v>
      </c>
      <c r="B260" s="33">
        <v>399740.556</v>
      </c>
      <c r="C260" s="33" t="s">
        <v>2532</v>
      </c>
      <c r="D260" s="11">
        <v>45159</v>
      </c>
      <c r="E260" s="75">
        <v>906.105</v>
      </c>
    </row>
    <row r="261" ht="15.75" spans="1:5">
      <c r="A261" s="33" t="s">
        <v>2533</v>
      </c>
      <c r="B261" s="33">
        <v>399741.556</v>
      </c>
      <c r="C261" s="33" t="s">
        <v>2534</v>
      </c>
      <c r="D261" s="11">
        <v>45160</v>
      </c>
      <c r="E261" s="75">
        <v>905.974</v>
      </c>
    </row>
    <row r="262" ht="15.75" spans="1:5">
      <c r="A262" s="33" t="s">
        <v>2535</v>
      </c>
      <c r="B262" s="33">
        <v>399742.556</v>
      </c>
      <c r="C262" s="33" t="s">
        <v>2536</v>
      </c>
      <c r="D262" s="11">
        <v>45161</v>
      </c>
      <c r="E262" s="75">
        <v>905.856</v>
      </c>
    </row>
    <row r="263" ht="15.75" spans="1:5">
      <c r="A263" s="33" t="s">
        <v>2537</v>
      </c>
      <c r="B263" s="33">
        <v>399743.556</v>
      </c>
      <c r="C263" s="33" t="s">
        <v>2538</v>
      </c>
      <c r="D263" s="11">
        <v>45162</v>
      </c>
      <c r="E263" s="75">
        <v>905.825</v>
      </c>
    </row>
    <row r="264" ht="15.75" spans="1:5">
      <c r="A264" s="33" t="s">
        <v>2539</v>
      </c>
      <c r="B264" s="33">
        <v>399744.556</v>
      </c>
      <c r="C264" s="33" t="s">
        <v>2540</v>
      </c>
      <c r="D264" s="11">
        <v>45163</v>
      </c>
      <c r="E264" s="75">
        <v>906.652</v>
      </c>
    </row>
    <row r="265" ht="15.75" spans="1:5">
      <c r="A265" s="33" t="s">
        <v>2541</v>
      </c>
      <c r="B265" s="33">
        <v>399745.556</v>
      </c>
      <c r="C265" s="33" t="s">
        <v>2542</v>
      </c>
      <c r="D265" s="11">
        <v>45164</v>
      </c>
      <c r="E265" s="75">
        <v>906.894</v>
      </c>
    </row>
    <row r="266" ht="15.75" spans="1:5">
      <c r="A266" s="33" t="s">
        <v>2543</v>
      </c>
      <c r="B266" s="33">
        <v>399746.556</v>
      </c>
      <c r="C266" s="33" t="s">
        <v>2544</v>
      </c>
      <c r="D266" s="11">
        <v>45165</v>
      </c>
      <c r="E266" s="75">
        <v>906.861</v>
      </c>
    </row>
    <row r="267" ht="15.75" spans="1:5">
      <c r="A267" s="33" t="s">
        <v>2545</v>
      </c>
      <c r="B267" s="33">
        <v>399747.556</v>
      </c>
      <c r="C267" s="33" t="s">
        <v>2546</v>
      </c>
      <c r="D267" s="11">
        <v>45166</v>
      </c>
      <c r="E267" s="75">
        <v>906.795</v>
      </c>
    </row>
    <row r="268" ht="15.75" spans="1:5">
      <c r="A268" s="33" t="s">
        <v>2547</v>
      </c>
      <c r="B268" s="33">
        <v>399748.556</v>
      </c>
      <c r="C268" s="33" t="s">
        <v>2548</v>
      </c>
      <c r="D268" s="11">
        <v>45167</v>
      </c>
      <c r="E268" s="75">
        <v>906.683</v>
      </c>
    </row>
    <row r="269" ht="15.75" spans="1:5">
      <c r="A269" s="33" t="s">
        <v>2549</v>
      </c>
      <c r="B269" s="33">
        <v>399749.556</v>
      </c>
      <c r="C269" s="33" t="s">
        <v>2550</v>
      </c>
      <c r="D269" s="11">
        <v>45168</v>
      </c>
      <c r="E269" s="75">
        <v>906.421</v>
      </c>
    </row>
    <row r="270" ht="15.75" spans="1:5">
      <c r="A270" s="33" t="s">
        <v>2551</v>
      </c>
      <c r="B270" s="33">
        <v>399750.556</v>
      </c>
      <c r="C270" s="33" t="s">
        <v>2552</v>
      </c>
      <c r="D270" s="11">
        <v>45169</v>
      </c>
      <c r="E270" s="75"/>
    </row>
    <row r="271" ht="15.75" spans="1:5">
      <c r="A271" s="33" t="s">
        <v>2553</v>
      </c>
      <c r="B271" s="33">
        <v>399751.556</v>
      </c>
      <c r="C271" s="33" t="s">
        <v>2554</v>
      </c>
      <c r="D271" s="11">
        <v>45170</v>
      </c>
      <c r="E271" s="75">
        <v>905.78</v>
      </c>
    </row>
    <row r="272" ht="15.75" spans="1:5">
      <c r="A272" s="33" t="s">
        <v>2555</v>
      </c>
      <c r="B272" s="33">
        <v>399752.556</v>
      </c>
      <c r="C272" s="33" t="s">
        <v>2556</v>
      </c>
      <c r="D272" s="11">
        <v>45171</v>
      </c>
      <c r="E272" s="75">
        <v>905.508</v>
      </c>
    </row>
    <row r="273" ht="15.75" spans="1:5">
      <c r="A273" s="33" t="s">
        <v>2557</v>
      </c>
      <c r="B273" s="33">
        <v>399753.556</v>
      </c>
      <c r="C273" s="33" t="s">
        <v>2558</v>
      </c>
      <c r="D273" s="11">
        <v>45172</v>
      </c>
      <c r="E273" s="75">
        <v>905.274</v>
      </c>
    </row>
    <row r="274" ht="15.75" spans="1:5">
      <c r="A274" s="33" t="s">
        <v>2559</v>
      </c>
      <c r="B274" s="33">
        <v>399754.556</v>
      </c>
      <c r="C274" s="33" t="s">
        <v>2560</v>
      </c>
      <c r="D274" s="11">
        <v>45173</v>
      </c>
      <c r="E274" s="75">
        <v>905.074</v>
      </c>
    </row>
    <row r="275" ht="15.75" spans="1:5">
      <c r="A275" s="33" t="s">
        <v>2561</v>
      </c>
      <c r="B275" s="33">
        <v>399755.556</v>
      </c>
      <c r="C275" s="33" t="s">
        <v>2562</v>
      </c>
      <c r="D275" s="11">
        <v>45174</v>
      </c>
      <c r="E275" s="75">
        <v>904.895</v>
      </c>
    </row>
    <row r="276" ht="15.75" spans="1:5">
      <c r="A276" s="33" t="s">
        <v>2563</v>
      </c>
      <c r="B276" s="33">
        <v>399756.556</v>
      </c>
      <c r="C276" s="33" t="s">
        <v>2564</v>
      </c>
      <c r="D276" s="11">
        <v>45175</v>
      </c>
      <c r="E276" s="75">
        <v>904.803</v>
      </c>
    </row>
    <row r="277" ht="15.75" spans="1:5">
      <c r="A277" s="33" t="s">
        <v>2565</v>
      </c>
      <c r="B277" s="33">
        <v>399757.556</v>
      </c>
      <c r="C277" s="33" t="s">
        <v>2566</v>
      </c>
      <c r="D277" s="11">
        <v>45176</v>
      </c>
      <c r="E277" s="75">
        <v>904.212</v>
      </c>
    </row>
    <row r="278" ht="15.75" spans="1:5">
      <c r="A278" s="33" t="s">
        <v>2567</v>
      </c>
      <c r="B278" s="33">
        <v>399758.556</v>
      </c>
      <c r="C278" s="33" t="s">
        <v>2568</v>
      </c>
      <c r="D278" s="11">
        <v>45177</v>
      </c>
      <c r="E278" s="75">
        <v>904.5</v>
      </c>
    </row>
    <row r="279" ht="15.75" spans="1:5">
      <c r="A279" s="33" t="s">
        <v>2569</v>
      </c>
      <c r="B279" s="33">
        <v>399759.556</v>
      </c>
      <c r="C279" s="33" t="s">
        <v>2570</v>
      </c>
      <c r="D279" s="11">
        <v>45178</v>
      </c>
      <c r="E279" s="75">
        <v>904.542</v>
      </c>
    </row>
    <row r="280" ht="15.75" spans="1:5">
      <c r="A280" s="33" t="s">
        <v>2571</v>
      </c>
      <c r="B280" s="33">
        <v>399760.556</v>
      </c>
      <c r="C280" s="33" t="s">
        <v>2572</v>
      </c>
      <c r="D280" s="11">
        <v>45179</v>
      </c>
      <c r="E280" s="75">
        <v>904.896</v>
      </c>
    </row>
    <row r="281" ht="15.75" spans="1:5">
      <c r="A281" s="33" t="s">
        <v>2573</v>
      </c>
      <c r="B281" s="33">
        <v>399761.556</v>
      </c>
      <c r="C281" s="33" t="s">
        <v>2574</v>
      </c>
      <c r="D281" s="11">
        <v>45180</v>
      </c>
      <c r="E281" s="75">
        <v>905.616</v>
      </c>
    </row>
    <row r="282" ht="15.75" spans="1:5">
      <c r="A282" s="33" t="s">
        <v>2575</v>
      </c>
      <c r="B282" s="33">
        <v>399762.556</v>
      </c>
      <c r="C282" s="33" t="s">
        <v>2576</v>
      </c>
      <c r="D282" s="11">
        <v>45181</v>
      </c>
      <c r="E282" s="75">
        <v>905.9</v>
      </c>
    </row>
    <row r="283" ht="15.75" spans="1:5">
      <c r="A283" s="33" t="s">
        <v>2577</v>
      </c>
      <c r="B283" s="33">
        <v>399763.556</v>
      </c>
      <c r="C283" s="33" t="s">
        <v>2578</v>
      </c>
      <c r="D283" s="11">
        <v>45182</v>
      </c>
      <c r="E283" s="75">
        <v>905.851</v>
      </c>
    </row>
    <row r="284" ht="15.75" spans="1:5">
      <c r="A284" s="33" t="s">
        <v>2579</v>
      </c>
      <c r="B284" s="33">
        <v>399764.556</v>
      </c>
      <c r="C284" s="33" t="s">
        <v>2580</v>
      </c>
      <c r="D284" s="11">
        <v>45183</v>
      </c>
      <c r="E284" s="75">
        <v>905.658</v>
      </c>
    </row>
    <row r="285" ht="15.75" spans="1:5">
      <c r="A285" s="33" t="s">
        <v>2581</v>
      </c>
      <c r="B285" s="33">
        <v>399765.556</v>
      </c>
      <c r="C285" s="33" t="s">
        <v>2582</v>
      </c>
      <c r="D285" s="11">
        <v>45184</v>
      </c>
      <c r="E285" s="75">
        <v>905.431</v>
      </c>
    </row>
    <row r="286" ht="15.75" spans="1:5">
      <c r="A286" s="33" t="s">
        <v>2583</v>
      </c>
      <c r="B286" s="33">
        <v>399766.556</v>
      </c>
      <c r="C286" s="33" t="s">
        <v>2584</v>
      </c>
      <c r="D286" s="11">
        <v>45185</v>
      </c>
      <c r="E286" s="75">
        <v>905.213</v>
      </c>
    </row>
    <row r="287" ht="15.75" spans="1:5">
      <c r="A287" s="33" t="s">
        <v>2585</v>
      </c>
      <c r="B287" s="33">
        <v>399767.556</v>
      </c>
      <c r="C287" s="33" t="s">
        <v>2586</v>
      </c>
      <c r="D287" s="11">
        <v>45186</v>
      </c>
      <c r="E287" s="75">
        <v>905.014</v>
      </c>
    </row>
    <row r="288" ht="15.75" spans="1:5">
      <c r="A288" s="33" t="s">
        <v>2587</v>
      </c>
      <c r="B288" s="33">
        <v>399768.556</v>
      </c>
      <c r="C288" s="33" t="s">
        <v>2588</v>
      </c>
      <c r="D288" s="11">
        <v>45187</v>
      </c>
      <c r="E288" s="75">
        <v>904.826</v>
      </c>
    </row>
    <row r="289" ht="15.75" spans="1:5">
      <c r="A289" s="33" t="s">
        <v>2589</v>
      </c>
      <c r="B289" s="33">
        <v>399769.556</v>
      </c>
      <c r="C289" s="33" t="s">
        <v>2590</v>
      </c>
      <c r="D289" s="11">
        <v>45188</v>
      </c>
      <c r="E289" s="75">
        <v>904.67</v>
      </c>
    </row>
    <row r="290" ht="15.75" spans="1:5">
      <c r="A290" s="33" t="s">
        <v>2591</v>
      </c>
      <c r="B290" s="33">
        <v>399770.556</v>
      </c>
      <c r="C290" s="33" t="s">
        <v>2592</v>
      </c>
      <c r="D290" s="11">
        <v>45189</v>
      </c>
      <c r="E290" s="75">
        <v>904.517</v>
      </c>
    </row>
    <row r="291" ht="15.75" spans="1:5">
      <c r="A291" s="33" t="s">
        <v>2593</v>
      </c>
      <c r="B291" s="33">
        <v>399771.556</v>
      </c>
      <c r="C291" s="33" t="s">
        <v>2594</v>
      </c>
      <c r="D291" s="11">
        <v>45190</v>
      </c>
      <c r="E291" s="75">
        <v>904.402</v>
      </c>
    </row>
    <row r="292" ht="15.75" spans="1:5">
      <c r="A292" s="33" t="s">
        <v>2595</v>
      </c>
      <c r="B292" s="33">
        <v>399772.556</v>
      </c>
      <c r="C292" s="33" t="s">
        <v>2596</v>
      </c>
      <c r="D292" s="11">
        <v>45191</v>
      </c>
      <c r="E292" s="75">
        <v>904.405</v>
      </c>
    </row>
    <row r="293" ht="15.75" spans="1:5">
      <c r="A293" s="33" t="s">
        <v>2597</v>
      </c>
      <c r="B293" s="33">
        <v>399773.556</v>
      </c>
      <c r="C293" s="33" t="s">
        <v>2598</v>
      </c>
      <c r="D293" s="11">
        <v>45192</v>
      </c>
      <c r="E293" s="75">
        <v>904.563</v>
      </c>
    </row>
    <row r="294" ht="15.75" spans="1:5">
      <c r="A294" s="33" t="s">
        <v>2599</v>
      </c>
      <c r="B294" s="33">
        <v>399774.556</v>
      </c>
      <c r="C294" s="33" t="s">
        <v>2600</v>
      </c>
      <c r="D294" s="11">
        <v>45193</v>
      </c>
      <c r="E294" s="75">
        <v>904.473</v>
      </c>
    </row>
    <row r="295" ht="15.75" spans="1:5">
      <c r="A295" s="33" t="s">
        <v>2601</v>
      </c>
      <c r="B295" s="33">
        <v>399775.556</v>
      </c>
      <c r="C295" s="33" t="s">
        <v>2602</v>
      </c>
      <c r="D295" s="11">
        <v>45194</v>
      </c>
      <c r="E295" s="75">
        <v>904.332</v>
      </c>
    </row>
    <row r="296" ht="15.75" spans="1:5">
      <c r="A296" s="33" t="s">
        <v>2603</v>
      </c>
      <c r="B296" s="33">
        <v>399776.556</v>
      </c>
      <c r="C296" s="33" t="s">
        <v>2604</v>
      </c>
      <c r="D296" s="11">
        <v>45195</v>
      </c>
      <c r="E296" s="75">
        <v>904.258</v>
      </c>
    </row>
    <row r="297" ht="15.75" spans="1:5">
      <c r="A297" s="33" t="s">
        <v>2605</v>
      </c>
      <c r="B297" s="33">
        <v>399777.556</v>
      </c>
      <c r="C297" s="33" t="s">
        <v>2606</v>
      </c>
      <c r="D297" s="11">
        <v>45196</v>
      </c>
      <c r="E297" s="75">
        <v>904.197</v>
      </c>
    </row>
    <row r="298" ht="15.75" spans="1:5">
      <c r="A298" s="33" t="s">
        <v>2607</v>
      </c>
      <c r="B298" s="33">
        <v>399778.556</v>
      </c>
      <c r="C298" s="33" t="s">
        <v>2608</v>
      </c>
      <c r="D298" s="11">
        <v>45197</v>
      </c>
      <c r="E298" s="75">
        <v>904.129</v>
      </c>
    </row>
    <row r="299" ht="15.75" spans="1:5">
      <c r="A299" s="33" t="s">
        <v>2609</v>
      </c>
      <c r="B299" s="33">
        <v>399779.556</v>
      </c>
      <c r="C299" s="33" t="s">
        <v>2610</v>
      </c>
      <c r="D299" s="11">
        <v>45198</v>
      </c>
      <c r="E299" s="75">
        <v>904.02</v>
      </c>
    </row>
    <row r="300" ht="15.75" spans="1:5">
      <c r="A300" s="33" t="s">
        <v>2611</v>
      </c>
      <c r="B300" s="33">
        <v>399780.556</v>
      </c>
      <c r="C300" s="33" t="s">
        <v>2612</v>
      </c>
      <c r="D300" s="11">
        <v>45199</v>
      </c>
      <c r="E300" s="75">
        <v>903.965</v>
      </c>
    </row>
    <row r="301" ht="15.75" spans="1:5">
      <c r="A301" s="33" t="s">
        <v>2613</v>
      </c>
      <c r="B301" s="33">
        <v>399781.556</v>
      </c>
      <c r="C301" s="33" t="s">
        <v>2614</v>
      </c>
      <c r="D301" s="11">
        <v>45200</v>
      </c>
      <c r="E301" s="75">
        <v>903.931</v>
      </c>
    </row>
    <row r="302" ht="15.75" spans="1:5">
      <c r="A302" s="33" t="s">
        <v>2615</v>
      </c>
      <c r="B302" s="33">
        <v>399782.556</v>
      </c>
      <c r="C302" s="33" t="s">
        <v>2616</v>
      </c>
      <c r="D302" s="11">
        <v>45201</v>
      </c>
      <c r="E302" s="75">
        <v>903.847</v>
      </c>
    </row>
    <row r="303" ht="15.75" spans="1:5">
      <c r="A303" s="33" t="s">
        <v>2617</v>
      </c>
      <c r="B303" s="33">
        <v>399783.556</v>
      </c>
      <c r="C303" s="33" t="s">
        <v>2618</v>
      </c>
      <c r="D303" s="11">
        <v>45202</v>
      </c>
      <c r="E303" s="75">
        <v>903.763</v>
      </c>
    </row>
    <row r="304" ht="15.75" spans="1:5">
      <c r="A304" s="33" t="s">
        <v>2619</v>
      </c>
      <c r="B304" s="33">
        <v>399784.556</v>
      </c>
      <c r="C304" s="33" t="s">
        <v>2620</v>
      </c>
      <c r="D304" s="11">
        <v>45203</v>
      </c>
      <c r="E304" s="75">
        <v>903.687</v>
      </c>
    </row>
    <row r="305" ht="15.75" spans="1:5">
      <c r="A305" s="33" t="s">
        <v>2621</v>
      </c>
      <c r="B305" s="33">
        <v>399785.556</v>
      </c>
      <c r="C305" s="33" t="s">
        <v>2622</v>
      </c>
      <c r="D305" s="11">
        <v>45204</v>
      </c>
      <c r="E305" s="75">
        <v>903.617</v>
      </c>
    </row>
    <row r="306" ht="15.75" spans="1:5">
      <c r="A306" s="33" t="s">
        <v>2623</v>
      </c>
      <c r="B306" s="33">
        <v>399786.556</v>
      </c>
      <c r="C306" s="33" t="s">
        <v>2624</v>
      </c>
      <c r="D306" s="11">
        <v>45205</v>
      </c>
      <c r="E306" s="75">
        <v>903.617</v>
      </c>
    </row>
    <row r="307" ht="15.75" spans="1:5">
      <c r="A307" s="33" t="s">
        <v>2625</v>
      </c>
      <c r="B307" s="33">
        <v>399787.556</v>
      </c>
      <c r="C307" s="33" t="s">
        <v>2626</v>
      </c>
      <c r="D307" s="11">
        <v>45206</v>
      </c>
      <c r="E307" s="75">
        <v>903.586</v>
      </c>
    </row>
    <row r="308" ht="15.75" spans="1:5">
      <c r="A308" s="33" t="s">
        <v>2627</v>
      </c>
      <c r="B308" s="33">
        <v>399788.556</v>
      </c>
      <c r="C308" s="33" t="s">
        <v>2628</v>
      </c>
      <c r="D308" s="11">
        <v>45207</v>
      </c>
      <c r="E308" s="75">
        <v>903.826</v>
      </c>
    </row>
    <row r="309" ht="15.75" spans="1:5">
      <c r="A309" s="33" t="s">
        <v>2629</v>
      </c>
      <c r="B309" s="33">
        <v>399789.556</v>
      </c>
      <c r="C309" s="33" t="s">
        <v>2630</v>
      </c>
      <c r="D309" s="11">
        <v>45208</v>
      </c>
      <c r="E309" s="75">
        <v>903.975</v>
      </c>
    </row>
    <row r="310" ht="15.75" spans="1:5">
      <c r="A310" s="33" t="s">
        <v>2631</v>
      </c>
      <c r="B310" s="33">
        <v>399790.556</v>
      </c>
      <c r="C310" s="33" t="s">
        <v>2632</v>
      </c>
      <c r="D310" s="11">
        <v>45209</v>
      </c>
      <c r="E310" s="75">
        <v>904.221</v>
      </c>
    </row>
    <row r="311" ht="15.75" spans="1:5">
      <c r="A311" s="33" t="s">
        <v>2633</v>
      </c>
      <c r="B311" s="33">
        <v>399791.556</v>
      </c>
      <c r="C311" s="33" t="s">
        <v>2634</v>
      </c>
      <c r="D311" s="11">
        <v>45210</v>
      </c>
      <c r="E311" s="75">
        <v>904.892</v>
      </c>
    </row>
    <row r="312" ht="15.75" spans="1:5">
      <c r="A312" s="33" t="s">
        <v>2635</v>
      </c>
      <c r="B312" s="33">
        <v>399792.556</v>
      </c>
      <c r="C312" s="33" t="s">
        <v>2636</v>
      </c>
      <c r="D312" s="11">
        <v>45211</v>
      </c>
      <c r="E312" s="75">
        <v>905.143</v>
      </c>
    </row>
    <row r="313" ht="15.75" spans="1:5">
      <c r="A313" s="33" t="s">
        <v>2637</v>
      </c>
      <c r="B313" s="33">
        <v>399793.556</v>
      </c>
      <c r="C313" s="33" t="s">
        <v>2638</v>
      </c>
      <c r="D313" s="11">
        <v>45212</v>
      </c>
      <c r="E313" s="75">
        <v>905.007</v>
      </c>
    </row>
    <row r="314" ht="15.75" spans="1:5">
      <c r="A314" s="33" t="s">
        <v>2639</v>
      </c>
      <c r="B314" s="33">
        <v>399794.556</v>
      </c>
      <c r="C314" s="33" t="s">
        <v>2640</v>
      </c>
      <c r="D314" s="11">
        <v>45213</v>
      </c>
      <c r="E314" s="75">
        <v>904.977</v>
      </c>
    </row>
    <row r="315" ht="15.75" spans="1:5">
      <c r="A315" s="33" t="s">
        <v>2641</v>
      </c>
      <c r="B315" s="33">
        <v>399795.556</v>
      </c>
      <c r="C315" s="33" t="s">
        <v>2642</v>
      </c>
      <c r="D315" s="11">
        <v>45214</v>
      </c>
      <c r="E315" s="75">
        <v>905.022</v>
      </c>
    </row>
    <row r="316" ht="15.75" spans="1:5">
      <c r="A316" s="33" t="s">
        <v>2643</v>
      </c>
      <c r="B316" s="33">
        <v>399796.556</v>
      </c>
      <c r="C316" s="33" t="s">
        <v>2644</v>
      </c>
      <c r="D316" s="11">
        <v>45215</v>
      </c>
      <c r="E316" s="75">
        <v>905.001</v>
      </c>
    </row>
    <row r="317" ht="15.75" spans="1:5">
      <c r="A317" s="33" t="s">
        <v>2645</v>
      </c>
      <c r="B317" s="33">
        <v>399797.556</v>
      </c>
      <c r="C317" s="33" t="s">
        <v>2646</v>
      </c>
      <c r="D317" s="11">
        <v>45216</v>
      </c>
      <c r="E317" s="75">
        <v>904.848</v>
      </c>
    </row>
    <row r="318" ht="15.75" spans="1:5">
      <c r="A318" s="33" t="s">
        <v>2647</v>
      </c>
      <c r="B318" s="33">
        <v>399798.556</v>
      </c>
      <c r="C318" s="33" t="s">
        <v>2648</v>
      </c>
      <c r="D318" s="11">
        <v>45217</v>
      </c>
      <c r="E318" s="75">
        <v>904.639</v>
      </c>
    </row>
    <row r="319" ht="15.75" spans="1:5">
      <c r="A319" s="33" t="s">
        <v>2649</v>
      </c>
      <c r="B319" s="33">
        <v>399799.556</v>
      </c>
      <c r="C319" s="33" t="s">
        <v>2650</v>
      </c>
      <c r="D319" s="11">
        <v>45218</v>
      </c>
      <c r="E319" s="75"/>
    </row>
    <row r="320" ht="15.75" spans="1:5">
      <c r="A320" s="33" t="s">
        <v>2651</v>
      </c>
      <c r="B320" s="33">
        <v>399800.556</v>
      </c>
      <c r="C320" s="33" t="s">
        <v>2652</v>
      </c>
      <c r="D320" s="11">
        <v>45219</v>
      </c>
      <c r="E320" s="75">
        <v>904.204</v>
      </c>
    </row>
    <row r="321" ht="15.75" spans="1:5">
      <c r="A321" s="33" t="s">
        <v>2653</v>
      </c>
      <c r="B321" s="33">
        <v>399801.556</v>
      </c>
      <c r="C321" s="33" t="s">
        <v>2654</v>
      </c>
      <c r="D321" s="11">
        <v>45220</v>
      </c>
      <c r="E321" s="75">
        <v>904.09</v>
      </c>
    </row>
    <row r="322" ht="15.75" spans="1:5">
      <c r="A322" s="33" t="s">
        <v>2655</v>
      </c>
      <c r="B322" s="33">
        <v>399802.556</v>
      </c>
      <c r="C322" s="33" t="s">
        <v>2656</v>
      </c>
      <c r="D322" s="11">
        <v>45221</v>
      </c>
      <c r="E322" s="75">
        <v>903.96</v>
      </c>
    </row>
    <row r="323" ht="15.75" spans="1:5">
      <c r="A323" s="33" t="s">
        <v>2657</v>
      </c>
      <c r="B323" s="33">
        <v>399803.556</v>
      </c>
      <c r="C323" s="33" t="s">
        <v>2658</v>
      </c>
      <c r="D323" s="11">
        <v>45222</v>
      </c>
      <c r="E323" s="75">
        <v>903.811</v>
      </c>
    </row>
    <row r="324" ht="15.75" spans="1:5">
      <c r="A324" s="33" t="s">
        <v>2659</v>
      </c>
      <c r="B324" s="33">
        <v>399804.556</v>
      </c>
      <c r="C324" s="33" t="s">
        <v>2660</v>
      </c>
      <c r="D324" s="11">
        <v>45223</v>
      </c>
      <c r="E324" s="75">
        <v>903.694</v>
      </c>
    </row>
    <row r="325" ht="15.75" spans="1:5">
      <c r="A325" s="33" t="s">
        <v>2661</v>
      </c>
      <c r="B325" s="33">
        <v>399805.556</v>
      </c>
      <c r="C325" s="33" t="s">
        <v>2662</v>
      </c>
      <c r="D325" s="11">
        <v>45224</v>
      </c>
      <c r="E325" s="75">
        <v>903.609</v>
      </c>
    </row>
    <row r="326" ht="15.75" spans="1:5">
      <c r="A326" s="33" t="s">
        <v>2663</v>
      </c>
      <c r="B326" s="33">
        <v>399806.556</v>
      </c>
      <c r="C326" s="33" t="s">
        <v>2664</v>
      </c>
      <c r="D326" s="11">
        <v>45225</v>
      </c>
      <c r="E326" s="75">
        <v>903.512</v>
      </c>
    </row>
    <row r="327" ht="15.75" spans="1:5">
      <c r="A327" s="33" t="s">
        <v>2665</v>
      </c>
      <c r="B327" s="33">
        <v>399807.556</v>
      </c>
      <c r="C327" s="33" t="s">
        <v>2666</v>
      </c>
      <c r="D327" s="11">
        <v>45226</v>
      </c>
      <c r="E327" s="75">
        <v>903.44</v>
      </c>
    </row>
    <row r="328" ht="15.75" spans="1:5">
      <c r="A328" s="33" t="s">
        <v>2667</v>
      </c>
      <c r="B328" s="33">
        <v>399808.556</v>
      </c>
      <c r="C328" s="33" t="s">
        <v>2668</v>
      </c>
      <c r="D328" s="11">
        <v>45227</v>
      </c>
      <c r="E328" s="75">
        <v>903.45</v>
      </c>
    </row>
    <row r="329" ht="15.75" spans="1:5">
      <c r="A329" s="33" t="s">
        <v>2669</v>
      </c>
      <c r="B329" s="33">
        <v>399809.556</v>
      </c>
      <c r="C329" s="33" t="s">
        <v>2670</v>
      </c>
      <c r="D329" s="11">
        <v>45228</v>
      </c>
      <c r="E329" s="75">
        <v>903.42</v>
      </c>
    </row>
    <row r="330" ht="15.75" spans="1:5">
      <c r="A330" s="33" t="s">
        <v>2671</v>
      </c>
      <c r="B330" s="33">
        <v>399810.556</v>
      </c>
      <c r="C330" s="33" t="s">
        <v>2672</v>
      </c>
      <c r="D330" s="11">
        <v>45229</v>
      </c>
      <c r="E330" s="75">
        <v>903.35</v>
      </c>
    </row>
    <row r="331" ht="15.75" spans="1:5">
      <c r="A331" s="33" t="s">
        <v>2673</v>
      </c>
      <c r="B331" s="33">
        <v>399811.556</v>
      </c>
      <c r="C331" s="33" t="s">
        <v>2674</v>
      </c>
      <c r="D331" s="11">
        <v>45230</v>
      </c>
      <c r="E331" s="75">
        <v>903.28</v>
      </c>
    </row>
    <row r="332" ht="15.75" spans="1:5">
      <c r="A332" s="33" t="s">
        <v>2675</v>
      </c>
      <c r="B332" s="33">
        <v>399812.556</v>
      </c>
      <c r="C332" s="33" t="s">
        <v>2676</v>
      </c>
      <c r="D332" s="11">
        <v>45231</v>
      </c>
      <c r="E332" s="75">
        <v>903.23</v>
      </c>
    </row>
    <row r="333" ht="15.75" spans="1:5">
      <c r="A333" s="33" t="s">
        <v>2677</v>
      </c>
      <c r="B333" s="33">
        <v>399813.556</v>
      </c>
      <c r="C333" s="33" t="s">
        <v>2678</v>
      </c>
      <c r="D333" s="11">
        <v>45232</v>
      </c>
      <c r="E333" s="75">
        <v>903.174</v>
      </c>
    </row>
    <row r="334" ht="15.75" spans="1:5">
      <c r="A334" s="33" t="s">
        <v>2679</v>
      </c>
      <c r="B334" s="33">
        <v>399814.556</v>
      </c>
      <c r="C334" s="33" t="s">
        <v>2680</v>
      </c>
      <c r="D334" s="11">
        <v>45233</v>
      </c>
      <c r="E334" s="75">
        <v>903.12</v>
      </c>
    </row>
    <row r="335" ht="15.75" spans="1:5">
      <c r="A335" s="33" t="s">
        <v>2681</v>
      </c>
      <c r="B335" s="33">
        <v>399815.556</v>
      </c>
      <c r="C335" s="33" t="s">
        <v>2682</v>
      </c>
      <c r="D335" s="11">
        <v>45234</v>
      </c>
      <c r="E335" s="75">
        <v>903.09</v>
      </c>
    </row>
    <row r="336" ht="15.75" spans="1:5">
      <c r="A336" s="33" t="s">
        <v>2683</v>
      </c>
      <c r="B336" s="33">
        <v>399816.556</v>
      </c>
      <c r="C336" s="33" t="s">
        <v>2684</v>
      </c>
      <c r="D336" s="11">
        <v>45235</v>
      </c>
      <c r="E336" s="75">
        <v>903.04</v>
      </c>
    </row>
    <row r="337" ht="15.75" spans="1:5">
      <c r="A337" s="33" t="s">
        <v>2685</v>
      </c>
      <c r="B337" s="33">
        <v>399817.556</v>
      </c>
      <c r="C337" s="33" t="s">
        <v>2686</v>
      </c>
      <c r="D337" s="11">
        <v>45236</v>
      </c>
      <c r="E337" s="75">
        <v>902.99</v>
      </c>
    </row>
    <row r="338" ht="15.75" spans="1:5">
      <c r="A338" s="33" t="s">
        <v>2687</v>
      </c>
      <c r="B338" s="33">
        <v>399818.556</v>
      </c>
      <c r="C338" s="33" t="s">
        <v>2688</v>
      </c>
      <c r="D338" s="11">
        <v>45237</v>
      </c>
      <c r="E338" s="75">
        <v>902.96</v>
      </c>
    </row>
    <row r="339" ht="15.75" spans="1:5">
      <c r="A339" s="33" t="s">
        <v>2689</v>
      </c>
      <c r="B339" s="33">
        <v>399819.556</v>
      </c>
      <c r="C339" s="33" t="s">
        <v>2690</v>
      </c>
      <c r="D339" s="11">
        <v>45238</v>
      </c>
      <c r="E339" s="75">
        <v>902.92</v>
      </c>
    </row>
    <row r="340" ht="15.75" spans="1:5">
      <c r="A340" s="33" t="s">
        <v>2691</v>
      </c>
      <c r="B340" s="33">
        <v>399820.556</v>
      </c>
      <c r="C340" s="33" t="s">
        <v>2692</v>
      </c>
      <c r="D340" s="11">
        <v>45239</v>
      </c>
      <c r="E340" s="75">
        <v>902.88</v>
      </c>
    </row>
    <row r="341" ht="15.75" spans="1:5">
      <c r="A341" s="33" t="s">
        <v>2693</v>
      </c>
      <c r="B341" s="33">
        <v>399821.556</v>
      </c>
      <c r="C341" s="33" t="s">
        <v>2694</v>
      </c>
      <c r="D341" s="11">
        <v>45240</v>
      </c>
      <c r="E341" s="75">
        <v>902.853</v>
      </c>
    </row>
    <row r="342" ht="15.75" spans="1:5">
      <c r="A342" s="33" t="s">
        <v>2695</v>
      </c>
      <c r="B342" s="33">
        <v>399822.556</v>
      </c>
      <c r="C342" s="33" t="s">
        <v>2696</v>
      </c>
      <c r="D342" s="11">
        <v>45241</v>
      </c>
      <c r="E342" s="75">
        <v>902.81</v>
      </c>
    </row>
    <row r="343" ht="15.75" spans="1:5">
      <c r="A343" s="33" t="s">
        <v>2697</v>
      </c>
      <c r="B343" s="33">
        <v>399823.556</v>
      </c>
      <c r="C343" s="33" t="s">
        <v>2698</v>
      </c>
      <c r="D343" s="11">
        <v>45242</v>
      </c>
      <c r="E343" s="75">
        <v>902.76</v>
      </c>
    </row>
    <row r="344" ht="15.75" spans="1:5">
      <c r="A344" s="33" t="s">
        <v>2699</v>
      </c>
      <c r="B344" s="33">
        <v>399824.556</v>
      </c>
      <c r="C344" s="33" t="s">
        <v>2700</v>
      </c>
      <c r="D344" s="11">
        <v>45243</v>
      </c>
      <c r="E344" s="75">
        <v>902.73</v>
      </c>
    </row>
    <row r="345" ht="15.75" spans="1:5">
      <c r="A345" s="33" t="s">
        <v>2701</v>
      </c>
      <c r="B345" s="33">
        <v>399825.556</v>
      </c>
      <c r="C345" s="33" t="s">
        <v>2702</v>
      </c>
      <c r="D345" s="11">
        <v>45244</v>
      </c>
      <c r="E345" s="75">
        <v>902.71</v>
      </c>
    </row>
    <row r="346" ht="15.75" spans="1:5">
      <c r="A346" s="33" t="s">
        <v>2703</v>
      </c>
      <c r="B346" s="33">
        <v>399826.556</v>
      </c>
      <c r="C346" s="33" t="s">
        <v>2704</v>
      </c>
      <c r="D346" s="11">
        <v>45245</v>
      </c>
      <c r="E346" s="75">
        <v>902.69</v>
      </c>
    </row>
    <row r="347" ht="15.75" spans="1:5">
      <c r="A347" s="33" t="s">
        <v>2705</v>
      </c>
      <c r="B347" s="33">
        <v>399827.556</v>
      </c>
      <c r="C347" s="33" t="s">
        <v>2706</v>
      </c>
      <c r="D347" s="11">
        <v>45246</v>
      </c>
      <c r="E347" s="75">
        <v>902.63</v>
      </c>
    </row>
    <row r="348" ht="15.75" spans="1:5">
      <c r="A348" s="33" t="s">
        <v>2707</v>
      </c>
      <c r="B348" s="33">
        <v>399828.556</v>
      </c>
      <c r="C348" s="33" t="s">
        <v>2708</v>
      </c>
      <c r="D348" s="11">
        <v>45247</v>
      </c>
      <c r="E348" s="75">
        <v>902.64</v>
      </c>
    </row>
    <row r="349" ht="15.75" spans="1:5">
      <c r="A349" s="33" t="s">
        <v>2709</v>
      </c>
      <c r="B349" s="33">
        <v>399829.556</v>
      </c>
      <c r="C349" s="33" t="s">
        <v>2710</v>
      </c>
      <c r="D349" s="11">
        <v>45248</v>
      </c>
      <c r="E349" s="75">
        <v>902.65</v>
      </c>
    </row>
    <row r="350" ht="15.75" spans="1:5">
      <c r="A350" s="33" t="s">
        <v>2711</v>
      </c>
      <c r="B350" s="33">
        <v>399830.556</v>
      </c>
      <c r="C350" s="33" t="s">
        <v>2712</v>
      </c>
      <c r="D350" s="11">
        <v>45249</v>
      </c>
      <c r="E350" s="75">
        <v>902.65</v>
      </c>
    </row>
    <row r="351" ht="15.75" spans="1:5">
      <c r="A351" s="33" t="s">
        <v>2713</v>
      </c>
      <c r="B351" s="33">
        <v>399831.556</v>
      </c>
      <c r="C351" s="33" t="s">
        <v>2714</v>
      </c>
      <c r="D351" s="11">
        <v>45250</v>
      </c>
      <c r="E351" s="75">
        <v>902.65</v>
      </c>
    </row>
    <row r="352" ht="15.75" spans="1:5">
      <c r="A352" s="33" t="s">
        <v>2715</v>
      </c>
      <c r="B352" s="33">
        <v>399832.556</v>
      </c>
      <c r="C352" s="33" t="s">
        <v>2716</v>
      </c>
      <c r="D352" s="11">
        <v>45251</v>
      </c>
      <c r="E352" s="75">
        <v>902.62</v>
      </c>
    </row>
    <row r="353" ht="15.75" spans="1:5">
      <c r="A353" s="33" t="s">
        <v>2717</v>
      </c>
      <c r="B353" s="33">
        <v>399833.556</v>
      </c>
      <c r="C353" s="33" t="s">
        <v>2718</v>
      </c>
      <c r="D353" s="11">
        <v>45252</v>
      </c>
      <c r="E353" s="75">
        <v>902.59</v>
      </c>
    </row>
    <row r="354" ht="15.75" spans="1:5">
      <c r="A354" s="33" t="s">
        <v>2719</v>
      </c>
      <c r="B354" s="33">
        <v>399834.556</v>
      </c>
      <c r="C354" s="33" t="s">
        <v>2720</v>
      </c>
      <c r="D354" s="11">
        <v>45253</v>
      </c>
      <c r="E354" s="75">
        <v>902.58</v>
      </c>
    </row>
    <row r="355" ht="15.75" spans="1:5">
      <c r="A355" s="33" t="s">
        <v>2721</v>
      </c>
      <c r="B355" s="33">
        <v>399835.556</v>
      </c>
      <c r="C355" s="33" t="s">
        <v>2722</v>
      </c>
      <c r="D355" s="11">
        <v>45254</v>
      </c>
      <c r="E355" s="75">
        <v>902.54</v>
      </c>
    </row>
    <row r="356" ht="15.75" spans="1:5">
      <c r="A356" s="33" t="s">
        <v>2723</v>
      </c>
      <c r="B356" s="33">
        <v>399836.556</v>
      </c>
      <c r="C356" s="33" t="s">
        <v>2724</v>
      </c>
      <c r="D356" s="11">
        <v>45255</v>
      </c>
      <c r="E356" s="75"/>
    </row>
    <row r="357" ht="15.75" spans="1:5">
      <c r="A357" s="33" t="s">
        <v>2725</v>
      </c>
      <c r="B357" s="33">
        <v>399837.556</v>
      </c>
      <c r="C357" s="33" t="s">
        <v>2726</v>
      </c>
      <c r="D357" s="11">
        <v>45256</v>
      </c>
      <c r="E357" s="75"/>
    </row>
    <row r="358" ht="15.75" spans="1:5">
      <c r="A358" s="33" t="s">
        <v>2727</v>
      </c>
      <c r="B358" s="33">
        <v>399838.556</v>
      </c>
      <c r="C358" s="33" t="s">
        <v>2728</v>
      </c>
      <c r="D358" s="11">
        <v>45257</v>
      </c>
      <c r="E358" s="75"/>
    </row>
    <row r="359" ht="15.75" spans="1:5">
      <c r="A359" s="33" t="s">
        <v>2729</v>
      </c>
      <c r="B359" s="33">
        <v>399839.556</v>
      </c>
      <c r="C359" s="33" t="s">
        <v>2730</v>
      </c>
      <c r="D359" s="11">
        <v>45258</v>
      </c>
      <c r="E359" s="75">
        <v>902.48</v>
      </c>
    </row>
    <row r="360" ht="15.75" spans="1:5">
      <c r="A360" s="33" t="s">
        <v>2731</v>
      </c>
      <c r="B360" s="33">
        <v>399840.556</v>
      </c>
      <c r="C360" s="33" t="s">
        <v>2732</v>
      </c>
      <c r="D360" s="11">
        <v>45259</v>
      </c>
      <c r="E360" s="75">
        <v>902.45</v>
      </c>
    </row>
    <row r="361" ht="15.75" spans="1:5">
      <c r="A361" s="33" t="s">
        <v>2733</v>
      </c>
      <c r="B361" s="33">
        <v>399841.556</v>
      </c>
      <c r="C361" s="33" t="s">
        <v>2734</v>
      </c>
      <c r="D361" s="11">
        <v>45260</v>
      </c>
      <c r="E361" s="75">
        <v>902.41</v>
      </c>
    </row>
    <row r="362" ht="15.75" spans="1:5">
      <c r="A362" s="33" t="s">
        <v>2735</v>
      </c>
      <c r="B362" s="33">
        <v>399842.556</v>
      </c>
      <c r="C362" s="33" t="s">
        <v>2736</v>
      </c>
      <c r="D362" s="11">
        <v>45261</v>
      </c>
      <c r="E362" s="75">
        <v>902.41</v>
      </c>
    </row>
    <row r="363" ht="15.75" spans="1:5">
      <c r="A363" s="33" t="s">
        <v>2737</v>
      </c>
      <c r="B363" s="33">
        <v>399843.556</v>
      </c>
      <c r="C363" s="33" t="s">
        <v>2738</v>
      </c>
      <c r="D363" s="11">
        <v>45262</v>
      </c>
      <c r="E363" s="75">
        <v>902.41</v>
      </c>
    </row>
    <row r="364" ht="15.75" spans="1:5">
      <c r="A364" s="33" t="s">
        <v>2739</v>
      </c>
      <c r="B364" s="33">
        <v>399844.556</v>
      </c>
      <c r="C364" s="33" t="s">
        <v>2740</v>
      </c>
      <c r="D364" s="11">
        <v>45263</v>
      </c>
      <c r="E364" s="75">
        <v>902.41</v>
      </c>
    </row>
    <row r="365" ht="15.75" spans="1:5">
      <c r="A365" s="33" t="s">
        <v>2741</v>
      </c>
      <c r="B365" s="33">
        <v>399845.556</v>
      </c>
      <c r="C365" s="33" t="s">
        <v>2742</v>
      </c>
      <c r="D365" s="11">
        <v>45264</v>
      </c>
      <c r="E365" s="75">
        <v>902.39</v>
      </c>
    </row>
    <row r="366" ht="15.75" spans="1:5">
      <c r="A366" s="33" t="s">
        <v>2743</v>
      </c>
      <c r="B366" s="33">
        <v>399846.556</v>
      </c>
      <c r="C366" s="33" t="s">
        <v>2744</v>
      </c>
      <c r="D366" s="11">
        <v>45265</v>
      </c>
      <c r="E366" s="75">
        <v>902.39</v>
      </c>
    </row>
    <row r="367" ht="15.75" spans="1:5">
      <c r="A367" s="33" t="s">
        <v>2745</v>
      </c>
      <c r="B367" s="33">
        <v>399847.556</v>
      </c>
      <c r="C367" s="33" t="s">
        <v>2746</v>
      </c>
      <c r="D367" s="11">
        <v>45266</v>
      </c>
      <c r="E367" s="75">
        <v>902.36</v>
      </c>
    </row>
    <row r="368" ht="15.75" spans="1:5">
      <c r="A368" s="33" t="s">
        <v>2747</v>
      </c>
      <c r="B368" s="33">
        <v>399848.556</v>
      </c>
      <c r="C368" s="33" t="s">
        <v>2748</v>
      </c>
      <c r="D368" s="11">
        <v>45267</v>
      </c>
      <c r="E368" s="75">
        <v>902.36</v>
      </c>
    </row>
    <row r="369" ht="15.75" spans="1:5">
      <c r="A369" s="33" t="s">
        <v>2749</v>
      </c>
      <c r="B369" s="33">
        <v>399849.556</v>
      </c>
      <c r="C369" s="33" t="s">
        <v>2750</v>
      </c>
      <c r="D369" s="11">
        <v>45268</v>
      </c>
      <c r="E369" s="75">
        <v>902.375</v>
      </c>
    </row>
    <row r="370" ht="15.75" spans="1:5">
      <c r="A370" s="33" t="s">
        <v>2751</v>
      </c>
      <c r="B370" s="33">
        <v>399850.556</v>
      </c>
      <c r="C370" s="33" t="s">
        <v>2752</v>
      </c>
      <c r="D370" s="11">
        <v>45269</v>
      </c>
      <c r="E370" s="75">
        <v>902.343</v>
      </c>
    </row>
    <row r="371" ht="15.75" spans="1:5">
      <c r="A371" s="33" t="s">
        <v>2753</v>
      </c>
      <c r="B371" s="33">
        <v>399851.556</v>
      </c>
      <c r="C371" s="33" t="s">
        <v>2754</v>
      </c>
      <c r="D371" s="11">
        <v>45270</v>
      </c>
      <c r="E371" s="75">
        <v>902.319</v>
      </c>
    </row>
    <row r="372" ht="15.75" spans="1:5">
      <c r="A372" s="33" t="s">
        <v>2755</v>
      </c>
      <c r="B372" s="33">
        <v>399852.556</v>
      </c>
      <c r="C372" s="33" t="s">
        <v>2756</v>
      </c>
      <c r="D372" s="11">
        <v>45271</v>
      </c>
      <c r="E372" s="75">
        <v>902.277</v>
      </c>
    </row>
    <row r="373" ht="15.75" spans="1:5">
      <c r="A373" s="33" t="s">
        <v>2757</v>
      </c>
      <c r="B373" s="33">
        <v>399853.556</v>
      </c>
      <c r="C373" s="33" t="s">
        <v>2758</v>
      </c>
      <c r="D373" s="11">
        <v>45272</v>
      </c>
      <c r="E373" s="75">
        <v>902.272</v>
      </c>
    </row>
    <row r="374" ht="15.75" spans="1:5">
      <c r="A374" s="33" t="s">
        <v>2759</v>
      </c>
      <c r="B374" s="33">
        <v>399854.556</v>
      </c>
      <c r="C374" s="33" t="s">
        <v>2760</v>
      </c>
      <c r="D374" s="11">
        <v>45273</v>
      </c>
      <c r="E374" s="75">
        <v>902.283</v>
      </c>
    </row>
    <row r="375" ht="15.75" spans="1:5">
      <c r="A375" s="33" t="s">
        <v>2761</v>
      </c>
      <c r="B375" s="33">
        <v>399855.556</v>
      </c>
      <c r="C375" s="33" t="s">
        <v>2762</v>
      </c>
      <c r="D375" s="11">
        <v>45274</v>
      </c>
      <c r="E375" s="75">
        <v>902.267</v>
      </c>
    </row>
    <row r="376" ht="15.75" spans="1:5">
      <c r="A376" s="33" t="s">
        <v>2763</v>
      </c>
      <c r="B376" s="33">
        <v>399856.556</v>
      </c>
      <c r="C376" s="33" t="s">
        <v>2764</v>
      </c>
      <c r="D376" s="11">
        <v>45275</v>
      </c>
      <c r="E376" s="75">
        <v>902.232</v>
      </c>
    </row>
    <row r="377" ht="15.75" spans="1:5">
      <c r="A377" s="33" t="s">
        <v>2765</v>
      </c>
      <c r="B377" s="33">
        <v>399857.556</v>
      </c>
      <c r="C377" s="33" t="s">
        <v>2766</v>
      </c>
      <c r="D377" s="11">
        <v>45276</v>
      </c>
      <c r="E377" s="75">
        <v>902.192</v>
      </c>
    </row>
    <row r="378" ht="15.75" spans="1:5">
      <c r="A378" s="33" t="s">
        <v>2767</v>
      </c>
      <c r="B378" s="33">
        <v>399858.556</v>
      </c>
      <c r="C378" s="33" t="s">
        <v>2768</v>
      </c>
      <c r="D378" s="11">
        <v>45277</v>
      </c>
      <c r="E378" s="75">
        <v>902.186</v>
      </c>
    </row>
    <row r="379" ht="15.75" spans="1:5">
      <c r="A379" s="33" t="s">
        <v>2769</v>
      </c>
      <c r="B379" s="33">
        <v>399859.556</v>
      </c>
      <c r="C379" s="33" t="s">
        <v>2770</v>
      </c>
      <c r="D379" s="11">
        <v>45278</v>
      </c>
      <c r="E379" s="75">
        <v>902.187</v>
      </c>
    </row>
    <row r="380" ht="15.75" spans="1:5">
      <c r="A380" s="33" t="s">
        <v>2771</v>
      </c>
      <c r="B380" s="33">
        <v>399860.556</v>
      </c>
      <c r="C380" s="33" t="s">
        <v>2772</v>
      </c>
      <c r="D380" s="11">
        <v>45279</v>
      </c>
      <c r="E380" s="75">
        <v>902.154</v>
      </c>
    </row>
    <row r="381" ht="15.75" spans="1:5">
      <c r="A381" s="33" t="s">
        <v>2773</v>
      </c>
      <c r="B381" s="33">
        <v>399861.556</v>
      </c>
      <c r="C381" s="33" t="s">
        <v>2774</v>
      </c>
      <c r="D381" s="11">
        <v>45280</v>
      </c>
      <c r="E381" s="75">
        <v>902.138</v>
      </c>
    </row>
    <row r="382" ht="15.75" spans="1:5">
      <c r="A382" s="33" t="s">
        <v>2775</v>
      </c>
      <c r="B382" s="33">
        <v>399862.556</v>
      </c>
      <c r="C382" s="33" t="s">
        <v>2776</v>
      </c>
      <c r="D382" s="11">
        <v>45281</v>
      </c>
      <c r="E382" s="75">
        <v>902.146</v>
      </c>
    </row>
    <row r="383" ht="15.75" spans="1:5">
      <c r="A383" s="33" t="s">
        <v>2777</v>
      </c>
      <c r="B383" s="33">
        <v>399863.556</v>
      </c>
      <c r="C383" s="33" t="s">
        <v>2778</v>
      </c>
      <c r="D383" s="11">
        <v>45282</v>
      </c>
      <c r="E383" s="75">
        <v>902.137</v>
      </c>
    </row>
    <row r="384" ht="15.75" spans="1:5">
      <c r="A384" s="33" t="s">
        <v>2779</v>
      </c>
      <c r="B384" s="33">
        <v>399864.556</v>
      </c>
      <c r="C384" s="33" t="s">
        <v>2780</v>
      </c>
      <c r="D384" s="11">
        <v>45283</v>
      </c>
      <c r="E384" s="75">
        <v>902.122</v>
      </c>
    </row>
    <row r="385" ht="15.75" spans="1:5">
      <c r="A385" s="33" t="s">
        <v>2781</v>
      </c>
      <c r="B385" s="33">
        <v>399865.556</v>
      </c>
      <c r="C385" s="33" t="s">
        <v>2782</v>
      </c>
      <c r="D385" s="11">
        <v>45284</v>
      </c>
      <c r="E385" s="75">
        <v>902.113</v>
      </c>
    </row>
    <row r="386" ht="15.75" spans="1:5">
      <c r="A386" s="33" t="s">
        <v>2783</v>
      </c>
      <c r="B386" s="33">
        <v>399866.556</v>
      </c>
      <c r="C386" s="33" t="s">
        <v>2784</v>
      </c>
      <c r="D386" s="11">
        <v>45285</v>
      </c>
      <c r="E386" s="75">
        <v>902.103</v>
      </c>
    </row>
    <row r="387" ht="15.75" spans="1:5">
      <c r="A387" s="33" t="s">
        <v>2785</v>
      </c>
      <c r="B387" s="33">
        <v>399867.556</v>
      </c>
      <c r="C387" s="33" t="s">
        <v>2786</v>
      </c>
      <c r="D387" s="11">
        <v>45286</v>
      </c>
      <c r="E387" s="75">
        <v>902.103</v>
      </c>
    </row>
    <row r="388" ht="15.75" spans="1:5">
      <c r="A388" s="33" t="s">
        <v>2787</v>
      </c>
      <c r="B388" s="33">
        <v>399868.556</v>
      </c>
      <c r="C388" s="33" t="s">
        <v>2788</v>
      </c>
      <c r="D388" s="11">
        <v>45287</v>
      </c>
      <c r="E388" s="75">
        <v>902.106</v>
      </c>
    </row>
    <row r="389" ht="15.75" spans="1:5">
      <c r="A389" s="33" t="s">
        <v>2789</v>
      </c>
      <c r="B389" s="33">
        <v>399869.556</v>
      </c>
      <c r="C389" s="33" t="s">
        <v>2790</v>
      </c>
      <c r="D389" s="11">
        <v>45288</v>
      </c>
      <c r="E389" s="75">
        <v>902.102</v>
      </c>
    </row>
    <row r="390" ht="15.75" spans="1:5">
      <c r="A390" s="33" t="s">
        <v>2791</v>
      </c>
      <c r="B390" s="33">
        <v>399870.556</v>
      </c>
      <c r="C390" s="33" t="s">
        <v>2792</v>
      </c>
      <c r="D390" s="11">
        <v>45289</v>
      </c>
      <c r="E390" s="75">
        <v>902.079</v>
      </c>
    </row>
    <row r="391" ht="15.75" spans="1:5">
      <c r="A391" s="33" t="s">
        <v>2793</v>
      </c>
      <c r="B391" s="33">
        <v>399871.556</v>
      </c>
      <c r="C391" s="33" t="s">
        <v>2794</v>
      </c>
      <c r="D391" s="11">
        <v>45290</v>
      </c>
      <c r="E391" s="75">
        <v>902.002</v>
      </c>
    </row>
    <row r="392" ht="15.75" spans="1:5">
      <c r="A392" s="33" t="s">
        <v>2795</v>
      </c>
      <c r="B392" s="33">
        <v>399872.556</v>
      </c>
      <c r="C392" s="33" t="s">
        <v>2796</v>
      </c>
      <c r="D392" s="11">
        <v>45291</v>
      </c>
      <c r="E392" s="75">
        <v>902.015</v>
      </c>
    </row>
    <row r="393" ht="15.75" spans="1:5">
      <c r="A393" s="33" t="s">
        <v>2797</v>
      </c>
      <c r="B393" s="33">
        <v>399873.556</v>
      </c>
      <c r="C393" s="33" t="s">
        <v>2798</v>
      </c>
      <c r="D393" s="11">
        <v>45292</v>
      </c>
      <c r="E393" s="75">
        <v>902.025</v>
      </c>
    </row>
    <row r="394" ht="15.75" spans="1:5">
      <c r="A394" s="33" t="s">
        <v>2799</v>
      </c>
      <c r="B394" s="33">
        <v>399874.556</v>
      </c>
      <c r="C394" s="33" t="s">
        <v>2800</v>
      </c>
      <c r="D394" s="11">
        <v>45293</v>
      </c>
      <c r="E394" s="75">
        <v>902.01</v>
      </c>
    </row>
    <row r="395" ht="15.75" spans="1:5">
      <c r="A395" s="33" t="s">
        <v>2801</v>
      </c>
      <c r="B395" s="33">
        <v>399875.556</v>
      </c>
      <c r="C395" s="33" t="s">
        <v>2802</v>
      </c>
      <c r="D395" s="11">
        <v>45294</v>
      </c>
      <c r="E395" s="75">
        <v>901.991</v>
      </c>
    </row>
    <row r="396" ht="15.75" spans="1:5">
      <c r="A396" s="33" t="s">
        <v>2803</v>
      </c>
      <c r="B396" s="33">
        <v>399876.556</v>
      </c>
      <c r="C396" s="33" t="s">
        <v>2804</v>
      </c>
      <c r="D396" s="11">
        <v>45295</v>
      </c>
      <c r="E396" s="75">
        <v>902.023</v>
      </c>
    </row>
    <row r="397" ht="15.75" spans="1:5">
      <c r="A397" s="33" t="s">
        <v>2805</v>
      </c>
      <c r="B397" s="33">
        <v>399877.556</v>
      </c>
      <c r="C397" s="33" t="s">
        <v>2806</v>
      </c>
      <c r="D397" s="11">
        <v>45296</v>
      </c>
      <c r="E397" s="75">
        <v>902.014</v>
      </c>
    </row>
    <row r="398" ht="15.75" spans="1:5">
      <c r="A398" s="33" t="s">
        <v>2807</v>
      </c>
      <c r="B398" s="33">
        <v>399878.556</v>
      </c>
      <c r="C398" s="33" t="s">
        <v>2808</v>
      </c>
      <c r="D398" s="11">
        <v>45297</v>
      </c>
      <c r="E398" s="75">
        <v>901.988</v>
      </c>
    </row>
    <row r="399" ht="15.75" spans="1:5">
      <c r="A399" s="33" t="s">
        <v>2809</v>
      </c>
      <c r="B399" s="33">
        <v>399879.556</v>
      </c>
      <c r="C399" s="33" t="s">
        <v>2810</v>
      </c>
      <c r="D399" s="11">
        <v>45298</v>
      </c>
      <c r="E399" s="75">
        <v>901.995</v>
      </c>
    </row>
    <row r="400" ht="15.75" spans="1:5">
      <c r="A400" s="33" t="s">
        <v>2811</v>
      </c>
      <c r="B400" s="33">
        <v>399880.556</v>
      </c>
      <c r="C400" s="33" t="s">
        <v>2812</v>
      </c>
      <c r="D400" s="11">
        <v>45299</v>
      </c>
      <c r="E400" s="75">
        <v>901.983</v>
      </c>
    </row>
    <row r="401" ht="15.75" spans="1:5">
      <c r="A401" s="33" t="s">
        <v>2813</v>
      </c>
      <c r="B401" s="33">
        <v>399881.556</v>
      </c>
      <c r="C401" s="33" t="s">
        <v>2814</v>
      </c>
      <c r="D401" s="11">
        <v>45300</v>
      </c>
      <c r="E401" s="75">
        <v>901.965</v>
      </c>
    </row>
    <row r="402" ht="15.75" spans="1:5">
      <c r="A402" s="33" t="s">
        <v>2815</v>
      </c>
      <c r="B402" s="33">
        <v>399882.556</v>
      </c>
      <c r="C402" s="33" t="s">
        <v>2816</v>
      </c>
      <c r="D402" s="11">
        <v>45301</v>
      </c>
      <c r="E402" s="75">
        <v>901.882</v>
      </c>
    </row>
    <row r="403" ht="15.75" spans="1:5">
      <c r="A403" s="33" t="s">
        <v>2817</v>
      </c>
      <c r="B403" s="33">
        <v>399883.556</v>
      </c>
      <c r="C403" s="33" t="s">
        <v>2818</v>
      </c>
      <c r="D403" s="11">
        <v>45302</v>
      </c>
      <c r="E403" s="75">
        <v>901.846</v>
      </c>
    </row>
    <row r="404" ht="15.75" spans="1:5">
      <c r="A404" s="33" t="s">
        <v>2819</v>
      </c>
      <c r="B404" s="33">
        <v>399884.556</v>
      </c>
      <c r="C404" s="33" t="s">
        <v>2820</v>
      </c>
      <c r="D404" s="11">
        <v>45303</v>
      </c>
      <c r="E404" s="75">
        <v>901.838</v>
      </c>
    </row>
    <row r="405" ht="15.75" spans="1:5">
      <c r="A405" s="33" t="s">
        <v>2821</v>
      </c>
      <c r="B405" s="33">
        <v>399885.556</v>
      </c>
      <c r="C405" s="33" t="s">
        <v>2822</v>
      </c>
      <c r="D405" s="11">
        <v>45304</v>
      </c>
      <c r="E405" s="75">
        <v>901.824</v>
      </c>
    </row>
    <row r="406" ht="15.75" spans="1:5">
      <c r="A406" s="33" t="s">
        <v>2823</v>
      </c>
      <c r="B406" s="33">
        <v>399886.556</v>
      </c>
      <c r="C406" s="33" t="s">
        <v>2824</v>
      </c>
      <c r="D406" s="11">
        <v>45305</v>
      </c>
      <c r="E406" s="75">
        <v>901.826</v>
      </c>
    </row>
    <row r="407" ht="15.75" spans="1:5">
      <c r="A407" s="33" t="s">
        <v>2825</v>
      </c>
      <c r="B407" s="33">
        <v>399887.556</v>
      </c>
      <c r="C407" s="33" t="s">
        <v>2826</v>
      </c>
      <c r="D407" s="11">
        <v>45306</v>
      </c>
      <c r="E407" s="75">
        <v>901.814</v>
      </c>
    </row>
    <row r="408" ht="15.75" spans="1:5">
      <c r="A408" s="33" t="s">
        <v>2827</v>
      </c>
      <c r="B408" s="33">
        <v>399888.556</v>
      </c>
      <c r="C408" s="33" t="s">
        <v>2828</v>
      </c>
      <c r="D408" s="11">
        <v>45307</v>
      </c>
      <c r="E408" s="75">
        <v>901.801</v>
      </c>
    </row>
    <row r="409" ht="15.75" spans="1:5">
      <c r="A409" s="33" t="s">
        <v>2829</v>
      </c>
      <c r="B409" s="33">
        <v>399889.556</v>
      </c>
      <c r="C409" s="33" t="s">
        <v>2830</v>
      </c>
      <c r="D409" s="11">
        <v>45308</v>
      </c>
      <c r="E409" s="75">
        <v>901.773</v>
      </c>
    </row>
    <row r="410" ht="15.75" spans="1:5">
      <c r="A410" s="33" t="s">
        <v>2831</v>
      </c>
      <c r="B410" s="33">
        <v>399890.556</v>
      </c>
      <c r="C410" s="33" t="s">
        <v>2832</v>
      </c>
      <c r="D410" s="11">
        <v>45309</v>
      </c>
      <c r="E410" s="75">
        <v>901.743</v>
      </c>
    </row>
    <row r="411" ht="15.75" spans="1:5">
      <c r="A411" s="33" t="s">
        <v>2833</v>
      </c>
      <c r="B411" s="33">
        <v>399891.556</v>
      </c>
      <c r="C411" s="33" t="s">
        <v>2834</v>
      </c>
      <c r="D411" s="11">
        <v>45310</v>
      </c>
      <c r="E411" s="75">
        <v>901.722</v>
      </c>
    </row>
    <row r="412" ht="15.75" spans="1:5">
      <c r="A412" s="33" t="s">
        <v>2835</v>
      </c>
      <c r="B412" s="33">
        <v>399892.556</v>
      </c>
      <c r="C412" s="33" t="s">
        <v>2836</v>
      </c>
      <c r="D412" s="11">
        <v>45311</v>
      </c>
      <c r="E412" s="75">
        <v>901.693</v>
      </c>
    </row>
    <row r="413" ht="15.75" spans="1:5">
      <c r="A413" s="33" t="s">
        <v>2837</v>
      </c>
      <c r="B413" s="33">
        <v>399893.556</v>
      </c>
      <c r="C413" s="33" t="s">
        <v>2838</v>
      </c>
      <c r="D413" s="11">
        <v>45312</v>
      </c>
      <c r="E413" s="75">
        <v>901.67</v>
      </c>
    </row>
    <row r="414" ht="15.75" spans="1:5">
      <c r="A414" s="33" t="s">
        <v>2839</v>
      </c>
      <c r="B414" s="33">
        <v>399894.556</v>
      </c>
      <c r="C414" s="33" t="s">
        <v>2840</v>
      </c>
      <c r="D414" s="11">
        <v>45313</v>
      </c>
      <c r="E414" s="79">
        <v>901.631</v>
      </c>
    </row>
    <row r="415" ht="15.75" spans="1:5">
      <c r="A415" s="33" t="s">
        <v>2841</v>
      </c>
      <c r="B415" s="33">
        <v>399895.556</v>
      </c>
      <c r="C415" s="33" t="s">
        <v>2842</v>
      </c>
      <c r="D415" s="11">
        <v>45314</v>
      </c>
      <c r="E415" s="79">
        <v>901.642</v>
      </c>
    </row>
    <row r="416" ht="15.75" spans="1:5">
      <c r="A416" s="33" t="s">
        <v>2843</v>
      </c>
      <c r="B416" s="33">
        <v>399896.556</v>
      </c>
      <c r="C416" s="33" t="s">
        <v>2844</v>
      </c>
      <c r="D416" s="11">
        <v>45315</v>
      </c>
      <c r="E416" s="79">
        <v>901.627</v>
      </c>
    </row>
    <row r="417" ht="15.75" spans="1:5">
      <c r="A417" s="33" t="s">
        <v>2845</v>
      </c>
      <c r="B417" s="33">
        <v>399897.556</v>
      </c>
      <c r="C417" s="33" t="s">
        <v>2846</v>
      </c>
      <c r="D417" s="11">
        <v>45316</v>
      </c>
      <c r="E417" s="79">
        <v>901.608</v>
      </c>
    </row>
    <row r="418" ht="15.75" spans="1:5">
      <c r="A418" s="33" t="s">
        <v>2847</v>
      </c>
      <c r="B418" s="33">
        <v>399898.556</v>
      </c>
      <c r="C418" s="33" t="s">
        <v>2848</v>
      </c>
      <c r="D418" s="11">
        <v>45317</v>
      </c>
      <c r="E418" s="79">
        <v>901.59</v>
      </c>
    </row>
    <row r="419" ht="15.75" spans="1:5">
      <c r="A419" s="33" t="s">
        <v>2849</v>
      </c>
      <c r="B419" s="33">
        <v>399899.556</v>
      </c>
      <c r="C419" s="33" t="s">
        <v>2850</v>
      </c>
      <c r="D419" s="11">
        <v>45318</v>
      </c>
      <c r="E419" s="79">
        <v>901.576</v>
      </c>
    </row>
    <row r="420" ht="15.75" spans="1:5">
      <c r="A420" s="33" t="s">
        <v>2851</v>
      </c>
      <c r="B420" s="33">
        <v>399900.556</v>
      </c>
      <c r="C420" s="33" t="s">
        <v>2852</v>
      </c>
      <c r="D420" s="11">
        <v>45319</v>
      </c>
      <c r="E420" s="79">
        <v>901.605</v>
      </c>
    </row>
    <row r="421" ht="15.75" spans="1:5">
      <c r="A421" s="33" t="s">
        <v>2853</v>
      </c>
      <c r="B421" s="33">
        <v>399901.556</v>
      </c>
      <c r="C421" s="33" t="s">
        <v>2854</v>
      </c>
      <c r="D421" s="11">
        <v>45320</v>
      </c>
      <c r="E421" s="79">
        <v>901.618</v>
      </c>
    </row>
    <row r="422" ht="15.75" spans="1:5">
      <c r="A422" s="33" t="s">
        <v>2855</v>
      </c>
      <c r="B422" s="33">
        <v>399902.556</v>
      </c>
      <c r="C422" s="33" t="s">
        <v>2856</v>
      </c>
      <c r="D422" s="11">
        <v>45321</v>
      </c>
      <c r="E422" s="79">
        <v>901.628</v>
      </c>
    </row>
    <row r="423" ht="15.75" spans="1:5">
      <c r="A423" s="33" t="s">
        <v>2857</v>
      </c>
      <c r="B423" s="33">
        <v>399903.556</v>
      </c>
      <c r="C423" s="33" t="s">
        <v>2858</v>
      </c>
      <c r="D423" s="11">
        <v>45322</v>
      </c>
      <c r="E423" s="79">
        <v>901.637</v>
      </c>
    </row>
    <row r="424" ht="15.75" spans="1:5">
      <c r="A424" s="33" t="s">
        <v>2859</v>
      </c>
      <c r="B424" s="33">
        <v>399904.556</v>
      </c>
      <c r="C424" s="33" t="s">
        <v>2860</v>
      </c>
      <c r="D424" s="11">
        <v>45323</v>
      </c>
      <c r="E424" s="79">
        <v>901.645</v>
      </c>
    </row>
    <row r="425" ht="15.75" spans="1:5">
      <c r="A425" s="33" t="s">
        <v>2861</v>
      </c>
      <c r="B425" s="33">
        <v>399905.556</v>
      </c>
      <c r="C425" s="33" t="s">
        <v>2862</v>
      </c>
      <c r="D425" s="11">
        <v>45324</v>
      </c>
      <c r="E425" s="79">
        <v>901.681</v>
      </c>
    </row>
    <row r="426" ht="15.75" spans="1:5">
      <c r="A426" s="33" t="s">
        <v>2863</v>
      </c>
      <c r="B426" s="33">
        <v>399906.556</v>
      </c>
      <c r="C426" s="33" t="s">
        <v>2864</v>
      </c>
      <c r="D426" s="11">
        <v>45325</v>
      </c>
      <c r="E426" s="79">
        <v>901.641</v>
      </c>
    </row>
    <row r="427" ht="15.75" spans="1:5">
      <c r="A427" s="33" t="s">
        <v>2865</v>
      </c>
      <c r="B427" s="33">
        <v>399907.556</v>
      </c>
      <c r="C427" s="33" t="s">
        <v>2866</v>
      </c>
      <c r="D427" s="11">
        <v>45326</v>
      </c>
      <c r="E427" s="79">
        <v>901.643</v>
      </c>
    </row>
    <row r="428" ht="15.75" spans="1:5">
      <c r="A428" s="33" t="s">
        <v>2867</v>
      </c>
      <c r="B428" s="33">
        <v>399908.556</v>
      </c>
      <c r="C428" s="33" t="s">
        <v>2868</v>
      </c>
      <c r="D428" s="11">
        <v>45327</v>
      </c>
      <c r="E428" s="79">
        <v>901.641</v>
      </c>
    </row>
    <row r="429" ht="15.75" spans="1:5">
      <c r="A429" s="33" t="s">
        <v>2869</v>
      </c>
      <c r="B429" s="33">
        <v>399909.556</v>
      </c>
      <c r="C429" s="33" t="s">
        <v>2870</v>
      </c>
      <c r="D429" s="11">
        <v>45328</v>
      </c>
      <c r="E429" s="79">
        <v>901.591</v>
      </c>
    </row>
    <row r="430" ht="15.75" spans="1:5">
      <c r="A430" s="33" t="s">
        <v>2871</v>
      </c>
      <c r="B430" s="33">
        <v>399910.556</v>
      </c>
      <c r="C430" s="33" t="s">
        <v>2872</v>
      </c>
      <c r="D430" s="11">
        <v>45329</v>
      </c>
      <c r="E430" s="79">
        <v>901.657</v>
      </c>
    </row>
    <row r="431" ht="15.75" spans="1:5">
      <c r="A431" s="33" t="s">
        <v>2873</v>
      </c>
      <c r="B431" s="33">
        <v>399911.556</v>
      </c>
      <c r="C431" s="33" t="s">
        <v>2874</v>
      </c>
      <c r="D431" s="11">
        <v>45330</v>
      </c>
      <c r="E431" s="79">
        <v>901.745</v>
      </c>
    </row>
    <row r="432" ht="15.75" spans="1:5">
      <c r="A432" s="33" t="s">
        <v>2875</v>
      </c>
      <c r="B432" s="33">
        <v>399912.556</v>
      </c>
      <c r="C432" s="33" t="s">
        <v>2876</v>
      </c>
      <c r="D432" s="11">
        <v>45331</v>
      </c>
      <c r="E432" s="79">
        <v>901.754</v>
      </c>
    </row>
    <row r="433" ht="15.75" spans="1:5">
      <c r="A433" s="33" t="s">
        <v>2877</v>
      </c>
      <c r="B433" s="33">
        <v>399913.556</v>
      </c>
      <c r="C433" s="33" t="s">
        <v>2878</v>
      </c>
      <c r="D433" s="11">
        <v>45332</v>
      </c>
      <c r="E433" s="79">
        <v>901.768</v>
      </c>
    </row>
    <row r="434" ht="15.75" spans="1:5">
      <c r="A434" s="33" t="s">
        <v>2879</v>
      </c>
      <c r="B434" s="33">
        <v>399914.556</v>
      </c>
      <c r="C434" s="33" t="s">
        <v>2880</v>
      </c>
      <c r="D434" s="11">
        <v>45333</v>
      </c>
      <c r="E434" s="79">
        <v>901.816</v>
      </c>
    </row>
    <row r="435" ht="15.75" spans="1:5">
      <c r="A435" s="33" t="s">
        <v>2881</v>
      </c>
      <c r="B435" s="33">
        <v>399915.556</v>
      </c>
      <c r="C435" s="33" t="s">
        <v>2882</v>
      </c>
      <c r="D435" s="11">
        <v>45334</v>
      </c>
      <c r="E435" s="79">
        <v>901.861</v>
      </c>
    </row>
    <row r="436" ht="15.75" spans="1:5">
      <c r="A436" s="33" t="s">
        <v>2883</v>
      </c>
      <c r="B436" s="33">
        <v>399916.556</v>
      </c>
      <c r="C436" s="33" t="s">
        <v>2884</v>
      </c>
      <c r="D436" s="11">
        <v>45335</v>
      </c>
      <c r="E436" s="79">
        <v>901.856</v>
      </c>
    </row>
    <row r="437" ht="15.75" spans="1:5">
      <c r="A437" s="33" t="s">
        <v>2885</v>
      </c>
      <c r="B437" s="33">
        <v>399917.556</v>
      </c>
      <c r="C437" s="33" t="s">
        <v>2886</v>
      </c>
      <c r="D437" s="11">
        <v>45336</v>
      </c>
      <c r="E437" s="80">
        <v>901.899</v>
      </c>
    </row>
    <row r="438" ht="15.75" spans="1:5">
      <c r="A438" s="33" t="s">
        <v>2887</v>
      </c>
      <c r="B438" s="33">
        <v>399918.556</v>
      </c>
      <c r="C438" s="33" t="s">
        <v>2888</v>
      </c>
      <c r="D438" s="11">
        <v>45337</v>
      </c>
      <c r="E438" s="74"/>
    </row>
    <row r="439" ht="15.75" spans="1:5">
      <c r="A439" s="33" t="s">
        <v>2889</v>
      </c>
      <c r="B439" s="33">
        <v>399919.556</v>
      </c>
      <c r="C439" s="33" t="s">
        <v>2890</v>
      </c>
      <c r="D439" s="11">
        <v>45338</v>
      </c>
      <c r="E439" s="74"/>
    </row>
    <row r="440" ht="15.75" spans="1:5">
      <c r="A440" s="33" t="s">
        <v>2891</v>
      </c>
      <c r="B440" s="33">
        <v>399920.556</v>
      </c>
      <c r="C440" s="33" t="s">
        <v>2892</v>
      </c>
      <c r="D440" s="11">
        <v>45339</v>
      </c>
      <c r="E440" s="74"/>
    </row>
    <row r="441" ht="15.75" spans="1:5">
      <c r="A441" s="33" t="s">
        <v>2893</v>
      </c>
      <c r="B441" s="33">
        <v>399921.556</v>
      </c>
      <c r="C441" s="33" t="s">
        <v>2894</v>
      </c>
      <c r="D441" s="11">
        <v>45340</v>
      </c>
      <c r="E441" s="74"/>
    </row>
    <row r="442" ht="15.75" spans="1:5">
      <c r="A442" s="33" t="s">
        <v>2895</v>
      </c>
      <c r="B442" s="33">
        <v>399922.556</v>
      </c>
      <c r="C442" s="33" t="s">
        <v>2896</v>
      </c>
      <c r="D442" s="11">
        <v>45341</v>
      </c>
      <c r="E442" s="79">
        <v>901.749</v>
      </c>
    </row>
    <row r="443" ht="15.75" spans="1:5">
      <c r="A443" s="33" t="s">
        <v>2897</v>
      </c>
      <c r="B443" s="33">
        <v>399923.556</v>
      </c>
      <c r="C443" s="33" t="s">
        <v>2898</v>
      </c>
      <c r="D443" s="11">
        <v>45342</v>
      </c>
      <c r="E443" s="79">
        <v>901.703</v>
      </c>
    </row>
    <row r="444" ht="15.75" spans="1:5">
      <c r="A444" s="33" t="s">
        <v>2899</v>
      </c>
      <c r="B444" s="33">
        <v>399924.556</v>
      </c>
      <c r="C444" s="33" t="s">
        <v>2900</v>
      </c>
      <c r="D444" s="11">
        <v>45343</v>
      </c>
      <c r="E444" s="79">
        <v>901.615</v>
      </c>
    </row>
    <row r="445" ht="15.75" spans="1:5">
      <c r="A445" s="33" t="s">
        <v>2901</v>
      </c>
      <c r="B445" s="33">
        <v>399925.556</v>
      </c>
      <c r="C445" s="33" t="s">
        <v>2902</v>
      </c>
      <c r="D445" s="11">
        <v>45344</v>
      </c>
      <c r="E445" s="79">
        <v>901.384</v>
      </c>
    </row>
    <row r="446" ht="15.75" spans="1:5">
      <c r="A446" s="33" t="s">
        <v>2903</v>
      </c>
      <c r="B446" s="33">
        <v>399926.556</v>
      </c>
      <c r="C446" s="33" t="s">
        <v>2904</v>
      </c>
      <c r="D446" s="11">
        <v>45345</v>
      </c>
      <c r="E446" s="79">
        <v>901.049</v>
      </c>
    </row>
    <row r="447" ht="15.75" spans="1:5">
      <c r="A447" s="33" t="s">
        <v>2905</v>
      </c>
      <c r="B447" s="33">
        <v>399927.556</v>
      </c>
      <c r="C447" s="33" t="s">
        <v>2906</v>
      </c>
      <c r="D447" s="11">
        <v>45346</v>
      </c>
      <c r="E447" s="79">
        <v>901.055</v>
      </c>
    </row>
    <row r="448" ht="15.75" spans="1:5">
      <c r="A448" s="33" t="s">
        <v>2907</v>
      </c>
      <c r="B448" s="33">
        <v>399928.556</v>
      </c>
      <c r="C448" s="33" t="s">
        <v>2908</v>
      </c>
      <c r="D448" s="11">
        <v>45347</v>
      </c>
      <c r="E448" s="79">
        <v>901.022</v>
      </c>
    </row>
    <row r="449" ht="15.75" spans="1:5">
      <c r="A449" s="33" t="s">
        <v>2909</v>
      </c>
      <c r="B449" s="33">
        <v>399929.556</v>
      </c>
      <c r="C449" s="33" t="s">
        <v>2910</v>
      </c>
      <c r="D449" s="11">
        <v>45348</v>
      </c>
      <c r="E449" s="79">
        <v>900.997</v>
      </c>
    </row>
    <row r="450" ht="15.75" spans="1:5">
      <c r="A450" s="33" t="s">
        <v>2911</v>
      </c>
      <c r="B450" s="33">
        <v>399930.556</v>
      </c>
      <c r="C450" s="33" t="s">
        <v>2912</v>
      </c>
      <c r="D450" s="11">
        <v>45349</v>
      </c>
      <c r="E450" s="79">
        <v>901.082</v>
      </c>
    </row>
    <row r="451" ht="15.75" spans="1:5">
      <c r="A451" s="33" t="s">
        <v>2913</v>
      </c>
      <c r="B451" s="33">
        <v>399931.556</v>
      </c>
      <c r="C451" s="33" t="s">
        <v>2914</v>
      </c>
      <c r="D451" s="11">
        <v>45350</v>
      </c>
      <c r="E451" s="79">
        <v>900.874</v>
      </c>
    </row>
    <row r="452" ht="15.75" spans="1:5">
      <c r="A452" s="33" t="s">
        <v>2915</v>
      </c>
      <c r="B452" s="33">
        <v>399932.556</v>
      </c>
      <c r="C452" s="33" t="s">
        <v>2916</v>
      </c>
      <c r="D452" s="11">
        <v>45351</v>
      </c>
      <c r="E452" s="79">
        <v>901.179</v>
      </c>
    </row>
    <row r="453" ht="15.75" spans="1:5">
      <c r="A453" s="33" t="s">
        <v>2917</v>
      </c>
      <c r="B453" s="33">
        <v>399933.556</v>
      </c>
      <c r="C453" s="33" t="s">
        <v>2918</v>
      </c>
      <c r="D453" s="11">
        <v>45352</v>
      </c>
      <c r="E453" s="79">
        <v>900.874</v>
      </c>
    </row>
    <row r="454" ht="15.75" spans="1:5">
      <c r="A454" s="33" t="s">
        <v>2919</v>
      </c>
      <c r="B454" s="33">
        <v>399934.556</v>
      </c>
      <c r="C454" s="33" t="s">
        <v>2920</v>
      </c>
      <c r="D454" s="11">
        <v>45353</v>
      </c>
      <c r="E454" s="79">
        <v>901.179</v>
      </c>
    </row>
    <row r="455" ht="15.75" spans="1:5">
      <c r="A455" s="33" t="s">
        <v>2921</v>
      </c>
      <c r="B455" s="33">
        <v>399935.556</v>
      </c>
      <c r="C455" s="33" t="s">
        <v>2922</v>
      </c>
      <c r="D455" s="11">
        <v>45354</v>
      </c>
      <c r="E455" s="79">
        <v>900.874</v>
      </c>
    </row>
    <row r="456" ht="15.75" spans="1:5">
      <c r="A456" s="33" t="s">
        <v>2923</v>
      </c>
      <c r="B456" s="33">
        <v>399936.556</v>
      </c>
      <c r="C456" s="33" t="s">
        <v>2924</v>
      </c>
      <c r="D456" s="11">
        <v>45355</v>
      </c>
      <c r="E456" s="79"/>
    </row>
    <row r="457" ht="15.75" spans="1:5">
      <c r="A457" s="33" t="s">
        <v>2925</v>
      </c>
      <c r="B457" s="33">
        <v>399937.556</v>
      </c>
      <c r="C457" s="33" t="s">
        <v>2926</v>
      </c>
      <c r="D457" s="11">
        <v>45356</v>
      </c>
      <c r="E457" s="79"/>
    </row>
    <row r="458" ht="15.75" spans="1:5">
      <c r="A458" s="33" t="s">
        <v>2927</v>
      </c>
      <c r="B458" s="33">
        <v>399938.556</v>
      </c>
      <c r="C458" s="33" t="s">
        <v>2928</v>
      </c>
      <c r="D458" s="11">
        <v>45357</v>
      </c>
      <c r="E458" s="79"/>
    </row>
    <row r="459" ht="15.75" spans="1:5">
      <c r="A459" s="33" t="s">
        <v>2929</v>
      </c>
      <c r="B459" s="33">
        <v>399939.556</v>
      </c>
      <c r="C459" s="33" t="s">
        <v>2930</v>
      </c>
      <c r="D459" s="11">
        <v>45358</v>
      </c>
      <c r="E459" s="79"/>
    </row>
    <row r="460" ht="15.75" spans="1:5">
      <c r="A460" s="33" t="s">
        <v>2931</v>
      </c>
      <c r="B460" s="33">
        <v>399940.556</v>
      </c>
      <c r="C460" s="33" t="s">
        <v>2932</v>
      </c>
      <c r="D460" s="11">
        <v>45359</v>
      </c>
      <c r="E460" s="79"/>
    </row>
    <row r="461" ht="15.75" spans="1:5">
      <c r="A461" s="33" t="s">
        <v>2933</v>
      </c>
      <c r="B461" s="33">
        <v>399941.556</v>
      </c>
      <c r="C461" s="33" t="s">
        <v>2934</v>
      </c>
      <c r="D461" s="11">
        <v>45360</v>
      </c>
      <c r="E461" s="79"/>
    </row>
    <row r="462" ht="15.75" spans="1:5">
      <c r="A462" s="33" t="s">
        <v>2935</v>
      </c>
      <c r="B462" s="33">
        <v>399942.556</v>
      </c>
      <c r="C462" s="33" t="s">
        <v>2936</v>
      </c>
      <c r="D462" s="11">
        <v>45361</v>
      </c>
      <c r="E462" s="79"/>
    </row>
    <row r="463" ht="15.75" spans="1:5">
      <c r="A463" s="33" t="s">
        <v>2937</v>
      </c>
      <c r="B463" s="33">
        <v>399943.556</v>
      </c>
      <c r="C463" s="33" t="s">
        <v>2938</v>
      </c>
      <c r="D463" s="11">
        <v>45362</v>
      </c>
      <c r="E463" s="79"/>
    </row>
    <row r="464" ht="15.75" spans="1:5">
      <c r="A464" s="33" t="s">
        <v>2939</v>
      </c>
      <c r="B464" s="33">
        <v>399944.556</v>
      </c>
      <c r="C464" s="33" t="s">
        <v>2940</v>
      </c>
      <c r="D464" s="11">
        <v>45363</v>
      </c>
      <c r="E464" s="79"/>
    </row>
    <row r="465" ht="15.75" spans="1:5">
      <c r="A465" s="33" t="s">
        <v>2941</v>
      </c>
      <c r="B465" s="33">
        <v>399945.556</v>
      </c>
      <c r="C465" s="33" t="s">
        <v>2942</v>
      </c>
      <c r="D465" s="11">
        <v>45364</v>
      </c>
      <c r="E465" s="79"/>
    </row>
    <row r="466" ht="15.75" spans="1:5">
      <c r="A466" s="33" t="s">
        <v>2943</v>
      </c>
      <c r="B466" s="33">
        <v>399946.556</v>
      </c>
      <c r="C466" s="33" t="s">
        <v>2944</v>
      </c>
      <c r="D466" s="11">
        <v>45365</v>
      </c>
      <c r="E466" s="79"/>
    </row>
    <row r="467" ht="15.75" spans="1:5">
      <c r="A467" s="33" t="s">
        <v>2945</v>
      </c>
      <c r="B467" s="33">
        <v>399947.556</v>
      </c>
      <c r="C467" s="33" t="s">
        <v>2946</v>
      </c>
      <c r="D467" s="11">
        <v>45366</v>
      </c>
      <c r="E467" s="79">
        <v>901.72</v>
      </c>
    </row>
    <row r="468" ht="15.75" spans="1:5">
      <c r="A468" s="33" t="s">
        <v>2947</v>
      </c>
      <c r="B468" s="33">
        <v>399948.556</v>
      </c>
      <c r="C468" s="33" t="s">
        <v>2948</v>
      </c>
      <c r="D468" s="11">
        <v>45367</v>
      </c>
      <c r="E468" s="79">
        <v>901.671</v>
      </c>
    </row>
    <row r="469" ht="15.75" spans="1:5">
      <c r="A469" s="33" t="s">
        <v>2949</v>
      </c>
      <c r="B469" s="33">
        <v>399949.556</v>
      </c>
      <c r="C469" s="33" t="s">
        <v>2950</v>
      </c>
      <c r="D469" s="11">
        <v>45368</v>
      </c>
      <c r="E469" s="79">
        <v>901.61</v>
      </c>
    </row>
    <row r="470" ht="15.75" spans="1:5">
      <c r="A470" s="33" t="s">
        <v>2951</v>
      </c>
      <c r="B470" s="33">
        <v>399950.556</v>
      </c>
      <c r="C470" s="33" t="s">
        <v>2952</v>
      </c>
      <c r="D470" s="11">
        <v>45369</v>
      </c>
      <c r="E470" s="79">
        <v>901.566</v>
      </c>
    </row>
    <row r="471" ht="15.75" spans="1:5">
      <c r="A471" s="33" t="s">
        <v>2953</v>
      </c>
      <c r="B471" s="33">
        <v>399951.556</v>
      </c>
      <c r="C471" s="33" t="s">
        <v>2954</v>
      </c>
      <c r="D471" s="11">
        <v>45370</v>
      </c>
      <c r="E471" s="79">
        <v>901.615</v>
      </c>
    </row>
    <row r="472" ht="15.75" spans="1:5">
      <c r="A472" s="33" t="s">
        <v>2955</v>
      </c>
      <c r="B472" s="33">
        <v>399952.556</v>
      </c>
      <c r="C472" s="33" t="s">
        <v>2956</v>
      </c>
      <c r="D472" s="11">
        <v>45371</v>
      </c>
      <c r="E472" s="79">
        <v>901.696</v>
      </c>
    </row>
    <row r="473" ht="15.75" spans="1:5">
      <c r="A473" s="33" t="s">
        <v>2957</v>
      </c>
      <c r="B473" s="33">
        <v>399953.556</v>
      </c>
      <c r="C473" s="33" t="s">
        <v>2958</v>
      </c>
      <c r="D473" s="11">
        <v>45372</v>
      </c>
      <c r="E473" s="79">
        <v>901.718</v>
      </c>
    </row>
    <row r="474" ht="15.75" spans="1:5">
      <c r="A474" s="33" t="s">
        <v>2959</v>
      </c>
      <c r="B474" s="33">
        <v>399954.556</v>
      </c>
      <c r="C474" s="33" t="s">
        <v>2960</v>
      </c>
      <c r="D474" s="11">
        <v>45373</v>
      </c>
      <c r="E474" s="79">
        <v>901.707</v>
      </c>
    </row>
    <row r="475" ht="15.75" spans="1:5">
      <c r="A475" s="33" t="s">
        <v>2961</v>
      </c>
      <c r="B475" s="33">
        <v>399955.556</v>
      </c>
      <c r="C475" s="33" t="s">
        <v>2962</v>
      </c>
      <c r="D475" s="11">
        <v>45374</v>
      </c>
      <c r="E475" s="79"/>
    </row>
    <row r="476" ht="15.75" spans="1:5">
      <c r="A476" s="33" t="s">
        <v>2963</v>
      </c>
      <c r="B476" s="33">
        <v>399956.556</v>
      </c>
      <c r="C476" s="33" t="s">
        <v>2964</v>
      </c>
      <c r="D476" s="11">
        <v>45375</v>
      </c>
      <c r="E476" s="79"/>
    </row>
    <row r="477" ht="15.75" spans="1:5">
      <c r="A477" s="33" t="s">
        <v>2965</v>
      </c>
      <c r="B477" s="33">
        <v>399957.556</v>
      </c>
      <c r="C477" s="33" t="s">
        <v>2966</v>
      </c>
      <c r="D477" s="11">
        <v>45376</v>
      </c>
      <c r="E477" s="79"/>
    </row>
    <row r="478" ht="15.75" spans="1:5">
      <c r="A478" s="33" t="s">
        <v>2967</v>
      </c>
      <c r="B478" s="33">
        <v>399958.556</v>
      </c>
      <c r="C478" s="33" t="s">
        <v>2968</v>
      </c>
      <c r="D478" s="11">
        <v>45377</v>
      </c>
      <c r="E478" s="79"/>
    </row>
    <row r="479" ht="15.75" spans="1:5">
      <c r="A479" s="33" t="s">
        <v>2969</v>
      </c>
      <c r="B479" s="33">
        <v>399959.556</v>
      </c>
      <c r="C479" s="33" t="s">
        <v>2970</v>
      </c>
      <c r="D479" s="11">
        <v>45378</v>
      </c>
      <c r="E479" s="79"/>
    </row>
    <row r="480" ht="15.75" spans="1:5">
      <c r="A480" s="33" t="s">
        <v>2971</v>
      </c>
      <c r="B480" s="33">
        <v>399960.556</v>
      </c>
      <c r="C480" s="33" t="s">
        <v>2972</v>
      </c>
      <c r="D480" s="11">
        <v>45379</v>
      </c>
      <c r="E480" s="79"/>
    </row>
    <row r="481" ht="15.75" spans="1:5">
      <c r="A481" s="33" t="s">
        <v>2973</v>
      </c>
      <c r="B481" s="33">
        <v>399961.556</v>
      </c>
      <c r="C481" s="33" t="s">
        <v>2974</v>
      </c>
      <c r="D481" s="11">
        <v>45380</v>
      </c>
      <c r="E481" s="79"/>
    </row>
    <row r="482" ht="15.75" spans="1:5">
      <c r="A482" s="33" t="s">
        <v>2975</v>
      </c>
      <c r="B482" s="33">
        <v>399962.556</v>
      </c>
      <c r="C482" s="33" t="s">
        <v>2976</v>
      </c>
      <c r="D482" s="11">
        <v>45381</v>
      </c>
      <c r="E482" s="79">
        <v>901.398</v>
      </c>
    </row>
    <row r="483" ht="15.75" spans="1:5">
      <c r="A483" s="33" t="s">
        <v>2977</v>
      </c>
      <c r="B483" s="33">
        <v>399963.556</v>
      </c>
      <c r="C483" s="33" t="s">
        <v>2978</v>
      </c>
      <c r="D483" s="11">
        <v>45382</v>
      </c>
      <c r="E483" s="79">
        <v>901.315</v>
      </c>
    </row>
    <row r="484" ht="15.75" spans="1:5">
      <c r="A484" s="33" t="s">
        <v>2979</v>
      </c>
      <c r="B484" s="33">
        <v>399964.556</v>
      </c>
      <c r="C484" s="33" t="s">
        <v>2980</v>
      </c>
      <c r="D484" s="11">
        <v>45383</v>
      </c>
      <c r="E484" s="79">
        <v>901.355</v>
      </c>
    </row>
    <row r="485" ht="15.75" spans="1:5">
      <c r="A485" s="33" t="s">
        <v>2981</v>
      </c>
      <c r="B485" s="33">
        <v>399965.556</v>
      </c>
      <c r="C485" s="33" t="s">
        <v>2982</v>
      </c>
      <c r="D485" s="11">
        <v>45384</v>
      </c>
      <c r="E485" s="79">
        <v>901.343</v>
      </c>
    </row>
    <row r="486" ht="15.75" spans="1:5">
      <c r="A486" s="33" t="s">
        <v>2983</v>
      </c>
      <c r="B486" s="33">
        <v>399966.556</v>
      </c>
      <c r="C486" s="33" t="s">
        <v>2984</v>
      </c>
      <c r="D486" s="11">
        <v>45385</v>
      </c>
      <c r="E486" s="79">
        <v>901.361</v>
      </c>
    </row>
    <row r="487" ht="15.75" spans="1:5">
      <c r="A487" s="33" t="s">
        <v>2985</v>
      </c>
      <c r="B487" s="33">
        <v>399967.556</v>
      </c>
      <c r="C487" s="33" t="s">
        <v>2986</v>
      </c>
      <c r="D487" s="11">
        <v>45386</v>
      </c>
      <c r="E487" s="79">
        <v>901.305</v>
      </c>
    </row>
    <row r="488" ht="15.75" spans="1:5">
      <c r="A488" s="33" t="s">
        <v>2987</v>
      </c>
      <c r="B488" s="33">
        <v>399968.556</v>
      </c>
      <c r="C488" s="33" t="s">
        <v>2988</v>
      </c>
      <c r="D488" s="11">
        <v>45387</v>
      </c>
      <c r="E488" s="79">
        <v>901.297</v>
      </c>
    </row>
    <row r="489" ht="15.75" spans="1:5">
      <c r="A489" s="33" t="s">
        <v>2989</v>
      </c>
      <c r="B489" s="33">
        <v>399969.556</v>
      </c>
      <c r="C489" s="33" t="s">
        <v>2990</v>
      </c>
      <c r="D489" s="11">
        <v>45388</v>
      </c>
      <c r="E489" s="79"/>
    </row>
    <row r="490" ht="15.75" spans="1:5">
      <c r="A490" s="33" t="s">
        <v>2991</v>
      </c>
      <c r="B490" s="33">
        <v>399970.556</v>
      </c>
      <c r="C490" s="33" t="s">
        <v>2992</v>
      </c>
      <c r="D490" s="11">
        <v>45389</v>
      </c>
      <c r="E490" s="79">
        <v>901.355</v>
      </c>
    </row>
    <row r="491" ht="15.75" spans="1:5">
      <c r="A491" s="33" t="s">
        <v>2993</v>
      </c>
      <c r="B491" s="33">
        <v>399971.556</v>
      </c>
      <c r="C491" s="33" t="s">
        <v>2994</v>
      </c>
      <c r="D491" s="11">
        <v>45390</v>
      </c>
      <c r="E491" s="79">
        <v>901.557</v>
      </c>
    </row>
    <row r="492" ht="15.75" spans="1:5">
      <c r="A492" s="33" t="s">
        <v>2995</v>
      </c>
      <c r="B492" s="33">
        <v>399972.556</v>
      </c>
      <c r="C492" s="33" t="s">
        <v>2996</v>
      </c>
      <c r="D492" s="11">
        <v>45391</v>
      </c>
      <c r="E492" s="79">
        <v>901.671</v>
      </c>
    </row>
    <row r="493" ht="15.75" spans="1:5">
      <c r="A493" s="33" t="s">
        <v>2997</v>
      </c>
      <c r="B493" s="33">
        <v>399973.556</v>
      </c>
      <c r="C493" s="33" t="s">
        <v>2998</v>
      </c>
      <c r="D493" s="11">
        <v>45392</v>
      </c>
      <c r="E493" s="79">
        <v>901.671</v>
      </c>
    </row>
    <row r="494" ht="15.75" spans="1:5">
      <c r="A494" s="33" t="s">
        <v>2999</v>
      </c>
      <c r="B494" s="33">
        <v>399974.556</v>
      </c>
      <c r="C494" s="33" t="s">
        <v>3000</v>
      </c>
      <c r="D494" s="11">
        <v>45393</v>
      </c>
      <c r="E494" s="79">
        <v>901.654</v>
      </c>
    </row>
    <row r="495" ht="15.75" spans="1:5">
      <c r="A495" s="33" t="s">
        <v>3001</v>
      </c>
      <c r="B495" s="33">
        <v>399975.556</v>
      </c>
      <c r="C495" s="33" t="s">
        <v>3002</v>
      </c>
      <c r="D495" s="11">
        <v>45394</v>
      </c>
      <c r="E495" s="79">
        <v>901.627</v>
      </c>
    </row>
    <row r="496" ht="15.75" spans="1:5">
      <c r="A496" s="33" t="s">
        <v>3003</v>
      </c>
      <c r="B496" s="33">
        <v>399976.556</v>
      </c>
      <c r="C496" s="33" t="s">
        <v>3004</v>
      </c>
      <c r="D496" s="11">
        <v>45395</v>
      </c>
      <c r="E496" s="79">
        <v>901.596</v>
      </c>
    </row>
    <row r="497" ht="15.75" spans="1:5">
      <c r="A497" s="33" t="s">
        <v>3005</v>
      </c>
      <c r="B497" s="33">
        <v>399977.556</v>
      </c>
      <c r="C497" s="33" t="s">
        <v>3006</v>
      </c>
      <c r="D497" s="11">
        <v>45396</v>
      </c>
      <c r="E497" s="79">
        <v>901.514</v>
      </c>
    </row>
    <row r="498" ht="15.75" spans="1:5">
      <c r="A498" s="33" t="s">
        <v>3007</v>
      </c>
      <c r="B498" s="33">
        <v>399978.556</v>
      </c>
      <c r="C498" s="33" t="s">
        <v>3008</v>
      </c>
      <c r="D498" s="11">
        <v>45397</v>
      </c>
      <c r="E498" s="79">
        <v>901.435</v>
      </c>
    </row>
    <row r="499" ht="15.75" spans="1:5">
      <c r="A499" s="33" t="s">
        <v>3009</v>
      </c>
      <c r="B499" s="33">
        <v>399979.556</v>
      </c>
      <c r="C499" s="33" t="s">
        <v>3010</v>
      </c>
      <c r="D499" s="11">
        <v>45398</v>
      </c>
      <c r="E499" s="79">
        <v>901.389</v>
      </c>
    </row>
    <row r="500" ht="15.75" spans="1:5">
      <c r="A500" s="33" t="s">
        <v>3011</v>
      </c>
      <c r="B500" s="33">
        <v>399980.556</v>
      </c>
      <c r="C500" s="33" t="s">
        <v>3012</v>
      </c>
      <c r="D500" s="11">
        <v>45399</v>
      </c>
      <c r="E500" s="79">
        <v>901.331</v>
      </c>
    </row>
    <row r="501" ht="15.75" spans="1:5">
      <c r="A501" s="33" t="s">
        <v>3013</v>
      </c>
      <c r="B501" s="33">
        <v>399981.556</v>
      </c>
      <c r="C501" s="33" t="s">
        <v>3014</v>
      </c>
      <c r="D501" s="11">
        <v>45400</v>
      </c>
      <c r="E501" s="79">
        <v>901.305</v>
      </c>
    </row>
    <row r="502" ht="15.75" spans="1:5">
      <c r="A502" s="33" t="s">
        <v>3015</v>
      </c>
      <c r="B502" s="33">
        <v>399982.556</v>
      </c>
      <c r="C502" s="33" t="s">
        <v>3016</v>
      </c>
      <c r="D502" s="11">
        <v>45401</v>
      </c>
      <c r="E502" s="79">
        <v>901.308</v>
      </c>
    </row>
    <row r="503" ht="15.75" spans="1:5">
      <c r="A503" s="33" t="s">
        <v>3017</v>
      </c>
      <c r="B503" s="33">
        <v>399983.556</v>
      </c>
      <c r="C503" s="33" t="s">
        <v>3018</v>
      </c>
      <c r="D503" s="11">
        <v>45402</v>
      </c>
      <c r="E503" s="79">
        <v>901.323</v>
      </c>
    </row>
    <row r="504" ht="15.75" spans="1:5">
      <c r="A504" s="33" t="s">
        <v>3019</v>
      </c>
      <c r="B504" s="33">
        <v>399984.556</v>
      </c>
      <c r="C504" s="33" t="s">
        <v>3020</v>
      </c>
      <c r="D504" s="11">
        <v>45403</v>
      </c>
      <c r="E504" s="79">
        <v>901.336</v>
      </c>
    </row>
    <row r="505" ht="15.75" spans="1:5">
      <c r="A505" s="33" t="s">
        <v>3021</v>
      </c>
      <c r="B505" s="33">
        <v>399985.556</v>
      </c>
      <c r="C505" s="33" t="s">
        <v>3022</v>
      </c>
      <c r="D505" s="11">
        <v>45404</v>
      </c>
      <c r="E505" s="79">
        <v>901.456</v>
      </c>
    </row>
    <row r="506" ht="15.75" spans="1:5">
      <c r="A506" s="33" t="s">
        <v>3023</v>
      </c>
      <c r="B506" s="33">
        <v>399986.556</v>
      </c>
      <c r="C506" s="33" t="s">
        <v>3024</v>
      </c>
      <c r="D506" s="11">
        <v>45405</v>
      </c>
      <c r="E506" s="79">
        <v>901.456</v>
      </c>
    </row>
    <row r="507" ht="15.75" spans="1:5">
      <c r="A507" s="33" t="s">
        <v>3025</v>
      </c>
      <c r="B507" s="33">
        <v>399987.556</v>
      </c>
      <c r="C507" s="33" t="s">
        <v>3026</v>
      </c>
      <c r="D507" s="11">
        <v>45406</v>
      </c>
      <c r="E507" s="79">
        <v>901.503</v>
      </c>
    </row>
    <row r="508" ht="15.75" spans="1:5">
      <c r="A508" s="33" t="s">
        <v>3027</v>
      </c>
      <c r="B508" s="33">
        <v>399988.556</v>
      </c>
      <c r="C508" s="33" t="s">
        <v>3028</v>
      </c>
      <c r="D508" s="11">
        <v>45407</v>
      </c>
      <c r="E508" s="79">
        <v>901.635</v>
      </c>
    </row>
    <row r="509" ht="15.75" spans="1:5">
      <c r="A509" s="33" t="s">
        <v>3029</v>
      </c>
      <c r="B509" s="33">
        <v>399989.556</v>
      </c>
      <c r="C509" s="33" t="s">
        <v>3030</v>
      </c>
      <c r="D509" s="11">
        <v>45408</v>
      </c>
      <c r="E509" s="79">
        <v>901.704</v>
      </c>
    </row>
    <row r="510" ht="15.75" spans="1:5">
      <c r="A510" s="33" t="s">
        <v>3031</v>
      </c>
      <c r="B510" s="33">
        <v>399990.556</v>
      </c>
      <c r="C510" s="33" t="s">
        <v>3032</v>
      </c>
      <c r="D510" s="11">
        <v>45409</v>
      </c>
      <c r="E510" s="79">
        <v>901.712</v>
      </c>
    </row>
    <row r="511" ht="15.75" spans="1:5">
      <c r="A511" s="33" t="s">
        <v>3033</v>
      </c>
      <c r="B511" s="33">
        <v>399991.556</v>
      </c>
      <c r="C511" s="33" t="s">
        <v>3034</v>
      </c>
      <c r="D511" s="11">
        <v>45410</v>
      </c>
      <c r="E511" s="79">
        <v>901.651</v>
      </c>
    </row>
    <row r="512" ht="15.75" spans="1:5">
      <c r="A512" s="33" t="s">
        <v>3035</v>
      </c>
      <c r="B512" s="33">
        <v>399992.556</v>
      </c>
      <c r="C512" s="33" t="s">
        <v>3036</v>
      </c>
      <c r="D512" s="11">
        <v>45411</v>
      </c>
      <c r="E512" s="79">
        <v>901.594</v>
      </c>
    </row>
    <row r="513" ht="15.75" spans="1:5">
      <c r="A513" s="33" t="s">
        <v>3037</v>
      </c>
      <c r="B513" s="33">
        <v>399993.556</v>
      </c>
      <c r="C513" s="33" t="s">
        <v>3038</v>
      </c>
      <c r="D513" s="11">
        <v>45412</v>
      </c>
      <c r="E513" s="79">
        <v>901.496</v>
      </c>
    </row>
    <row r="514" ht="15.75" spans="1:5">
      <c r="A514" s="33" t="s">
        <v>3039</v>
      </c>
      <c r="B514" s="33">
        <v>399994.556</v>
      </c>
      <c r="C514" s="33" t="s">
        <v>3040</v>
      </c>
      <c r="D514" s="11">
        <v>45413</v>
      </c>
      <c r="E514" s="79">
        <v>901.463</v>
      </c>
    </row>
    <row r="515" ht="15.75" spans="1:5">
      <c r="A515" s="33" t="s">
        <v>3041</v>
      </c>
      <c r="B515" s="33">
        <v>399995.556</v>
      </c>
      <c r="C515" s="33" t="s">
        <v>3042</v>
      </c>
      <c r="D515" s="11">
        <v>45414</v>
      </c>
      <c r="E515" s="79">
        <v>901.557</v>
      </c>
    </row>
    <row r="516" ht="15.75" spans="1:5">
      <c r="A516" s="33" t="s">
        <v>3043</v>
      </c>
      <c r="B516" s="33">
        <v>399996.556</v>
      </c>
      <c r="C516" s="33" t="s">
        <v>3044</v>
      </c>
      <c r="D516" s="11">
        <v>45415</v>
      </c>
      <c r="E516" s="79">
        <v>901.598</v>
      </c>
    </row>
    <row r="517" ht="15.75" spans="1:5">
      <c r="A517" s="33" t="s">
        <v>3045</v>
      </c>
      <c r="B517" s="33">
        <v>399997.556</v>
      </c>
      <c r="C517" s="33" t="s">
        <v>3046</v>
      </c>
      <c r="D517" s="11">
        <v>45416</v>
      </c>
      <c r="E517" s="79">
        <v>901.617</v>
      </c>
    </row>
    <row r="518" ht="15.75" spans="1:5">
      <c r="A518" s="33" t="s">
        <v>3047</v>
      </c>
      <c r="B518" s="33">
        <v>399998.556</v>
      </c>
      <c r="C518" s="33" t="s">
        <v>3048</v>
      </c>
      <c r="D518" s="11">
        <v>45417</v>
      </c>
      <c r="E518" s="79">
        <v>901.81</v>
      </c>
    </row>
    <row r="519" ht="15.75" spans="1:5">
      <c r="A519" s="33" t="s">
        <v>3049</v>
      </c>
      <c r="B519" s="33">
        <v>399999.556</v>
      </c>
      <c r="C519" s="33" t="s">
        <v>3050</v>
      </c>
      <c r="D519" s="11">
        <v>45418</v>
      </c>
      <c r="E519" s="79">
        <v>901.87</v>
      </c>
    </row>
    <row r="520" ht="15.75" spans="1:5">
      <c r="A520" s="33" t="s">
        <v>3051</v>
      </c>
      <c r="B520" s="33">
        <v>400000.556</v>
      </c>
      <c r="C520" s="33" t="s">
        <v>3052</v>
      </c>
      <c r="D520" s="11">
        <v>45419</v>
      </c>
      <c r="E520" s="79">
        <v>901.915</v>
      </c>
    </row>
    <row r="521" ht="15.75" spans="1:5">
      <c r="A521" s="33" t="s">
        <v>3053</v>
      </c>
      <c r="B521" s="33">
        <v>400001.556</v>
      </c>
      <c r="C521" s="33" t="s">
        <v>3054</v>
      </c>
      <c r="D521" s="11">
        <v>45420</v>
      </c>
      <c r="E521" s="79">
        <v>902.427</v>
      </c>
    </row>
    <row r="522" ht="15.75" spans="1:5">
      <c r="A522" s="33" t="s">
        <v>3055</v>
      </c>
      <c r="B522" s="33">
        <v>400002.556</v>
      </c>
      <c r="C522" s="33" t="s">
        <v>3056</v>
      </c>
      <c r="D522" s="11">
        <v>45421</v>
      </c>
      <c r="E522" s="79">
        <v>902.534</v>
      </c>
    </row>
    <row r="523" ht="15.75" spans="1:5">
      <c r="A523" s="33" t="s">
        <v>3057</v>
      </c>
      <c r="B523" s="33">
        <v>400003.556</v>
      </c>
      <c r="C523" s="33" t="s">
        <v>3058</v>
      </c>
      <c r="D523" s="11">
        <v>45422</v>
      </c>
      <c r="E523" s="79">
        <v>902.84</v>
      </c>
    </row>
    <row r="524" ht="15.75" spans="1:5">
      <c r="A524" s="33" t="s">
        <v>3059</v>
      </c>
      <c r="B524" s="33">
        <v>400004.556</v>
      </c>
      <c r="C524" s="33" t="s">
        <v>3060</v>
      </c>
      <c r="D524" s="11">
        <v>45423</v>
      </c>
      <c r="E524" s="79">
        <v>902.805</v>
      </c>
    </row>
  </sheetData>
  <mergeCells count="1">
    <mergeCell ref="A1:C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A1" sqref="$A1:$XFD2"/>
    </sheetView>
  </sheetViews>
  <sheetFormatPr defaultColWidth="9" defaultRowHeight="15" outlineLevelCol="5"/>
  <cols>
    <col min="1" max="1" width="17.25" customWidth="1"/>
    <col min="2" max="2" width="11" customWidth="1"/>
    <col min="3" max="3" width="19.25" customWidth="1"/>
    <col min="4" max="4" width="17.25" style="1" customWidth="1"/>
    <col min="5" max="5" width="9.12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>
        <v>3045730461</v>
      </c>
      <c r="B3" s="33">
        <v>398843.511</v>
      </c>
      <c r="C3" s="33">
        <v>941.53</v>
      </c>
      <c r="D3" s="34">
        <v>44927</v>
      </c>
      <c r="E3" s="74"/>
      <c r="F3" t="s">
        <v>3061</v>
      </c>
    </row>
    <row r="4" ht="15.75" spans="1:5">
      <c r="A4" s="33">
        <v>3045730461</v>
      </c>
      <c r="B4" s="33">
        <v>398843.511</v>
      </c>
      <c r="C4" s="33">
        <v>941.53</v>
      </c>
      <c r="D4" s="11">
        <v>44928</v>
      </c>
      <c r="E4" s="74"/>
    </row>
    <row r="5" ht="15.75" spans="1:5">
      <c r="A5" s="33">
        <v>3045730461</v>
      </c>
      <c r="B5" s="33">
        <v>398843.511</v>
      </c>
      <c r="C5" s="33">
        <v>941.53</v>
      </c>
      <c r="D5" s="11">
        <v>44929</v>
      </c>
      <c r="E5" s="74"/>
    </row>
    <row r="6" ht="15.75" spans="1:5">
      <c r="A6" s="33">
        <v>3045730461</v>
      </c>
      <c r="B6" s="33">
        <v>398843.511</v>
      </c>
      <c r="C6" s="33">
        <v>941.53</v>
      </c>
      <c r="D6" s="11">
        <v>44930</v>
      </c>
      <c r="E6" s="74"/>
    </row>
    <row r="7" ht="15.75" spans="1:5">
      <c r="A7" s="33">
        <v>3045730461</v>
      </c>
      <c r="B7" s="33">
        <v>398843.511</v>
      </c>
      <c r="C7" s="33">
        <v>941.53</v>
      </c>
      <c r="D7" s="11">
        <v>44931</v>
      </c>
      <c r="E7" s="74"/>
    </row>
    <row r="8" ht="15.75" spans="1:5">
      <c r="A8" s="33">
        <v>3045730461</v>
      </c>
      <c r="B8" s="33">
        <v>398843.511</v>
      </c>
      <c r="C8" s="33">
        <v>941.53</v>
      </c>
      <c r="D8" s="11">
        <v>44932</v>
      </c>
      <c r="E8" s="74"/>
    </row>
    <row r="9" ht="15.75" spans="1:5">
      <c r="A9" s="33">
        <v>3045730461</v>
      </c>
      <c r="B9" s="33">
        <v>398843.511</v>
      </c>
      <c r="C9" s="33">
        <v>941.53</v>
      </c>
      <c r="D9" s="11">
        <v>44933</v>
      </c>
      <c r="E9" s="74"/>
    </row>
    <row r="10" ht="15.75" spans="1:5">
      <c r="A10" s="33">
        <v>3045730461</v>
      </c>
      <c r="B10" s="33">
        <v>398843.511</v>
      </c>
      <c r="C10" s="33">
        <v>941.53</v>
      </c>
      <c r="D10" s="11">
        <v>44934</v>
      </c>
      <c r="E10" s="74"/>
    </row>
    <row r="11" ht="15.75" spans="1:5">
      <c r="A11" s="33">
        <v>3045730461</v>
      </c>
      <c r="B11" s="33">
        <v>398843.511</v>
      </c>
      <c r="C11" s="33">
        <v>941.53</v>
      </c>
      <c r="D11" s="11">
        <v>44935</v>
      </c>
      <c r="E11" s="74"/>
    </row>
    <row r="12" ht="15.75" spans="1:5">
      <c r="A12" s="33">
        <v>3045730461</v>
      </c>
      <c r="B12" s="33">
        <v>398843.511</v>
      </c>
      <c r="C12" s="33">
        <v>941.53</v>
      </c>
      <c r="D12" s="11">
        <v>44936</v>
      </c>
      <c r="E12" s="74"/>
    </row>
    <row r="13" ht="15.75" spans="1:5">
      <c r="A13" s="33">
        <v>3045730461</v>
      </c>
      <c r="B13" s="33">
        <v>398843.511</v>
      </c>
      <c r="C13" s="33">
        <v>941.53</v>
      </c>
      <c r="D13" s="11">
        <v>44937</v>
      </c>
      <c r="E13" s="74"/>
    </row>
    <row r="14" ht="15.75" spans="1:5">
      <c r="A14" s="33">
        <v>3045730461</v>
      </c>
      <c r="B14" s="33">
        <v>398843.511</v>
      </c>
      <c r="C14" s="33">
        <v>941.53</v>
      </c>
      <c r="D14" s="11">
        <v>44938</v>
      </c>
      <c r="E14" s="74"/>
    </row>
    <row r="15" ht="15.75" spans="1:5">
      <c r="A15" s="33">
        <v>3045730461</v>
      </c>
      <c r="B15" s="33">
        <v>398843.511</v>
      </c>
      <c r="C15" s="33">
        <v>941.53</v>
      </c>
      <c r="D15" s="11">
        <v>44939</v>
      </c>
      <c r="E15" s="74"/>
    </row>
    <row r="16" ht="15.75" spans="1:5">
      <c r="A16" s="33">
        <v>3045730461</v>
      </c>
      <c r="B16" s="33">
        <v>398843.511</v>
      </c>
      <c r="C16" s="33">
        <v>941.53</v>
      </c>
      <c r="D16" s="11">
        <v>44940</v>
      </c>
      <c r="E16" s="74"/>
    </row>
    <row r="17" ht="15.75" spans="1:5">
      <c r="A17" s="33">
        <v>3045730461</v>
      </c>
      <c r="B17" s="33">
        <v>398843.511</v>
      </c>
      <c r="C17" s="33">
        <v>941.53</v>
      </c>
      <c r="D17" s="11">
        <v>44941</v>
      </c>
      <c r="E17" s="74"/>
    </row>
    <row r="18" ht="15.75" spans="1:5">
      <c r="A18" s="33">
        <v>3045730461</v>
      </c>
      <c r="B18" s="33">
        <v>398843.511</v>
      </c>
      <c r="C18" s="33">
        <v>941.53</v>
      </c>
      <c r="D18" s="11">
        <v>44942</v>
      </c>
      <c r="E18" s="74"/>
    </row>
    <row r="19" ht="15.75" spans="1:5">
      <c r="A19" s="33">
        <v>3045730461</v>
      </c>
      <c r="B19" s="33">
        <v>398843.511</v>
      </c>
      <c r="C19" s="33">
        <v>941.53</v>
      </c>
      <c r="D19" s="11">
        <v>44943</v>
      </c>
      <c r="E19" s="74"/>
    </row>
    <row r="20" ht="15.75" spans="1:5">
      <c r="A20" s="33">
        <v>3045730461</v>
      </c>
      <c r="B20" s="33">
        <v>398843.511</v>
      </c>
      <c r="C20" s="33">
        <v>941.53</v>
      </c>
      <c r="D20" s="11">
        <v>44944</v>
      </c>
      <c r="E20" s="74"/>
    </row>
    <row r="21" ht="15.75" spans="1:5">
      <c r="A21" s="33">
        <v>3045730461</v>
      </c>
      <c r="B21" s="33">
        <v>398843.511</v>
      </c>
      <c r="C21" s="33">
        <v>941.53</v>
      </c>
      <c r="D21" s="11">
        <v>44945</v>
      </c>
      <c r="E21" s="74"/>
    </row>
    <row r="22" ht="15.75" spans="1:5">
      <c r="A22" s="33">
        <v>3045730461</v>
      </c>
      <c r="B22" s="33">
        <v>398843.511</v>
      </c>
      <c r="C22" s="33">
        <v>941.53</v>
      </c>
      <c r="D22" s="11">
        <v>44946</v>
      </c>
      <c r="E22" s="74"/>
    </row>
    <row r="23" ht="15.75" spans="1:5">
      <c r="A23" s="33">
        <v>3045730461</v>
      </c>
      <c r="B23" s="33">
        <v>398843.511</v>
      </c>
      <c r="C23" s="33">
        <v>941.53</v>
      </c>
      <c r="D23" s="11">
        <v>44947</v>
      </c>
      <c r="E23" s="74"/>
    </row>
    <row r="24" ht="15.75" spans="1:5">
      <c r="A24" s="33">
        <v>3045730461</v>
      </c>
      <c r="B24" s="33">
        <v>398843.511</v>
      </c>
      <c r="C24" s="33">
        <v>941.53</v>
      </c>
      <c r="D24" s="11">
        <v>44948</v>
      </c>
      <c r="E24" s="74"/>
    </row>
    <row r="25" ht="15.75" spans="1:5">
      <c r="A25" s="33">
        <v>3045730461</v>
      </c>
      <c r="B25" s="33">
        <v>398843.511</v>
      </c>
      <c r="C25" s="33">
        <v>941.53</v>
      </c>
      <c r="D25" s="11">
        <v>44949</v>
      </c>
      <c r="E25" s="74"/>
    </row>
    <row r="26" ht="15.75" spans="1:5">
      <c r="A26" s="33">
        <v>3045730461</v>
      </c>
      <c r="B26" s="33">
        <v>398843.511</v>
      </c>
      <c r="C26" s="33">
        <v>941.53</v>
      </c>
      <c r="D26" s="11">
        <v>44950</v>
      </c>
      <c r="E26" s="74"/>
    </row>
    <row r="27" ht="15.75" spans="1:5">
      <c r="A27" s="33">
        <v>3045730461</v>
      </c>
      <c r="B27" s="33">
        <v>398843.511</v>
      </c>
      <c r="C27" s="33">
        <v>941.53</v>
      </c>
      <c r="D27" s="11">
        <v>44951</v>
      </c>
      <c r="E27" s="74"/>
    </row>
    <row r="28" ht="15.75" spans="1:5">
      <c r="A28" s="33">
        <v>3045730461</v>
      </c>
      <c r="B28" s="33">
        <v>398843.511</v>
      </c>
      <c r="C28" s="33">
        <v>941.53</v>
      </c>
      <c r="D28" s="11">
        <v>44952</v>
      </c>
      <c r="E28" s="74"/>
    </row>
    <row r="29" ht="15.75" spans="1:5">
      <c r="A29" s="33">
        <v>3045730461</v>
      </c>
      <c r="B29" s="33">
        <v>398843.511</v>
      </c>
      <c r="C29" s="33">
        <v>941.53</v>
      </c>
      <c r="D29" s="11">
        <v>44953</v>
      </c>
      <c r="E29" s="74"/>
    </row>
    <row r="30" ht="15.75" spans="1:5">
      <c r="A30" s="33">
        <v>3045730461</v>
      </c>
      <c r="B30" s="33">
        <v>398843.511</v>
      </c>
      <c r="C30" s="33">
        <v>941.53</v>
      </c>
      <c r="D30" s="11">
        <v>44954</v>
      </c>
      <c r="E30" s="74"/>
    </row>
    <row r="31" ht="15.75" spans="1:5">
      <c r="A31" s="33">
        <v>3045730461</v>
      </c>
      <c r="B31" s="33">
        <v>398843.511</v>
      </c>
      <c r="C31" s="33">
        <v>941.53</v>
      </c>
      <c r="D31" s="11">
        <v>44955</v>
      </c>
      <c r="E31" s="74"/>
    </row>
    <row r="32" ht="15.75" spans="1:5">
      <c r="A32" s="33">
        <v>3045730461</v>
      </c>
      <c r="B32" s="33">
        <v>398843.511</v>
      </c>
      <c r="C32" s="33">
        <v>941.53</v>
      </c>
      <c r="D32" s="11">
        <v>44956</v>
      </c>
      <c r="E32" s="74"/>
    </row>
    <row r="33" ht="15.75" spans="1:5">
      <c r="A33" s="33">
        <v>3045730461</v>
      </c>
      <c r="B33" s="33">
        <v>398843.511</v>
      </c>
      <c r="C33" s="33">
        <v>941.53</v>
      </c>
      <c r="D33" s="11">
        <v>44957</v>
      </c>
      <c r="E33" s="74"/>
    </row>
    <row r="34" ht="15.75" spans="1:5">
      <c r="A34" s="33">
        <v>3045730461</v>
      </c>
      <c r="B34" s="33">
        <v>398843.511</v>
      </c>
      <c r="C34" s="33">
        <v>941.53</v>
      </c>
      <c r="D34" s="11">
        <v>44958</v>
      </c>
      <c r="E34" s="74"/>
    </row>
    <row r="35" ht="15.75" spans="1:5">
      <c r="A35" s="33">
        <v>3045730461</v>
      </c>
      <c r="B35" s="33">
        <v>398843.511</v>
      </c>
      <c r="C35" s="33">
        <v>941.53</v>
      </c>
      <c r="D35" s="11">
        <v>44959</v>
      </c>
      <c r="E35" s="75">
        <f>939-31.59</f>
        <v>907.41</v>
      </c>
    </row>
    <row r="36" ht="15.75" spans="1:5">
      <c r="A36" s="33">
        <v>3045730461</v>
      </c>
      <c r="B36" s="33">
        <v>398843.511</v>
      </c>
      <c r="C36" s="33">
        <v>941.53</v>
      </c>
      <c r="D36" s="11">
        <v>44960</v>
      </c>
      <c r="E36" s="74"/>
    </row>
    <row r="37" ht="15.75" spans="1:5">
      <c r="A37" s="33">
        <v>3045730461</v>
      </c>
      <c r="B37" s="33">
        <v>398843.511</v>
      </c>
      <c r="C37" s="33">
        <v>941.53</v>
      </c>
      <c r="D37" s="11">
        <v>44961</v>
      </c>
      <c r="E37" s="74"/>
    </row>
    <row r="38" ht="15.75" spans="1:5">
      <c r="A38" s="33">
        <v>3045730461</v>
      </c>
      <c r="B38" s="33">
        <v>398843.511</v>
      </c>
      <c r="C38" s="33">
        <v>941.53</v>
      </c>
      <c r="D38" s="11">
        <v>44962</v>
      </c>
      <c r="E38" s="74"/>
    </row>
    <row r="39" ht="15.75" spans="1:5">
      <c r="A39" s="33">
        <v>3045730461</v>
      </c>
      <c r="B39" s="33">
        <v>398843.511</v>
      </c>
      <c r="C39" s="33">
        <v>941.53</v>
      </c>
      <c r="D39" s="11">
        <v>44963</v>
      </c>
      <c r="E39" s="74"/>
    </row>
    <row r="40" ht="15.75" spans="1:5">
      <c r="A40" s="33">
        <v>3045730461</v>
      </c>
      <c r="B40" s="33">
        <v>398843.511</v>
      </c>
      <c r="C40" s="33">
        <v>941.53</v>
      </c>
      <c r="D40" s="11">
        <v>44964</v>
      </c>
      <c r="E40" s="74"/>
    </row>
    <row r="41" ht="15.75" spans="1:5">
      <c r="A41" s="33">
        <v>3045730461</v>
      </c>
      <c r="B41" s="33">
        <v>398843.511</v>
      </c>
      <c r="C41" s="33">
        <v>941.53</v>
      </c>
      <c r="D41" s="11">
        <v>44965</v>
      </c>
      <c r="E41" s="75">
        <f>939-31.56</f>
        <v>907.44</v>
      </c>
    </row>
    <row r="42" ht="15.75" spans="1:5">
      <c r="A42" s="33">
        <v>3045730461</v>
      </c>
      <c r="B42" s="33">
        <v>398843.511</v>
      </c>
      <c r="C42" s="33">
        <v>941.53</v>
      </c>
      <c r="D42" s="11">
        <v>44966</v>
      </c>
      <c r="E42" s="74"/>
    </row>
    <row r="43" ht="15.75" spans="1:5">
      <c r="A43" s="33">
        <v>3045730461</v>
      </c>
      <c r="B43" s="33">
        <v>398843.511</v>
      </c>
      <c r="C43" s="33">
        <v>941.53</v>
      </c>
      <c r="D43" s="11">
        <v>44967</v>
      </c>
      <c r="E43" s="74"/>
    </row>
    <row r="44" ht="15.75" spans="1:5">
      <c r="A44" s="33">
        <v>3045730461</v>
      </c>
      <c r="B44" s="33">
        <v>398843.511</v>
      </c>
      <c r="C44" s="33">
        <v>941.53</v>
      </c>
      <c r="D44" s="11">
        <v>44968</v>
      </c>
      <c r="E44" s="74"/>
    </row>
    <row r="45" ht="15.75" spans="1:5">
      <c r="A45" s="33">
        <v>3045730461</v>
      </c>
      <c r="B45" s="33">
        <v>398843.511</v>
      </c>
      <c r="C45" s="33">
        <v>941.53</v>
      </c>
      <c r="D45" s="11">
        <v>44969</v>
      </c>
      <c r="E45" s="74"/>
    </row>
    <row r="46" ht="15.75" spans="1:5">
      <c r="A46" s="33">
        <v>3045730461</v>
      </c>
      <c r="B46" s="33">
        <v>398843.511</v>
      </c>
      <c r="C46" s="33">
        <v>941.53</v>
      </c>
      <c r="D46" s="11">
        <v>44970</v>
      </c>
      <c r="E46" s="74"/>
    </row>
    <row r="47" ht="15.75" spans="1:5">
      <c r="A47" s="33">
        <v>3045730461</v>
      </c>
      <c r="B47" s="33">
        <v>398843.511</v>
      </c>
      <c r="C47" s="33">
        <v>941.53</v>
      </c>
      <c r="D47" s="11">
        <v>44971</v>
      </c>
      <c r="E47" s="75">
        <f>939-31.59</f>
        <v>907.41</v>
      </c>
    </row>
    <row r="48" ht="15.75" spans="1:5">
      <c r="A48" s="33">
        <v>3045730461</v>
      </c>
      <c r="B48" s="33">
        <v>398843.511</v>
      </c>
      <c r="C48" s="33">
        <v>941.53</v>
      </c>
      <c r="D48" s="11">
        <v>44972</v>
      </c>
      <c r="E48" s="75"/>
    </row>
    <row r="49" ht="15.75" spans="1:5">
      <c r="A49" s="33">
        <v>3045730461</v>
      </c>
      <c r="B49" s="33">
        <v>398843.511</v>
      </c>
      <c r="C49" s="33">
        <v>941.53</v>
      </c>
      <c r="D49" s="11">
        <v>44973</v>
      </c>
      <c r="E49" s="75"/>
    </row>
    <row r="50" ht="15.75" spans="1:5">
      <c r="A50" s="33">
        <v>3045730461</v>
      </c>
      <c r="B50" s="33">
        <v>398843.511</v>
      </c>
      <c r="C50" s="33">
        <v>941.53</v>
      </c>
      <c r="D50" s="11">
        <v>44974</v>
      </c>
      <c r="E50" s="75"/>
    </row>
    <row r="51" ht="15.75" spans="1:5">
      <c r="A51" s="33">
        <v>3045730461</v>
      </c>
      <c r="B51" s="33">
        <v>398843.511</v>
      </c>
      <c r="C51" s="33">
        <v>941.53</v>
      </c>
      <c r="D51" s="11">
        <v>44975</v>
      </c>
      <c r="E51" s="75"/>
    </row>
    <row r="52" ht="15.75" spans="1:5">
      <c r="A52" s="33">
        <v>3045730461</v>
      </c>
      <c r="B52" s="33">
        <v>398843.511</v>
      </c>
      <c r="C52" s="33">
        <v>941.53</v>
      </c>
      <c r="D52" s="11">
        <v>44976</v>
      </c>
      <c r="E52" s="75"/>
    </row>
    <row r="53" ht="15.75" spans="1:5">
      <c r="A53" s="33">
        <v>3045730461</v>
      </c>
      <c r="B53" s="33">
        <v>398843.511</v>
      </c>
      <c r="C53" s="33">
        <v>941.53</v>
      </c>
      <c r="D53" s="11">
        <v>44977</v>
      </c>
      <c r="E53" s="75"/>
    </row>
    <row r="54" ht="15.75" spans="1:5">
      <c r="A54" s="33">
        <v>3045730461</v>
      </c>
      <c r="B54" s="33">
        <v>398843.511</v>
      </c>
      <c r="C54" s="33">
        <v>941.53</v>
      </c>
      <c r="D54" s="11">
        <v>44978</v>
      </c>
      <c r="E54" s="75"/>
    </row>
    <row r="55" ht="15.75" spans="1:5">
      <c r="A55" s="33">
        <v>3045730461</v>
      </c>
      <c r="B55" s="33">
        <v>398843.511</v>
      </c>
      <c r="C55" s="33">
        <v>941.53</v>
      </c>
      <c r="D55" s="11">
        <v>44979</v>
      </c>
      <c r="E55" s="75"/>
    </row>
    <row r="56" ht="15.75" spans="1:5">
      <c r="A56" s="33">
        <v>3045730461</v>
      </c>
      <c r="B56" s="33">
        <v>398843.511</v>
      </c>
      <c r="C56" s="33">
        <v>941.53</v>
      </c>
      <c r="D56" s="11">
        <v>44980</v>
      </c>
      <c r="E56" s="75">
        <f>941.513-31.41</f>
        <v>910.103</v>
      </c>
    </row>
    <row r="57" ht="15.75" spans="1:5">
      <c r="A57" s="33">
        <v>3045730461</v>
      </c>
      <c r="B57" s="33">
        <v>398843.511</v>
      </c>
      <c r="C57" s="33">
        <v>941.53</v>
      </c>
      <c r="D57" s="11">
        <v>44981</v>
      </c>
      <c r="E57" s="74"/>
    </row>
    <row r="58" ht="15.75" spans="1:5">
      <c r="A58" s="33">
        <v>3045730461</v>
      </c>
      <c r="B58" s="33">
        <v>398843.511</v>
      </c>
      <c r="C58" s="33">
        <v>941.53</v>
      </c>
      <c r="D58" s="11">
        <v>44982</v>
      </c>
      <c r="E58" s="74"/>
    </row>
    <row r="59" ht="15.75" spans="1:5">
      <c r="A59" s="33">
        <v>3045730461</v>
      </c>
      <c r="B59" s="33">
        <v>398843.511</v>
      </c>
      <c r="C59" s="33">
        <v>941.53</v>
      </c>
      <c r="D59" s="11">
        <v>44983</v>
      </c>
      <c r="E59" s="74"/>
    </row>
    <row r="60" ht="15.75" spans="1:5">
      <c r="A60" s="33">
        <v>3045730461</v>
      </c>
      <c r="B60" s="33">
        <v>398843.511</v>
      </c>
      <c r="C60" s="33">
        <v>941.53</v>
      </c>
      <c r="D60" s="11">
        <v>44984</v>
      </c>
      <c r="E60" s="74"/>
    </row>
    <row r="61" ht="15.75" spans="1:5">
      <c r="A61" s="33">
        <v>3045730461</v>
      </c>
      <c r="B61" s="33">
        <v>398843.511</v>
      </c>
      <c r="C61" s="33">
        <v>941.53</v>
      </c>
      <c r="D61" s="11">
        <v>44985</v>
      </c>
      <c r="E61" s="75">
        <f>941.513-31.04</f>
        <v>910.473</v>
      </c>
    </row>
    <row r="62" ht="15.75" spans="1:5">
      <c r="A62" s="33">
        <v>3045730461</v>
      </c>
      <c r="B62" s="33">
        <v>398843.511</v>
      </c>
      <c r="C62" s="33">
        <v>941.53</v>
      </c>
      <c r="D62" s="11">
        <v>44986</v>
      </c>
      <c r="E62" s="74"/>
    </row>
    <row r="63" ht="15.75" spans="1:5">
      <c r="A63" s="33">
        <v>3045730461</v>
      </c>
      <c r="B63" s="33">
        <v>398843.511</v>
      </c>
      <c r="C63" s="33">
        <v>941.53</v>
      </c>
      <c r="D63" s="11">
        <v>44987</v>
      </c>
      <c r="E63" s="74"/>
    </row>
    <row r="64" ht="15.75" spans="1:5">
      <c r="A64" s="33">
        <v>3045730461</v>
      </c>
      <c r="B64" s="33">
        <v>398843.511</v>
      </c>
      <c r="C64" s="33">
        <v>941.53</v>
      </c>
      <c r="D64" s="11">
        <v>44988</v>
      </c>
      <c r="E64" s="74"/>
    </row>
    <row r="65" ht="15.75" spans="1:5">
      <c r="A65" s="33">
        <v>3045730461</v>
      </c>
      <c r="B65" s="33">
        <v>398843.511</v>
      </c>
      <c r="C65" s="33">
        <v>941.53</v>
      </c>
      <c r="D65" s="11">
        <v>44989</v>
      </c>
      <c r="E65" s="74"/>
    </row>
    <row r="66" ht="15.75" spans="1:5">
      <c r="A66" s="33">
        <v>3045730461</v>
      </c>
      <c r="B66" s="33">
        <v>398843.511</v>
      </c>
      <c r="C66" s="33">
        <v>941.53</v>
      </c>
      <c r="D66" s="11">
        <v>44990</v>
      </c>
      <c r="E66" s="75">
        <f>941.513-31.09</f>
        <v>910.423</v>
      </c>
    </row>
    <row r="67" ht="15.75" spans="1:5">
      <c r="A67" s="33">
        <v>3045730461</v>
      </c>
      <c r="B67" s="33">
        <v>398843.511</v>
      </c>
      <c r="C67" s="33">
        <v>941.53</v>
      </c>
      <c r="D67" s="11">
        <v>44991</v>
      </c>
      <c r="E67" s="74"/>
    </row>
    <row r="68" ht="15.75" spans="1:5">
      <c r="A68" s="33">
        <v>3045730461</v>
      </c>
      <c r="B68" s="33">
        <v>398843.511</v>
      </c>
      <c r="C68" s="33">
        <v>941.53</v>
      </c>
      <c r="D68" s="11">
        <v>44992</v>
      </c>
      <c r="E68" s="74"/>
    </row>
    <row r="69" ht="15.75" spans="1:5">
      <c r="A69" s="33">
        <v>3045730461</v>
      </c>
      <c r="B69" s="33">
        <v>398843.511</v>
      </c>
      <c r="C69" s="33">
        <v>941.53</v>
      </c>
      <c r="D69" s="11">
        <v>44993</v>
      </c>
      <c r="E69" s="74"/>
    </row>
    <row r="70" ht="15.75" spans="1:5">
      <c r="A70" s="33">
        <v>3045730461</v>
      </c>
      <c r="B70" s="33">
        <v>398843.511</v>
      </c>
      <c r="C70" s="33">
        <v>941.53</v>
      </c>
      <c r="D70" s="11">
        <v>44994</v>
      </c>
      <c r="E70" s="74"/>
    </row>
    <row r="71" ht="15.75" spans="1:5">
      <c r="A71" s="33">
        <v>3045730461</v>
      </c>
      <c r="B71" s="33">
        <v>398843.511</v>
      </c>
      <c r="C71" s="33">
        <v>941.53</v>
      </c>
      <c r="D71" s="11">
        <v>44995</v>
      </c>
      <c r="E71" s="74"/>
    </row>
    <row r="72" ht="15.75" spans="1:5">
      <c r="A72" s="33">
        <v>3045730461</v>
      </c>
      <c r="B72" s="33">
        <v>398843.511</v>
      </c>
      <c r="C72" s="33">
        <v>941.53</v>
      </c>
      <c r="D72" s="11">
        <v>44996</v>
      </c>
      <c r="E72" s="74"/>
    </row>
    <row r="73" ht="15.75" spans="1:5">
      <c r="A73" s="33">
        <v>3045730461</v>
      </c>
      <c r="B73" s="33">
        <v>398843.511</v>
      </c>
      <c r="C73" s="33">
        <v>941.53</v>
      </c>
      <c r="D73" s="11">
        <v>44997</v>
      </c>
      <c r="E73" s="74"/>
    </row>
    <row r="74" ht="15.75" spans="1:5">
      <c r="A74" s="33">
        <v>3045730461</v>
      </c>
      <c r="B74" s="33">
        <v>398843.511</v>
      </c>
      <c r="C74" s="33">
        <v>941.53</v>
      </c>
      <c r="D74" s="11">
        <v>44998</v>
      </c>
      <c r="E74" s="74"/>
    </row>
    <row r="75" ht="15.75" spans="1:5">
      <c r="A75" s="33">
        <v>3045730461</v>
      </c>
      <c r="B75" s="33">
        <v>398843.511</v>
      </c>
      <c r="C75" s="33">
        <v>941.53</v>
      </c>
      <c r="D75" s="11">
        <v>44999</v>
      </c>
      <c r="E75" s="74"/>
    </row>
    <row r="76" ht="15.75" spans="1:5">
      <c r="A76" s="33">
        <v>3045730461</v>
      </c>
      <c r="B76" s="33">
        <v>398843.511</v>
      </c>
      <c r="C76" s="33">
        <v>941.53</v>
      </c>
      <c r="D76" s="11">
        <v>45000</v>
      </c>
      <c r="E76" s="75">
        <f>941.513-31.05</f>
        <v>910.463</v>
      </c>
    </row>
    <row r="77" ht="15.75" spans="1:5">
      <c r="A77" s="33">
        <v>3045730461</v>
      </c>
      <c r="B77" s="33">
        <v>398843.511</v>
      </c>
      <c r="C77" s="33">
        <v>941.53</v>
      </c>
      <c r="D77" s="11">
        <v>45001</v>
      </c>
      <c r="E77" s="74"/>
    </row>
    <row r="78" ht="15.75" spans="1:5">
      <c r="A78" s="33">
        <v>3045730461</v>
      </c>
      <c r="B78" s="33">
        <v>398843.511</v>
      </c>
      <c r="C78" s="33">
        <v>941.53</v>
      </c>
      <c r="D78" s="11">
        <v>45002</v>
      </c>
      <c r="E78" s="74"/>
    </row>
    <row r="79" ht="15.75" spans="1:5">
      <c r="A79" s="33">
        <v>3045730461</v>
      </c>
      <c r="B79" s="33">
        <v>398843.511</v>
      </c>
      <c r="C79" s="33">
        <v>941.53</v>
      </c>
      <c r="D79" s="11">
        <v>45003</v>
      </c>
      <c r="E79" s="75"/>
    </row>
    <row r="80" ht="15.75" spans="1:5">
      <c r="A80" s="33">
        <v>3045730461</v>
      </c>
      <c r="B80" s="33">
        <v>398843.511</v>
      </c>
      <c r="C80" s="33">
        <v>941.53</v>
      </c>
      <c r="D80" s="11">
        <v>45004</v>
      </c>
      <c r="E80" s="75"/>
    </row>
    <row r="81" ht="15.75" spans="1:5">
      <c r="A81" s="33">
        <v>3045730461</v>
      </c>
      <c r="B81" s="33">
        <v>398843.511</v>
      </c>
      <c r="C81" s="33">
        <v>941.53</v>
      </c>
      <c r="D81" s="11">
        <v>45005</v>
      </c>
      <c r="E81" s="75"/>
    </row>
    <row r="82" ht="15.75" spans="1:5">
      <c r="A82" s="33">
        <v>3045730461</v>
      </c>
      <c r="B82" s="33">
        <v>398843.511</v>
      </c>
      <c r="C82" s="33">
        <v>941.53</v>
      </c>
      <c r="D82" s="11">
        <v>45006</v>
      </c>
      <c r="E82" s="75"/>
    </row>
    <row r="83" ht="15.75" spans="1:5">
      <c r="A83" s="33">
        <v>3045730461</v>
      </c>
      <c r="B83" s="33">
        <v>398843.511</v>
      </c>
      <c r="C83" s="33">
        <v>941.53</v>
      </c>
      <c r="D83" s="11">
        <v>45007</v>
      </c>
      <c r="E83" s="75">
        <f>941.513-31.64</f>
        <v>909.873</v>
      </c>
    </row>
    <row r="84" ht="15.75" spans="1:5">
      <c r="A84" s="33">
        <v>3045730461</v>
      </c>
      <c r="B84" s="33">
        <v>398843.511</v>
      </c>
      <c r="C84" s="33">
        <v>941.53</v>
      </c>
      <c r="D84" s="11">
        <v>45008</v>
      </c>
      <c r="E84" s="75"/>
    </row>
    <row r="85" ht="15.75" spans="1:5">
      <c r="A85" s="33">
        <v>3045730461</v>
      </c>
      <c r="B85" s="33">
        <v>398843.511</v>
      </c>
      <c r="C85" s="33">
        <v>941.53</v>
      </c>
      <c r="D85" s="11">
        <v>45009</v>
      </c>
      <c r="E85" s="74"/>
    </row>
    <row r="86" ht="15.75" spans="1:5">
      <c r="A86" s="33">
        <v>3045730461</v>
      </c>
      <c r="B86" s="33">
        <v>398843.511</v>
      </c>
      <c r="C86" s="33">
        <v>941.53</v>
      </c>
      <c r="D86" s="11">
        <v>45010</v>
      </c>
      <c r="E86" s="74"/>
    </row>
    <row r="87" ht="15.75" spans="1:5">
      <c r="A87" s="33">
        <v>3045730461</v>
      </c>
      <c r="B87" s="33">
        <v>398843.511</v>
      </c>
      <c r="C87" s="33">
        <v>941.53</v>
      </c>
      <c r="D87" s="11">
        <v>45011</v>
      </c>
      <c r="E87" s="74"/>
    </row>
    <row r="88" ht="15.75" spans="1:5">
      <c r="A88" s="33">
        <v>3045730461</v>
      </c>
      <c r="B88" s="33">
        <v>398843.511</v>
      </c>
      <c r="C88" s="33">
        <v>941.53</v>
      </c>
      <c r="D88" s="11">
        <v>45012</v>
      </c>
      <c r="E88" s="74"/>
    </row>
    <row r="89" ht="15.75" spans="1:5">
      <c r="A89" s="33">
        <v>3045730461</v>
      </c>
      <c r="B89" s="33">
        <v>398843.511</v>
      </c>
      <c r="C89" s="33">
        <v>941.53</v>
      </c>
      <c r="D89" s="11">
        <v>45013</v>
      </c>
      <c r="E89" s="74"/>
    </row>
    <row r="90" ht="15.75" spans="1:5">
      <c r="A90" s="33">
        <v>3045730461</v>
      </c>
      <c r="B90" s="33">
        <v>398843.511</v>
      </c>
      <c r="C90" s="33">
        <v>941.53</v>
      </c>
      <c r="D90" s="11">
        <v>45014</v>
      </c>
      <c r="E90" s="74"/>
    </row>
    <row r="91" ht="15.75" spans="1:5">
      <c r="A91" s="33">
        <v>3045730461</v>
      </c>
      <c r="B91" s="33">
        <v>398843.511</v>
      </c>
      <c r="C91" s="33">
        <v>941.53</v>
      </c>
      <c r="D91" s="11">
        <v>45015</v>
      </c>
      <c r="E91" s="75">
        <f>941.513-31.83</f>
        <v>909.683</v>
      </c>
    </row>
    <row r="92" ht="15.75" spans="1:5">
      <c r="A92" s="33">
        <v>3045730461</v>
      </c>
      <c r="B92" s="33">
        <v>398843.511</v>
      </c>
      <c r="C92" s="33">
        <v>941.53</v>
      </c>
      <c r="D92" s="11">
        <v>45016</v>
      </c>
      <c r="E92" s="74"/>
    </row>
    <row r="93" ht="15.75" spans="1:5">
      <c r="A93" s="33">
        <v>3045730461</v>
      </c>
      <c r="B93" s="33">
        <v>398843.511</v>
      </c>
      <c r="C93" s="33">
        <v>941.53</v>
      </c>
      <c r="D93" s="11">
        <v>45017</v>
      </c>
      <c r="E93" s="74"/>
    </row>
    <row r="94" ht="15.75" spans="1:5">
      <c r="A94" s="33">
        <v>3045730461</v>
      </c>
      <c r="B94" s="33">
        <v>398843.511</v>
      </c>
      <c r="C94" s="33">
        <v>941.53</v>
      </c>
      <c r="D94" s="11">
        <v>45018</v>
      </c>
      <c r="E94" s="74"/>
    </row>
    <row r="95" ht="15.75" spans="1:5">
      <c r="A95" s="33">
        <v>3045730461</v>
      </c>
      <c r="B95" s="33">
        <v>398843.511</v>
      </c>
      <c r="C95" s="33">
        <v>941.53</v>
      </c>
      <c r="D95" s="11">
        <v>45019</v>
      </c>
      <c r="E95" s="74"/>
    </row>
    <row r="96" ht="15.75" spans="1:5">
      <c r="A96" s="33">
        <v>3045730461</v>
      </c>
      <c r="B96" s="33">
        <v>398843.511</v>
      </c>
      <c r="C96" s="33">
        <v>941.53</v>
      </c>
      <c r="D96" s="11">
        <v>45020</v>
      </c>
      <c r="E96" s="74"/>
    </row>
    <row r="97" ht="15.75" spans="1:5">
      <c r="A97" s="33">
        <v>3045730461</v>
      </c>
      <c r="B97" s="33">
        <v>398843.511</v>
      </c>
      <c r="C97" s="33">
        <v>941.53</v>
      </c>
      <c r="D97" s="11">
        <v>45021</v>
      </c>
      <c r="E97" s="74"/>
    </row>
    <row r="98" ht="15.75" spans="1:5">
      <c r="A98" s="33">
        <v>3045730461</v>
      </c>
      <c r="B98" s="33">
        <v>398843.511</v>
      </c>
      <c r="C98" s="33">
        <v>941.53</v>
      </c>
      <c r="D98" s="11">
        <v>45022</v>
      </c>
      <c r="E98" s="75">
        <v>909.61</v>
      </c>
    </row>
    <row r="99" ht="15.75" spans="1:5">
      <c r="A99" s="33">
        <v>3045730461</v>
      </c>
      <c r="B99" s="33">
        <v>398843.511</v>
      </c>
      <c r="C99" s="33">
        <v>941.53</v>
      </c>
      <c r="D99" s="11">
        <v>45023</v>
      </c>
      <c r="E99" s="76"/>
    </row>
    <row r="100" ht="15.75" spans="1:5">
      <c r="A100" s="33">
        <v>3045730461</v>
      </c>
      <c r="B100" s="33">
        <v>398843.511</v>
      </c>
      <c r="C100" s="33">
        <v>941.53</v>
      </c>
      <c r="D100" s="11">
        <v>45024</v>
      </c>
      <c r="E100" s="76"/>
    </row>
    <row r="101" ht="15.75" spans="1:5">
      <c r="A101" s="33">
        <v>3045730461</v>
      </c>
      <c r="B101" s="33">
        <v>398843.511</v>
      </c>
      <c r="C101" s="33">
        <v>941.53</v>
      </c>
      <c r="D101" s="11">
        <v>45025</v>
      </c>
      <c r="E101" s="76"/>
    </row>
    <row r="102" ht="15.75" spans="1:5">
      <c r="A102" s="33">
        <v>3045730461</v>
      </c>
      <c r="B102" s="33">
        <v>398843.511</v>
      </c>
      <c r="C102" s="33">
        <v>941.53</v>
      </c>
      <c r="D102" s="11">
        <v>45026</v>
      </c>
      <c r="E102" s="76"/>
    </row>
    <row r="103" ht="15.75" spans="1:5">
      <c r="A103" s="33">
        <v>3045730461</v>
      </c>
      <c r="B103" s="33">
        <v>398843.511</v>
      </c>
      <c r="C103" s="33">
        <v>941.53</v>
      </c>
      <c r="D103" s="11">
        <v>45027</v>
      </c>
      <c r="E103" s="76"/>
    </row>
    <row r="104" ht="15.75" spans="1:5">
      <c r="A104" s="33">
        <v>3045730461</v>
      </c>
      <c r="B104" s="33">
        <v>398843.511</v>
      </c>
      <c r="C104" s="33">
        <v>941.53</v>
      </c>
      <c r="D104" s="11">
        <v>45028</v>
      </c>
      <c r="E104" s="76">
        <f>941.513-32.1</f>
        <v>909.413</v>
      </c>
    </row>
    <row r="105" ht="15.75" spans="1:5">
      <c r="A105" s="33">
        <v>3045730461</v>
      </c>
      <c r="B105" s="33">
        <v>398843.511</v>
      </c>
      <c r="C105" s="33">
        <v>941.53</v>
      </c>
      <c r="D105" s="11">
        <v>45029</v>
      </c>
      <c r="E105" s="75">
        <v>909.35</v>
      </c>
    </row>
    <row r="106" ht="15.75" spans="1:5">
      <c r="A106" s="33">
        <v>3045730461</v>
      </c>
      <c r="B106" s="33">
        <v>398843.511</v>
      </c>
      <c r="C106" s="33">
        <v>941.53</v>
      </c>
      <c r="D106" s="11">
        <v>45030</v>
      </c>
      <c r="E106" s="75">
        <v>909.27</v>
      </c>
    </row>
    <row r="107" ht="15.75" spans="1:5">
      <c r="A107" s="33">
        <v>3045730461</v>
      </c>
      <c r="B107" s="33">
        <v>398843.511</v>
      </c>
      <c r="C107" s="33">
        <v>941.53</v>
      </c>
      <c r="D107" s="11">
        <v>45031</v>
      </c>
      <c r="E107" s="75">
        <v>909.52</v>
      </c>
    </row>
    <row r="108" ht="15.75" spans="1:5">
      <c r="A108" s="33">
        <v>3045730461</v>
      </c>
      <c r="B108" s="33">
        <v>398843.511</v>
      </c>
      <c r="C108" s="33">
        <v>941.53</v>
      </c>
      <c r="D108" s="11">
        <v>45032</v>
      </c>
      <c r="E108" s="75">
        <v>909.72</v>
      </c>
    </row>
    <row r="109" ht="15.75" spans="1:5">
      <c r="A109" s="33">
        <v>3045730461</v>
      </c>
      <c r="B109" s="33">
        <v>398843.511</v>
      </c>
      <c r="C109" s="33">
        <v>941.53</v>
      </c>
      <c r="D109" s="11">
        <v>45033</v>
      </c>
      <c r="E109" s="75">
        <v>909.69</v>
      </c>
    </row>
    <row r="110" ht="15.75" spans="1:5">
      <c r="A110" s="33">
        <v>3045730461</v>
      </c>
      <c r="B110" s="33">
        <v>398843.511</v>
      </c>
      <c r="C110" s="33">
        <v>941.53</v>
      </c>
      <c r="D110" s="11">
        <v>45034</v>
      </c>
      <c r="E110" s="75">
        <v>909.6</v>
      </c>
    </row>
    <row r="111" ht="15.75" spans="1:5">
      <c r="A111" s="33">
        <v>3045730461</v>
      </c>
      <c r="B111" s="33">
        <v>398843.511</v>
      </c>
      <c r="C111" s="33">
        <v>941.53</v>
      </c>
      <c r="D111" s="11">
        <v>45035</v>
      </c>
      <c r="E111" s="75">
        <v>909.54</v>
      </c>
    </row>
    <row r="112" ht="15.75" spans="1:5">
      <c r="A112" s="33">
        <v>3045730461</v>
      </c>
      <c r="B112" s="33">
        <v>398843.511</v>
      </c>
      <c r="C112" s="33">
        <v>941.53</v>
      </c>
      <c r="D112" s="11">
        <v>45036</v>
      </c>
      <c r="E112" s="75">
        <v>909.52</v>
      </c>
    </row>
    <row r="113" ht="15.75" spans="1:5">
      <c r="A113" s="33">
        <v>3045730461</v>
      </c>
      <c r="B113" s="33">
        <v>398843.511</v>
      </c>
      <c r="C113" s="33">
        <v>941.53</v>
      </c>
      <c r="D113" s="11">
        <v>45037</v>
      </c>
      <c r="E113" s="75">
        <v>909.47</v>
      </c>
    </row>
    <row r="114" ht="15.75" spans="1:5">
      <c r="A114" s="33">
        <v>3045730461</v>
      </c>
      <c r="B114" s="33">
        <v>398843.511</v>
      </c>
      <c r="C114" s="33">
        <v>941.53</v>
      </c>
      <c r="D114" s="11">
        <v>45038</v>
      </c>
      <c r="E114" s="75">
        <v>909.4</v>
      </c>
    </row>
    <row r="115" ht="15.75" spans="1:5">
      <c r="A115" s="33">
        <v>3045730461</v>
      </c>
      <c r="B115" s="33">
        <v>398843.511</v>
      </c>
      <c r="C115" s="33">
        <v>941.53</v>
      </c>
      <c r="D115" s="11">
        <v>45039</v>
      </c>
      <c r="E115" s="75">
        <v>909.31</v>
      </c>
    </row>
    <row r="116" ht="15.75" spans="1:5">
      <c r="A116" s="33">
        <v>3045730461</v>
      </c>
      <c r="B116" s="33">
        <v>398843.511</v>
      </c>
      <c r="C116" s="33">
        <v>941.53</v>
      </c>
      <c r="D116" s="11">
        <v>45040</v>
      </c>
      <c r="E116" s="75">
        <v>909.23</v>
      </c>
    </row>
    <row r="117" ht="15.75" spans="1:5">
      <c r="A117" s="33">
        <v>3045730461</v>
      </c>
      <c r="B117" s="33">
        <v>398843.511</v>
      </c>
      <c r="C117" s="33">
        <v>941.53</v>
      </c>
      <c r="D117" s="11">
        <v>45041</v>
      </c>
      <c r="E117" s="75">
        <v>909.2</v>
      </c>
    </row>
    <row r="118" ht="15.75" spans="1:5">
      <c r="A118" s="33">
        <v>3045730461</v>
      </c>
      <c r="B118" s="33">
        <v>398843.511</v>
      </c>
      <c r="C118" s="33">
        <v>941.53</v>
      </c>
      <c r="D118" s="11">
        <v>45042</v>
      </c>
      <c r="E118" s="75">
        <v>909.2</v>
      </c>
    </row>
    <row r="119" ht="15.75" spans="1:5">
      <c r="A119" s="33">
        <v>3045730461</v>
      </c>
      <c r="B119" s="33">
        <v>398843.511</v>
      </c>
      <c r="C119" s="33">
        <v>941.53</v>
      </c>
      <c r="D119" s="11">
        <v>45043</v>
      </c>
      <c r="E119" s="75">
        <v>909.2</v>
      </c>
    </row>
    <row r="120" ht="15.75" spans="1:5">
      <c r="A120" s="33">
        <v>3045730461</v>
      </c>
      <c r="B120" s="33">
        <v>398843.511</v>
      </c>
      <c r="C120" s="33">
        <v>941.53</v>
      </c>
      <c r="D120" s="11">
        <v>45044</v>
      </c>
      <c r="E120" s="75">
        <v>909.14</v>
      </c>
    </row>
    <row r="121" ht="15.75" spans="1:5">
      <c r="A121" s="33">
        <v>3045730461</v>
      </c>
      <c r="B121" s="33">
        <v>398843.511</v>
      </c>
      <c r="C121" s="33">
        <v>941.53</v>
      </c>
      <c r="D121" s="11">
        <v>45045</v>
      </c>
      <c r="E121" s="75">
        <v>909.27</v>
      </c>
    </row>
    <row r="122" ht="15.75" spans="1:5">
      <c r="A122" s="33">
        <v>3045730461</v>
      </c>
      <c r="B122" s="33">
        <v>398843.511</v>
      </c>
      <c r="C122" s="33">
        <v>941.53</v>
      </c>
      <c r="D122" s="11">
        <v>45046</v>
      </c>
      <c r="E122" s="75">
        <v>909.43</v>
      </c>
    </row>
    <row r="123" ht="15.75" spans="1:5">
      <c r="A123" s="33">
        <v>3045730461</v>
      </c>
      <c r="B123" s="33">
        <v>398843.511</v>
      </c>
      <c r="C123" s="33">
        <v>941.53</v>
      </c>
      <c r="D123" s="11">
        <v>45047</v>
      </c>
      <c r="E123" s="75">
        <v>909.43</v>
      </c>
    </row>
    <row r="124" ht="15.75" spans="1:5">
      <c r="A124" s="33">
        <v>3045730461</v>
      </c>
      <c r="B124" s="33">
        <v>398843.511</v>
      </c>
      <c r="C124" s="33">
        <v>941.53</v>
      </c>
      <c r="D124" s="11">
        <v>45048</v>
      </c>
      <c r="E124" s="75">
        <v>909.31</v>
      </c>
    </row>
    <row r="125" ht="15.75" spans="1:5">
      <c r="A125" s="33">
        <v>3045730461</v>
      </c>
      <c r="B125" s="33">
        <v>398843.511</v>
      </c>
      <c r="C125" s="33">
        <v>941.53</v>
      </c>
      <c r="D125" s="11">
        <v>45049</v>
      </c>
      <c r="E125" s="75">
        <v>909.26</v>
      </c>
    </row>
    <row r="126" ht="15.75" spans="1:5">
      <c r="A126" s="33">
        <v>3045730461</v>
      </c>
      <c r="B126" s="33">
        <v>398843.511</v>
      </c>
      <c r="C126" s="33">
        <v>941.53</v>
      </c>
      <c r="D126" s="11">
        <v>45050</v>
      </c>
      <c r="E126" s="75">
        <v>909.18</v>
      </c>
    </row>
    <row r="127" ht="15.75" spans="1:5">
      <c r="A127" s="33">
        <v>3045730461</v>
      </c>
      <c r="B127" s="33">
        <v>398843.511</v>
      </c>
      <c r="C127" s="33">
        <v>941.53</v>
      </c>
      <c r="D127" s="11">
        <v>45051</v>
      </c>
      <c r="E127" s="75">
        <v>909.13</v>
      </c>
    </row>
    <row r="128" ht="15.75" spans="1:5">
      <c r="A128" s="33">
        <v>3045730461</v>
      </c>
      <c r="B128" s="33">
        <v>398843.511</v>
      </c>
      <c r="C128" s="33">
        <v>941.53</v>
      </c>
      <c r="D128" s="11">
        <v>45052</v>
      </c>
      <c r="E128" s="75">
        <v>909.07</v>
      </c>
    </row>
    <row r="129" ht="15.75" spans="1:5">
      <c r="A129" s="33">
        <v>3045730461</v>
      </c>
      <c r="B129" s="33">
        <v>398843.511</v>
      </c>
      <c r="C129" s="33">
        <v>941.53</v>
      </c>
      <c r="D129" s="11">
        <v>45053</v>
      </c>
      <c r="E129" s="75">
        <v>909.05</v>
      </c>
    </row>
    <row r="130" ht="15.75" spans="1:5">
      <c r="A130" s="33">
        <v>3045730461</v>
      </c>
      <c r="B130" s="33">
        <v>398843.511</v>
      </c>
      <c r="C130" s="33">
        <v>941.53</v>
      </c>
      <c r="D130" s="11">
        <v>45054</v>
      </c>
      <c r="E130" s="75">
        <v>909.02</v>
      </c>
    </row>
    <row r="131" ht="15.75" spans="1:5">
      <c r="A131" s="33">
        <v>3045730461</v>
      </c>
      <c r="B131" s="33">
        <v>398843.511</v>
      </c>
      <c r="C131" s="33">
        <v>941.53</v>
      </c>
      <c r="D131" s="11">
        <v>45055</v>
      </c>
      <c r="E131" s="75">
        <v>909.06</v>
      </c>
    </row>
    <row r="132" ht="15.75" spans="1:5">
      <c r="A132" s="33">
        <v>3045730461</v>
      </c>
      <c r="B132" s="33">
        <v>398843.511</v>
      </c>
      <c r="C132" s="33">
        <v>941.53</v>
      </c>
      <c r="D132" s="11">
        <v>45056</v>
      </c>
      <c r="E132" s="75">
        <v>909.09</v>
      </c>
    </row>
    <row r="133" ht="15.75" spans="1:5">
      <c r="A133" s="33">
        <v>3045730461</v>
      </c>
      <c r="B133" s="33">
        <v>398843.511</v>
      </c>
      <c r="C133" s="33">
        <v>941.53</v>
      </c>
      <c r="D133" s="11">
        <v>45057</v>
      </c>
      <c r="E133" s="75">
        <v>909.51</v>
      </c>
    </row>
    <row r="134" ht="15.75" spans="1:5">
      <c r="A134" s="33">
        <v>3045730461</v>
      </c>
      <c r="B134" s="33">
        <v>398843.511</v>
      </c>
      <c r="C134" s="33">
        <v>941.53</v>
      </c>
      <c r="D134" s="11">
        <v>45058</v>
      </c>
      <c r="E134" s="75"/>
    </row>
    <row r="135" ht="15.75" spans="1:5">
      <c r="A135" s="33">
        <v>3045730461</v>
      </c>
      <c r="B135" s="33">
        <v>398843.511</v>
      </c>
      <c r="C135" s="33">
        <v>941.53</v>
      </c>
      <c r="D135" s="11">
        <v>45059</v>
      </c>
      <c r="E135" s="75">
        <v>909.7</v>
      </c>
    </row>
    <row r="136" ht="15.75" spans="1:5">
      <c r="A136" s="33">
        <v>3045730461</v>
      </c>
      <c r="B136" s="33">
        <v>398843.511</v>
      </c>
      <c r="C136" s="33">
        <v>941.53</v>
      </c>
      <c r="D136" s="11">
        <v>45060</v>
      </c>
      <c r="E136" s="75">
        <v>909.64</v>
      </c>
    </row>
    <row r="137" ht="15.75" spans="1:5">
      <c r="A137" s="33">
        <v>3045730461</v>
      </c>
      <c r="B137" s="33">
        <v>398843.511</v>
      </c>
      <c r="C137" s="33">
        <v>941.53</v>
      </c>
      <c r="D137" s="11">
        <v>45061</v>
      </c>
      <c r="E137" s="75">
        <v>909.29</v>
      </c>
    </row>
    <row r="138" ht="15.75" spans="1:5">
      <c r="A138" s="33">
        <v>3045730461</v>
      </c>
      <c r="B138" s="33">
        <v>398843.511</v>
      </c>
      <c r="C138" s="33">
        <v>941.53</v>
      </c>
      <c r="D138" s="11">
        <v>45062</v>
      </c>
      <c r="E138" s="75">
        <v>909.22</v>
      </c>
    </row>
    <row r="139" ht="15.75" spans="1:5">
      <c r="A139" s="33">
        <v>3045730461</v>
      </c>
      <c r="B139" s="33">
        <v>398843.511</v>
      </c>
      <c r="C139" s="33">
        <v>941.53</v>
      </c>
      <c r="D139" s="11">
        <v>45063</v>
      </c>
      <c r="E139" s="75">
        <v>909.07</v>
      </c>
    </row>
    <row r="140" ht="15.75" spans="1:5">
      <c r="A140" s="33">
        <v>3045730461</v>
      </c>
      <c r="B140" s="33">
        <v>398843.511</v>
      </c>
      <c r="C140" s="33">
        <v>941.53</v>
      </c>
      <c r="D140" s="11">
        <v>45064</v>
      </c>
      <c r="E140" s="75">
        <v>908.96</v>
      </c>
    </row>
    <row r="141" ht="15.75" spans="1:5">
      <c r="A141" s="33">
        <v>3045730461</v>
      </c>
      <c r="B141" s="33">
        <v>398843.511</v>
      </c>
      <c r="C141" s="33">
        <v>941.53</v>
      </c>
      <c r="D141" s="11">
        <v>45065</v>
      </c>
      <c r="E141" s="75">
        <v>909.28</v>
      </c>
    </row>
    <row r="142" ht="15.75" spans="1:5">
      <c r="A142" s="33">
        <v>3045730461</v>
      </c>
      <c r="B142" s="33">
        <v>398843.511</v>
      </c>
      <c r="C142" s="33">
        <v>941.53</v>
      </c>
      <c r="D142" s="11">
        <v>45066</v>
      </c>
      <c r="E142" s="75">
        <v>909.5</v>
      </c>
    </row>
    <row r="143" ht="15.75" spans="1:5">
      <c r="A143" s="33">
        <v>3045730461</v>
      </c>
      <c r="B143" s="33">
        <v>398843.511</v>
      </c>
      <c r="C143" s="33">
        <v>941.53</v>
      </c>
      <c r="D143" s="11">
        <v>45067</v>
      </c>
      <c r="E143" s="75">
        <v>909.68</v>
      </c>
    </row>
    <row r="144" ht="15.75" spans="1:5">
      <c r="A144" s="33">
        <v>3045730461</v>
      </c>
      <c r="B144" s="33">
        <v>398843.511</v>
      </c>
      <c r="C144" s="33">
        <v>941.53</v>
      </c>
      <c r="D144" s="11">
        <v>45068</v>
      </c>
      <c r="E144" s="75">
        <v>909.5</v>
      </c>
    </row>
    <row r="145" ht="15.75" spans="1:5">
      <c r="A145" s="33">
        <v>3045730461</v>
      </c>
      <c r="B145" s="33">
        <v>398843.511</v>
      </c>
      <c r="C145" s="33">
        <v>941.53</v>
      </c>
      <c r="D145" s="11">
        <v>45069</v>
      </c>
      <c r="E145" s="75">
        <v>909.53</v>
      </c>
    </row>
    <row r="146" ht="15.75" spans="1:5">
      <c r="A146" s="33">
        <v>3045730461</v>
      </c>
      <c r="B146" s="33">
        <v>398843.511</v>
      </c>
      <c r="C146" s="33">
        <v>941.53</v>
      </c>
      <c r="D146" s="11">
        <v>45070</v>
      </c>
      <c r="E146" s="75">
        <v>909.48</v>
      </c>
    </row>
    <row r="147" ht="15.75" spans="1:5">
      <c r="A147" s="33">
        <v>3045730461</v>
      </c>
      <c r="B147" s="33">
        <v>398843.511</v>
      </c>
      <c r="C147" s="33">
        <v>941.53</v>
      </c>
      <c r="D147" s="11">
        <v>45071</v>
      </c>
      <c r="E147" s="75">
        <v>909.4</v>
      </c>
    </row>
    <row r="148" ht="15.75" spans="1:5">
      <c r="A148" s="33">
        <v>3045730461</v>
      </c>
      <c r="B148" s="33">
        <v>398843.511</v>
      </c>
      <c r="C148" s="33">
        <v>941.53</v>
      </c>
      <c r="D148" s="11">
        <v>45072</v>
      </c>
      <c r="E148" s="75">
        <v>909.35</v>
      </c>
    </row>
    <row r="149" ht="15.75" spans="1:5">
      <c r="A149" s="33">
        <v>3045730461</v>
      </c>
      <c r="B149" s="33">
        <v>398843.511</v>
      </c>
      <c r="C149" s="33">
        <v>941.53</v>
      </c>
      <c r="D149" s="11">
        <v>45073</v>
      </c>
      <c r="E149" s="75">
        <v>909.29</v>
      </c>
    </row>
    <row r="150" ht="15.75" spans="1:5">
      <c r="A150" s="33">
        <v>3045730461</v>
      </c>
      <c r="B150" s="33">
        <v>398843.511</v>
      </c>
      <c r="C150" s="33">
        <v>941.53</v>
      </c>
      <c r="D150" s="11">
        <v>45074</v>
      </c>
      <c r="E150" s="75">
        <v>909.06</v>
      </c>
    </row>
    <row r="151" ht="15.75" spans="1:5">
      <c r="A151" s="33">
        <v>3045730461</v>
      </c>
      <c r="B151" s="33">
        <v>398843.511</v>
      </c>
      <c r="C151" s="33">
        <v>941.53</v>
      </c>
      <c r="D151" s="11">
        <v>45075</v>
      </c>
      <c r="E151" s="75">
        <v>908.99</v>
      </c>
    </row>
    <row r="152" ht="15.75" spans="1:5">
      <c r="A152" s="33">
        <v>3045730461</v>
      </c>
      <c r="B152" s="33">
        <v>398843.511</v>
      </c>
      <c r="C152" s="33">
        <v>941.53</v>
      </c>
      <c r="D152" s="11">
        <v>45076</v>
      </c>
      <c r="E152" s="75">
        <v>908.99</v>
      </c>
    </row>
    <row r="153" ht="15.75" spans="1:5">
      <c r="A153" s="33">
        <v>3045730461</v>
      </c>
      <c r="B153" s="33">
        <v>398843.511</v>
      </c>
      <c r="C153" s="33">
        <v>941.53</v>
      </c>
      <c r="D153" s="11">
        <v>45077</v>
      </c>
      <c r="E153" s="75">
        <v>908.98</v>
      </c>
    </row>
    <row r="154" ht="15.75" spans="1:5">
      <c r="A154" s="33">
        <v>3045730461</v>
      </c>
      <c r="B154" s="33">
        <v>398843.511</v>
      </c>
      <c r="C154" s="33">
        <v>941.53</v>
      </c>
      <c r="D154" s="11">
        <v>45078</v>
      </c>
      <c r="E154" s="75">
        <v>908.97</v>
      </c>
    </row>
    <row r="155" ht="15.75" spans="1:5">
      <c r="A155" s="33">
        <v>3045730461</v>
      </c>
      <c r="B155" s="33">
        <v>398843.511</v>
      </c>
      <c r="C155" s="33">
        <v>941.53</v>
      </c>
      <c r="D155" s="11">
        <v>45079</v>
      </c>
      <c r="E155" s="75">
        <v>908.9</v>
      </c>
    </row>
    <row r="156" ht="15.75" spans="1:5">
      <c r="A156" s="33">
        <v>3045730461</v>
      </c>
      <c r="B156" s="33">
        <v>398843.511</v>
      </c>
      <c r="C156" s="33">
        <v>941.53</v>
      </c>
      <c r="D156" s="11">
        <v>45080</v>
      </c>
      <c r="E156" s="75">
        <v>908.87</v>
      </c>
    </row>
    <row r="157" ht="15.75" spans="1:5">
      <c r="A157" s="33">
        <v>3045730461</v>
      </c>
      <c r="B157" s="33">
        <v>398843.511</v>
      </c>
      <c r="C157" s="33">
        <v>941.53</v>
      </c>
      <c r="D157" s="11">
        <v>45081</v>
      </c>
      <c r="E157" s="75">
        <v>908.85</v>
      </c>
    </row>
    <row r="158" ht="15.75" spans="1:5">
      <c r="A158" s="33">
        <v>3045730461</v>
      </c>
      <c r="B158" s="33">
        <v>398843.511</v>
      </c>
      <c r="C158" s="33">
        <v>941.53</v>
      </c>
      <c r="D158" s="11">
        <v>45082</v>
      </c>
      <c r="E158" s="75">
        <v>908.83</v>
      </c>
    </row>
    <row r="159" ht="15.75" spans="1:5">
      <c r="A159" s="33">
        <v>3045730461</v>
      </c>
      <c r="B159" s="33">
        <v>398843.511</v>
      </c>
      <c r="C159" s="33">
        <v>941.53</v>
      </c>
      <c r="D159" s="11">
        <v>45083</v>
      </c>
      <c r="E159" s="75">
        <v>908.98</v>
      </c>
    </row>
    <row r="160" ht="15.75" spans="1:5">
      <c r="A160" s="33">
        <v>3045730461</v>
      </c>
      <c r="B160" s="33">
        <v>398843.511</v>
      </c>
      <c r="C160" s="33">
        <v>941.53</v>
      </c>
      <c r="D160" s="11">
        <v>45084</v>
      </c>
      <c r="E160" s="75">
        <v>908.9</v>
      </c>
    </row>
    <row r="161" ht="15.75" spans="1:5">
      <c r="A161" s="33">
        <v>3045730461</v>
      </c>
      <c r="B161" s="33">
        <v>398843.511</v>
      </c>
      <c r="C161" s="33">
        <v>941.53</v>
      </c>
      <c r="D161" s="11">
        <v>45085</v>
      </c>
      <c r="E161" s="75">
        <v>908.87</v>
      </c>
    </row>
    <row r="162" ht="15.75" spans="1:5">
      <c r="A162" s="33">
        <v>3045730461</v>
      </c>
      <c r="B162" s="33">
        <v>398843.511</v>
      </c>
      <c r="C162" s="33">
        <v>941.53</v>
      </c>
      <c r="D162" s="11">
        <v>45086</v>
      </c>
      <c r="E162" s="75">
        <v>909.06</v>
      </c>
    </row>
    <row r="163" ht="15.75" spans="1:5">
      <c r="A163" s="33">
        <v>3045730461</v>
      </c>
      <c r="B163" s="33">
        <v>398843.511</v>
      </c>
      <c r="C163" s="33">
        <v>941.53</v>
      </c>
      <c r="D163" s="11">
        <v>45087</v>
      </c>
      <c r="E163" s="75">
        <v>908.99</v>
      </c>
    </row>
    <row r="164" ht="15.75" spans="1:5">
      <c r="A164" s="33">
        <v>3045730461</v>
      </c>
      <c r="B164" s="33">
        <v>398843.511</v>
      </c>
      <c r="C164" s="33">
        <v>941.53</v>
      </c>
      <c r="D164" s="11">
        <v>45088</v>
      </c>
      <c r="E164" s="75">
        <v>909.41</v>
      </c>
    </row>
    <row r="165" ht="15.75" spans="1:5">
      <c r="A165" s="33">
        <v>3045730461</v>
      </c>
      <c r="B165" s="33">
        <v>398843.511</v>
      </c>
      <c r="C165" s="33">
        <v>941.53</v>
      </c>
      <c r="D165" s="11">
        <v>45089</v>
      </c>
      <c r="E165" s="75">
        <v>911.88</v>
      </c>
    </row>
    <row r="166" ht="15.75" spans="1:5">
      <c r="A166" s="33">
        <v>3045730461</v>
      </c>
      <c r="B166" s="33">
        <v>398843.511</v>
      </c>
      <c r="C166" s="33">
        <v>941.53</v>
      </c>
      <c r="D166" s="11">
        <v>45090</v>
      </c>
      <c r="E166" s="75">
        <v>912.63</v>
      </c>
    </row>
    <row r="167" ht="15.75" spans="1:5">
      <c r="A167" s="33">
        <v>3045730461</v>
      </c>
      <c r="B167" s="33">
        <v>398843.511</v>
      </c>
      <c r="C167" s="33">
        <v>941.53</v>
      </c>
      <c r="D167" s="11">
        <v>45091</v>
      </c>
      <c r="E167" s="75">
        <v>911.49</v>
      </c>
    </row>
    <row r="168" ht="15.75" spans="1:5">
      <c r="A168" s="33">
        <v>3045730461</v>
      </c>
      <c r="B168" s="33">
        <v>398843.511</v>
      </c>
      <c r="C168" s="33">
        <v>941.53</v>
      </c>
      <c r="D168" s="11">
        <v>45092</v>
      </c>
      <c r="E168" s="75">
        <v>913.38</v>
      </c>
    </row>
    <row r="169" ht="15.75" spans="1:5">
      <c r="A169" s="33">
        <v>3045730461</v>
      </c>
      <c r="B169" s="33">
        <v>398843.511</v>
      </c>
      <c r="C169" s="33">
        <v>941.53</v>
      </c>
      <c r="D169" s="11">
        <v>45093</v>
      </c>
      <c r="E169" s="75">
        <v>913.6</v>
      </c>
    </row>
    <row r="170" ht="15.75" spans="1:5">
      <c r="A170" s="33">
        <v>3045730461</v>
      </c>
      <c r="B170" s="33">
        <v>398843.511</v>
      </c>
      <c r="C170" s="33">
        <v>941.53</v>
      </c>
      <c r="D170" s="11">
        <v>45094</v>
      </c>
      <c r="E170" s="75">
        <v>914.46</v>
      </c>
    </row>
    <row r="171" ht="15.75" spans="1:5">
      <c r="A171" s="33">
        <v>3045730461</v>
      </c>
      <c r="B171" s="33">
        <v>398843.511</v>
      </c>
      <c r="C171" s="33">
        <v>941.53</v>
      </c>
      <c r="D171" s="11">
        <v>45095</v>
      </c>
      <c r="E171" s="75">
        <v>912.41</v>
      </c>
    </row>
    <row r="172" ht="15.75" spans="1:5">
      <c r="A172" s="33">
        <v>3045730461</v>
      </c>
      <c r="B172" s="33">
        <v>398843.511</v>
      </c>
      <c r="C172" s="33">
        <v>941.53</v>
      </c>
      <c r="D172" s="11">
        <v>45096</v>
      </c>
      <c r="E172" s="75">
        <v>913.86</v>
      </c>
    </row>
    <row r="173" ht="15.75" spans="1:5">
      <c r="A173" s="33">
        <v>3045730461</v>
      </c>
      <c r="B173" s="33">
        <v>398843.511</v>
      </c>
      <c r="C173" s="33">
        <v>941.53</v>
      </c>
      <c r="D173" s="11">
        <v>45097</v>
      </c>
      <c r="E173" s="75">
        <v>910.73</v>
      </c>
    </row>
    <row r="174" ht="15.75" spans="1:5">
      <c r="A174" s="33">
        <v>3045730461</v>
      </c>
      <c r="B174" s="33">
        <v>398843.511</v>
      </c>
      <c r="C174" s="33">
        <v>941.53</v>
      </c>
      <c r="D174" s="11">
        <v>45098</v>
      </c>
      <c r="E174" s="75">
        <v>910.4</v>
      </c>
    </row>
    <row r="175" ht="15.75" spans="1:5">
      <c r="A175" s="33">
        <v>3045730461</v>
      </c>
      <c r="B175" s="33">
        <v>398843.511</v>
      </c>
      <c r="C175" s="33">
        <v>941.53</v>
      </c>
      <c r="D175" s="11">
        <v>45099</v>
      </c>
      <c r="E175" s="75">
        <v>914.74</v>
      </c>
    </row>
    <row r="176" ht="15.75" spans="1:5">
      <c r="A176" s="33">
        <v>3045730461</v>
      </c>
      <c r="B176" s="33">
        <v>398843.511</v>
      </c>
      <c r="C176" s="33">
        <v>941.53</v>
      </c>
      <c r="D176" s="11">
        <v>45100</v>
      </c>
      <c r="E176" s="75">
        <v>914.85</v>
      </c>
    </row>
    <row r="177" ht="15.75" spans="1:5">
      <c r="A177" s="33">
        <v>3045730461</v>
      </c>
      <c r="B177" s="33">
        <v>398843.511</v>
      </c>
      <c r="C177" s="33">
        <v>941.53</v>
      </c>
      <c r="D177" s="11">
        <v>45101</v>
      </c>
      <c r="E177" s="75">
        <v>918.17</v>
      </c>
    </row>
    <row r="178" ht="15.75" spans="1:5">
      <c r="A178" s="33">
        <v>3045730461</v>
      </c>
      <c r="B178" s="33">
        <v>398843.511</v>
      </c>
      <c r="C178" s="33">
        <v>941.53</v>
      </c>
      <c r="D178" s="11">
        <v>45102</v>
      </c>
      <c r="E178" s="75">
        <v>918.11</v>
      </c>
    </row>
    <row r="179" ht="15.75" spans="1:5">
      <c r="A179" s="33">
        <v>3045730461</v>
      </c>
      <c r="B179" s="33">
        <v>398843.511</v>
      </c>
      <c r="C179" s="33">
        <v>941.53</v>
      </c>
      <c r="D179" s="11">
        <v>45103</v>
      </c>
      <c r="E179" s="75">
        <v>917.81</v>
      </c>
    </row>
    <row r="180" ht="15.75" spans="1:5">
      <c r="A180" s="33">
        <v>3045730461</v>
      </c>
      <c r="B180" s="33">
        <v>398843.511</v>
      </c>
      <c r="C180" s="33">
        <v>941.53</v>
      </c>
      <c r="D180" s="11">
        <v>45104</v>
      </c>
      <c r="E180" s="75">
        <v>917.18</v>
      </c>
    </row>
    <row r="181" ht="15.75" spans="1:5">
      <c r="A181" s="33">
        <v>3045730461</v>
      </c>
      <c r="B181" s="33">
        <v>398843.511</v>
      </c>
      <c r="C181" s="33">
        <v>941.53</v>
      </c>
      <c r="D181" s="11">
        <v>45105</v>
      </c>
      <c r="E181" s="75">
        <v>913.53</v>
      </c>
    </row>
    <row r="182" ht="15.75" spans="1:5">
      <c r="A182" s="33">
        <v>3045730461</v>
      </c>
      <c r="B182" s="33">
        <v>398843.511</v>
      </c>
      <c r="C182" s="33">
        <v>941.53</v>
      </c>
      <c r="D182" s="11">
        <v>45106</v>
      </c>
      <c r="E182" s="75">
        <v>917.31</v>
      </c>
    </row>
    <row r="183" ht="15.75" spans="1:5">
      <c r="A183" s="33">
        <v>3045730461</v>
      </c>
      <c r="B183" s="33">
        <v>398843.511</v>
      </c>
      <c r="C183" s="33">
        <v>941.53</v>
      </c>
      <c r="D183" s="11">
        <v>45107</v>
      </c>
      <c r="E183" s="75">
        <v>917.52</v>
      </c>
    </row>
    <row r="184" ht="15.75" spans="1:5">
      <c r="A184" s="33">
        <v>3045730461</v>
      </c>
      <c r="B184" s="33">
        <v>398843.511</v>
      </c>
      <c r="C184" s="33">
        <v>941.53</v>
      </c>
      <c r="D184" s="11">
        <v>45108</v>
      </c>
      <c r="E184" s="75">
        <v>909.9</v>
      </c>
    </row>
    <row r="185" ht="15.75" spans="1:5">
      <c r="A185" s="33">
        <v>3045730461</v>
      </c>
      <c r="B185" s="33">
        <v>398843.511</v>
      </c>
      <c r="C185" s="33">
        <v>941.53</v>
      </c>
      <c r="D185" s="11">
        <v>45109</v>
      </c>
      <c r="E185" s="75">
        <v>909.71</v>
      </c>
    </row>
    <row r="186" ht="15.75" spans="1:5">
      <c r="A186" s="33">
        <v>3045730461</v>
      </c>
      <c r="B186" s="33">
        <v>398843.511</v>
      </c>
      <c r="C186" s="33">
        <v>941.53</v>
      </c>
      <c r="D186" s="11">
        <v>45110</v>
      </c>
      <c r="E186" s="75">
        <v>909.57</v>
      </c>
    </row>
    <row r="187" ht="15.75" spans="1:5">
      <c r="A187" s="33">
        <v>3045730461</v>
      </c>
      <c r="B187" s="33">
        <v>398843.511</v>
      </c>
      <c r="C187" s="33">
        <v>941.53</v>
      </c>
      <c r="D187" s="11">
        <v>45111</v>
      </c>
      <c r="E187" s="75">
        <v>911.24</v>
      </c>
    </row>
    <row r="188" ht="15.75" spans="1:5">
      <c r="A188" s="33">
        <v>3045730461</v>
      </c>
      <c r="B188" s="33">
        <v>398843.511</v>
      </c>
      <c r="C188" s="33">
        <v>941.53</v>
      </c>
      <c r="D188" s="11">
        <v>45112</v>
      </c>
      <c r="E188" s="75">
        <v>911.86</v>
      </c>
    </row>
    <row r="189" ht="15.75" spans="1:5">
      <c r="A189" s="33">
        <v>3045730461</v>
      </c>
      <c r="B189" s="33">
        <v>398843.511</v>
      </c>
      <c r="C189" s="33">
        <v>941.53</v>
      </c>
      <c r="D189" s="11">
        <v>45113</v>
      </c>
      <c r="E189" s="75">
        <v>911.22</v>
      </c>
    </row>
    <row r="190" ht="15.75" spans="1:5">
      <c r="A190" s="33">
        <v>3045730461</v>
      </c>
      <c r="B190" s="33">
        <v>398843.511</v>
      </c>
      <c r="C190" s="33">
        <v>941.53</v>
      </c>
      <c r="D190" s="11">
        <v>45114</v>
      </c>
      <c r="E190" s="75">
        <v>910.78</v>
      </c>
    </row>
    <row r="191" ht="15.75" spans="1:5">
      <c r="A191" s="33">
        <v>3045730461</v>
      </c>
      <c r="B191" s="33">
        <v>398843.511</v>
      </c>
      <c r="C191" s="33">
        <v>941.53</v>
      </c>
      <c r="D191" s="11">
        <v>45115</v>
      </c>
      <c r="E191" s="75">
        <v>910.61</v>
      </c>
    </row>
    <row r="192" ht="15.75" spans="1:5">
      <c r="A192" s="33">
        <v>3045730461</v>
      </c>
      <c r="B192" s="33">
        <v>398843.511</v>
      </c>
      <c r="C192" s="33">
        <v>941.53</v>
      </c>
      <c r="D192" s="11">
        <v>45116</v>
      </c>
      <c r="E192" s="75">
        <v>911.08</v>
      </c>
    </row>
    <row r="193" ht="15.75" spans="1:5">
      <c r="A193" s="33">
        <v>3045730461</v>
      </c>
      <c r="B193" s="33">
        <v>398843.511</v>
      </c>
      <c r="C193" s="33">
        <v>941.53</v>
      </c>
      <c r="D193" s="11">
        <v>45117</v>
      </c>
      <c r="E193" s="75">
        <v>910.92</v>
      </c>
    </row>
    <row r="194" ht="15.75" spans="1:5">
      <c r="A194" s="33">
        <v>3045730461</v>
      </c>
      <c r="B194" s="33">
        <v>398843.511</v>
      </c>
      <c r="C194" s="33">
        <v>941.53</v>
      </c>
      <c r="D194" s="11">
        <v>45118</v>
      </c>
      <c r="E194" s="75">
        <v>910.59</v>
      </c>
    </row>
    <row r="195" ht="15.75" spans="1:5">
      <c r="A195" s="33">
        <v>3045730461</v>
      </c>
      <c r="B195" s="33">
        <v>398843.511</v>
      </c>
      <c r="C195" s="33">
        <v>941.53</v>
      </c>
      <c r="D195" s="11">
        <v>45119</v>
      </c>
      <c r="E195" s="75">
        <v>910.36</v>
      </c>
    </row>
    <row r="196" ht="15.75" spans="1:5">
      <c r="A196" s="33">
        <v>3045730461</v>
      </c>
      <c r="B196" s="33">
        <v>398843.511</v>
      </c>
      <c r="C196" s="33">
        <v>941.53</v>
      </c>
      <c r="D196" s="11">
        <v>45120</v>
      </c>
      <c r="E196" s="75">
        <v>910.194</v>
      </c>
    </row>
    <row r="197" ht="15.75" spans="1:5">
      <c r="A197" s="33">
        <v>3045730461</v>
      </c>
      <c r="B197" s="33">
        <v>398843.511</v>
      </c>
      <c r="C197" s="33">
        <v>941.53</v>
      </c>
      <c r="D197" s="11">
        <v>45121</v>
      </c>
      <c r="E197" s="75">
        <v>912.499</v>
      </c>
    </row>
    <row r="198" ht="15.75" spans="1:5">
      <c r="A198" s="33">
        <v>3045730461</v>
      </c>
      <c r="B198" s="33">
        <v>398843.511</v>
      </c>
      <c r="C198" s="33">
        <v>941.53</v>
      </c>
      <c r="D198" s="11">
        <v>45122</v>
      </c>
      <c r="E198" s="75">
        <v>914.026</v>
      </c>
    </row>
    <row r="199" ht="15.75" spans="1:5">
      <c r="A199" s="33">
        <v>3045730461</v>
      </c>
      <c r="B199" s="33">
        <v>398843.511</v>
      </c>
      <c r="C199" s="33">
        <v>941.53</v>
      </c>
      <c r="D199" s="11">
        <v>45123</v>
      </c>
      <c r="E199" s="75">
        <v>914.08</v>
      </c>
    </row>
    <row r="200" ht="15.75" spans="1:5">
      <c r="A200" s="33">
        <v>3045730461</v>
      </c>
      <c r="B200" s="33">
        <v>398843.511</v>
      </c>
      <c r="C200" s="33">
        <v>941.53</v>
      </c>
      <c r="D200" s="11">
        <v>45124</v>
      </c>
      <c r="E200" s="75">
        <v>913.314</v>
      </c>
    </row>
    <row r="201" ht="15.75" spans="1:5">
      <c r="A201" s="33">
        <v>3045730461</v>
      </c>
      <c r="B201" s="33">
        <v>398843.511</v>
      </c>
      <c r="C201" s="33">
        <v>941.53</v>
      </c>
      <c r="D201" s="11">
        <v>45125</v>
      </c>
      <c r="E201" s="75">
        <v>912.681</v>
      </c>
    </row>
    <row r="202" ht="15.75" spans="1:5">
      <c r="A202" s="33">
        <v>3045730461</v>
      </c>
      <c r="B202" s="33">
        <v>398843.511</v>
      </c>
      <c r="C202" s="33">
        <v>941.53</v>
      </c>
      <c r="D202" s="11">
        <v>45126</v>
      </c>
      <c r="E202" s="75">
        <v>912.08</v>
      </c>
    </row>
    <row r="203" ht="15.75" spans="1:5">
      <c r="A203" s="33">
        <v>3045730461</v>
      </c>
      <c r="B203" s="33">
        <v>398843.511</v>
      </c>
      <c r="C203" s="33">
        <v>941.53</v>
      </c>
      <c r="D203" s="11">
        <v>45127</v>
      </c>
      <c r="E203" s="75">
        <v>911.57</v>
      </c>
    </row>
    <row r="204" ht="15.75" spans="1:5">
      <c r="A204" s="33">
        <v>3045730461</v>
      </c>
      <c r="B204" s="33">
        <v>398843.511</v>
      </c>
      <c r="C204" s="33">
        <v>941.53</v>
      </c>
      <c r="D204" s="11">
        <v>45128</v>
      </c>
      <c r="E204" s="75">
        <v>911.26</v>
      </c>
    </row>
    <row r="205" ht="15.75" spans="1:5">
      <c r="A205" s="33">
        <v>3045730461</v>
      </c>
      <c r="B205" s="33">
        <v>398843.511</v>
      </c>
      <c r="C205" s="33">
        <v>941.53</v>
      </c>
      <c r="D205" s="11">
        <v>45129</v>
      </c>
      <c r="E205" s="75">
        <v>911.75</v>
      </c>
    </row>
    <row r="206" ht="15.75" spans="1:5">
      <c r="A206" s="33">
        <v>3045730461</v>
      </c>
      <c r="B206" s="33">
        <v>398843.511</v>
      </c>
      <c r="C206" s="33">
        <v>941.53</v>
      </c>
      <c r="D206" s="11">
        <v>45130</v>
      </c>
      <c r="E206" s="75">
        <v>911.59</v>
      </c>
    </row>
    <row r="207" ht="15.75" spans="1:5">
      <c r="A207" s="33">
        <v>3045730461</v>
      </c>
      <c r="B207" s="33">
        <v>398843.511</v>
      </c>
      <c r="C207" s="33">
        <v>941.53</v>
      </c>
      <c r="D207" s="11">
        <v>45131</v>
      </c>
      <c r="E207" s="75">
        <v>911.39</v>
      </c>
    </row>
    <row r="208" ht="15.75" spans="1:5">
      <c r="A208" s="33">
        <v>3045730461</v>
      </c>
      <c r="B208" s="33">
        <v>398843.511</v>
      </c>
      <c r="C208" s="33">
        <v>941.53</v>
      </c>
      <c r="D208" s="11">
        <v>45132</v>
      </c>
      <c r="E208" s="75">
        <v>911.19</v>
      </c>
    </row>
    <row r="209" ht="15.75" spans="1:5">
      <c r="A209" s="33">
        <v>3045730461</v>
      </c>
      <c r="B209" s="33">
        <v>398843.511</v>
      </c>
      <c r="C209" s="33">
        <v>941.53</v>
      </c>
      <c r="D209" s="11">
        <v>45133</v>
      </c>
      <c r="E209" s="75">
        <v>910.97</v>
      </c>
    </row>
    <row r="210" ht="15.75" spans="1:5">
      <c r="A210" s="33">
        <v>3045730461</v>
      </c>
      <c r="B210" s="33">
        <v>398843.511</v>
      </c>
      <c r="C210" s="33">
        <v>941.53</v>
      </c>
      <c r="D210" s="11">
        <v>45134</v>
      </c>
      <c r="E210" s="75">
        <v>911.085</v>
      </c>
    </row>
    <row r="211" ht="15.75" spans="1:5">
      <c r="A211" s="33">
        <v>3045730461</v>
      </c>
      <c r="B211" s="33">
        <v>398843.511</v>
      </c>
      <c r="C211" s="33">
        <v>941.53</v>
      </c>
      <c r="D211" s="11">
        <v>45135</v>
      </c>
      <c r="E211" s="75">
        <v>912.825</v>
      </c>
    </row>
    <row r="212" ht="15.75" spans="1:5">
      <c r="A212" s="33">
        <v>3045730461</v>
      </c>
      <c r="B212" s="33">
        <v>398843.511</v>
      </c>
      <c r="C212" s="33">
        <v>941.53</v>
      </c>
      <c r="D212" s="11">
        <v>45136</v>
      </c>
      <c r="E212" s="75">
        <v>912.939</v>
      </c>
    </row>
    <row r="213" ht="15.75" spans="1:5">
      <c r="A213" s="33">
        <v>3045730461</v>
      </c>
      <c r="B213" s="33">
        <v>398843.511</v>
      </c>
      <c r="C213" s="33">
        <v>941.53</v>
      </c>
      <c r="D213" s="11">
        <v>45137</v>
      </c>
      <c r="E213" s="75">
        <v>912.856</v>
      </c>
    </row>
    <row r="214" ht="15.75" spans="1:5">
      <c r="A214" s="33">
        <v>3045730461</v>
      </c>
      <c r="B214" s="33">
        <v>398843.511</v>
      </c>
      <c r="C214" s="33">
        <v>941.53</v>
      </c>
      <c r="D214" s="11">
        <v>45138</v>
      </c>
      <c r="E214" s="75">
        <v>912.482</v>
      </c>
    </row>
    <row r="215" ht="15.75" spans="1:5">
      <c r="A215" s="33">
        <v>3045730461</v>
      </c>
      <c r="B215" s="33">
        <v>398843.511</v>
      </c>
      <c r="C215" s="33">
        <v>941.53</v>
      </c>
      <c r="D215" s="11">
        <v>45139</v>
      </c>
      <c r="E215" s="75">
        <v>912.061</v>
      </c>
    </row>
    <row r="216" ht="15.75" spans="1:5">
      <c r="A216" s="33">
        <v>3045730461</v>
      </c>
      <c r="B216" s="33">
        <v>398843.511</v>
      </c>
      <c r="C216" s="33">
        <v>941.53</v>
      </c>
      <c r="D216" s="11">
        <v>45140</v>
      </c>
      <c r="E216" s="75">
        <v>912.51</v>
      </c>
    </row>
    <row r="217" ht="15.75" spans="1:5">
      <c r="A217" s="33">
        <v>3045730461</v>
      </c>
      <c r="B217" s="33">
        <v>398843.511</v>
      </c>
      <c r="C217" s="33">
        <v>941.53</v>
      </c>
      <c r="D217" s="11">
        <v>45141</v>
      </c>
      <c r="E217" s="75">
        <v>912.898</v>
      </c>
    </row>
    <row r="218" ht="15.75" spans="1:5">
      <c r="A218" s="33">
        <v>3045730461</v>
      </c>
      <c r="B218" s="33">
        <v>398843.511</v>
      </c>
      <c r="C218" s="33">
        <v>941.53</v>
      </c>
      <c r="D218" s="11">
        <v>45142</v>
      </c>
      <c r="E218" s="75">
        <v>913.063</v>
      </c>
    </row>
    <row r="219" ht="15.75" spans="1:5">
      <c r="A219" s="33">
        <v>3045730461</v>
      </c>
      <c r="B219" s="33">
        <v>398843.511</v>
      </c>
      <c r="C219" s="33">
        <v>941.53</v>
      </c>
      <c r="D219" s="11">
        <v>45143</v>
      </c>
      <c r="E219" s="75">
        <v>913.825</v>
      </c>
    </row>
    <row r="220" ht="15.75" spans="1:5">
      <c r="A220" s="33">
        <v>3045730461</v>
      </c>
      <c r="B220" s="33">
        <v>398843.511</v>
      </c>
      <c r="C220" s="33">
        <v>941.53</v>
      </c>
      <c r="D220" s="11">
        <v>45144</v>
      </c>
      <c r="E220" s="75">
        <v>914.66</v>
      </c>
    </row>
    <row r="221" ht="15.75" spans="1:5">
      <c r="A221" s="33">
        <v>3045730461</v>
      </c>
      <c r="B221" s="33">
        <v>398843.511</v>
      </c>
      <c r="C221" s="33">
        <v>941.53</v>
      </c>
      <c r="D221" s="11">
        <v>45145</v>
      </c>
      <c r="E221" s="75">
        <v>914.871</v>
      </c>
    </row>
    <row r="222" ht="15.75" spans="1:5">
      <c r="A222" s="33">
        <v>3045730461</v>
      </c>
      <c r="B222" s="33">
        <v>398843.511</v>
      </c>
      <c r="C222" s="33">
        <v>941.53</v>
      </c>
      <c r="D222" s="11">
        <v>45146</v>
      </c>
      <c r="E222" s="75">
        <v>914.697</v>
      </c>
    </row>
    <row r="223" ht="15.75" spans="1:5">
      <c r="A223" s="33">
        <v>3045730461</v>
      </c>
      <c r="B223" s="33">
        <v>398843.511</v>
      </c>
      <c r="C223" s="33">
        <v>941.53</v>
      </c>
      <c r="D223" s="11">
        <v>45147</v>
      </c>
      <c r="E223" s="75">
        <v>914.424</v>
      </c>
    </row>
    <row r="224" ht="15.75" spans="1:5">
      <c r="A224" s="33">
        <v>3045730461</v>
      </c>
      <c r="B224" s="33">
        <v>398843.511</v>
      </c>
      <c r="C224" s="33">
        <v>941.53</v>
      </c>
      <c r="D224" s="11">
        <v>45148</v>
      </c>
      <c r="E224" s="74"/>
    </row>
    <row r="225" ht="15.75" spans="1:5">
      <c r="A225" s="33">
        <v>3045730461</v>
      </c>
      <c r="B225" s="33">
        <v>398843.511</v>
      </c>
      <c r="C225" s="33">
        <v>941.53</v>
      </c>
      <c r="D225" s="11">
        <v>45149</v>
      </c>
      <c r="E225" s="75">
        <v>913.555</v>
      </c>
    </row>
    <row r="226" ht="15.75" spans="1:5">
      <c r="A226" s="33">
        <v>3045730461</v>
      </c>
      <c r="B226" s="33">
        <v>398843.511</v>
      </c>
      <c r="C226" s="33">
        <v>941.53</v>
      </c>
      <c r="D226" s="11">
        <v>45150</v>
      </c>
      <c r="E226" s="75">
        <v>913.8</v>
      </c>
    </row>
    <row r="227" ht="15.75" spans="1:5">
      <c r="A227" s="33">
        <v>3045730461</v>
      </c>
      <c r="B227" s="33">
        <v>398843.511</v>
      </c>
      <c r="C227" s="33">
        <v>941.53</v>
      </c>
      <c r="D227" s="11">
        <v>45151</v>
      </c>
      <c r="E227" s="75">
        <v>913.59</v>
      </c>
    </row>
    <row r="228" ht="15.75" spans="1:5">
      <c r="A228" s="33">
        <v>3045730461</v>
      </c>
      <c r="B228" s="33">
        <v>398843.511</v>
      </c>
      <c r="C228" s="33">
        <v>941.53</v>
      </c>
      <c r="D228" s="11">
        <v>45152</v>
      </c>
      <c r="E228" s="75">
        <v>913.139</v>
      </c>
    </row>
    <row r="229" ht="15.75" spans="1:5">
      <c r="A229" s="33">
        <v>3045730461</v>
      </c>
      <c r="B229" s="33">
        <v>398843.511</v>
      </c>
      <c r="C229" s="33">
        <v>941.53</v>
      </c>
      <c r="D229" s="11">
        <v>45153</v>
      </c>
      <c r="E229" s="77">
        <v>912.724</v>
      </c>
    </row>
    <row r="230" ht="15.75" spans="1:5">
      <c r="A230" s="33">
        <v>3045730461</v>
      </c>
      <c r="B230" s="33">
        <v>398843.511</v>
      </c>
      <c r="C230" s="33">
        <v>941.53</v>
      </c>
      <c r="D230" s="11">
        <v>45154</v>
      </c>
      <c r="E230" s="75">
        <v>912.357</v>
      </c>
    </row>
    <row r="231" ht="15.75" spans="1:5">
      <c r="A231" s="33">
        <v>3045730461</v>
      </c>
      <c r="B231" s="33">
        <v>398843.511</v>
      </c>
      <c r="C231" s="33">
        <v>941.53</v>
      </c>
      <c r="D231" s="11">
        <v>45155</v>
      </c>
      <c r="E231" s="75">
        <v>912.058</v>
      </c>
    </row>
    <row r="232" ht="15.75" spans="1:5">
      <c r="A232" s="33">
        <v>3045730461</v>
      </c>
      <c r="B232" s="33">
        <v>398843.511</v>
      </c>
      <c r="C232" s="33">
        <v>941.53</v>
      </c>
      <c r="D232" s="11">
        <v>45156</v>
      </c>
      <c r="E232" s="75">
        <v>912.822</v>
      </c>
    </row>
    <row r="233" ht="15.75" spans="1:5">
      <c r="A233" s="33">
        <v>3045730461</v>
      </c>
      <c r="B233" s="33">
        <v>398843.511</v>
      </c>
      <c r="C233" s="33">
        <v>941.53</v>
      </c>
      <c r="D233" s="11">
        <v>45157</v>
      </c>
      <c r="E233" s="75">
        <v>914.421</v>
      </c>
    </row>
    <row r="234" ht="15.75" spans="1:5">
      <c r="A234" s="33">
        <v>3045730461</v>
      </c>
      <c r="B234" s="33">
        <v>398843.511</v>
      </c>
      <c r="C234" s="33">
        <v>941.53</v>
      </c>
      <c r="D234" s="11">
        <v>45158</v>
      </c>
      <c r="E234" s="75">
        <v>915.225</v>
      </c>
    </row>
    <row r="235" ht="15.75" spans="1:5">
      <c r="A235" s="33">
        <v>3045730461</v>
      </c>
      <c r="B235" s="33">
        <v>398843.511</v>
      </c>
      <c r="C235" s="33">
        <v>941.53</v>
      </c>
      <c r="D235" s="11">
        <v>45159</v>
      </c>
      <c r="E235" s="75">
        <v>915.373</v>
      </c>
    </row>
    <row r="236" ht="15.75" spans="1:5">
      <c r="A236" s="33">
        <v>3045730461</v>
      </c>
      <c r="B236" s="33">
        <v>398843.511</v>
      </c>
      <c r="C236" s="33">
        <v>941.53</v>
      </c>
      <c r="D236" s="11">
        <v>45160</v>
      </c>
      <c r="E236" s="75">
        <v>915.165</v>
      </c>
    </row>
    <row r="237" ht="15.75" spans="1:5">
      <c r="A237" s="33">
        <v>3045730461</v>
      </c>
      <c r="B237" s="33">
        <v>398843.511</v>
      </c>
      <c r="C237" s="33">
        <v>941.53</v>
      </c>
      <c r="D237" s="11">
        <v>45161</v>
      </c>
      <c r="E237" s="75">
        <v>914.568</v>
      </c>
    </row>
    <row r="238" ht="15.75" spans="1:5">
      <c r="A238" s="33">
        <v>3045730461</v>
      </c>
      <c r="B238" s="33">
        <v>398843.511</v>
      </c>
      <c r="C238" s="33">
        <v>941.53</v>
      </c>
      <c r="D238" s="11">
        <v>45162</v>
      </c>
      <c r="E238" s="75">
        <v>915.91</v>
      </c>
    </row>
    <row r="239" ht="15.75" spans="1:5">
      <c r="A239" s="33">
        <v>3045730461</v>
      </c>
      <c r="B239" s="33">
        <v>398843.511</v>
      </c>
      <c r="C239" s="33">
        <v>941.53</v>
      </c>
      <c r="D239" s="11">
        <v>45163</v>
      </c>
      <c r="E239" s="75">
        <v>916.696</v>
      </c>
    </row>
    <row r="240" ht="15.75" spans="1:5">
      <c r="A240" s="33">
        <v>3045730461</v>
      </c>
      <c r="B240" s="33">
        <v>398843.511</v>
      </c>
      <c r="C240" s="33">
        <v>941.53</v>
      </c>
      <c r="D240" s="11">
        <v>45164</v>
      </c>
      <c r="E240" s="75">
        <v>916.699</v>
      </c>
    </row>
    <row r="241" ht="15.75" spans="1:5">
      <c r="A241" s="33">
        <v>3045730461</v>
      </c>
      <c r="B241" s="33">
        <v>398843.511</v>
      </c>
      <c r="C241" s="33">
        <v>941.53</v>
      </c>
      <c r="D241" s="11">
        <v>45165</v>
      </c>
      <c r="E241" s="75">
        <v>916.482</v>
      </c>
    </row>
    <row r="242" ht="15.75" spans="1:5">
      <c r="A242" s="33">
        <v>3045730461</v>
      </c>
      <c r="B242" s="33">
        <v>398843.511</v>
      </c>
      <c r="C242" s="33">
        <v>941.53</v>
      </c>
      <c r="D242" s="11">
        <v>45166</v>
      </c>
      <c r="E242" s="75">
        <v>916.448</v>
      </c>
    </row>
    <row r="243" ht="15.75" spans="1:5">
      <c r="A243" s="33">
        <v>3045730461</v>
      </c>
      <c r="B243" s="33">
        <v>398843.511</v>
      </c>
      <c r="C243" s="33">
        <v>941.53</v>
      </c>
      <c r="D243" s="11">
        <v>45167</v>
      </c>
      <c r="E243" s="75">
        <v>916.149</v>
      </c>
    </row>
    <row r="244" ht="15.75" spans="1:5">
      <c r="A244" s="33">
        <v>3045730461</v>
      </c>
      <c r="B244" s="33">
        <v>398843.511</v>
      </c>
      <c r="C244" s="33">
        <v>941.53</v>
      </c>
      <c r="D244" s="11">
        <v>45168</v>
      </c>
      <c r="E244" s="75">
        <v>915.581</v>
      </c>
    </row>
    <row r="245" ht="15.75" spans="1:5">
      <c r="A245" s="33">
        <v>3045730461</v>
      </c>
      <c r="B245" s="33">
        <v>398843.511</v>
      </c>
      <c r="C245" s="33">
        <v>941.53</v>
      </c>
      <c r="D245" s="11">
        <v>45169</v>
      </c>
      <c r="E245" s="75"/>
    </row>
    <row r="246" ht="15.75" spans="1:5">
      <c r="A246" s="33">
        <v>3045730461</v>
      </c>
      <c r="B246" s="33">
        <v>398843.511</v>
      </c>
      <c r="C246" s="33">
        <v>941.53</v>
      </c>
      <c r="D246" s="11">
        <v>45170</v>
      </c>
      <c r="E246" s="75">
        <v>914.639</v>
      </c>
    </row>
    <row r="247" ht="15.75" spans="1:5">
      <c r="A247" s="33">
        <v>3045730461</v>
      </c>
      <c r="B247" s="33">
        <v>398843.511</v>
      </c>
      <c r="C247" s="33">
        <v>941.53</v>
      </c>
      <c r="D247" s="11">
        <v>45171</v>
      </c>
      <c r="E247" s="75">
        <v>914.224</v>
      </c>
    </row>
    <row r="248" ht="15.75" spans="1:5">
      <c r="A248" s="33">
        <v>3045730461</v>
      </c>
      <c r="B248" s="33">
        <v>398843.511</v>
      </c>
      <c r="C248" s="33">
        <v>941.53</v>
      </c>
      <c r="D248" s="11">
        <v>45172</v>
      </c>
      <c r="E248" s="75">
        <v>913.819</v>
      </c>
    </row>
    <row r="249" ht="15.75" spans="1:5">
      <c r="A249" s="33">
        <v>3045730461</v>
      </c>
      <c r="B249" s="33">
        <v>398843.511</v>
      </c>
      <c r="C249" s="33">
        <v>941.53</v>
      </c>
      <c r="D249" s="11">
        <v>45173</v>
      </c>
      <c r="E249" s="75">
        <v>913.442</v>
      </c>
    </row>
    <row r="250" ht="15.75" spans="1:5">
      <c r="A250" s="33">
        <v>3045730461</v>
      </c>
      <c r="B250" s="33">
        <v>398843.511</v>
      </c>
      <c r="C250" s="33">
        <v>941.53</v>
      </c>
      <c r="D250" s="11">
        <v>45174</v>
      </c>
      <c r="E250" s="75">
        <v>913.113</v>
      </c>
    </row>
    <row r="251" ht="15.75" spans="1:5">
      <c r="A251" s="33">
        <v>3045730461</v>
      </c>
      <c r="B251" s="33">
        <v>398843.511</v>
      </c>
      <c r="C251" s="33">
        <v>941.53</v>
      </c>
      <c r="D251" s="11">
        <v>45175</v>
      </c>
      <c r="E251" s="75">
        <v>912.807</v>
      </c>
    </row>
    <row r="252" ht="15.75" spans="1:5">
      <c r="A252" s="33">
        <v>3045730461</v>
      </c>
      <c r="B252" s="33">
        <v>398843.511</v>
      </c>
      <c r="C252" s="33">
        <v>941.53</v>
      </c>
      <c r="D252" s="11">
        <v>45176</v>
      </c>
      <c r="E252" s="75">
        <v>912.532</v>
      </c>
    </row>
    <row r="253" ht="15.75" spans="1:5">
      <c r="A253" s="33">
        <v>3045730461</v>
      </c>
      <c r="B253" s="33">
        <v>398843.511</v>
      </c>
      <c r="C253" s="33">
        <v>941.53</v>
      </c>
      <c r="D253" s="11">
        <v>45177</v>
      </c>
      <c r="E253" s="75">
        <v>912.332</v>
      </c>
    </row>
    <row r="254" ht="15.75" spans="1:5">
      <c r="A254" s="33">
        <v>3045730461</v>
      </c>
      <c r="B254" s="33">
        <v>398843.511</v>
      </c>
      <c r="C254" s="33">
        <v>941.53</v>
      </c>
      <c r="D254" s="11">
        <v>45178</v>
      </c>
      <c r="E254" s="75">
        <v>913.078</v>
      </c>
    </row>
    <row r="255" ht="15.75" spans="1:5">
      <c r="A255" s="33">
        <v>3045730461</v>
      </c>
      <c r="B255" s="33">
        <v>398843.511</v>
      </c>
      <c r="C255" s="33">
        <v>941.53</v>
      </c>
      <c r="D255" s="11">
        <v>45179</v>
      </c>
      <c r="E255" s="75">
        <v>913.855</v>
      </c>
    </row>
    <row r="256" ht="15.75" spans="1:5">
      <c r="A256" s="33">
        <v>3045730461</v>
      </c>
      <c r="B256" s="33">
        <v>398843.511</v>
      </c>
      <c r="C256" s="33">
        <v>941.53</v>
      </c>
      <c r="D256" s="11">
        <v>45180</v>
      </c>
      <c r="E256" s="75">
        <v>914.92</v>
      </c>
    </row>
    <row r="257" ht="15.75" spans="1:5">
      <c r="A257" s="33">
        <v>3045730461</v>
      </c>
      <c r="B257" s="33">
        <v>398843.511</v>
      </c>
      <c r="C257" s="33">
        <v>941.53</v>
      </c>
      <c r="D257" s="11">
        <v>45181</v>
      </c>
      <c r="E257" s="75">
        <v>914.89</v>
      </c>
    </row>
    <row r="258" ht="15.75" spans="1:5">
      <c r="A258" s="33">
        <v>3045730461</v>
      </c>
      <c r="B258" s="33">
        <v>398843.511</v>
      </c>
      <c r="C258" s="33">
        <v>941.53</v>
      </c>
      <c r="D258" s="11">
        <v>45182</v>
      </c>
      <c r="E258" s="75">
        <v>914.723</v>
      </c>
    </row>
    <row r="259" ht="15.75" spans="1:5">
      <c r="A259" s="33">
        <v>3045730461</v>
      </c>
      <c r="B259" s="33">
        <v>398843.511</v>
      </c>
      <c r="C259" s="33">
        <v>941.53</v>
      </c>
      <c r="D259" s="11">
        <v>45183</v>
      </c>
      <c r="E259" s="75">
        <v>914.424</v>
      </c>
    </row>
    <row r="260" ht="15.75" spans="1:5">
      <c r="A260" s="33">
        <v>3045730461</v>
      </c>
      <c r="B260" s="33">
        <v>398843.511</v>
      </c>
      <c r="C260" s="33">
        <v>941.53</v>
      </c>
      <c r="D260" s="11">
        <v>45184</v>
      </c>
      <c r="E260" s="74"/>
    </row>
    <row r="261" ht="15.75" spans="1:5">
      <c r="A261" s="33">
        <v>3045730461</v>
      </c>
      <c r="B261" s="33">
        <v>398843.511</v>
      </c>
      <c r="C261" s="33">
        <v>941.53</v>
      </c>
      <c r="D261" s="11">
        <v>45185</v>
      </c>
      <c r="E261" s="74"/>
    </row>
    <row r="262" ht="15.75" spans="1:5">
      <c r="A262" s="33">
        <v>3045730461</v>
      </c>
      <c r="B262" s="33">
        <v>398843.511</v>
      </c>
      <c r="C262" s="33">
        <v>941.53</v>
      </c>
      <c r="D262" s="11">
        <v>45186</v>
      </c>
      <c r="E262" s="74"/>
    </row>
    <row r="263" ht="15.75" spans="1:5">
      <c r="A263" s="33">
        <v>3045730461</v>
      </c>
      <c r="B263" s="33">
        <v>398843.511</v>
      </c>
      <c r="C263" s="33">
        <v>941.53</v>
      </c>
      <c r="D263" s="11">
        <v>45187</v>
      </c>
      <c r="E263" s="74"/>
    </row>
    <row r="264" ht="15.75" spans="1:5">
      <c r="A264" s="33">
        <v>3045730461</v>
      </c>
      <c r="B264" s="33">
        <v>398843.511</v>
      </c>
      <c r="C264" s="33">
        <v>941.53</v>
      </c>
      <c r="D264" s="11">
        <v>45188</v>
      </c>
      <c r="E264" s="74"/>
    </row>
    <row r="265" ht="15.75" spans="1:5">
      <c r="A265" s="33">
        <v>3045730461</v>
      </c>
      <c r="B265" s="33">
        <v>398843.511</v>
      </c>
      <c r="C265" s="33">
        <v>941.53</v>
      </c>
      <c r="D265" s="11">
        <v>45189</v>
      </c>
      <c r="E265" s="75">
        <v>912.424</v>
      </c>
    </row>
    <row r="266" ht="15.75" spans="1:5">
      <c r="A266" s="33">
        <v>3045730461</v>
      </c>
      <c r="B266" s="33">
        <v>398843.511</v>
      </c>
      <c r="C266" s="33">
        <v>941.53</v>
      </c>
      <c r="D266" s="11">
        <v>45190</v>
      </c>
      <c r="E266" s="75">
        <v>912.276</v>
      </c>
    </row>
    <row r="267" ht="15.75" spans="1:5">
      <c r="A267" s="33">
        <v>3045730461</v>
      </c>
      <c r="B267" s="33">
        <v>398843.511</v>
      </c>
      <c r="C267" s="33">
        <v>941.53</v>
      </c>
      <c r="D267" s="11">
        <v>45191</v>
      </c>
      <c r="E267" s="75">
        <v>912.933</v>
      </c>
    </row>
    <row r="268" ht="15.75" spans="1:5">
      <c r="A268" s="33">
        <v>3045730461</v>
      </c>
      <c r="B268" s="33">
        <v>398843.511</v>
      </c>
      <c r="C268" s="33">
        <v>941.53</v>
      </c>
      <c r="D268" s="11">
        <v>45192</v>
      </c>
      <c r="E268" s="75">
        <v>912.699</v>
      </c>
    </row>
    <row r="269" ht="15.75" spans="1:5">
      <c r="A269" s="33">
        <v>3045730461</v>
      </c>
      <c r="B269" s="33">
        <v>398843.511</v>
      </c>
      <c r="C269" s="33">
        <v>941.53</v>
      </c>
      <c r="D269" s="11">
        <v>45193</v>
      </c>
      <c r="E269" s="75">
        <v>912.43</v>
      </c>
    </row>
    <row r="270" ht="15.75" spans="1:5">
      <c r="A270" s="33">
        <v>3045730461</v>
      </c>
      <c r="B270" s="33">
        <v>398843.511</v>
      </c>
      <c r="C270" s="33">
        <v>941.53</v>
      </c>
      <c r="D270" s="11">
        <v>45194</v>
      </c>
      <c r="E270" s="75">
        <v>912.214</v>
      </c>
    </row>
    <row r="271" ht="15.75" spans="1:5">
      <c r="A271" s="33">
        <v>3045730461</v>
      </c>
      <c r="B271" s="33">
        <v>398843.511</v>
      </c>
      <c r="C271" s="33">
        <v>941.53</v>
      </c>
      <c r="D271" s="11">
        <v>45195</v>
      </c>
      <c r="E271" s="75">
        <v>912.114</v>
      </c>
    </row>
    <row r="272" ht="15.75" spans="1:5">
      <c r="A272" s="33">
        <v>3045730461</v>
      </c>
      <c r="B272" s="33">
        <v>398843.511</v>
      </c>
      <c r="C272" s="33">
        <v>941.53</v>
      </c>
      <c r="D272" s="11">
        <v>45196</v>
      </c>
      <c r="E272" s="75">
        <v>912.021</v>
      </c>
    </row>
    <row r="273" ht="15.75" spans="1:5">
      <c r="A273" s="33">
        <v>3045730461</v>
      </c>
      <c r="B273" s="33">
        <v>398843.511</v>
      </c>
      <c r="C273" s="33">
        <v>941.53</v>
      </c>
      <c r="D273" s="11">
        <v>45197</v>
      </c>
      <c r="E273" s="75">
        <v>912.021</v>
      </c>
    </row>
    <row r="274" ht="15.75" spans="1:5">
      <c r="A274" s="33">
        <v>3045730461</v>
      </c>
      <c r="B274" s="33">
        <v>398843.511</v>
      </c>
      <c r="C274" s="33">
        <v>941.53</v>
      </c>
      <c r="D274" s="11">
        <v>45198</v>
      </c>
      <c r="E274" s="75">
        <v>911.773</v>
      </c>
    </row>
    <row r="275" ht="15.75" spans="1:5">
      <c r="A275" s="33">
        <v>3045730461</v>
      </c>
      <c r="B275" s="33">
        <v>398843.511</v>
      </c>
      <c r="C275" s="33">
        <v>941.53</v>
      </c>
      <c r="D275" s="11">
        <v>45199</v>
      </c>
      <c r="E275" s="75">
        <v>911.693</v>
      </c>
    </row>
    <row r="276" ht="15.75" spans="1:5">
      <c r="A276" s="33">
        <v>3045730461</v>
      </c>
      <c r="B276" s="33">
        <v>398843.511</v>
      </c>
      <c r="C276" s="33">
        <v>941.53</v>
      </c>
      <c r="D276" s="11">
        <v>45200</v>
      </c>
      <c r="E276" s="75">
        <v>911.588</v>
      </c>
    </row>
    <row r="277" ht="15.75" spans="1:5">
      <c r="A277" s="33">
        <v>3045730461</v>
      </c>
      <c r="B277" s="33">
        <v>398843.511</v>
      </c>
      <c r="C277" s="33">
        <v>941.53</v>
      </c>
      <c r="D277" s="11">
        <v>45201</v>
      </c>
      <c r="E277" s="75">
        <v>911.499</v>
      </c>
    </row>
    <row r="278" ht="15.75" spans="1:5">
      <c r="A278" s="33">
        <v>3045730461</v>
      </c>
      <c r="B278" s="33">
        <v>398843.511</v>
      </c>
      <c r="C278" s="33">
        <v>941.53</v>
      </c>
      <c r="D278" s="11">
        <v>45202</v>
      </c>
      <c r="E278" s="75">
        <v>911.4</v>
      </c>
    </row>
    <row r="279" ht="15.75" spans="1:5">
      <c r="A279" s="33">
        <v>3045730461</v>
      </c>
      <c r="B279" s="33">
        <v>398843.511</v>
      </c>
      <c r="C279" s="33">
        <v>941.53</v>
      </c>
      <c r="D279" s="11">
        <v>45203</v>
      </c>
      <c r="E279" s="75">
        <v>911.298</v>
      </c>
    </row>
    <row r="280" ht="15.75" spans="1:5">
      <c r="A280" s="33">
        <v>3045730461</v>
      </c>
      <c r="B280" s="33">
        <v>398843.511</v>
      </c>
      <c r="C280" s="33">
        <v>941.53</v>
      </c>
      <c r="D280" s="11">
        <v>45204</v>
      </c>
      <c r="E280" s="75">
        <v>911.222</v>
      </c>
    </row>
    <row r="281" ht="15.75" spans="1:5">
      <c r="A281" s="33">
        <v>3045730461</v>
      </c>
      <c r="B281" s="33">
        <v>398843.511</v>
      </c>
      <c r="C281" s="33">
        <v>941.53</v>
      </c>
      <c r="D281" s="11">
        <v>45205</v>
      </c>
      <c r="E281" s="75">
        <v>911.222</v>
      </c>
    </row>
    <row r="282" ht="15.75" spans="1:5">
      <c r="A282" s="33">
        <v>3045730461</v>
      </c>
      <c r="B282" s="33">
        <v>398843.511</v>
      </c>
      <c r="C282" s="33">
        <v>941.53</v>
      </c>
      <c r="D282" s="11">
        <v>45206</v>
      </c>
      <c r="E282" s="75">
        <v>911.406</v>
      </c>
    </row>
    <row r="283" ht="15.75" spans="1:5">
      <c r="A283" s="33">
        <v>3045730461</v>
      </c>
      <c r="B283" s="33">
        <v>398843.511</v>
      </c>
      <c r="C283" s="33">
        <v>941.53</v>
      </c>
      <c r="D283" s="11">
        <v>45207</v>
      </c>
      <c r="E283" s="75">
        <v>911.761</v>
      </c>
    </row>
    <row r="284" ht="15.75" spans="1:5">
      <c r="A284" s="33">
        <v>3045730461</v>
      </c>
      <c r="B284" s="33">
        <v>398843.511</v>
      </c>
      <c r="C284" s="33">
        <v>941.53</v>
      </c>
      <c r="D284" s="11">
        <v>45208</v>
      </c>
      <c r="E284" s="75">
        <v>911.876</v>
      </c>
    </row>
    <row r="285" ht="15.75" spans="1:5">
      <c r="A285" s="33">
        <v>3045730461</v>
      </c>
      <c r="B285" s="33">
        <v>398843.511</v>
      </c>
      <c r="C285" s="33">
        <v>941.53</v>
      </c>
      <c r="D285" s="11">
        <v>45209</v>
      </c>
      <c r="E285" s="75">
        <v>912.997</v>
      </c>
    </row>
    <row r="286" ht="15.75" spans="1:5">
      <c r="A286" s="33">
        <v>3045730461</v>
      </c>
      <c r="B286" s="33">
        <v>398843.511</v>
      </c>
      <c r="C286" s="33">
        <v>941.53</v>
      </c>
      <c r="D286" s="11">
        <v>45210</v>
      </c>
      <c r="E286" s="75">
        <v>913.864</v>
      </c>
    </row>
    <row r="287" ht="15.75" spans="1:5">
      <c r="A287" s="33">
        <v>3045730461</v>
      </c>
      <c r="B287" s="33">
        <v>398843.511</v>
      </c>
      <c r="C287" s="33">
        <v>941.53</v>
      </c>
      <c r="D287" s="11">
        <v>45211</v>
      </c>
      <c r="E287" s="75">
        <v>913.748</v>
      </c>
    </row>
    <row r="288" ht="15.75" spans="1:5">
      <c r="A288" s="33">
        <v>3045730461</v>
      </c>
      <c r="B288" s="33">
        <v>398843.511</v>
      </c>
      <c r="C288" s="33">
        <v>941.53</v>
      </c>
      <c r="D288" s="11">
        <v>45212</v>
      </c>
      <c r="E288" s="75">
        <v>913.581</v>
      </c>
    </row>
    <row r="289" ht="15.75" spans="1:5">
      <c r="A289" s="33">
        <v>3045730461</v>
      </c>
      <c r="B289" s="33">
        <v>398843.511</v>
      </c>
      <c r="C289" s="33">
        <v>941.53</v>
      </c>
      <c r="D289" s="11">
        <v>45213</v>
      </c>
      <c r="E289" s="75">
        <v>913.786</v>
      </c>
    </row>
    <row r="290" ht="15.75" spans="1:5">
      <c r="A290" s="33">
        <v>3045730461</v>
      </c>
      <c r="B290" s="33">
        <v>398843.511</v>
      </c>
      <c r="C290" s="33">
        <v>941.53</v>
      </c>
      <c r="D290" s="11">
        <v>45214</v>
      </c>
      <c r="E290" s="75">
        <v>913.847</v>
      </c>
    </row>
    <row r="291" ht="15.75" spans="1:5">
      <c r="A291" s="33">
        <v>3045730461</v>
      </c>
      <c r="B291" s="33">
        <v>398843.511</v>
      </c>
      <c r="C291" s="33">
        <v>941.53</v>
      </c>
      <c r="D291" s="11">
        <v>45215</v>
      </c>
      <c r="E291" s="75">
        <v>913.6</v>
      </c>
    </row>
    <row r="292" ht="15.75" spans="1:5">
      <c r="A292" s="33">
        <v>3045730461</v>
      </c>
      <c r="B292" s="33">
        <v>398843.511</v>
      </c>
      <c r="C292" s="33">
        <v>941.53</v>
      </c>
      <c r="D292" s="11">
        <v>45216</v>
      </c>
      <c r="E292" s="75">
        <v>913.29</v>
      </c>
    </row>
    <row r="293" ht="15.75" spans="1:5">
      <c r="A293" s="33">
        <v>3045730461</v>
      </c>
      <c r="B293" s="33">
        <v>398843.511</v>
      </c>
      <c r="C293" s="33">
        <v>941.53</v>
      </c>
      <c r="D293" s="11">
        <v>45217</v>
      </c>
      <c r="E293" s="75">
        <v>912.926</v>
      </c>
    </row>
    <row r="294" ht="15.75" spans="1:5">
      <c r="A294" s="33">
        <v>3045730461</v>
      </c>
      <c r="B294" s="33">
        <v>398843.511</v>
      </c>
      <c r="C294" s="33">
        <v>941.53</v>
      </c>
      <c r="D294" s="11">
        <v>45218</v>
      </c>
      <c r="E294" s="75"/>
    </row>
    <row r="295" ht="15.75" spans="1:5">
      <c r="A295" s="33">
        <v>3045730461</v>
      </c>
      <c r="B295" s="33">
        <v>398843.511</v>
      </c>
      <c r="C295" s="33">
        <v>941.53</v>
      </c>
      <c r="D295" s="11">
        <v>45219</v>
      </c>
      <c r="E295" s="75">
        <v>912.229</v>
      </c>
    </row>
    <row r="296" ht="15.75" spans="1:5">
      <c r="A296" s="33">
        <v>3045730461</v>
      </c>
      <c r="B296" s="33">
        <v>398843.511</v>
      </c>
      <c r="C296" s="33">
        <v>941.53</v>
      </c>
      <c r="D296" s="11">
        <v>45220</v>
      </c>
      <c r="E296" s="75">
        <v>912.06</v>
      </c>
    </row>
    <row r="297" ht="15.75" spans="1:5">
      <c r="A297" s="33">
        <v>3045730461</v>
      </c>
      <c r="B297" s="33">
        <v>398843.511</v>
      </c>
      <c r="C297" s="33">
        <v>941.53</v>
      </c>
      <c r="D297" s="11">
        <v>45221</v>
      </c>
      <c r="E297" s="75">
        <v>911.861</v>
      </c>
    </row>
    <row r="298" ht="15.75" spans="1:5">
      <c r="A298" s="33">
        <v>3045730461</v>
      </c>
      <c r="B298" s="33">
        <v>398843.511</v>
      </c>
      <c r="C298" s="33">
        <v>941.53</v>
      </c>
      <c r="D298" s="11">
        <v>45222</v>
      </c>
      <c r="E298" s="75">
        <v>911.681</v>
      </c>
    </row>
    <row r="299" ht="15.75" spans="1:5">
      <c r="A299" s="33">
        <v>3045730461</v>
      </c>
      <c r="B299" s="33">
        <v>398843.511</v>
      </c>
      <c r="C299" s="33">
        <v>941.53</v>
      </c>
      <c r="D299" s="11">
        <v>45223</v>
      </c>
      <c r="E299" s="75">
        <v>911.516</v>
      </c>
    </row>
    <row r="300" ht="15.75" spans="1:5">
      <c r="A300" s="33">
        <v>3045730461</v>
      </c>
      <c r="B300" s="33">
        <v>398843.511</v>
      </c>
      <c r="C300" s="33">
        <v>941.53</v>
      </c>
      <c r="D300" s="11">
        <v>45224</v>
      </c>
      <c r="E300" s="75">
        <v>911.373</v>
      </c>
    </row>
    <row r="301" ht="15.75" spans="1:5">
      <c r="A301" s="33">
        <v>3045730461</v>
      </c>
      <c r="B301" s="33">
        <v>398843.511</v>
      </c>
      <c r="C301" s="33">
        <v>941.53</v>
      </c>
      <c r="D301" s="11">
        <v>45225</v>
      </c>
      <c r="E301" s="75">
        <v>911.242</v>
      </c>
    </row>
    <row r="302" ht="15.75" spans="1:5">
      <c r="A302" s="33">
        <v>3045730461</v>
      </c>
      <c r="B302" s="33">
        <v>398843.511</v>
      </c>
      <c r="C302" s="33">
        <v>941.53</v>
      </c>
      <c r="D302" s="11">
        <v>45226</v>
      </c>
      <c r="E302" s="75">
        <v>911.23</v>
      </c>
    </row>
    <row r="303" ht="15.75" spans="1:5">
      <c r="A303" s="33">
        <v>3045730461</v>
      </c>
      <c r="B303" s="33">
        <v>398843.511</v>
      </c>
      <c r="C303" s="33">
        <v>941.53</v>
      </c>
      <c r="D303" s="11">
        <v>45227</v>
      </c>
      <c r="E303" s="75">
        <v>911.23</v>
      </c>
    </row>
    <row r="304" ht="15.75" spans="1:5">
      <c r="A304" s="33">
        <v>3045730461</v>
      </c>
      <c r="B304" s="33">
        <v>398843.511</v>
      </c>
      <c r="C304" s="33">
        <v>941.53</v>
      </c>
      <c r="D304" s="11">
        <v>45228</v>
      </c>
      <c r="E304" s="75">
        <v>911.13</v>
      </c>
    </row>
    <row r="305" ht="15.75" spans="1:5">
      <c r="A305" s="33">
        <v>3045730461</v>
      </c>
      <c r="B305" s="33">
        <v>398843.511</v>
      </c>
      <c r="C305" s="33">
        <v>941.53</v>
      </c>
      <c r="D305" s="11">
        <v>45229</v>
      </c>
      <c r="E305" s="75">
        <v>911.01</v>
      </c>
    </row>
    <row r="306" ht="15.75" spans="1:5">
      <c r="A306" s="33">
        <v>3045730461</v>
      </c>
      <c r="B306" s="33">
        <v>398843.511</v>
      </c>
      <c r="C306" s="33">
        <v>941.53</v>
      </c>
      <c r="D306" s="11">
        <v>45230</v>
      </c>
      <c r="E306" s="75">
        <v>910.93</v>
      </c>
    </row>
    <row r="307" ht="15.75" spans="1:5">
      <c r="A307" s="33">
        <v>3045730461</v>
      </c>
      <c r="B307" s="33">
        <v>398843.511</v>
      </c>
      <c r="C307" s="33">
        <v>941.53</v>
      </c>
      <c r="D307" s="11">
        <v>45231</v>
      </c>
      <c r="E307" s="75">
        <v>910.86</v>
      </c>
    </row>
    <row r="308" ht="15.75" spans="1:5">
      <c r="A308" s="33">
        <v>3045730461</v>
      </c>
      <c r="B308" s="33">
        <v>398843.511</v>
      </c>
      <c r="C308" s="33">
        <v>941.53</v>
      </c>
      <c r="D308" s="11">
        <v>45232</v>
      </c>
      <c r="E308" s="75">
        <v>910.805</v>
      </c>
    </row>
    <row r="309" ht="15.75" spans="1:5">
      <c r="A309" s="33">
        <v>3045730461</v>
      </c>
      <c r="B309" s="33">
        <v>398843.511</v>
      </c>
      <c r="C309" s="33">
        <v>941.53</v>
      </c>
      <c r="D309" s="11">
        <v>45233</v>
      </c>
      <c r="E309" s="75">
        <v>910.73</v>
      </c>
    </row>
    <row r="310" ht="15.75" spans="1:5">
      <c r="A310" s="33">
        <v>3045730461</v>
      </c>
      <c r="B310" s="33">
        <v>398843.511</v>
      </c>
      <c r="C310" s="33">
        <v>941.53</v>
      </c>
      <c r="D310" s="11">
        <v>45234</v>
      </c>
      <c r="E310" s="75">
        <v>910.68</v>
      </c>
    </row>
    <row r="311" ht="15.75" spans="1:5">
      <c r="A311" s="33">
        <v>3045730461</v>
      </c>
      <c r="B311" s="33">
        <v>398843.511</v>
      </c>
      <c r="C311" s="33">
        <v>941.53</v>
      </c>
      <c r="D311" s="11">
        <v>45235</v>
      </c>
      <c r="E311" s="75">
        <v>910.6</v>
      </c>
    </row>
    <row r="312" ht="15.75" spans="1:5">
      <c r="A312" s="33">
        <v>3045730461</v>
      </c>
      <c r="B312" s="33">
        <v>398843.511</v>
      </c>
      <c r="C312" s="33">
        <v>941.53</v>
      </c>
      <c r="D312" s="11">
        <v>45236</v>
      </c>
      <c r="E312" s="75">
        <v>910.54</v>
      </c>
    </row>
    <row r="313" ht="15.75" spans="1:5">
      <c r="A313" s="33">
        <v>3045730461</v>
      </c>
      <c r="B313" s="33">
        <v>398843.511</v>
      </c>
      <c r="C313" s="33">
        <v>941.53</v>
      </c>
      <c r="D313" s="11">
        <v>45237</v>
      </c>
      <c r="E313" s="75">
        <v>910.5</v>
      </c>
    </row>
    <row r="314" ht="15.75" spans="1:5">
      <c r="A314" s="33">
        <v>3045730461</v>
      </c>
      <c r="B314" s="33">
        <v>398843.511</v>
      </c>
      <c r="C314" s="33">
        <v>941.53</v>
      </c>
      <c r="D314" s="11">
        <v>45238</v>
      </c>
      <c r="E314" s="75">
        <v>910.45</v>
      </c>
    </row>
    <row r="315" ht="15.75" spans="1:5">
      <c r="A315" s="33">
        <v>3045730461</v>
      </c>
      <c r="B315" s="33">
        <v>398843.511</v>
      </c>
      <c r="C315" s="33">
        <v>941.53</v>
      </c>
      <c r="D315" s="11">
        <v>45239</v>
      </c>
      <c r="E315" s="75">
        <v>910.39</v>
      </c>
    </row>
    <row r="316" ht="15.75" spans="1:5">
      <c r="A316" s="33">
        <v>3045730461</v>
      </c>
      <c r="B316" s="33">
        <v>398843.511</v>
      </c>
      <c r="C316" s="33">
        <v>941.53</v>
      </c>
      <c r="D316" s="11">
        <v>45240</v>
      </c>
      <c r="E316" s="75">
        <v>910.361</v>
      </c>
    </row>
    <row r="317" ht="15.75" spans="1:5">
      <c r="A317" s="33">
        <v>3045730461</v>
      </c>
      <c r="B317" s="33">
        <v>398843.511</v>
      </c>
      <c r="C317" s="33">
        <v>941.53</v>
      </c>
      <c r="D317" s="11">
        <v>45241</v>
      </c>
      <c r="E317" s="75">
        <v>910.28</v>
      </c>
    </row>
    <row r="318" ht="15.75" spans="1:5">
      <c r="A318" s="33">
        <v>3045730461</v>
      </c>
      <c r="B318" s="33">
        <v>398843.511</v>
      </c>
      <c r="C318" s="33">
        <v>941.53</v>
      </c>
      <c r="D318" s="11">
        <v>45242</v>
      </c>
      <c r="E318" s="75">
        <v>910.21</v>
      </c>
    </row>
    <row r="319" ht="15.75" spans="1:5">
      <c r="A319" s="33">
        <v>3045730461</v>
      </c>
      <c r="B319" s="33">
        <v>398843.511</v>
      </c>
      <c r="C319" s="33">
        <v>941.53</v>
      </c>
      <c r="D319" s="11">
        <v>45243</v>
      </c>
      <c r="E319" s="75">
        <v>910.19</v>
      </c>
    </row>
    <row r="320" ht="15.75" spans="1:5">
      <c r="A320" s="33">
        <v>3045730461</v>
      </c>
      <c r="B320" s="33">
        <v>398843.511</v>
      </c>
      <c r="C320" s="33">
        <v>941.53</v>
      </c>
      <c r="D320" s="11">
        <v>45244</v>
      </c>
      <c r="E320" s="75">
        <v>910.19</v>
      </c>
    </row>
    <row r="321" ht="15.75" spans="1:5">
      <c r="A321" s="33">
        <v>3045730461</v>
      </c>
      <c r="B321" s="33">
        <v>398843.511</v>
      </c>
      <c r="C321" s="33">
        <v>941.53</v>
      </c>
      <c r="D321" s="11">
        <v>45245</v>
      </c>
      <c r="E321" s="75">
        <v>910.16</v>
      </c>
    </row>
    <row r="322" ht="15.75" spans="1:5">
      <c r="A322" s="33">
        <v>3045730461</v>
      </c>
      <c r="B322" s="33">
        <v>398843.511</v>
      </c>
      <c r="C322" s="33">
        <v>941.53</v>
      </c>
      <c r="D322" s="11">
        <v>45246</v>
      </c>
      <c r="E322" s="75">
        <v>910.09</v>
      </c>
    </row>
    <row r="323" ht="15.75" spans="1:5">
      <c r="A323" s="33">
        <v>3045730461</v>
      </c>
      <c r="B323" s="33">
        <v>398843.511</v>
      </c>
      <c r="C323" s="33">
        <v>941.53</v>
      </c>
      <c r="D323" s="11">
        <v>45247</v>
      </c>
      <c r="E323" s="75">
        <v>910.07</v>
      </c>
    </row>
    <row r="324" ht="15.75" spans="1:5">
      <c r="A324" s="33">
        <v>3045730461</v>
      </c>
      <c r="B324" s="33">
        <v>398843.511</v>
      </c>
      <c r="C324" s="33">
        <v>941.53</v>
      </c>
      <c r="D324" s="11">
        <v>45248</v>
      </c>
      <c r="E324" s="75">
        <v>910.06</v>
      </c>
    </row>
    <row r="325" ht="15.75" spans="1:5">
      <c r="A325" s="33">
        <v>3045730461</v>
      </c>
      <c r="B325" s="33">
        <v>398843.511</v>
      </c>
      <c r="C325" s="33">
        <v>941.53</v>
      </c>
      <c r="D325" s="11">
        <v>45249</v>
      </c>
      <c r="E325" s="75">
        <v>910.05</v>
      </c>
    </row>
    <row r="326" ht="15.75" spans="1:5">
      <c r="A326" s="33">
        <v>3045730461</v>
      </c>
      <c r="B326" s="33">
        <v>398843.511</v>
      </c>
      <c r="C326" s="33">
        <v>941.53</v>
      </c>
      <c r="D326" s="11">
        <v>45250</v>
      </c>
      <c r="E326" s="75">
        <v>910.04</v>
      </c>
    </row>
    <row r="327" ht="15.75" spans="1:5">
      <c r="A327" s="33">
        <v>3045730461</v>
      </c>
      <c r="B327" s="33">
        <v>398843.511</v>
      </c>
      <c r="C327" s="33">
        <v>941.53</v>
      </c>
      <c r="D327" s="11">
        <v>45251</v>
      </c>
      <c r="E327" s="75">
        <v>910.01</v>
      </c>
    </row>
    <row r="328" ht="15.75" spans="1:5">
      <c r="A328" s="33">
        <v>3045730461</v>
      </c>
      <c r="B328" s="33">
        <v>398843.511</v>
      </c>
      <c r="C328" s="33">
        <v>941.53</v>
      </c>
      <c r="D328" s="11">
        <v>45252</v>
      </c>
      <c r="E328" s="75">
        <v>909.96</v>
      </c>
    </row>
    <row r="329" ht="15.75" spans="1:5">
      <c r="A329" s="33">
        <v>3045730461</v>
      </c>
      <c r="B329" s="33">
        <v>398843.511</v>
      </c>
      <c r="C329" s="33">
        <v>941.53</v>
      </c>
      <c r="D329" s="11">
        <v>45253</v>
      </c>
      <c r="E329" s="75">
        <v>909.93</v>
      </c>
    </row>
    <row r="330" ht="15.75" spans="1:5">
      <c r="A330" s="33">
        <v>3045730461</v>
      </c>
      <c r="B330" s="33">
        <v>398843.511</v>
      </c>
      <c r="C330" s="33">
        <v>941.53</v>
      </c>
      <c r="D330" s="11">
        <v>45254</v>
      </c>
      <c r="E330" s="75">
        <v>909.9</v>
      </c>
    </row>
    <row r="331" ht="15.75" spans="1:5">
      <c r="A331" s="33">
        <v>3045730461</v>
      </c>
      <c r="B331" s="33">
        <v>398843.511</v>
      </c>
      <c r="C331" s="33">
        <v>941.53</v>
      </c>
      <c r="D331" s="11">
        <v>45255</v>
      </c>
      <c r="E331" s="75"/>
    </row>
    <row r="332" ht="15.75" spans="1:5">
      <c r="A332" s="33">
        <v>3045730461</v>
      </c>
      <c r="B332" s="33">
        <v>398843.511</v>
      </c>
      <c r="C332" s="33">
        <v>941.53</v>
      </c>
      <c r="D332" s="11">
        <v>45256</v>
      </c>
      <c r="E332" s="75"/>
    </row>
    <row r="333" ht="15.75" spans="1:5">
      <c r="A333" s="33">
        <v>3045730461</v>
      </c>
      <c r="B333" s="33">
        <v>398843.511</v>
      </c>
      <c r="C333" s="33">
        <v>941.53</v>
      </c>
      <c r="D333" s="11">
        <v>45257</v>
      </c>
      <c r="E333" s="75"/>
    </row>
    <row r="334" ht="15.75" spans="1:5">
      <c r="A334" s="33">
        <v>3045730461</v>
      </c>
      <c r="B334" s="33">
        <v>398843.511</v>
      </c>
      <c r="C334" s="33">
        <v>941.53</v>
      </c>
      <c r="D334" s="11">
        <v>45258</v>
      </c>
      <c r="E334" s="75">
        <v>909.81</v>
      </c>
    </row>
    <row r="335" ht="15.75" spans="1:5">
      <c r="A335" s="33">
        <v>3045730461</v>
      </c>
      <c r="B335" s="33">
        <v>398843.511</v>
      </c>
      <c r="C335" s="33">
        <v>941.53</v>
      </c>
      <c r="D335" s="11">
        <v>45259</v>
      </c>
      <c r="E335" s="75">
        <v>909.76</v>
      </c>
    </row>
    <row r="336" ht="15.75" spans="1:5">
      <c r="A336" s="33">
        <v>3045730461</v>
      </c>
      <c r="B336" s="33">
        <v>398843.511</v>
      </c>
      <c r="C336" s="33">
        <v>941.53</v>
      </c>
      <c r="D336" s="11">
        <v>45260</v>
      </c>
      <c r="E336" s="75">
        <v>909.72</v>
      </c>
    </row>
    <row r="337" ht="15.75" spans="1:5">
      <c r="A337" s="33">
        <v>3045730461</v>
      </c>
      <c r="B337" s="33">
        <v>398843.511</v>
      </c>
      <c r="C337" s="33">
        <v>941.53</v>
      </c>
      <c r="D337" s="11">
        <v>45261</v>
      </c>
      <c r="E337" s="75">
        <v>909.71</v>
      </c>
    </row>
    <row r="338" ht="15.75" spans="1:5">
      <c r="A338" s="33">
        <v>3045730461</v>
      </c>
      <c r="B338" s="33">
        <v>398843.511</v>
      </c>
      <c r="C338" s="33">
        <v>941.53</v>
      </c>
      <c r="D338" s="11">
        <v>45262</v>
      </c>
      <c r="E338" s="75">
        <v>909.71</v>
      </c>
    </row>
    <row r="339" ht="15.75" spans="1:5">
      <c r="A339" s="33">
        <v>3045730461</v>
      </c>
      <c r="B339" s="33">
        <v>398843.511</v>
      </c>
      <c r="C339" s="33">
        <v>941.53</v>
      </c>
      <c r="D339" s="11">
        <v>45263</v>
      </c>
      <c r="E339" s="75">
        <v>909.71</v>
      </c>
    </row>
    <row r="340" ht="15.75" spans="1:5">
      <c r="A340" s="33">
        <v>3045730461</v>
      </c>
      <c r="B340" s="33">
        <v>398843.511</v>
      </c>
      <c r="C340" s="33">
        <v>941.53</v>
      </c>
      <c r="D340" s="11">
        <v>45264</v>
      </c>
      <c r="E340" s="75">
        <v>909.71</v>
      </c>
    </row>
    <row r="341" ht="15.75" spans="1:5">
      <c r="A341" s="33">
        <v>3045730461</v>
      </c>
      <c r="B341" s="33">
        <v>398843.511</v>
      </c>
      <c r="C341" s="33">
        <v>941.53</v>
      </c>
      <c r="D341" s="11">
        <v>45265</v>
      </c>
      <c r="E341" s="75">
        <v>909.71</v>
      </c>
    </row>
    <row r="342" ht="15.75" spans="1:5">
      <c r="A342" s="33">
        <v>3045730461</v>
      </c>
      <c r="B342" s="33">
        <v>398843.511</v>
      </c>
      <c r="C342" s="33">
        <v>941.53</v>
      </c>
      <c r="D342" s="11">
        <v>45266</v>
      </c>
      <c r="E342" s="75">
        <v>909.66</v>
      </c>
    </row>
    <row r="343" ht="15.75" spans="1:5">
      <c r="A343" s="33">
        <v>3045730461</v>
      </c>
      <c r="B343" s="33">
        <v>398843.511</v>
      </c>
      <c r="C343" s="33">
        <v>941.53</v>
      </c>
      <c r="D343" s="11">
        <v>45267</v>
      </c>
      <c r="E343" s="75">
        <v>909.67</v>
      </c>
    </row>
    <row r="344" ht="15.75" spans="1:5">
      <c r="A344" s="33">
        <v>3045730461</v>
      </c>
      <c r="B344" s="33">
        <v>398843.511</v>
      </c>
      <c r="C344" s="33">
        <v>941.53</v>
      </c>
      <c r="D344" s="11">
        <v>45268</v>
      </c>
      <c r="E344" s="75">
        <v>909.652</v>
      </c>
    </row>
    <row r="345" ht="15.75" spans="1:5">
      <c r="A345" s="33">
        <v>3045730461</v>
      </c>
      <c r="B345" s="33">
        <v>398843.511</v>
      </c>
      <c r="C345" s="33">
        <v>941.53</v>
      </c>
      <c r="D345" s="11">
        <v>45269</v>
      </c>
      <c r="E345" s="75">
        <v>909.623</v>
      </c>
    </row>
    <row r="346" ht="15.75" spans="1:5">
      <c r="A346" s="33">
        <v>3045730461</v>
      </c>
      <c r="B346" s="33">
        <v>398843.511</v>
      </c>
      <c r="C346" s="33">
        <v>941.53</v>
      </c>
      <c r="D346" s="11">
        <v>45270</v>
      </c>
      <c r="E346" s="75">
        <v>909.605</v>
      </c>
    </row>
    <row r="347" ht="15.75" spans="1:5">
      <c r="A347" s="33">
        <v>3045730461</v>
      </c>
      <c r="B347" s="33">
        <v>398843.511</v>
      </c>
      <c r="C347" s="33">
        <v>941.53</v>
      </c>
      <c r="D347" s="11">
        <v>45271</v>
      </c>
      <c r="E347" s="75">
        <v>909.56</v>
      </c>
    </row>
    <row r="348" ht="15.75" spans="1:5">
      <c r="A348" s="33">
        <v>3045730461</v>
      </c>
      <c r="B348" s="33">
        <v>398843.511</v>
      </c>
      <c r="C348" s="33">
        <v>941.53</v>
      </c>
      <c r="D348" s="11">
        <v>45272</v>
      </c>
      <c r="E348" s="75">
        <v>909.54</v>
      </c>
    </row>
    <row r="349" ht="15.75" spans="1:5">
      <c r="A349" s="33">
        <v>3045730461</v>
      </c>
      <c r="B349" s="33">
        <v>398843.511</v>
      </c>
      <c r="C349" s="33">
        <v>941.53</v>
      </c>
      <c r="D349" s="11">
        <v>45273</v>
      </c>
      <c r="E349" s="75">
        <v>909.562</v>
      </c>
    </row>
    <row r="350" ht="15.75" spans="1:5">
      <c r="A350" s="33">
        <v>3045730461</v>
      </c>
      <c r="B350" s="33">
        <v>398843.511</v>
      </c>
      <c r="C350" s="33">
        <v>941.53</v>
      </c>
      <c r="D350" s="11">
        <v>45274</v>
      </c>
      <c r="E350" s="75">
        <v>909.536</v>
      </c>
    </row>
    <row r="351" ht="15.75" spans="1:5">
      <c r="A351" s="33">
        <v>3045730461</v>
      </c>
      <c r="B351" s="33">
        <v>398843.511</v>
      </c>
      <c r="C351" s="33">
        <v>941.53</v>
      </c>
      <c r="D351" s="11">
        <v>45275</v>
      </c>
      <c r="E351" s="75">
        <v>909.484</v>
      </c>
    </row>
    <row r="352" ht="15.75" spans="1:5">
      <c r="A352" s="33">
        <v>3045730461</v>
      </c>
      <c r="B352" s="33">
        <v>398843.511</v>
      </c>
      <c r="C352" s="33">
        <v>941.53</v>
      </c>
      <c r="D352" s="11">
        <v>45276</v>
      </c>
      <c r="E352" s="75">
        <v>909.439</v>
      </c>
    </row>
    <row r="353" ht="15.75" spans="1:5">
      <c r="A353" s="33">
        <v>3045730461</v>
      </c>
      <c r="B353" s="33">
        <v>398843.511</v>
      </c>
      <c r="C353" s="33">
        <v>941.53</v>
      </c>
      <c r="D353" s="11">
        <v>45277</v>
      </c>
      <c r="E353" s="75">
        <v>909.447</v>
      </c>
    </row>
    <row r="354" ht="15.75" spans="1:5">
      <c r="A354" s="33">
        <v>3045730461</v>
      </c>
      <c r="B354" s="33">
        <v>398843.511</v>
      </c>
      <c r="C354" s="33">
        <v>941.53</v>
      </c>
      <c r="D354" s="11">
        <v>45278</v>
      </c>
      <c r="E354" s="75">
        <v>909.421</v>
      </c>
    </row>
    <row r="355" ht="15.75" spans="1:5">
      <c r="A355" s="33">
        <v>3045730461</v>
      </c>
      <c r="B355" s="33">
        <v>398843.511</v>
      </c>
      <c r="C355" s="33">
        <v>941.53</v>
      </c>
      <c r="D355" s="11">
        <v>45279</v>
      </c>
      <c r="E355" s="75">
        <v>909.389</v>
      </c>
    </row>
    <row r="356" ht="15.75" spans="1:5">
      <c r="A356" s="33">
        <v>3045730461</v>
      </c>
      <c r="B356" s="33">
        <v>398843.511</v>
      </c>
      <c r="C356" s="33">
        <v>941.53</v>
      </c>
      <c r="D356" s="11">
        <v>45280</v>
      </c>
      <c r="E356" s="75">
        <v>909.362</v>
      </c>
    </row>
    <row r="357" ht="15.75" spans="1:5">
      <c r="A357" s="33">
        <v>3045730461</v>
      </c>
      <c r="B357" s="33">
        <v>398843.511</v>
      </c>
      <c r="C357" s="33">
        <v>941.53</v>
      </c>
      <c r="D357" s="11">
        <v>45281</v>
      </c>
      <c r="E357" s="75">
        <v>909.342</v>
      </c>
    </row>
    <row r="358" ht="15.75" spans="1:5">
      <c r="A358" s="33">
        <v>3045730461</v>
      </c>
      <c r="B358" s="33">
        <v>398843.511</v>
      </c>
      <c r="C358" s="33">
        <v>941.53</v>
      </c>
      <c r="D358" s="11">
        <v>45282</v>
      </c>
      <c r="E358" s="75">
        <v>909.345</v>
      </c>
    </row>
    <row r="359" ht="15.75" spans="1:5">
      <c r="A359" s="33">
        <v>3045730461</v>
      </c>
      <c r="B359" s="33">
        <v>398843.511</v>
      </c>
      <c r="C359" s="33">
        <v>941.53</v>
      </c>
      <c r="D359" s="11">
        <v>45283</v>
      </c>
      <c r="E359" s="75">
        <v>909.317</v>
      </c>
    </row>
    <row r="360" ht="15.75" spans="1:5">
      <c r="A360" s="33">
        <v>3045730461</v>
      </c>
      <c r="B360" s="33">
        <v>398843.511</v>
      </c>
      <c r="C360" s="33">
        <v>941.53</v>
      </c>
      <c r="D360" s="11">
        <v>45284</v>
      </c>
      <c r="E360" s="75">
        <v>909.291</v>
      </c>
    </row>
    <row r="361" ht="15.75" spans="1:5">
      <c r="A361" s="33">
        <v>3045730461</v>
      </c>
      <c r="B361" s="33">
        <v>398843.511</v>
      </c>
      <c r="C361" s="33">
        <v>941.53</v>
      </c>
      <c r="D361" s="11">
        <v>45285</v>
      </c>
      <c r="E361" s="75">
        <v>909.307</v>
      </c>
    </row>
    <row r="362" ht="15.75" spans="1:5">
      <c r="A362" s="33">
        <v>3045730461</v>
      </c>
      <c r="B362" s="33">
        <v>398843.511</v>
      </c>
      <c r="C362" s="33">
        <v>941.53</v>
      </c>
      <c r="D362" s="11">
        <v>45286</v>
      </c>
      <c r="E362" s="75">
        <v>909.294</v>
      </c>
    </row>
    <row r="363" ht="15.75" spans="1:5">
      <c r="A363" s="33">
        <v>3045730461</v>
      </c>
      <c r="B363" s="33">
        <v>398843.511</v>
      </c>
      <c r="C363" s="33">
        <v>941.53</v>
      </c>
      <c r="D363" s="11">
        <v>45287</v>
      </c>
      <c r="E363" s="75">
        <v>909.279</v>
      </c>
    </row>
    <row r="364" ht="15.75" spans="1:5">
      <c r="A364" s="33">
        <v>3045730461</v>
      </c>
      <c r="B364" s="33">
        <v>398843.511</v>
      </c>
      <c r="C364" s="33">
        <v>941.53</v>
      </c>
      <c r="D364" s="11">
        <v>45288</v>
      </c>
      <c r="E364" s="75">
        <v>909.274</v>
      </c>
    </row>
    <row r="365" ht="15.75" spans="1:5">
      <c r="A365" s="33">
        <v>3045730461</v>
      </c>
      <c r="B365" s="33">
        <v>398843.511</v>
      </c>
      <c r="C365" s="33">
        <v>941.53</v>
      </c>
      <c r="D365" s="11">
        <v>45289</v>
      </c>
      <c r="E365" s="75">
        <v>909.266</v>
      </c>
    </row>
    <row r="366" ht="15.75" spans="1:5">
      <c r="A366" s="33">
        <v>3045730461</v>
      </c>
      <c r="B366" s="33">
        <v>398843.511</v>
      </c>
      <c r="C366" s="33">
        <v>941.53</v>
      </c>
      <c r="D366" s="11">
        <v>45290</v>
      </c>
      <c r="E366" s="75">
        <v>909.274</v>
      </c>
    </row>
    <row r="367" ht="15.75" spans="1:5">
      <c r="A367" s="33">
        <v>3045730461</v>
      </c>
      <c r="B367" s="33">
        <v>398843.511</v>
      </c>
      <c r="C367" s="33">
        <v>941.53</v>
      </c>
      <c r="D367" s="11">
        <v>45291</v>
      </c>
      <c r="E367" s="78">
        <v>909.265</v>
      </c>
    </row>
    <row r="368" ht="15.75" spans="1:5">
      <c r="A368" s="33">
        <v>3045730461</v>
      </c>
      <c r="B368" s="33">
        <v>398843.511</v>
      </c>
      <c r="C368" s="33">
        <v>941.53</v>
      </c>
      <c r="D368" s="11">
        <v>45292</v>
      </c>
      <c r="E368" s="75">
        <v>909.246</v>
      </c>
    </row>
    <row r="369" ht="15.75" spans="1:5">
      <c r="A369" s="33">
        <v>3045730461</v>
      </c>
      <c r="B369" s="33">
        <v>398843.511</v>
      </c>
      <c r="C369" s="33">
        <v>941.53</v>
      </c>
      <c r="D369" s="11">
        <v>45293</v>
      </c>
      <c r="E369" s="75">
        <v>909.23</v>
      </c>
    </row>
    <row r="370" ht="15.75" spans="1:5">
      <c r="A370" s="33">
        <v>3045730461</v>
      </c>
      <c r="B370" s="33">
        <v>398843.511</v>
      </c>
      <c r="C370" s="33">
        <v>941.53</v>
      </c>
      <c r="D370" s="11">
        <v>45294</v>
      </c>
      <c r="E370" s="75">
        <v>909.197</v>
      </c>
    </row>
    <row r="371" ht="15.75" spans="1:5">
      <c r="A371" s="33">
        <v>3045730461</v>
      </c>
      <c r="B371" s="33">
        <v>398843.511</v>
      </c>
      <c r="C371" s="33">
        <v>941.53</v>
      </c>
      <c r="D371" s="11">
        <v>45295</v>
      </c>
      <c r="E371" s="75">
        <v>909.212</v>
      </c>
    </row>
    <row r="372" ht="15.75" spans="1:5">
      <c r="A372" s="33">
        <v>3045730461</v>
      </c>
      <c r="B372" s="33">
        <v>398843.511</v>
      </c>
      <c r="C372" s="33">
        <v>941.53</v>
      </c>
      <c r="D372" s="11">
        <v>45296</v>
      </c>
      <c r="E372" s="75">
        <v>909.185</v>
      </c>
    </row>
    <row r="373" ht="15.75" spans="1:5">
      <c r="A373" s="33">
        <v>3045730461</v>
      </c>
      <c r="B373" s="33">
        <v>398843.511</v>
      </c>
      <c r="C373" s="33">
        <v>941.53</v>
      </c>
      <c r="D373" s="11">
        <v>45297</v>
      </c>
      <c r="E373" s="75">
        <v>909.163</v>
      </c>
    </row>
    <row r="374" ht="15.75" spans="1:5">
      <c r="A374" s="33">
        <v>3045730461</v>
      </c>
      <c r="B374" s="33">
        <v>398843.511</v>
      </c>
      <c r="C374" s="33">
        <v>941.53</v>
      </c>
      <c r="D374" s="11">
        <v>45298</v>
      </c>
      <c r="E374" s="75">
        <v>909.153</v>
      </c>
    </row>
    <row r="375" ht="15.75" spans="1:5">
      <c r="A375" s="33">
        <v>3045730461</v>
      </c>
      <c r="B375" s="33">
        <v>398843.511</v>
      </c>
      <c r="C375" s="33">
        <v>941.53</v>
      </c>
      <c r="D375" s="11">
        <v>45299</v>
      </c>
      <c r="E375" s="75">
        <v>909.138</v>
      </c>
    </row>
    <row r="376" ht="15.75" spans="1:5">
      <c r="A376" s="33">
        <v>3045730461</v>
      </c>
      <c r="B376" s="33">
        <v>398843.511</v>
      </c>
      <c r="C376" s="33">
        <v>941.53</v>
      </c>
      <c r="D376" s="11">
        <v>45300</v>
      </c>
      <c r="E376" s="75">
        <v>909.123</v>
      </c>
    </row>
    <row r="377" ht="15.75" spans="1:5">
      <c r="A377" s="33">
        <v>3045730461</v>
      </c>
      <c r="B377" s="33">
        <v>398843.511</v>
      </c>
      <c r="C377" s="33">
        <v>941.53</v>
      </c>
      <c r="D377" s="11">
        <v>45301</v>
      </c>
      <c r="E377" s="75">
        <v>909.123</v>
      </c>
    </row>
    <row r="378" ht="15.75" spans="1:5">
      <c r="A378" s="33">
        <v>3045730461</v>
      </c>
      <c r="B378" s="33">
        <v>398843.511</v>
      </c>
      <c r="C378" s="33">
        <v>941.53</v>
      </c>
      <c r="D378" s="11">
        <v>45302</v>
      </c>
      <c r="E378" s="75">
        <v>909.118</v>
      </c>
    </row>
    <row r="379" ht="15.75" spans="1:5">
      <c r="A379" s="33">
        <v>3045730461</v>
      </c>
      <c r="B379" s="33">
        <v>398843.511</v>
      </c>
      <c r="C379" s="33">
        <v>941.53</v>
      </c>
      <c r="D379" s="11">
        <v>45303</v>
      </c>
      <c r="E379" s="75">
        <v>909.116</v>
      </c>
    </row>
    <row r="380" ht="15.75" spans="1:5">
      <c r="A380" s="33">
        <v>3045730461</v>
      </c>
      <c r="B380" s="33">
        <v>398843.511</v>
      </c>
      <c r="C380" s="33">
        <v>941.53</v>
      </c>
      <c r="D380" s="11">
        <v>45304</v>
      </c>
      <c r="E380" s="75">
        <v>909.092</v>
      </c>
    </row>
    <row r="381" ht="15.75" spans="1:5">
      <c r="A381" s="33">
        <v>3045730461</v>
      </c>
      <c r="B381" s="33">
        <v>398843.511</v>
      </c>
      <c r="C381" s="33">
        <v>941.53</v>
      </c>
      <c r="D381" s="11">
        <v>45305</v>
      </c>
      <c r="E381" s="75">
        <v>909.07</v>
      </c>
    </row>
    <row r="382" ht="15.75" spans="1:5">
      <c r="A382" s="33">
        <v>3045730461</v>
      </c>
      <c r="B382" s="33">
        <v>398843.511</v>
      </c>
      <c r="C382" s="33">
        <v>941.53</v>
      </c>
      <c r="D382" s="11">
        <v>45306</v>
      </c>
      <c r="E382" s="75">
        <v>909.066</v>
      </c>
    </row>
    <row r="383" ht="15.75" spans="1:5">
      <c r="A383" s="33">
        <v>3045730461</v>
      </c>
      <c r="B383" s="33">
        <v>398843.511</v>
      </c>
      <c r="C383" s="33">
        <v>941.53</v>
      </c>
      <c r="D383" s="11">
        <v>45307</v>
      </c>
      <c r="E383" s="75">
        <v>909.038</v>
      </c>
    </row>
    <row r="384" ht="15.75" spans="1:5">
      <c r="A384" s="33">
        <v>3045730461</v>
      </c>
      <c r="B384" s="33">
        <v>398843.511</v>
      </c>
      <c r="C384" s="33">
        <v>941.53</v>
      </c>
      <c r="D384" s="11">
        <v>45308</v>
      </c>
      <c r="E384" s="75">
        <v>909.014</v>
      </c>
    </row>
    <row r="385" ht="15.75" spans="1:5">
      <c r="A385" s="33">
        <v>3045730461</v>
      </c>
      <c r="B385" s="33">
        <v>398843.511</v>
      </c>
      <c r="C385" s="33">
        <v>941.53</v>
      </c>
      <c r="D385" s="11">
        <v>45309</v>
      </c>
      <c r="E385" s="75">
        <v>908.99</v>
      </c>
    </row>
    <row r="386" ht="15.75" spans="1:5">
      <c r="A386" s="33">
        <v>3045730461</v>
      </c>
      <c r="B386" s="33">
        <v>398843.511</v>
      </c>
      <c r="C386" s="33">
        <v>941.53</v>
      </c>
      <c r="D386" s="11">
        <v>45310</v>
      </c>
      <c r="E386" s="75">
        <v>908.954</v>
      </c>
    </row>
    <row r="387" ht="15.75" spans="1:5">
      <c r="A387" s="33">
        <v>3045730461</v>
      </c>
      <c r="B387" s="33">
        <v>398843.511</v>
      </c>
      <c r="C387" s="33">
        <v>941.53</v>
      </c>
      <c r="D387" s="11">
        <v>45311</v>
      </c>
      <c r="E387" s="75">
        <v>908.954</v>
      </c>
    </row>
    <row r="388" ht="15.75" spans="1:5">
      <c r="A388" s="33">
        <v>3045730461</v>
      </c>
      <c r="B388" s="33">
        <v>398843.511</v>
      </c>
      <c r="C388" s="33">
        <v>941.53</v>
      </c>
      <c r="D388" s="11">
        <v>45312</v>
      </c>
      <c r="E388" s="75">
        <v>908.901</v>
      </c>
    </row>
    <row r="389" ht="15.75" spans="1:5">
      <c r="A389" s="33">
        <v>3045730461</v>
      </c>
      <c r="B389" s="33">
        <v>398843.511</v>
      </c>
      <c r="C389" s="33">
        <v>941.53</v>
      </c>
      <c r="D389" s="11">
        <v>45313</v>
      </c>
      <c r="E389" s="79">
        <v>908.837</v>
      </c>
    </row>
    <row r="390" ht="15.75" spans="1:5">
      <c r="A390" s="33">
        <v>3045730461</v>
      </c>
      <c r="B390" s="33">
        <v>398843.511</v>
      </c>
      <c r="C390" s="33">
        <v>941.53</v>
      </c>
      <c r="D390" s="11">
        <v>45314</v>
      </c>
      <c r="E390" s="79">
        <v>908.864</v>
      </c>
    </row>
    <row r="391" ht="15.75" spans="1:5">
      <c r="A391" s="33">
        <v>3045730461</v>
      </c>
      <c r="B391" s="33">
        <v>398843.511</v>
      </c>
      <c r="C391" s="33">
        <v>941.53</v>
      </c>
      <c r="D391" s="11">
        <v>45315</v>
      </c>
      <c r="E391" s="79">
        <v>908.835</v>
      </c>
    </row>
    <row r="392" ht="15.75" spans="1:5">
      <c r="A392" s="33">
        <v>3045730461</v>
      </c>
      <c r="B392" s="33">
        <v>398843.511</v>
      </c>
      <c r="C392" s="33">
        <v>941.53</v>
      </c>
      <c r="D392" s="11">
        <v>45316</v>
      </c>
      <c r="E392" s="79">
        <v>908.82</v>
      </c>
    </row>
    <row r="393" ht="15.75" spans="1:5">
      <c r="A393" s="33">
        <v>3045730461</v>
      </c>
      <c r="B393" s="33">
        <v>398843.511</v>
      </c>
      <c r="C393" s="33">
        <v>941.53</v>
      </c>
      <c r="D393" s="11">
        <v>45317</v>
      </c>
      <c r="E393" s="79">
        <v>908.796</v>
      </c>
    </row>
    <row r="394" ht="15.75" spans="1:5">
      <c r="A394" s="33">
        <v>3045730461</v>
      </c>
      <c r="B394" s="33">
        <v>398843.511</v>
      </c>
      <c r="C394" s="33">
        <v>941.53</v>
      </c>
      <c r="D394" s="11">
        <v>45318</v>
      </c>
      <c r="E394" s="79">
        <v>908.794</v>
      </c>
    </row>
    <row r="395" ht="15.75" spans="1:5">
      <c r="A395" s="33">
        <v>3045730461</v>
      </c>
      <c r="B395" s="33">
        <v>398843.511</v>
      </c>
      <c r="C395" s="33">
        <v>941.53</v>
      </c>
      <c r="D395" s="11">
        <v>45319</v>
      </c>
      <c r="E395" s="79">
        <v>908.784</v>
      </c>
    </row>
    <row r="396" ht="15.75" spans="1:5">
      <c r="A396" s="33">
        <v>3045730461</v>
      </c>
      <c r="B396" s="33">
        <v>398843.511</v>
      </c>
      <c r="C396" s="33">
        <v>941.53</v>
      </c>
      <c r="D396" s="11">
        <v>45320</v>
      </c>
      <c r="E396" s="79">
        <v>908.792</v>
      </c>
    </row>
    <row r="397" ht="15.75" spans="1:5">
      <c r="A397" s="33">
        <v>3045730461</v>
      </c>
      <c r="B397" s="33">
        <v>398843.511</v>
      </c>
      <c r="C397" s="33">
        <v>941.53</v>
      </c>
      <c r="D397" s="11">
        <v>45321</v>
      </c>
      <c r="E397" s="79">
        <v>908.851</v>
      </c>
    </row>
    <row r="398" ht="15.75" spans="1:5">
      <c r="A398" s="33">
        <v>3045730461</v>
      </c>
      <c r="B398" s="33">
        <v>398843.511</v>
      </c>
      <c r="C398" s="33">
        <v>941.53</v>
      </c>
      <c r="D398" s="11">
        <v>45322</v>
      </c>
      <c r="E398" s="79">
        <v>908.885</v>
      </c>
    </row>
    <row r="399" ht="15.75" spans="1:5">
      <c r="A399" s="33">
        <v>3045730461</v>
      </c>
      <c r="B399" s="33">
        <v>398843.511</v>
      </c>
      <c r="C399" s="33">
        <v>941.53</v>
      </c>
      <c r="D399" s="11">
        <v>45323</v>
      </c>
      <c r="E399" s="79">
        <v>908.933</v>
      </c>
    </row>
    <row r="400" ht="15.75" spans="1:5">
      <c r="A400" s="33">
        <v>3045730461</v>
      </c>
      <c r="B400" s="33">
        <v>398843.511</v>
      </c>
      <c r="C400" s="33">
        <v>941.53</v>
      </c>
      <c r="D400" s="11">
        <v>45324</v>
      </c>
      <c r="E400" s="79">
        <v>908.905</v>
      </c>
    </row>
    <row r="401" ht="15.75" spans="1:5">
      <c r="A401" s="33">
        <v>3045730461</v>
      </c>
      <c r="B401" s="33">
        <v>398843.511</v>
      </c>
      <c r="C401" s="33">
        <v>941.53</v>
      </c>
      <c r="D401" s="11">
        <v>45325</v>
      </c>
      <c r="E401" s="79">
        <v>908.859</v>
      </c>
    </row>
    <row r="402" ht="15.75" spans="1:5">
      <c r="A402" s="33">
        <v>3045730461</v>
      </c>
      <c r="B402" s="33">
        <v>398843.511</v>
      </c>
      <c r="C402" s="33">
        <v>941.53</v>
      </c>
      <c r="D402" s="11">
        <v>45326</v>
      </c>
      <c r="E402" s="79">
        <v>908.836</v>
      </c>
    </row>
    <row r="403" ht="15.75" spans="1:5">
      <c r="A403" s="33">
        <v>3045730461</v>
      </c>
      <c r="B403" s="33">
        <v>398843.511</v>
      </c>
      <c r="C403" s="33">
        <v>941.53</v>
      </c>
      <c r="D403" s="11">
        <v>45327</v>
      </c>
      <c r="E403" s="79">
        <v>908.825</v>
      </c>
    </row>
    <row r="404" ht="15.75" spans="1:5">
      <c r="A404" s="33">
        <v>3045730461</v>
      </c>
      <c r="B404" s="33">
        <v>398843.511</v>
      </c>
      <c r="C404" s="33">
        <v>941.53</v>
      </c>
      <c r="D404" s="11">
        <v>45328</v>
      </c>
      <c r="E404" s="79">
        <v>908.793</v>
      </c>
    </row>
    <row r="405" ht="15.75" spans="1:5">
      <c r="A405" s="33">
        <v>3045730461</v>
      </c>
      <c r="B405" s="33">
        <v>398843.511</v>
      </c>
      <c r="C405" s="33">
        <v>941.53</v>
      </c>
      <c r="D405" s="11">
        <v>45329</v>
      </c>
      <c r="E405" s="79">
        <v>908.772</v>
      </c>
    </row>
    <row r="406" ht="15.75" spans="1:5">
      <c r="A406" s="33">
        <v>3045730461</v>
      </c>
      <c r="B406" s="33">
        <v>398843.511</v>
      </c>
      <c r="C406" s="33">
        <v>941.53</v>
      </c>
      <c r="D406" s="11">
        <v>45330</v>
      </c>
      <c r="E406" s="79">
        <v>908.758</v>
      </c>
    </row>
    <row r="407" ht="15.75" spans="1:5">
      <c r="A407" s="33">
        <v>3045730461</v>
      </c>
      <c r="B407" s="33">
        <v>398843.511</v>
      </c>
      <c r="C407" s="33">
        <v>941.53</v>
      </c>
      <c r="D407" s="11">
        <v>45331</v>
      </c>
      <c r="E407" s="79">
        <v>908.717</v>
      </c>
    </row>
    <row r="408" ht="15.75" spans="1:5">
      <c r="A408" s="33">
        <v>3045730461</v>
      </c>
      <c r="B408" s="33">
        <v>398843.511</v>
      </c>
      <c r="C408" s="33">
        <v>941.53</v>
      </c>
      <c r="D408" s="11">
        <v>45332</v>
      </c>
      <c r="E408" s="79">
        <v>908.777</v>
      </c>
    </row>
    <row r="409" ht="15.75" spans="1:5">
      <c r="A409" s="33">
        <v>3045730461</v>
      </c>
      <c r="B409" s="33">
        <v>398843.511</v>
      </c>
      <c r="C409" s="33">
        <v>941.53</v>
      </c>
      <c r="D409" s="11">
        <v>45333</v>
      </c>
      <c r="E409" s="79">
        <v>908.873</v>
      </c>
    </row>
    <row r="410" ht="15.75" spans="1:5">
      <c r="A410" s="33">
        <v>3045730461</v>
      </c>
      <c r="B410" s="33">
        <v>398843.511</v>
      </c>
      <c r="C410" s="33">
        <v>941.53</v>
      </c>
      <c r="D410" s="11">
        <v>45334</v>
      </c>
      <c r="E410" s="79">
        <v>908.931</v>
      </c>
    </row>
    <row r="411" ht="15.75" spans="1:5">
      <c r="A411" s="33">
        <v>3045730461</v>
      </c>
      <c r="B411" s="33">
        <v>398843.511</v>
      </c>
      <c r="C411" s="33">
        <v>941.53</v>
      </c>
      <c r="D411" s="11">
        <v>45335</v>
      </c>
      <c r="E411" s="79">
        <v>908.949</v>
      </c>
    </row>
    <row r="412" ht="15.75" spans="1:5">
      <c r="A412" s="33">
        <v>3045730461</v>
      </c>
      <c r="B412" s="33">
        <v>398843.511</v>
      </c>
      <c r="C412" s="33">
        <v>941.53</v>
      </c>
      <c r="D412" s="11">
        <v>45336</v>
      </c>
      <c r="E412" s="80">
        <v>908.925</v>
      </c>
    </row>
    <row r="413" ht="15.75" spans="1:5">
      <c r="A413" s="33">
        <v>3045730461</v>
      </c>
      <c r="B413" s="33">
        <v>398843.511</v>
      </c>
      <c r="C413" s="33">
        <v>941.53</v>
      </c>
      <c r="D413" s="11">
        <v>45337</v>
      </c>
      <c r="E413" s="74"/>
    </row>
    <row r="414" ht="15.75" spans="1:5">
      <c r="A414" s="33">
        <v>3045730461</v>
      </c>
      <c r="B414" s="33">
        <v>398843.511</v>
      </c>
      <c r="C414" s="33">
        <v>941.53</v>
      </c>
      <c r="D414" s="11">
        <v>45338</v>
      </c>
      <c r="E414" s="74"/>
    </row>
    <row r="415" ht="15.75" spans="1:5">
      <c r="A415" s="33">
        <v>3045730461</v>
      </c>
      <c r="B415" s="33">
        <v>398843.511</v>
      </c>
      <c r="C415" s="33">
        <v>941.53</v>
      </c>
      <c r="D415" s="11">
        <v>45339</v>
      </c>
      <c r="E415" s="74"/>
    </row>
    <row r="416" ht="15.75" spans="1:5">
      <c r="A416" s="33">
        <v>3045730461</v>
      </c>
      <c r="B416" s="33">
        <v>398843.511</v>
      </c>
      <c r="C416" s="33">
        <v>941.53</v>
      </c>
      <c r="D416" s="11">
        <v>45340</v>
      </c>
      <c r="E416" s="74"/>
    </row>
    <row r="417" ht="15.75" spans="1:5">
      <c r="A417" s="33">
        <v>3045730461</v>
      </c>
      <c r="B417" s="33">
        <v>398843.511</v>
      </c>
      <c r="C417" s="33">
        <v>941.53</v>
      </c>
      <c r="D417" s="11">
        <v>45341</v>
      </c>
      <c r="E417" s="79">
        <v>908.645</v>
      </c>
    </row>
    <row r="418" ht="15.75" spans="1:5">
      <c r="A418" s="33">
        <v>3045730461</v>
      </c>
      <c r="B418" s="33">
        <v>398843.511</v>
      </c>
      <c r="C418" s="33">
        <v>941.53</v>
      </c>
      <c r="D418" s="11">
        <v>45342</v>
      </c>
      <c r="E418" s="79">
        <v>908.547</v>
      </c>
    </row>
    <row r="419" ht="15.75" spans="1:5">
      <c r="A419" s="33">
        <v>3045730461</v>
      </c>
      <c r="B419" s="33">
        <v>398843.511</v>
      </c>
      <c r="C419" s="33">
        <v>941.53</v>
      </c>
      <c r="D419" s="11">
        <v>45343</v>
      </c>
      <c r="E419" s="79">
        <v>908.073</v>
      </c>
    </row>
    <row r="420" ht="15.75" spans="1:5">
      <c r="A420" s="33">
        <v>3045730461</v>
      </c>
      <c r="B420" s="33">
        <v>398843.511</v>
      </c>
      <c r="C420" s="33">
        <v>941.53</v>
      </c>
      <c r="D420" s="11">
        <v>45344</v>
      </c>
      <c r="E420" s="79">
        <v>907.711</v>
      </c>
    </row>
    <row r="421" ht="15.75" spans="1:5">
      <c r="A421" s="33">
        <v>3045730461</v>
      </c>
      <c r="B421" s="33">
        <v>398843.511</v>
      </c>
      <c r="C421" s="33">
        <v>941.53</v>
      </c>
      <c r="D421" s="11">
        <v>45345</v>
      </c>
      <c r="E421" s="79">
        <v>908.013</v>
      </c>
    </row>
    <row r="422" ht="15.75" spans="1:5">
      <c r="A422" s="33">
        <v>3045730461</v>
      </c>
      <c r="B422" s="33">
        <v>398843.511</v>
      </c>
      <c r="C422" s="33">
        <v>941.53</v>
      </c>
      <c r="D422" s="11">
        <v>45346</v>
      </c>
      <c r="E422" s="79">
        <v>907.988</v>
      </c>
    </row>
    <row r="423" ht="15.75" spans="1:5">
      <c r="A423" s="33">
        <v>3045730461</v>
      </c>
      <c r="B423" s="33">
        <v>398843.511</v>
      </c>
      <c r="C423" s="33">
        <v>941.53</v>
      </c>
      <c r="D423" s="11">
        <v>45347</v>
      </c>
      <c r="E423" s="79">
        <v>907.964</v>
      </c>
    </row>
    <row r="424" ht="15.75" spans="1:5">
      <c r="A424" s="33">
        <v>3045730461</v>
      </c>
      <c r="B424" s="33">
        <v>398843.511</v>
      </c>
      <c r="C424" s="33">
        <v>941.53</v>
      </c>
      <c r="D424" s="11">
        <v>45348</v>
      </c>
      <c r="E424" s="79">
        <v>907.838</v>
      </c>
    </row>
    <row r="425" ht="15.75" spans="1:5">
      <c r="A425" s="33">
        <v>3045730461</v>
      </c>
      <c r="B425" s="33">
        <v>398843.511</v>
      </c>
      <c r="C425" s="33">
        <v>941.53</v>
      </c>
      <c r="D425" s="11">
        <v>45349</v>
      </c>
      <c r="E425" s="79">
        <v>908.002</v>
      </c>
    </row>
    <row r="426" ht="15.75" spans="1:5">
      <c r="A426" s="33">
        <v>3045730461</v>
      </c>
      <c r="B426" s="33">
        <v>398843.511</v>
      </c>
      <c r="C426" s="33">
        <v>941.53</v>
      </c>
      <c r="D426" s="11">
        <v>45350</v>
      </c>
      <c r="E426" s="79">
        <v>908.074</v>
      </c>
    </row>
    <row r="427" ht="15.75" spans="1:5">
      <c r="A427" s="33">
        <v>3045730461</v>
      </c>
      <c r="B427" s="33">
        <v>398843.511</v>
      </c>
      <c r="C427" s="33">
        <v>941.53</v>
      </c>
      <c r="D427" s="11">
        <v>45351</v>
      </c>
      <c r="E427" s="79">
        <v>908.137</v>
      </c>
    </row>
    <row r="428" ht="15.75" spans="1:5">
      <c r="A428" s="33">
        <v>3045730461</v>
      </c>
      <c r="B428" s="33">
        <v>398843.511</v>
      </c>
      <c r="C428" s="33">
        <v>941.53</v>
      </c>
      <c r="D428" s="11">
        <v>45352</v>
      </c>
      <c r="E428" s="79">
        <v>908.235</v>
      </c>
    </row>
    <row r="429" ht="15.75" spans="1:5">
      <c r="A429" s="33">
        <v>3045730461</v>
      </c>
      <c r="B429" s="33">
        <v>398843.511</v>
      </c>
      <c r="C429" s="33">
        <v>941.53</v>
      </c>
      <c r="D429" s="11">
        <v>45353</v>
      </c>
      <c r="E429" s="79">
        <v>908.137</v>
      </c>
    </row>
    <row r="430" ht="15.75" spans="1:5">
      <c r="A430" s="33">
        <v>3045730461</v>
      </c>
      <c r="B430" s="33">
        <v>398843.511</v>
      </c>
      <c r="C430" s="33">
        <v>941.53</v>
      </c>
      <c r="D430" s="11">
        <v>45354</v>
      </c>
      <c r="E430" s="79">
        <v>908.235</v>
      </c>
    </row>
    <row r="431" ht="15.75" spans="1:5">
      <c r="A431" s="33">
        <v>3045730461</v>
      </c>
      <c r="B431" s="33">
        <v>398843.511</v>
      </c>
      <c r="C431" s="33">
        <v>941.53</v>
      </c>
      <c r="D431" s="11">
        <v>45355</v>
      </c>
      <c r="E431" s="79">
        <v>908.281</v>
      </c>
    </row>
    <row r="432" ht="15.75" spans="1:5">
      <c r="A432" s="33">
        <v>3045730461</v>
      </c>
      <c r="B432" s="33">
        <v>398843.511</v>
      </c>
      <c r="C432" s="33">
        <v>941.53</v>
      </c>
      <c r="D432" s="11">
        <v>45356</v>
      </c>
      <c r="E432" s="79">
        <v>908.295</v>
      </c>
    </row>
    <row r="433" ht="15.75" spans="1:5">
      <c r="A433" s="33">
        <v>3045730461</v>
      </c>
      <c r="B433" s="33">
        <v>398843.511</v>
      </c>
      <c r="C433" s="33">
        <v>941.53</v>
      </c>
      <c r="D433" s="11">
        <v>45357</v>
      </c>
      <c r="E433" s="79">
        <v>908.249</v>
      </c>
    </row>
    <row r="434" ht="15.75" spans="1:5">
      <c r="A434" s="33">
        <v>3045730461</v>
      </c>
      <c r="B434" s="33">
        <v>398843.511</v>
      </c>
      <c r="C434" s="33">
        <v>941.53</v>
      </c>
      <c r="D434" s="11">
        <v>45358</v>
      </c>
      <c r="E434" s="79">
        <v>908.233</v>
      </c>
    </row>
    <row r="435" ht="15.75" spans="1:5">
      <c r="A435" s="33">
        <v>3045730461</v>
      </c>
      <c r="B435" s="33">
        <v>398843.511</v>
      </c>
      <c r="C435" s="33">
        <v>941.53</v>
      </c>
      <c r="D435" s="11">
        <v>45359</v>
      </c>
      <c r="E435" s="79">
        <v>908.315</v>
      </c>
    </row>
    <row r="436" ht="15.75" spans="1:5">
      <c r="A436" s="33">
        <v>3045730461</v>
      </c>
      <c r="B436" s="33">
        <v>398843.511</v>
      </c>
      <c r="C436" s="33">
        <v>941.53</v>
      </c>
      <c r="D436" s="11">
        <v>45360</v>
      </c>
      <c r="E436" s="79">
        <v>908.395</v>
      </c>
    </row>
    <row r="437" ht="15.75" spans="1:5">
      <c r="A437" s="33">
        <v>3045730461</v>
      </c>
      <c r="B437" s="33">
        <v>398843.511</v>
      </c>
      <c r="C437" s="33">
        <v>941.53</v>
      </c>
      <c r="D437" s="11">
        <v>45361</v>
      </c>
      <c r="E437" s="79">
        <v>908.441</v>
      </c>
    </row>
    <row r="438" ht="15.75" spans="1:5">
      <c r="A438" s="33">
        <v>3045730461</v>
      </c>
      <c r="B438" s="33">
        <v>398843.511</v>
      </c>
      <c r="C438" s="33">
        <v>941.53</v>
      </c>
      <c r="D438" s="11">
        <v>45362</v>
      </c>
      <c r="E438" s="79">
        <v>908.477</v>
      </c>
    </row>
    <row r="439" ht="15.75" spans="1:5">
      <c r="A439" s="33">
        <v>3045730461</v>
      </c>
      <c r="B439" s="33">
        <v>398843.511</v>
      </c>
      <c r="C439" s="33">
        <v>941.53</v>
      </c>
      <c r="D439" s="11">
        <v>45363</v>
      </c>
      <c r="E439" s="79">
        <v>908.553</v>
      </c>
    </row>
    <row r="440" ht="15.75" spans="1:5">
      <c r="A440" s="33">
        <v>3045730461</v>
      </c>
      <c r="B440" s="33">
        <v>398843.511</v>
      </c>
      <c r="C440" s="33">
        <v>941.53</v>
      </c>
      <c r="D440" s="11">
        <v>45364</v>
      </c>
      <c r="E440" s="79">
        <v>908.497</v>
      </c>
    </row>
    <row r="441" ht="15.75" spans="1:5">
      <c r="A441" s="33">
        <v>3045730461</v>
      </c>
      <c r="B441" s="33">
        <v>398843.511</v>
      </c>
      <c r="C441" s="33">
        <v>941.53</v>
      </c>
      <c r="D441" s="11">
        <v>45365</v>
      </c>
      <c r="E441" s="79">
        <v>908.472</v>
      </c>
    </row>
    <row r="442" ht="15.75" spans="1:5">
      <c r="A442" s="33">
        <v>3045730461</v>
      </c>
      <c r="B442" s="33">
        <v>398843.511</v>
      </c>
      <c r="C442" s="33">
        <v>941.53</v>
      </c>
      <c r="D442" s="11">
        <v>45366</v>
      </c>
      <c r="E442" s="79">
        <v>908.463</v>
      </c>
    </row>
    <row r="443" ht="15.75" spans="1:5">
      <c r="A443" s="33">
        <v>3045730461</v>
      </c>
      <c r="B443" s="33">
        <v>398843.511</v>
      </c>
      <c r="C443" s="33">
        <v>941.53</v>
      </c>
      <c r="D443" s="11">
        <v>45367</v>
      </c>
      <c r="E443" s="79">
        <v>908.378</v>
      </c>
    </row>
    <row r="444" ht="15.75" spans="1:5">
      <c r="A444" s="33">
        <v>3045730461</v>
      </c>
      <c r="B444" s="33">
        <v>398843.511</v>
      </c>
      <c r="C444" s="33">
        <v>941.53</v>
      </c>
      <c r="D444" s="11">
        <v>45368</v>
      </c>
      <c r="E444" s="79">
        <v>908.372</v>
      </c>
    </row>
    <row r="445" ht="15.75" spans="1:5">
      <c r="A445" s="33">
        <v>3045730461</v>
      </c>
      <c r="B445" s="33">
        <v>398843.511</v>
      </c>
      <c r="C445" s="33">
        <v>941.53</v>
      </c>
      <c r="D445" s="11">
        <v>45369</v>
      </c>
      <c r="E445" s="79">
        <v>908.322</v>
      </c>
    </row>
    <row r="446" ht="15.75" spans="1:5">
      <c r="A446" s="33">
        <v>3045730461</v>
      </c>
      <c r="B446" s="33">
        <v>398843.511</v>
      </c>
      <c r="C446" s="33">
        <v>941.53</v>
      </c>
      <c r="D446" s="11">
        <v>45370</v>
      </c>
      <c r="E446" s="79">
        <v>908.553</v>
      </c>
    </row>
    <row r="447" ht="15.75" spans="1:5">
      <c r="A447" s="33">
        <v>3045730461</v>
      </c>
      <c r="B447" s="33">
        <v>398843.511</v>
      </c>
      <c r="C447" s="33">
        <v>941.53</v>
      </c>
      <c r="D447" s="11">
        <v>45371</v>
      </c>
      <c r="E447" s="79">
        <v>908.552</v>
      </c>
    </row>
    <row r="448" ht="15.75" spans="1:5">
      <c r="A448" s="33">
        <v>3045730461</v>
      </c>
      <c r="B448" s="33">
        <v>398843.511</v>
      </c>
      <c r="C448" s="33">
        <v>941.53</v>
      </c>
      <c r="D448" s="11">
        <v>45372</v>
      </c>
      <c r="E448" s="79">
        <v>908.569</v>
      </c>
    </row>
    <row r="449" ht="15.75" spans="1:5">
      <c r="A449" s="33">
        <v>3045730461</v>
      </c>
      <c r="B449" s="33">
        <v>398843.511</v>
      </c>
      <c r="C449" s="33">
        <v>941.53</v>
      </c>
      <c r="D449" s="11">
        <v>45373</v>
      </c>
      <c r="E449" s="79">
        <v>908.562</v>
      </c>
    </row>
    <row r="450" ht="15.75" spans="1:5">
      <c r="A450" s="33">
        <v>3045730461</v>
      </c>
      <c r="B450" s="33">
        <v>398843.511</v>
      </c>
      <c r="C450" s="33">
        <v>941.53</v>
      </c>
      <c r="D450" s="11">
        <v>45374</v>
      </c>
      <c r="E450" s="79">
        <v>908.496</v>
      </c>
    </row>
    <row r="451" ht="15.75" spans="1:5">
      <c r="A451" s="33">
        <v>3045730461</v>
      </c>
      <c r="B451" s="33">
        <v>398843.511</v>
      </c>
      <c r="C451" s="33">
        <v>941.53</v>
      </c>
      <c r="D451" s="11">
        <v>45375</v>
      </c>
      <c r="E451" s="79">
        <v>908.423</v>
      </c>
    </row>
    <row r="452" ht="15.75" spans="1:5">
      <c r="A452" s="33">
        <v>3045730461</v>
      </c>
      <c r="B452" s="33">
        <v>398843.511</v>
      </c>
      <c r="C452" s="33">
        <v>941.53</v>
      </c>
      <c r="D452" s="11">
        <v>45376</v>
      </c>
      <c r="E452" s="79">
        <v>908.316</v>
      </c>
    </row>
    <row r="453" ht="15.75" spans="1:5">
      <c r="A453" s="33">
        <v>3045730461</v>
      </c>
      <c r="B453" s="33">
        <v>398843.511</v>
      </c>
      <c r="C453" s="33">
        <v>941.53</v>
      </c>
      <c r="D453" s="11">
        <v>45377</v>
      </c>
      <c r="E453" s="79">
        <v>908.288</v>
      </c>
    </row>
    <row r="454" ht="15.75" spans="1:5">
      <c r="A454" s="33">
        <v>3045730461</v>
      </c>
      <c r="B454" s="33">
        <v>398843.511</v>
      </c>
      <c r="C454" s="33">
        <v>941.53</v>
      </c>
      <c r="D454" s="11">
        <v>45378</v>
      </c>
      <c r="E454" s="79">
        <v>908.283</v>
      </c>
    </row>
    <row r="455" ht="15.75" spans="1:5">
      <c r="A455" s="33">
        <v>3045730461</v>
      </c>
      <c r="B455" s="33">
        <v>398843.511</v>
      </c>
      <c r="C455" s="33">
        <v>941.53</v>
      </c>
      <c r="D455" s="11">
        <v>45379</v>
      </c>
      <c r="E455" s="79">
        <v>908.239</v>
      </c>
    </row>
    <row r="456" ht="15.75" spans="1:5">
      <c r="A456" s="33">
        <v>3045730461</v>
      </c>
      <c r="B456" s="33">
        <v>398843.511</v>
      </c>
      <c r="C456" s="33">
        <v>941.53</v>
      </c>
      <c r="D456" s="11">
        <v>45380</v>
      </c>
      <c r="E456" s="79">
        <v>908.267</v>
      </c>
    </row>
    <row r="457" ht="15.75" spans="1:5">
      <c r="A457" s="33">
        <v>3045730461</v>
      </c>
      <c r="B457" s="33">
        <v>398843.511</v>
      </c>
      <c r="C457" s="33">
        <v>941.53</v>
      </c>
      <c r="D457" s="11">
        <v>45381</v>
      </c>
      <c r="E457" s="79">
        <v>908.22</v>
      </c>
    </row>
    <row r="458" ht="15.75" spans="1:5">
      <c r="A458" s="33">
        <v>3045730461</v>
      </c>
      <c r="B458" s="33">
        <v>398843.511</v>
      </c>
      <c r="C458" s="33">
        <v>941.53</v>
      </c>
      <c r="D458" s="11">
        <v>45382</v>
      </c>
      <c r="E458" s="79">
        <v>908.22</v>
      </c>
    </row>
    <row r="459" ht="15.75" spans="1:5">
      <c r="A459" s="33">
        <v>3045730461</v>
      </c>
      <c r="B459" s="33">
        <v>398843.511</v>
      </c>
      <c r="C459" s="33">
        <v>941.53</v>
      </c>
      <c r="D459" s="11">
        <v>45383</v>
      </c>
      <c r="E459" s="79">
        <v>908.245</v>
      </c>
    </row>
    <row r="460" ht="15.75" spans="1:5">
      <c r="A460" s="33">
        <v>3045730461</v>
      </c>
      <c r="B460" s="33">
        <v>398843.511</v>
      </c>
      <c r="C460" s="33">
        <v>941.53</v>
      </c>
      <c r="D460" s="11">
        <v>45384</v>
      </c>
      <c r="E460" s="79">
        <v>908.204</v>
      </c>
    </row>
    <row r="461" ht="15.75" spans="1:5">
      <c r="A461" s="33">
        <v>3045730461</v>
      </c>
      <c r="B461" s="33">
        <v>398843.511</v>
      </c>
      <c r="C461" s="33">
        <v>941.53</v>
      </c>
      <c r="D461" s="11">
        <v>45385</v>
      </c>
      <c r="E461" s="79">
        <v>908.168</v>
      </c>
    </row>
    <row r="462" ht="15.75" spans="1:5">
      <c r="A462" s="33">
        <v>3045730461</v>
      </c>
      <c r="B462" s="33">
        <v>398843.511</v>
      </c>
      <c r="C462" s="33">
        <v>941.53</v>
      </c>
      <c r="D462" s="11">
        <v>45386</v>
      </c>
      <c r="E462" s="79">
        <v>908.143</v>
      </c>
    </row>
    <row r="463" ht="15.75" spans="1:5">
      <c r="A463" s="33">
        <v>3045730461</v>
      </c>
      <c r="B463" s="33">
        <v>398843.511</v>
      </c>
      <c r="C463" s="33">
        <v>941.53</v>
      </c>
      <c r="D463" s="11">
        <v>45387</v>
      </c>
      <c r="E463" s="79">
        <v>908.128</v>
      </c>
    </row>
    <row r="464" ht="15.75" spans="1:5">
      <c r="A464" s="33">
        <v>3045730461</v>
      </c>
      <c r="B464" s="33">
        <v>398843.511</v>
      </c>
      <c r="C464" s="33">
        <v>941.53</v>
      </c>
      <c r="D464" s="11">
        <v>45388</v>
      </c>
      <c r="E464" s="79">
        <v>908.107</v>
      </c>
    </row>
    <row r="465" ht="15.75" spans="1:5">
      <c r="A465" s="33">
        <v>3045730461</v>
      </c>
      <c r="B465" s="33">
        <v>398843.511</v>
      </c>
      <c r="C465" s="33">
        <v>941.53</v>
      </c>
      <c r="D465" s="11">
        <v>45389</v>
      </c>
      <c r="E465" s="79">
        <v>908.346</v>
      </c>
    </row>
    <row r="466" ht="15.75" spans="1:5">
      <c r="A466" s="33">
        <v>3045730461</v>
      </c>
      <c r="B466" s="33">
        <v>398843.511</v>
      </c>
      <c r="C466" s="33">
        <v>941.53</v>
      </c>
      <c r="D466" s="11">
        <v>45390</v>
      </c>
      <c r="E466" s="79">
        <v>908.519</v>
      </c>
    </row>
    <row r="467" ht="15.75" spans="1:5">
      <c r="A467" s="33">
        <v>3045730461</v>
      </c>
      <c r="B467" s="33">
        <v>398843.511</v>
      </c>
      <c r="C467" s="33">
        <v>941.53</v>
      </c>
      <c r="D467" s="11">
        <v>45391</v>
      </c>
      <c r="E467" s="79">
        <v>908.496</v>
      </c>
    </row>
    <row r="468" ht="15.75" spans="1:5">
      <c r="A468" s="33">
        <v>3045730461</v>
      </c>
      <c r="B468" s="33">
        <v>398843.511</v>
      </c>
      <c r="C468" s="33">
        <v>941.53</v>
      </c>
      <c r="D468" s="11">
        <v>45392</v>
      </c>
      <c r="E468" s="79">
        <v>908.496</v>
      </c>
    </row>
    <row r="469" ht="15.75" spans="1:5">
      <c r="A469" s="33">
        <v>3045730461</v>
      </c>
      <c r="B469" s="33">
        <v>398843.511</v>
      </c>
      <c r="C469" s="33">
        <v>941.53</v>
      </c>
      <c r="D469" s="11">
        <v>45393</v>
      </c>
      <c r="E469" s="79">
        <v>908.46</v>
      </c>
    </row>
    <row r="470" ht="15.75" spans="1:5">
      <c r="A470" s="33">
        <v>3045730461</v>
      </c>
      <c r="B470" s="33">
        <v>398843.511</v>
      </c>
      <c r="C470" s="33">
        <v>941.53</v>
      </c>
      <c r="D470" s="11">
        <v>45394</v>
      </c>
      <c r="E470" s="79">
        <v>908.428</v>
      </c>
    </row>
    <row r="471" ht="15.75" spans="1:5">
      <c r="A471" s="33">
        <v>3045730461</v>
      </c>
      <c r="B471" s="33">
        <v>398843.511</v>
      </c>
      <c r="C471" s="33">
        <v>941.53</v>
      </c>
      <c r="D471" s="11">
        <v>45395</v>
      </c>
      <c r="E471" s="79">
        <v>908.41</v>
      </c>
    </row>
    <row r="472" ht="15.75" spans="1:5">
      <c r="A472" s="33">
        <v>3045730461</v>
      </c>
      <c r="B472" s="33">
        <v>398843.511</v>
      </c>
      <c r="C472" s="33">
        <v>941.53</v>
      </c>
      <c r="D472" s="11">
        <v>45396</v>
      </c>
      <c r="E472" s="79">
        <v>908.295</v>
      </c>
    </row>
    <row r="473" ht="15.75" spans="1:5">
      <c r="A473" s="33">
        <v>3045730461</v>
      </c>
      <c r="B473" s="33">
        <v>398843.511</v>
      </c>
      <c r="C473" s="33">
        <v>941.53</v>
      </c>
      <c r="D473" s="11">
        <v>45397</v>
      </c>
      <c r="E473" s="79">
        <v>908.259</v>
      </c>
    </row>
    <row r="474" ht="15.75" spans="1:5">
      <c r="A474" s="33">
        <v>3045730461</v>
      </c>
      <c r="B474" s="33">
        <v>398843.511</v>
      </c>
      <c r="C474" s="33">
        <v>941.53</v>
      </c>
      <c r="D474" s="11">
        <v>45398</v>
      </c>
      <c r="E474" s="79">
        <v>908.199</v>
      </c>
    </row>
    <row r="475" ht="15.75" spans="1:5">
      <c r="A475" s="33">
        <v>3045730461</v>
      </c>
      <c r="B475" s="33">
        <v>398843.511</v>
      </c>
      <c r="C475" s="33">
        <v>941.53</v>
      </c>
      <c r="D475" s="11">
        <v>45399</v>
      </c>
      <c r="E475" s="79">
        <v>908.124</v>
      </c>
    </row>
    <row r="476" ht="15.75" spans="1:5">
      <c r="A476" s="33">
        <v>3045730461</v>
      </c>
      <c r="B476" s="33">
        <v>398843.511</v>
      </c>
      <c r="C476" s="33">
        <v>941.53</v>
      </c>
      <c r="D476" s="11">
        <v>45400</v>
      </c>
      <c r="E476" s="79">
        <v>908.124</v>
      </c>
    </row>
    <row r="477" ht="15.75" spans="1:5">
      <c r="A477" s="33">
        <v>3045730461</v>
      </c>
      <c r="B477" s="33">
        <v>398843.511</v>
      </c>
      <c r="C477" s="33">
        <v>941.53</v>
      </c>
      <c r="D477" s="11">
        <v>45401</v>
      </c>
      <c r="E477" s="79">
        <v>908.113</v>
      </c>
    </row>
    <row r="478" ht="15.75" spans="1:5">
      <c r="A478" s="33">
        <v>3045730461</v>
      </c>
      <c r="B478" s="33">
        <v>398843.511</v>
      </c>
      <c r="C478" s="33">
        <v>941.53</v>
      </c>
      <c r="D478" s="11">
        <v>45402</v>
      </c>
      <c r="E478" s="79">
        <v>908.101</v>
      </c>
    </row>
    <row r="479" ht="15.75" spans="1:5">
      <c r="A479" s="33">
        <v>3045730461</v>
      </c>
      <c r="B479" s="33">
        <v>398843.511</v>
      </c>
      <c r="C479" s="33">
        <v>941.53</v>
      </c>
      <c r="D479" s="11">
        <v>45403</v>
      </c>
      <c r="E479" s="79">
        <v>908.188</v>
      </c>
    </row>
    <row r="480" ht="15.75" spans="1:5">
      <c r="A480" s="33">
        <v>3045730461</v>
      </c>
      <c r="B480" s="33">
        <v>398843.511</v>
      </c>
      <c r="C480" s="33">
        <v>941.53</v>
      </c>
      <c r="D480" s="11">
        <v>45404</v>
      </c>
      <c r="E480" s="79">
        <v>908.243</v>
      </c>
    </row>
    <row r="481" ht="15.75" spans="1:5">
      <c r="A481" s="33">
        <v>3045730461</v>
      </c>
      <c r="B481" s="33">
        <v>398843.511</v>
      </c>
      <c r="C481" s="33">
        <v>941.53</v>
      </c>
      <c r="D481" s="11">
        <v>45405</v>
      </c>
      <c r="E481" s="79">
        <v>908.213</v>
      </c>
    </row>
    <row r="482" ht="15.75" spans="1:5">
      <c r="A482" s="33">
        <v>3045730461</v>
      </c>
      <c r="B482" s="33">
        <v>398843.511</v>
      </c>
      <c r="C482" s="33">
        <v>941.53</v>
      </c>
      <c r="D482" s="11">
        <v>45406</v>
      </c>
      <c r="E482" s="79">
        <v>908.424</v>
      </c>
    </row>
    <row r="483" ht="15.75" spans="1:5">
      <c r="A483" s="33">
        <v>3045730461</v>
      </c>
      <c r="B483" s="33">
        <v>398843.511</v>
      </c>
      <c r="C483" s="33">
        <v>941.53</v>
      </c>
      <c r="D483" s="11">
        <v>45407</v>
      </c>
      <c r="E483" s="79">
        <v>908.518</v>
      </c>
    </row>
    <row r="484" ht="15.75" spans="1:5">
      <c r="A484" s="33">
        <v>3045730461</v>
      </c>
      <c r="B484" s="33">
        <v>398843.511</v>
      </c>
      <c r="C484" s="33">
        <v>941.53</v>
      </c>
      <c r="D484" s="11">
        <v>45408</v>
      </c>
      <c r="E484" s="79">
        <v>908.576</v>
      </c>
    </row>
    <row r="485" ht="15.75" spans="1:5">
      <c r="A485" s="33">
        <v>3045730461</v>
      </c>
      <c r="B485" s="33">
        <v>398843.511</v>
      </c>
      <c r="C485" s="33">
        <v>941.53</v>
      </c>
      <c r="D485" s="11">
        <v>45409</v>
      </c>
      <c r="E485" s="79">
        <v>908.534</v>
      </c>
    </row>
    <row r="486" ht="15.75" spans="1:5">
      <c r="A486" s="33">
        <v>3045730461</v>
      </c>
      <c r="B486" s="33">
        <v>398843.511</v>
      </c>
      <c r="C486" s="33">
        <v>941.53</v>
      </c>
      <c r="D486" s="11">
        <v>45410</v>
      </c>
      <c r="E486" s="79">
        <v>908.457</v>
      </c>
    </row>
    <row r="487" ht="15.75" spans="1:5">
      <c r="A487" s="33">
        <v>3045730461</v>
      </c>
      <c r="B487" s="33">
        <v>398843.511</v>
      </c>
      <c r="C487" s="33">
        <v>941.53</v>
      </c>
      <c r="D487" s="11">
        <v>45411</v>
      </c>
      <c r="E487" s="79">
        <v>908.413</v>
      </c>
    </row>
    <row r="488" ht="15.75" spans="1:5">
      <c r="A488" s="33">
        <v>3045730461</v>
      </c>
      <c r="B488" s="33">
        <v>398843.511</v>
      </c>
      <c r="C488" s="33">
        <v>941.53</v>
      </c>
      <c r="D488" s="11">
        <v>45412</v>
      </c>
      <c r="E488" s="79">
        <v>908.299</v>
      </c>
    </row>
    <row r="489" ht="15.75" spans="1:5">
      <c r="A489" s="33">
        <v>3045730461</v>
      </c>
      <c r="B489" s="33">
        <v>398843.511</v>
      </c>
      <c r="C489" s="33">
        <v>941.53</v>
      </c>
      <c r="D489" s="11">
        <v>45413</v>
      </c>
      <c r="E489" s="79">
        <v>908.349</v>
      </c>
    </row>
    <row r="490" ht="15.75" spans="1:5">
      <c r="A490" s="33">
        <v>3045730461</v>
      </c>
      <c r="B490" s="33">
        <v>398843.511</v>
      </c>
      <c r="C490" s="33">
        <v>941.53</v>
      </c>
      <c r="D490" s="11">
        <v>45414</v>
      </c>
      <c r="E490" s="79">
        <v>908.533</v>
      </c>
    </row>
    <row r="491" ht="15.75" spans="1:5">
      <c r="A491" s="33">
        <v>3045730461</v>
      </c>
      <c r="B491" s="33">
        <v>398843.511</v>
      </c>
      <c r="C491" s="33">
        <v>941.53</v>
      </c>
      <c r="D491" s="11">
        <v>45415</v>
      </c>
      <c r="E491" s="79">
        <v>908.557</v>
      </c>
    </row>
    <row r="492" ht="15.75" spans="1:5">
      <c r="A492" s="33">
        <v>3045730461</v>
      </c>
      <c r="B492" s="33">
        <v>398843.511</v>
      </c>
      <c r="C492" s="33">
        <v>941.53</v>
      </c>
      <c r="D492" s="11">
        <v>45416</v>
      </c>
      <c r="E492" s="79">
        <v>908.593</v>
      </c>
    </row>
    <row r="493" ht="15.75" spans="1:5">
      <c r="A493" s="33">
        <v>3045730461</v>
      </c>
      <c r="B493" s="33">
        <v>398843.511</v>
      </c>
      <c r="C493" s="33">
        <v>941.53</v>
      </c>
      <c r="D493" s="11">
        <v>45417</v>
      </c>
      <c r="E493" s="79">
        <v>908.943</v>
      </c>
    </row>
    <row r="494" ht="15.75" spans="1:5">
      <c r="A494" s="33">
        <v>3045730461</v>
      </c>
      <c r="B494" s="33">
        <v>398843.511</v>
      </c>
      <c r="C494" s="33">
        <v>941.53</v>
      </c>
      <c r="D494" s="11">
        <v>45418</v>
      </c>
      <c r="E494" s="79">
        <v>908.855</v>
      </c>
    </row>
    <row r="495" ht="15.75" spans="1:5">
      <c r="A495" s="33">
        <v>3045730461</v>
      </c>
      <c r="B495" s="33">
        <v>398843.511</v>
      </c>
      <c r="C495" s="33">
        <v>941.53</v>
      </c>
      <c r="D495" s="11">
        <v>45419</v>
      </c>
      <c r="E495" s="79">
        <v>909.628</v>
      </c>
    </row>
    <row r="496" ht="15.75" spans="1:5">
      <c r="A496" s="33">
        <v>3045730461</v>
      </c>
      <c r="B496" s="33">
        <v>398843.511</v>
      </c>
      <c r="C496" s="33">
        <v>941.53</v>
      </c>
      <c r="D496" s="11">
        <v>45420</v>
      </c>
      <c r="E496" s="79">
        <v>909.774</v>
      </c>
    </row>
    <row r="497" ht="15.75" spans="1:5">
      <c r="A497" s="33">
        <v>3045730461</v>
      </c>
      <c r="B497" s="33">
        <v>398843.511</v>
      </c>
      <c r="C497" s="33">
        <v>941.53</v>
      </c>
      <c r="D497" s="11">
        <v>45421</v>
      </c>
      <c r="E497" s="79">
        <v>910.064</v>
      </c>
    </row>
    <row r="498" ht="15.75" spans="1:5">
      <c r="A498" s="33">
        <v>3045730461</v>
      </c>
      <c r="B498" s="33">
        <v>398843.511</v>
      </c>
      <c r="C498" s="33">
        <v>941.53</v>
      </c>
      <c r="D498" s="11">
        <v>45422</v>
      </c>
      <c r="E498" s="79">
        <v>910.356</v>
      </c>
    </row>
    <row r="499" ht="15.75" spans="1:5">
      <c r="A499" s="33">
        <v>3045730461</v>
      </c>
      <c r="B499" s="33">
        <v>398843.511</v>
      </c>
      <c r="C499" s="33">
        <v>941.53</v>
      </c>
      <c r="D499" s="11">
        <v>45423</v>
      </c>
      <c r="E499" s="79">
        <v>910.035</v>
      </c>
    </row>
  </sheetData>
  <mergeCells count="1">
    <mergeCell ref="A1:C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"/>
  <sheetViews>
    <sheetView workbookViewId="0">
      <selection activeCell="D1" sqref="D$1:D$1048576"/>
    </sheetView>
  </sheetViews>
  <sheetFormatPr defaultColWidth="9" defaultRowHeight="14.25" outlineLevelCol="5"/>
  <cols>
    <col min="1" max="1" width="17.375" customWidth="1"/>
    <col min="2" max="2" width="10" customWidth="1"/>
    <col min="3" max="3" width="19.25" customWidth="1"/>
    <col min="4" max="4" width="17.25" customWidth="1"/>
    <col min="6" max="6" width="24.87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72">
        <v>304537741</v>
      </c>
      <c r="B3" s="72">
        <v>40127407</v>
      </c>
      <c r="C3" s="1">
        <v>670.61</v>
      </c>
      <c r="D3" s="11">
        <v>45105</v>
      </c>
      <c r="E3" s="10">
        <f>670+100*0.45</f>
        <v>715</v>
      </c>
      <c r="F3" t="s">
        <v>3062</v>
      </c>
    </row>
    <row r="4" ht="15.75" spans="1:5">
      <c r="A4" s="72">
        <v>304537741</v>
      </c>
      <c r="B4" s="72">
        <v>40127407</v>
      </c>
      <c r="C4" s="1">
        <v>670.61</v>
      </c>
      <c r="D4" s="11">
        <v>45106</v>
      </c>
      <c r="E4" s="16"/>
    </row>
    <row r="5" ht="15.75" spans="1:5">
      <c r="A5" s="72">
        <v>304537741</v>
      </c>
      <c r="B5" s="72">
        <v>40127407</v>
      </c>
      <c r="C5" s="1">
        <v>670.61</v>
      </c>
      <c r="D5" s="11">
        <v>45107</v>
      </c>
      <c r="E5" s="16"/>
    </row>
    <row r="6" ht="15.75" spans="1:5">
      <c r="A6" s="72">
        <v>304537741</v>
      </c>
      <c r="B6" s="72">
        <v>40127407</v>
      </c>
      <c r="C6" s="1">
        <v>670.61</v>
      </c>
      <c r="D6" s="11">
        <v>45108</v>
      </c>
      <c r="E6" s="16"/>
    </row>
    <row r="7" ht="15.75" spans="1:5">
      <c r="A7" s="72">
        <v>304537741</v>
      </c>
      <c r="B7" s="72">
        <v>40127407</v>
      </c>
      <c r="C7" s="1">
        <v>670.61</v>
      </c>
      <c r="D7" s="11">
        <v>45109</v>
      </c>
      <c r="E7" s="16"/>
    </row>
    <row r="8" ht="15.75" spans="1:5">
      <c r="A8" s="72">
        <v>304537741</v>
      </c>
      <c r="B8" s="72">
        <v>40127407</v>
      </c>
      <c r="C8" s="1">
        <v>670.61</v>
      </c>
      <c r="D8" s="11">
        <v>45110</v>
      </c>
      <c r="E8" s="16"/>
    </row>
    <row r="9" ht="15.75" spans="1:5">
      <c r="A9" s="72">
        <v>304537741</v>
      </c>
      <c r="B9" s="72">
        <v>40127407</v>
      </c>
      <c r="C9" s="1">
        <v>670.61</v>
      </c>
      <c r="D9" s="11">
        <v>45111</v>
      </c>
      <c r="E9" s="16"/>
    </row>
    <row r="10" ht="15.75" spans="1:5">
      <c r="A10" s="72">
        <v>304537741</v>
      </c>
      <c r="B10" s="72">
        <v>40127407</v>
      </c>
      <c r="C10" s="1">
        <v>670.61</v>
      </c>
      <c r="D10" s="11">
        <v>45112</v>
      </c>
      <c r="E10" s="10">
        <f>670+100*0.45</f>
        <v>715</v>
      </c>
    </row>
    <row r="11" ht="15.75" spans="1:5">
      <c r="A11" s="72">
        <v>304537741</v>
      </c>
      <c r="B11" s="72">
        <v>40127407</v>
      </c>
      <c r="C11" s="1">
        <v>670.61</v>
      </c>
      <c r="D11" s="11">
        <v>45113</v>
      </c>
      <c r="E11" s="16"/>
    </row>
    <row r="12" ht="15.75" spans="1:5">
      <c r="A12" s="72">
        <v>304537741</v>
      </c>
      <c r="B12" s="72">
        <v>40127407</v>
      </c>
      <c r="C12" s="1">
        <v>670.61</v>
      </c>
      <c r="D12" s="11">
        <v>45114</v>
      </c>
      <c r="E12" s="16"/>
    </row>
    <row r="13" ht="15.75" spans="1:5">
      <c r="A13" s="72">
        <v>304537741</v>
      </c>
      <c r="B13" s="72">
        <v>40127407</v>
      </c>
      <c r="C13" s="1">
        <v>670.61</v>
      </c>
      <c r="D13" s="11">
        <v>45115</v>
      </c>
      <c r="E13" s="16"/>
    </row>
    <row r="14" ht="15.75" spans="1:5">
      <c r="A14" s="72">
        <v>304537741</v>
      </c>
      <c r="B14" s="72">
        <v>40127407</v>
      </c>
      <c r="C14" s="1">
        <v>670.61</v>
      </c>
      <c r="D14" s="11">
        <v>45116</v>
      </c>
      <c r="E14" s="16"/>
    </row>
    <row r="15" ht="15.75" spans="1:5">
      <c r="A15" s="72">
        <v>304537741</v>
      </c>
      <c r="B15" s="72">
        <v>40127407</v>
      </c>
      <c r="C15" s="1">
        <v>670.61</v>
      </c>
      <c r="D15" s="11">
        <v>45117</v>
      </c>
      <c r="E15" s="10">
        <f>670+100*0.5</f>
        <v>720</v>
      </c>
    </row>
    <row r="16" ht="15.75" spans="1:5">
      <c r="A16" s="72">
        <v>304537741</v>
      </c>
      <c r="B16" s="72">
        <v>40127407</v>
      </c>
      <c r="C16" s="1">
        <v>670.61</v>
      </c>
      <c r="D16" s="11">
        <v>45118</v>
      </c>
      <c r="E16" s="16"/>
    </row>
    <row r="17" ht="15.75" spans="1:5">
      <c r="A17" s="72">
        <v>304537741</v>
      </c>
      <c r="B17" s="72">
        <v>40127407</v>
      </c>
      <c r="C17" s="1">
        <v>670.61</v>
      </c>
      <c r="D17" s="11">
        <v>45119</v>
      </c>
      <c r="E17" s="16"/>
    </row>
    <row r="18" ht="15.75" spans="1:5">
      <c r="A18" s="72">
        <v>304537741</v>
      </c>
      <c r="B18" s="72">
        <v>40127407</v>
      </c>
      <c r="C18" s="1">
        <v>670.61</v>
      </c>
      <c r="D18" s="11">
        <v>45120</v>
      </c>
      <c r="E18" s="16"/>
    </row>
    <row r="19" ht="15.75" spans="1:5">
      <c r="A19" s="72">
        <v>304537741</v>
      </c>
      <c r="B19" s="72">
        <v>40127407</v>
      </c>
      <c r="C19" s="1">
        <v>670.61</v>
      </c>
      <c r="D19" s="11">
        <v>45121</v>
      </c>
      <c r="E19" s="16"/>
    </row>
    <row r="20" ht="15.75" spans="1:5">
      <c r="A20" s="72">
        <v>304537741</v>
      </c>
      <c r="B20" s="72">
        <v>40127407</v>
      </c>
      <c r="C20" s="1">
        <v>670.61</v>
      </c>
      <c r="D20" s="11">
        <v>45122</v>
      </c>
      <c r="E20" s="10">
        <f>670+100*0.49</f>
        <v>719</v>
      </c>
    </row>
    <row r="21" ht="15.75" spans="1:5">
      <c r="A21" s="72">
        <v>304537741</v>
      </c>
      <c r="B21" s="72">
        <v>40127407</v>
      </c>
      <c r="C21" s="1">
        <v>670.61</v>
      </c>
      <c r="D21" s="11">
        <v>45123</v>
      </c>
      <c r="E21" s="16"/>
    </row>
    <row r="22" ht="15.75" spans="1:5">
      <c r="A22" s="72">
        <v>304537741</v>
      </c>
      <c r="B22" s="72">
        <v>40127407</v>
      </c>
      <c r="C22" s="1">
        <v>670.61</v>
      </c>
      <c r="D22" s="11">
        <v>45124</v>
      </c>
      <c r="E22" s="16"/>
    </row>
    <row r="23" ht="15.75" spans="1:5">
      <c r="A23" s="72">
        <v>304537741</v>
      </c>
      <c r="B23" s="72">
        <v>40127407</v>
      </c>
      <c r="C23" s="1">
        <v>670.61</v>
      </c>
      <c r="D23" s="11">
        <v>45125</v>
      </c>
      <c r="E23" s="16"/>
    </row>
    <row r="24" ht="15.75" spans="1:5">
      <c r="A24" s="72">
        <v>304537741</v>
      </c>
      <c r="B24" s="72">
        <v>40127407</v>
      </c>
      <c r="C24" s="1">
        <v>670.61</v>
      </c>
      <c r="D24" s="11">
        <v>45126</v>
      </c>
      <c r="E24" s="16"/>
    </row>
    <row r="25" ht="15.75" spans="1:5">
      <c r="A25" s="72">
        <v>304537741</v>
      </c>
      <c r="B25" s="72">
        <v>40127407</v>
      </c>
      <c r="C25" s="1">
        <v>670.61</v>
      </c>
      <c r="D25" s="11">
        <v>45127</v>
      </c>
      <c r="E25" s="16"/>
    </row>
    <row r="26" ht="15.75" spans="1:5">
      <c r="A26" s="72">
        <v>304537741</v>
      </c>
      <c r="B26" s="72">
        <v>40127407</v>
      </c>
      <c r="C26" s="1">
        <v>670.61</v>
      </c>
      <c r="D26" s="11">
        <v>45128</v>
      </c>
      <c r="E26" s="16"/>
    </row>
    <row r="27" ht="15.75" spans="1:5">
      <c r="A27" s="72">
        <v>304537741</v>
      </c>
      <c r="B27" s="72">
        <v>40127407</v>
      </c>
      <c r="C27" s="1">
        <v>670.61</v>
      </c>
      <c r="D27" s="11">
        <v>45129</v>
      </c>
      <c r="E27" s="16"/>
    </row>
    <row r="28" ht="15.75" spans="1:5">
      <c r="A28" s="72">
        <v>304537741</v>
      </c>
      <c r="B28" s="72">
        <v>40127407</v>
      </c>
      <c r="C28" s="1">
        <v>670.61</v>
      </c>
      <c r="D28" s="11">
        <v>45130</v>
      </c>
      <c r="E28" s="16"/>
    </row>
    <row r="29" ht="15.75" spans="1:5">
      <c r="A29" s="72">
        <v>304537741</v>
      </c>
      <c r="B29" s="72">
        <v>40127407</v>
      </c>
      <c r="C29" s="1">
        <v>670.61</v>
      </c>
      <c r="D29" s="11">
        <v>45131</v>
      </c>
      <c r="E29" s="16"/>
    </row>
    <row r="30" ht="15.75" spans="1:5">
      <c r="A30" s="72">
        <v>304537741</v>
      </c>
      <c r="B30" s="72">
        <v>40127407</v>
      </c>
      <c r="C30" s="1">
        <v>670.61</v>
      </c>
      <c r="D30" s="11">
        <v>45132</v>
      </c>
      <c r="E30" s="73" t="s">
        <v>3063</v>
      </c>
    </row>
    <row r="31" ht="15.75" spans="1:5">
      <c r="A31" s="72">
        <v>304537741</v>
      </c>
      <c r="B31" s="72">
        <v>40127407</v>
      </c>
      <c r="C31" s="1">
        <v>670.61</v>
      </c>
      <c r="D31" s="11">
        <v>45133</v>
      </c>
      <c r="E31" s="16"/>
    </row>
    <row r="32" ht="15.75" spans="1:5">
      <c r="A32" s="72">
        <v>304537741</v>
      </c>
      <c r="B32" s="72">
        <v>40127407</v>
      </c>
      <c r="C32" s="1">
        <v>670.61</v>
      </c>
      <c r="D32" s="11">
        <v>45134</v>
      </c>
      <c r="E32" s="16"/>
    </row>
    <row r="33" ht="15.75" spans="1:5">
      <c r="A33" s="72">
        <v>304537741</v>
      </c>
      <c r="B33" s="72">
        <v>40127407</v>
      </c>
      <c r="C33" s="1">
        <v>670.61</v>
      </c>
      <c r="D33" s="11">
        <v>45135</v>
      </c>
      <c r="E33" s="16"/>
    </row>
    <row r="34" ht="15.75" spans="1:5">
      <c r="A34" s="72">
        <v>304537741</v>
      </c>
      <c r="B34" s="72">
        <v>40127407</v>
      </c>
      <c r="C34" s="1">
        <v>670.61</v>
      </c>
      <c r="D34" s="11">
        <v>45136</v>
      </c>
      <c r="E34" s="16"/>
    </row>
    <row r="35" ht="15.75" spans="1:5">
      <c r="A35" s="72">
        <v>304537741</v>
      </c>
      <c r="B35" s="72">
        <v>40127407</v>
      </c>
      <c r="C35" s="1">
        <v>670.61</v>
      </c>
      <c r="D35" s="11">
        <v>45137</v>
      </c>
      <c r="E35" s="16"/>
    </row>
    <row r="36" ht="15.75" spans="1:5">
      <c r="A36" s="72">
        <v>304537741</v>
      </c>
      <c r="B36" s="72">
        <v>40127407</v>
      </c>
      <c r="C36" s="1">
        <v>670.61</v>
      </c>
      <c r="D36" s="11">
        <v>45138</v>
      </c>
      <c r="E36" s="16"/>
    </row>
    <row r="37" ht="15.75" spans="1:5">
      <c r="A37" s="72">
        <v>304537741</v>
      </c>
      <c r="B37" s="72">
        <v>40127407</v>
      </c>
      <c r="C37" s="1">
        <v>670.61</v>
      </c>
      <c r="D37" s="11">
        <v>45139</v>
      </c>
      <c r="E37" s="16"/>
    </row>
    <row r="38" ht="15.75" spans="1:5">
      <c r="A38" s="72">
        <v>304537741</v>
      </c>
      <c r="B38" s="72">
        <v>40127407</v>
      </c>
      <c r="C38" s="1">
        <v>670.61</v>
      </c>
      <c r="D38" s="11">
        <v>45140</v>
      </c>
      <c r="E38" s="16"/>
    </row>
    <row r="39" ht="15.75" spans="1:5">
      <c r="A39" s="72">
        <v>304537741</v>
      </c>
      <c r="B39" s="72">
        <v>40127407</v>
      </c>
      <c r="C39" s="1">
        <v>670.61</v>
      </c>
      <c r="D39" s="11">
        <v>45141</v>
      </c>
      <c r="E39" s="16"/>
    </row>
    <row r="40" ht="15.75" spans="1:5">
      <c r="A40" s="72">
        <v>304537741</v>
      </c>
      <c r="B40" s="72">
        <v>40127407</v>
      </c>
      <c r="C40" s="1">
        <v>670.61</v>
      </c>
      <c r="D40" s="11">
        <v>45142</v>
      </c>
      <c r="E40" s="12"/>
    </row>
    <row r="41" ht="15.75" spans="1:5">
      <c r="A41" s="72">
        <v>304537741</v>
      </c>
      <c r="B41" s="72">
        <v>40127407</v>
      </c>
      <c r="C41" s="1">
        <v>670.61</v>
      </c>
      <c r="D41" s="11">
        <v>45143</v>
      </c>
      <c r="E41" s="12"/>
    </row>
    <row r="42" ht="15.75" spans="1:5">
      <c r="A42" s="72">
        <v>304537741</v>
      </c>
      <c r="B42" s="72">
        <v>40127407</v>
      </c>
      <c r="C42" s="1">
        <v>670.61</v>
      </c>
      <c r="D42" s="11">
        <v>45144</v>
      </c>
      <c r="E42" s="12"/>
    </row>
    <row r="43" ht="15.75" spans="1:5">
      <c r="A43" s="72">
        <v>304537741</v>
      </c>
      <c r="B43" s="72">
        <v>40127407</v>
      </c>
      <c r="C43" s="1">
        <v>670.61</v>
      </c>
      <c r="D43" s="11">
        <v>45145</v>
      </c>
      <c r="E43" s="12"/>
    </row>
    <row r="44" ht="15.75" spans="1:5">
      <c r="A44" s="72">
        <v>304537741</v>
      </c>
      <c r="B44" s="72">
        <v>40127407</v>
      </c>
      <c r="C44" s="1">
        <v>670.61</v>
      </c>
      <c r="D44" s="11">
        <v>45146</v>
      </c>
      <c r="E44" s="12"/>
    </row>
    <row r="45" ht="15.75" spans="1:5">
      <c r="A45" s="72">
        <v>304537741</v>
      </c>
      <c r="B45" s="72">
        <v>40127407</v>
      </c>
      <c r="C45" s="1">
        <v>670.61</v>
      </c>
      <c r="D45" s="11">
        <v>45147</v>
      </c>
      <c r="E45" s="12"/>
    </row>
    <row r="46" ht="15.75" spans="1:5">
      <c r="A46" s="72">
        <v>304537741</v>
      </c>
      <c r="B46" s="72">
        <v>40127407</v>
      </c>
      <c r="C46" s="1">
        <v>670.61</v>
      </c>
      <c r="D46" s="11">
        <v>45148</v>
      </c>
      <c r="E46" s="12"/>
    </row>
    <row r="47" ht="15.75" spans="1:5">
      <c r="A47" s="72">
        <v>304537741</v>
      </c>
      <c r="B47" s="72">
        <v>40127407</v>
      </c>
      <c r="C47" s="1">
        <v>670.61</v>
      </c>
      <c r="D47" s="11">
        <v>45149</v>
      </c>
      <c r="E47" s="12"/>
    </row>
    <row r="48" ht="15.75" spans="1:5">
      <c r="A48" s="72">
        <v>304537741</v>
      </c>
      <c r="B48" s="72">
        <v>40127407</v>
      </c>
      <c r="C48" s="1">
        <v>670.61</v>
      </c>
      <c r="D48" s="11">
        <v>45150</v>
      </c>
      <c r="E48" s="12"/>
    </row>
    <row r="49" ht="15.75" spans="1:5">
      <c r="A49" s="72">
        <v>304537741</v>
      </c>
      <c r="B49" s="72">
        <v>40127407</v>
      </c>
      <c r="C49" s="1">
        <v>670.61</v>
      </c>
      <c r="D49" s="11">
        <v>45151</v>
      </c>
      <c r="E49" s="12"/>
    </row>
    <row r="50" ht="15.75" spans="1:5">
      <c r="A50" s="72">
        <v>304537741</v>
      </c>
      <c r="B50" s="72">
        <v>40127407</v>
      </c>
      <c r="C50" s="1">
        <v>670.61</v>
      </c>
      <c r="D50" s="11">
        <v>45152</v>
      </c>
      <c r="E50" s="12"/>
    </row>
    <row r="51" ht="15.75" spans="1:5">
      <c r="A51" s="72">
        <v>304537741</v>
      </c>
      <c r="B51" s="72">
        <v>40127407</v>
      </c>
      <c r="C51" s="1">
        <v>670.61</v>
      </c>
      <c r="D51" s="11">
        <v>45153</v>
      </c>
      <c r="E51" s="16"/>
    </row>
    <row r="52" ht="15.75" spans="1:5">
      <c r="A52" s="72">
        <v>304537741</v>
      </c>
      <c r="B52" s="72">
        <v>40127407</v>
      </c>
      <c r="C52" s="1">
        <v>670.61</v>
      </c>
      <c r="D52" s="11">
        <v>45154</v>
      </c>
      <c r="E52" s="16"/>
    </row>
    <row r="53" ht="15.75" spans="1:5">
      <c r="A53" s="72">
        <v>304537741</v>
      </c>
      <c r="B53" s="72">
        <v>40127407</v>
      </c>
      <c r="C53" s="1">
        <v>670.61</v>
      </c>
      <c r="D53" s="11">
        <v>45155</v>
      </c>
      <c r="E53" s="16"/>
    </row>
    <row r="54" ht="15.75" spans="1:5">
      <c r="A54" s="72">
        <v>304537741</v>
      </c>
      <c r="B54" s="72">
        <v>40127407</v>
      </c>
      <c r="C54" s="1">
        <v>670.61</v>
      </c>
      <c r="D54" s="11">
        <v>45156</v>
      </c>
      <c r="E54" s="10"/>
    </row>
    <row r="55" ht="15.75" spans="1:5">
      <c r="A55" s="72">
        <v>304537741</v>
      </c>
      <c r="B55" s="72">
        <v>40127407</v>
      </c>
      <c r="C55" s="1">
        <v>670.61</v>
      </c>
      <c r="D55" s="11">
        <v>45157</v>
      </c>
      <c r="E55" s="10"/>
    </row>
    <row r="56" ht="15.75" spans="1:5">
      <c r="A56" s="72">
        <v>304537741</v>
      </c>
      <c r="B56" s="72">
        <v>40127407</v>
      </c>
      <c r="C56" s="1">
        <v>670.61</v>
      </c>
      <c r="D56" s="11">
        <v>45158</v>
      </c>
      <c r="E56" s="10"/>
    </row>
    <row r="57" ht="15.75" spans="1:5">
      <c r="A57" s="72">
        <v>304537741</v>
      </c>
      <c r="B57" s="72">
        <v>40127407</v>
      </c>
      <c r="C57" s="1">
        <v>670.61</v>
      </c>
      <c r="D57" s="11">
        <v>45159</v>
      </c>
      <c r="E57" s="10"/>
    </row>
    <row r="58" ht="15.75" spans="1:5">
      <c r="A58" s="72">
        <v>304537741</v>
      </c>
      <c r="B58" s="72">
        <v>40127407</v>
      </c>
      <c r="C58" s="1">
        <v>670.61</v>
      </c>
      <c r="D58" s="11">
        <v>45160</v>
      </c>
      <c r="E58" s="10"/>
    </row>
    <row r="59" ht="15.75" spans="1:5">
      <c r="A59" s="72">
        <v>304537741</v>
      </c>
      <c r="B59" s="72">
        <v>40127407</v>
      </c>
      <c r="C59" s="1">
        <v>670.61</v>
      </c>
      <c r="D59" s="11">
        <v>45161</v>
      </c>
      <c r="E59" s="10"/>
    </row>
    <row r="60" ht="15.75" spans="1:5">
      <c r="A60" s="72">
        <v>304537741</v>
      </c>
      <c r="B60" s="72">
        <v>40127407</v>
      </c>
      <c r="C60" s="1">
        <v>670.61</v>
      </c>
      <c r="D60" s="11">
        <v>45162</v>
      </c>
      <c r="E60" s="10"/>
    </row>
    <row r="61" ht="15.75" spans="1:5">
      <c r="A61" s="72">
        <v>304537741</v>
      </c>
      <c r="B61" s="72">
        <v>40127407</v>
      </c>
      <c r="C61" s="1">
        <v>670.61</v>
      </c>
      <c r="D61" s="11">
        <v>45163</v>
      </c>
      <c r="E61" s="16"/>
    </row>
    <row r="62" ht="15.75" spans="1:5">
      <c r="A62" s="72">
        <v>304537741</v>
      </c>
      <c r="B62" s="72">
        <v>40127407</v>
      </c>
      <c r="C62" s="1">
        <v>670.61</v>
      </c>
      <c r="D62" s="11">
        <v>45164</v>
      </c>
      <c r="E62" s="16"/>
    </row>
    <row r="63" ht="15.75" spans="1:5">
      <c r="A63" s="72">
        <v>304537741</v>
      </c>
      <c r="B63" s="72">
        <v>40127407</v>
      </c>
      <c r="C63" s="1">
        <v>670.61</v>
      </c>
      <c r="D63" s="11">
        <v>45165</v>
      </c>
      <c r="E63" s="16"/>
    </row>
    <row r="64" ht="15.75" spans="1:5">
      <c r="A64" s="72">
        <v>304537741</v>
      </c>
      <c r="B64" s="72">
        <v>40127407</v>
      </c>
      <c r="C64" s="1">
        <v>670.61</v>
      </c>
      <c r="D64" s="11">
        <v>45166</v>
      </c>
      <c r="E64" s="16"/>
    </row>
    <row r="65" ht="15.75" spans="1:5">
      <c r="A65" s="72">
        <v>304537741</v>
      </c>
      <c r="B65" s="72">
        <v>40127407</v>
      </c>
      <c r="C65" s="1">
        <v>670.61</v>
      </c>
      <c r="D65" s="11">
        <v>45167</v>
      </c>
      <c r="E65" s="16"/>
    </row>
    <row r="66" ht="15.75" spans="1:5">
      <c r="A66" s="72">
        <v>304537741</v>
      </c>
      <c r="B66" s="72">
        <v>40127407</v>
      </c>
      <c r="C66" s="1">
        <v>670.61</v>
      </c>
      <c r="D66" s="11">
        <v>45168</v>
      </c>
      <c r="E66" s="16"/>
    </row>
    <row r="67" ht="15.75" spans="1:5">
      <c r="A67" s="72">
        <v>304537741</v>
      </c>
      <c r="B67" s="72">
        <v>40127407</v>
      </c>
      <c r="C67" s="1">
        <v>670.61</v>
      </c>
      <c r="D67" s="11">
        <v>45169</v>
      </c>
      <c r="E67" s="12"/>
    </row>
    <row r="68" ht="15.75" spans="1:5">
      <c r="A68" s="72">
        <v>304537741</v>
      </c>
      <c r="B68" s="72">
        <v>40127407</v>
      </c>
      <c r="C68" s="1">
        <v>670.61</v>
      </c>
      <c r="D68" s="11">
        <v>45170</v>
      </c>
      <c r="E68" s="12"/>
    </row>
    <row r="69" ht="15.75" spans="1:5">
      <c r="A69" s="72">
        <v>304537741</v>
      </c>
      <c r="B69" s="72">
        <v>40127407</v>
      </c>
      <c r="C69" s="1">
        <v>670.61</v>
      </c>
      <c r="D69" s="11">
        <v>45171</v>
      </c>
      <c r="E69" s="12"/>
    </row>
    <row r="70" ht="15.75" spans="1:5">
      <c r="A70" s="72">
        <v>304537741</v>
      </c>
      <c r="B70" s="72">
        <v>40127407</v>
      </c>
      <c r="C70" s="1">
        <v>670.61</v>
      </c>
      <c r="D70" s="11">
        <v>45172</v>
      </c>
      <c r="E70" s="12"/>
    </row>
    <row r="71" ht="15.75" spans="1:5">
      <c r="A71" s="72">
        <v>304537741</v>
      </c>
      <c r="B71" s="72">
        <v>40127407</v>
      </c>
      <c r="C71" s="1">
        <v>670.61</v>
      </c>
      <c r="D71" s="11">
        <v>45173</v>
      </c>
      <c r="E71" s="12"/>
    </row>
    <row r="72" ht="15.75" spans="1:5">
      <c r="A72" s="72">
        <v>304537741</v>
      </c>
      <c r="B72" s="72">
        <v>40127407</v>
      </c>
      <c r="C72" s="1">
        <v>670.61</v>
      </c>
      <c r="D72" s="11">
        <v>45174</v>
      </c>
      <c r="E72" s="12"/>
    </row>
    <row r="73" ht="15.75" spans="1:5">
      <c r="A73" s="72">
        <v>304537741</v>
      </c>
      <c r="B73" s="72">
        <v>40127407</v>
      </c>
      <c r="C73" s="1">
        <v>670.61</v>
      </c>
      <c r="D73" s="11">
        <v>45175</v>
      </c>
      <c r="E73" s="12"/>
    </row>
    <row r="74" ht="15.75" spans="1:5">
      <c r="A74" s="72">
        <v>304537741</v>
      </c>
      <c r="B74" s="72">
        <v>40127407</v>
      </c>
      <c r="C74" s="1">
        <v>670.61</v>
      </c>
      <c r="D74" s="11">
        <v>45176</v>
      </c>
      <c r="E74" s="12"/>
    </row>
    <row r="75" ht="15.75" spans="1:5">
      <c r="A75" s="72">
        <v>304537741</v>
      </c>
      <c r="B75" s="72">
        <v>40127407</v>
      </c>
      <c r="C75" s="1">
        <v>670.61</v>
      </c>
      <c r="D75" s="11">
        <v>45177</v>
      </c>
      <c r="E75" s="10"/>
    </row>
    <row r="76" ht="15.75" spans="1:5">
      <c r="A76" s="72">
        <v>304537741</v>
      </c>
      <c r="B76" s="72">
        <v>40127407</v>
      </c>
      <c r="C76" s="1">
        <v>670.61</v>
      </c>
      <c r="D76" s="11">
        <v>45178</v>
      </c>
      <c r="E76" s="10"/>
    </row>
    <row r="77" ht="15.75" spans="1:5">
      <c r="A77" s="72">
        <v>304537741</v>
      </c>
      <c r="B77" s="72">
        <v>40127407</v>
      </c>
      <c r="C77" s="1">
        <v>670.61</v>
      </c>
      <c r="D77" s="11">
        <v>45179</v>
      </c>
      <c r="E77" s="10"/>
    </row>
    <row r="78" ht="15.75" spans="1:5">
      <c r="A78" s="72">
        <v>304537741</v>
      </c>
      <c r="B78" s="72">
        <v>40127407</v>
      </c>
      <c r="C78" s="1">
        <v>670.61</v>
      </c>
      <c r="D78" s="11">
        <v>45180</v>
      </c>
      <c r="E78" s="10"/>
    </row>
    <row r="79" ht="15.75" spans="1:5">
      <c r="A79" s="72">
        <v>304537741</v>
      </c>
      <c r="B79" s="72">
        <v>40127407</v>
      </c>
      <c r="C79" s="1">
        <v>670.61</v>
      </c>
      <c r="D79" s="11">
        <v>45181</v>
      </c>
      <c r="E79" s="10"/>
    </row>
    <row r="80" ht="15.75" spans="1:5">
      <c r="A80" s="72">
        <v>304537741</v>
      </c>
      <c r="B80" s="72">
        <v>40127407</v>
      </c>
      <c r="C80" s="1">
        <v>670.61</v>
      </c>
      <c r="D80" s="11">
        <v>45182</v>
      </c>
      <c r="E80" s="10"/>
    </row>
    <row r="81" ht="15.75" spans="1:5">
      <c r="A81" s="72">
        <v>304537741</v>
      </c>
      <c r="B81" s="72">
        <v>40127407</v>
      </c>
      <c r="C81" s="1">
        <v>670.61</v>
      </c>
      <c r="D81" s="11">
        <v>45183</v>
      </c>
      <c r="E81" s="10"/>
    </row>
    <row r="82" ht="15.75" spans="1:5">
      <c r="A82" s="72">
        <v>304537741</v>
      </c>
      <c r="B82" s="72">
        <v>40127407</v>
      </c>
      <c r="C82" s="1">
        <v>670.61</v>
      </c>
      <c r="D82" s="11">
        <v>45184</v>
      </c>
      <c r="E82" s="12"/>
    </row>
    <row r="83" ht="15.75" spans="1:5">
      <c r="A83" s="72">
        <v>304537741</v>
      </c>
      <c r="B83" s="72">
        <v>40127407</v>
      </c>
      <c r="C83" s="1">
        <v>670.61</v>
      </c>
      <c r="D83" s="11">
        <v>45185</v>
      </c>
      <c r="E83" s="12"/>
    </row>
    <row r="84" ht="15.75" spans="1:5">
      <c r="A84" s="72">
        <v>304537741</v>
      </c>
      <c r="B84" s="72">
        <v>40127407</v>
      </c>
      <c r="C84" s="1">
        <v>670.61</v>
      </c>
      <c r="D84" s="11">
        <v>45186</v>
      </c>
      <c r="E84" s="12"/>
    </row>
    <row r="85" ht="15.75" spans="1:5">
      <c r="A85" s="72">
        <v>304537741</v>
      </c>
      <c r="B85" s="72">
        <v>40127407</v>
      </c>
      <c r="C85" s="1">
        <v>670.61</v>
      </c>
      <c r="D85" s="11">
        <v>45187</v>
      </c>
      <c r="E85" s="12"/>
    </row>
    <row r="86" ht="15.75" spans="1:5">
      <c r="A86" s="72">
        <v>304537741</v>
      </c>
      <c r="B86" s="72">
        <v>40127407</v>
      </c>
      <c r="C86" s="1">
        <v>670.61</v>
      </c>
      <c r="D86" s="11">
        <v>45188</v>
      </c>
      <c r="E86" s="12"/>
    </row>
    <row r="87" ht="15.75" spans="1:5">
      <c r="A87" s="72">
        <v>304537741</v>
      </c>
      <c r="B87" s="72">
        <v>40127407</v>
      </c>
      <c r="C87" s="1">
        <v>670.61</v>
      </c>
      <c r="D87" s="11">
        <v>45189</v>
      </c>
      <c r="E87" s="10"/>
    </row>
    <row r="88" ht="15.75" spans="1:5">
      <c r="A88" s="72">
        <v>304537741</v>
      </c>
      <c r="B88" s="72">
        <v>40127407</v>
      </c>
      <c r="C88" s="1">
        <v>670.61</v>
      </c>
      <c r="D88" s="11">
        <v>45190</v>
      </c>
      <c r="E88" s="10"/>
    </row>
    <row r="89" ht="15.75" spans="1:5">
      <c r="A89" s="72">
        <v>304537741</v>
      </c>
      <c r="B89" s="72">
        <v>40127407</v>
      </c>
      <c r="C89" s="1">
        <v>670.61</v>
      </c>
      <c r="D89" s="11">
        <v>45191</v>
      </c>
      <c r="E89" s="10"/>
    </row>
    <row r="90" ht="15.75" spans="1:5">
      <c r="A90" s="72">
        <v>304537741</v>
      </c>
      <c r="B90" s="72">
        <v>40127407</v>
      </c>
      <c r="C90" s="1">
        <v>670.61</v>
      </c>
      <c r="D90" s="11">
        <v>45192</v>
      </c>
      <c r="E90" s="10"/>
    </row>
    <row r="91" ht="15.75" spans="1:5">
      <c r="A91" s="72">
        <v>304537741</v>
      </c>
      <c r="B91" s="72">
        <v>40127407</v>
      </c>
      <c r="C91" s="1">
        <v>670.61</v>
      </c>
      <c r="D91" s="11">
        <v>45193</v>
      </c>
      <c r="E91" s="10"/>
    </row>
    <row r="92" ht="15.75" spans="1:5">
      <c r="A92" s="72">
        <v>304537741</v>
      </c>
      <c r="B92" s="72">
        <v>40127407</v>
      </c>
      <c r="C92" s="1">
        <v>670.61</v>
      </c>
      <c r="D92" s="11">
        <v>45194</v>
      </c>
      <c r="E92" s="10"/>
    </row>
    <row r="93" ht="15.75" spans="1:5">
      <c r="A93" s="72">
        <v>304537741</v>
      </c>
      <c r="B93" s="72">
        <v>40127407</v>
      </c>
      <c r="C93" s="1">
        <v>670.61</v>
      </c>
      <c r="D93" s="11">
        <v>45195</v>
      </c>
      <c r="E93" s="10"/>
    </row>
    <row r="94" ht="15.75" spans="1:5">
      <c r="A94" s="72">
        <v>304537741</v>
      </c>
      <c r="B94" s="72">
        <v>40127407</v>
      </c>
      <c r="C94" s="1">
        <v>670.61</v>
      </c>
      <c r="D94" s="11">
        <v>45196</v>
      </c>
      <c r="E94" s="10"/>
    </row>
    <row r="95" ht="15.75" spans="1:5">
      <c r="A95" s="72">
        <v>304537741</v>
      </c>
      <c r="B95" s="72">
        <v>40127407</v>
      </c>
      <c r="C95" s="1">
        <v>670.61</v>
      </c>
      <c r="D95" s="11">
        <v>45197</v>
      </c>
      <c r="E95" s="10"/>
    </row>
    <row r="96" ht="15.75" spans="1:5">
      <c r="A96" s="72">
        <v>304537741</v>
      </c>
      <c r="B96" s="72">
        <v>40127407</v>
      </c>
      <c r="C96" s="1">
        <v>670.61</v>
      </c>
      <c r="D96" s="11">
        <v>45198</v>
      </c>
      <c r="E96" s="10"/>
    </row>
    <row r="97" ht="15.75" spans="1:5">
      <c r="A97" s="72">
        <v>304537741</v>
      </c>
      <c r="B97" s="72">
        <v>40127407</v>
      </c>
      <c r="C97" s="1">
        <v>670.61</v>
      </c>
      <c r="D97" s="11">
        <v>45199</v>
      </c>
      <c r="E97" s="10"/>
    </row>
    <row r="98" ht="15.75" spans="1:5">
      <c r="A98" s="72">
        <v>304537741</v>
      </c>
      <c r="B98" s="72">
        <v>40127407</v>
      </c>
      <c r="C98" s="1">
        <v>670.61</v>
      </c>
      <c r="D98" s="11">
        <v>45200</v>
      </c>
      <c r="E98" s="10"/>
    </row>
    <row r="99" ht="15.75" spans="1:5">
      <c r="A99" s="72">
        <v>304537741</v>
      </c>
      <c r="B99" s="72">
        <v>40127407</v>
      </c>
      <c r="C99" s="1">
        <v>670.61</v>
      </c>
      <c r="D99" s="11">
        <v>45201</v>
      </c>
      <c r="E99" s="10"/>
    </row>
    <row r="100" ht="15.75" spans="1:5">
      <c r="A100" s="72">
        <v>304537741</v>
      </c>
      <c r="B100" s="72">
        <v>40127407</v>
      </c>
      <c r="C100" s="1">
        <v>670.61</v>
      </c>
      <c r="D100" s="11">
        <v>45202</v>
      </c>
      <c r="E100" s="10"/>
    </row>
    <row r="101" ht="15.75" spans="1:5">
      <c r="A101" s="72">
        <v>304537741</v>
      </c>
      <c r="B101" s="72">
        <v>40127407</v>
      </c>
      <c r="C101" s="1">
        <v>670.61</v>
      </c>
      <c r="D101" s="11">
        <v>45203</v>
      </c>
      <c r="E101" s="10"/>
    </row>
    <row r="102" ht="15.75" spans="1:5">
      <c r="A102" s="72">
        <v>304537741</v>
      </c>
      <c r="B102" s="72">
        <v>40127407</v>
      </c>
      <c r="C102" s="1">
        <v>670.61</v>
      </c>
      <c r="D102" s="11">
        <v>45204</v>
      </c>
      <c r="E102" s="10"/>
    </row>
    <row r="103" ht="15.75" spans="1:5">
      <c r="A103" s="72">
        <v>304537741</v>
      </c>
      <c r="B103" s="72">
        <v>40127407</v>
      </c>
      <c r="C103" s="1">
        <v>670.61</v>
      </c>
      <c r="D103" s="11">
        <v>45205</v>
      </c>
      <c r="E103" s="10"/>
    </row>
    <row r="104" ht="15.75" spans="1:5">
      <c r="A104" s="72">
        <v>304537741</v>
      </c>
      <c r="B104" s="72">
        <v>40127407</v>
      </c>
      <c r="C104" s="1">
        <v>670.61</v>
      </c>
      <c r="D104" s="11">
        <v>45206</v>
      </c>
      <c r="E104" s="10"/>
    </row>
    <row r="105" ht="15.75" spans="1:5">
      <c r="A105" s="72">
        <v>304537741</v>
      </c>
      <c r="B105" s="72">
        <v>40127407</v>
      </c>
      <c r="C105" s="1">
        <v>670.61</v>
      </c>
      <c r="D105" s="11">
        <v>45207</v>
      </c>
      <c r="E105" s="10"/>
    </row>
    <row r="106" ht="15.75" spans="1:5">
      <c r="A106" s="72">
        <v>304537741</v>
      </c>
      <c r="B106" s="72">
        <v>40127407</v>
      </c>
      <c r="C106" s="1">
        <v>670.61</v>
      </c>
      <c r="D106" s="11">
        <v>45208</v>
      </c>
      <c r="E106" s="10"/>
    </row>
    <row r="107" ht="15.75" spans="1:5">
      <c r="A107" s="72">
        <v>304537741</v>
      </c>
      <c r="B107" s="72">
        <v>40127407</v>
      </c>
      <c r="C107" s="1">
        <v>670.61</v>
      </c>
      <c r="D107" s="11">
        <v>45209</v>
      </c>
      <c r="E107" s="10"/>
    </row>
    <row r="108" ht="15.75" spans="1:5">
      <c r="A108" s="72">
        <v>304537741</v>
      </c>
      <c r="B108" s="72">
        <v>40127407</v>
      </c>
      <c r="C108" s="1">
        <v>670.61</v>
      </c>
      <c r="D108" s="11">
        <v>45210</v>
      </c>
      <c r="E108" s="10"/>
    </row>
    <row r="109" ht="15.75" spans="1:5">
      <c r="A109" s="72">
        <v>304537741</v>
      </c>
      <c r="B109" s="72">
        <v>40127407</v>
      </c>
      <c r="C109" s="1">
        <v>670.61</v>
      </c>
      <c r="D109" s="11">
        <v>45211</v>
      </c>
      <c r="E109" s="10"/>
    </row>
    <row r="110" ht="15.75" spans="1:5">
      <c r="A110" s="72">
        <v>304537741</v>
      </c>
      <c r="B110" s="72">
        <v>40127407</v>
      </c>
      <c r="C110" s="1">
        <v>670.61</v>
      </c>
      <c r="D110" s="11">
        <v>45212</v>
      </c>
      <c r="E110" s="10">
        <v>675.24</v>
      </c>
    </row>
    <row r="111" ht="15.75" spans="1:5">
      <c r="A111" s="72">
        <v>304537741</v>
      </c>
      <c r="B111" s="72">
        <v>40127407</v>
      </c>
      <c r="C111" s="1">
        <v>670.61</v>
      </c>
      <c r="D111" s="11">
        <v>45213</v>
      </c>
      <c r="E111" s="10">
        <v>675.24</v>
      </c>
    </row>
    <row r="112" ht="15.75" spans="1:5">
      <c r="A112" s="72">
        <v>304537741</v>
      </c>
      <c r="B112" s="72">
        <v>40127407</v>
      </c>
      <c r="C112" s="1">
        <v>670.61</v>
      </c>
      <c r="D112" s="11">
        <v>45214</v>
      </c>
      <c r="E112" s="10">
        <v>675.24</v>
      </c>
    </row>
    <row r="113" ht="15.75" spans="1:5">
      <c r="A113" s="72">
        <v>304537741</v>
      </c>
      <c r="B113" s="72">
        <v>40127407</v>
      </c>
      <c r="C113" s="1">
        <v>670.61</v>
      </c>
      <c r="D113" s="11">
        <v>45215</v>
      </c>
      <c r="E113" s="10">
        <v>675.24</v>
      </c>
    </row>
    <row r="114" ht="15.75" spans="1:5">
      <c r="A114" s="72">
        <v>304537741</v>
      </c>
      <c r="B114" s="72">
        <v>40127407</v>
      </c>
      <c r="C114" s="1">
        <v>670.61</v>
      </c>
      <c r="D114" s="11">
        <v>45216</v>
      </c>
      <c r="E114" s="10">
        <v>677.54</v>
      </c>
    </row>
    <row r="115" ht="15.75" spans="1:5">
      <c r="A115" s="72">
        <v>304537741</v>
      </c>
      <c r="B115" s="72">
        <v>40127407</v>
      </c>
      <c r="C115" s="1">
        <v>670.61</v>
      </c>
      <c r="D115" s="11">
        <v>45217</v>
      </c>
      <c r="E115" s="10">
        <v>683.965</v>
      </c>
    </row>
    <row r="116" ht="15.75" spans="1:5">
      <c r="A116" s="72">
        <v>304537741</v>
      </c>
      <c r="B116" s="72">
        <v>40127407</v>
      </c>
      <c r="C116" s="1">
        <v>670.61</v>
      </c>
      <c r="D116" s="11">
        <v>45218</v>
      </c>
      <c r="E116" s="10"/>
    </row>
    <row r="117" ht="15.75" spans="1:5">
      <c r="A117" s="72">
        <v>304537741</v>
      </c>
      <c r="B117" s="72">
        <v>40127407</v>
      </c>
      <c r="C117" s="1">
        <v>670.61</v>
      </c>
      <c r="D117" s="11">
        <v>45219</v>
      </c>
      <c r="E117" s="10">
        <v>690.14</v>
      </c>
    </row>
    <row r="118" ht="15.75" spans="1:5">
      <c r="A118" s="72">
        <v>304537741</v>
      </c>
      <c r="B118" s="72">
        <v>40127407</v>
      </c>
      <c r="C118" s="1">
        <v>670.61</v>
      </c>
      <c r="D118" s="11">
        <v>45220</v>
      </c>
      <c r="E118" s="10">
        <v>690.34</v>
      </c>
    </row>
    <row r="119" ht="15.75" spans="1:5">
      <c r="A119" s="72">
        <v>304537741</v>
      </c>
      <c r="B119" s="72">
        <v>40127407</v>
      </c>
      <c r="C119" s="1">
        <v>670.61</v>
      </c>
      <c r="D119" s="11">
        <v>45221</v>
      </c>
      <c r="E119" s="10">
        <v>690.54</v>
      </c>
    </row>
    <row r="120" ht="15.75" spans="1:5">
      <c r="A120" s="72">
        <v>304537741</v>
      </c>
      <c r="B120" s="72">
        <v>40127407</v>
      </c>
      <c r="C120" s="1">
        <v>670.61</v>
      </c>
      <c r="D120" s="11">
        <v>45222</v>
      </c>
      <c r="E120" s="10">
        <v>690.64</v>
      </c>
    </row>
    <row r="121" ht="15.75" spans="1:5">
      <c r="A121" s="72">
        <v>304537741</v>
      </c>
      <c r="B121" s="72">
        <v>40127407</v>
      </c>
      <c r="C121" s="1">
        <v>670.61</v>
      </c>
      <c r="D121" s="11">
        <v>45223</v>
      </c>
      <c r="E121" s="10">
        <v>690.64</v>
      </c>
    </row>
    <row r="122" ht="15.75" spans="1:5">
      <c r="A122" s="72">
        <v>304537741</v>
      </c>
      <c r="B122" s="72">
        <v>40127407</v>
      </c>
      <c r="C122" s="1">
        <v>670.61</v>
      </c>
      <c r="D122" s="11">
        <v>45224</v>
      </c>
      <c r="E122" s="10">
        <v>690.64</v>
      </c>
    </row>
    <row r="123" ht="15.75" spans="1:5">
      <c r="A123" s="72">
        <v>304537741</v>
      </c>
      <c r="B123" s="72">
        <v>40127407</v>
      </c>
      <c r="C123" s="1">
        <v>670.61</v>
      </c>
      <c r="D123" s="11">
        <v>45225</v>
      </c>
      <c r="E123" s="10">
        <v>690.64</v>
      </c>
    </row>
    <row r="124" ht="15.75" spans="1:5">
      <c r="A124" s="72">
        <v>304537741</v>
      </c>
      <c r="B124" s="72">
        <v>40127407</v>
      </c>
      <c r="C124" s="1">
        <v>670.61</v>
      </c>
      <c r="D124" s="11">
        <v>45226</v>
      </c>
      <c r="E124" s="10">
        <v>690.59</v>
      </c>
    </row>
    <row r="125" ht="15.75" spans="1:5">
      <c r="A125" s="72">
        <v>304537741</v>
      </c>
      <c r="B125" s="72">
        <v>40127407</v>
      </c>
      <c r="C125" s="1">
        <v>670.61</v>
      </c>
      <c r="D125" s="11">
        <v>45227</v>
      </c>
      <c r="E125" s="10">
        <v>690.37</v>
      </c>
    </row>
    <row r="126" ht="15.75" spans="1:5">
      <c r="A126" s="72">
        <v>304537741</v>
      </c>
      <c r="B126" s="72">
        <v>40127407</v>
      </c>
      <c r="C126" s="1">
        <v>670.61</v>
      </c>
      <c r="D126" s="11">
        <v>45228</v>
      </c>
      <c r="E126" s="10">
        <v>689.8</v>
      </c>
    </row>
    <row r="127" ht="15.75" spans="1:5">
      <c r="A127" s="72">
        <v>304537741</v>
      </c>
      <c r="B127" s="72">
        <v>40127407</v>
      </c>
      <c r="C127" s="1">
        <v>670.61</v>
      </c>
      <c r="D127" s="11">
        <v>45229</v>
      </c>
      <c r="E127" s="10">
        <v>689.75</v>
      </c>
    </row>
    <row r="128" ht="15.75" spans="1:5">
      <c r="A128" s="72">
        <v>304537741</v>
      </c>
      <c r="B128" s="72">
        <v>40127407</v>
      </c>
      <c r="C128" s="1">
        <v>670.61</v>
      </c>
      <c r="D128" s="11">
        <v>45230</v>
      </c>
      <c r="E128" s="10">
        <v>689.68</v>
      </c>
    </row>
    <row r="129" ht="15.75" spans="1:5">
      <c r="A129" s="72">
        <v>304537741</v>
      </c>
      <c r="B129" s="72">
        <v>40127407</v>
      </c>
      <c r="C129" s="1">
        <v>670.61</v>
      </c>
      <c r="D129" s="11">
        <v>45231</v>
      </c>
      <c r="E129" s="10">
        <v>689.65</v>
      </c>
    </row>
    <row r="130" ht="15.75" spans="1:5">
      <c r="A130" s="72">
        <v>304537741</v>
      </c>
      <c r="B130" s="72">
        <v>40127407</v>
      </c>
      <c r="C130" s="1">
        <v>670.61</v>
      </c>
      <c r="D130" s="11">
        <v>45232</v>
      </c>
      <c r="E130" s="10">
        <v>689.54</v>
      </c>
    </row>
    <row r="131" ht="15.75" spans="1:5">
      <c r="A131" s="72">
        <v>304537741</v>
      </c>
      <c r="B131" s="72">
        <v>40127407</v>
      </c>
      <c r="C131" s="1">
        <v>670.61</v>
      </c>
      <c r="D131" s="11">
        <v>45233</v>
      </c>
      <c r="E131" s="10">
        <v>689.5</v>
      </c>
    </row>
    <row r="132" ht="15.75" spans="1:5">
      <c r="A132" s="72">
        <v>304537741</v>
      </c>
      <c r="B132" s="72">
        <v>40127407</v>
      </c>
      <c r="C132" s="1">
        <v>670.61</v>
      </c>
      <c r="D132" s="11">
        <v>45234</v>
      </c>
      <c r="E132" s="10">
        <v>688.24</v>
      </c>
    </row>
    <row r="133" ht="15.75" spans="1:5">
      <c r="A133" s="72">
        <v>304537741</v>
      </c>
      <c r="B133" s="72">
        <v>40127407</v>
      </c>
      <c r="C133" s="1">
        <v>670.61</v>
      </c>
      <c r="D133" s="11">
        <v>45235</v>
      </c>
      <c r="E133" s="10">
        <v>690.19</v>
      </c>
    </row>
    <row r="134" ht="15.75" spans="1:5">
      <c r="A134" s="72">
        <v>304537741</v>
      </c>
      <c r="B134" s="72">
        <v>40127407</v>
      </c>
      <c r="C134" s="1">
        <v>670.61</v>
      </c>
      <c r="D134" s="11">
        <v>45236</v>
      </c>
      <c r="E134" s="10">
        <v>690.44</v>
      </c>
    </row>
    <row r="135" ht="15.75" spans="1:5">
      <c r="A135" s="72">
        <v>304537741</v>
      </c>
      <c r="B135" s="72">
        <v>40127407</v>
      </c>
      <c r="C135" s="1">
        <v>670.61</v>
      </c>
      <c r="D135" s="11">
        <v>45237</v>
      </c>
      <c r="E135" s="10">
        <v>690.42</v>
      </c>
    </row>
    <row r="136" ht="15.75" spans="1:5">
      <c r="A136" s="72">
        <v>304537741</v>
      </c>
      <c r="B136" s="72">
        <v>40127407</v>
      </c>
      <c r="C136" s="1">
        <v>670.61</v>
      </c>
      <c r="D136" s="11">
        <v>45238</v>
      </c>
      <c r="E136" s="10">
        <v>690.33</v>
      </c>
    </row>
    <row r="137" ht="15.75" spans="1:5">
      <c r="A137" s="72">
        <v>304537741</v>
      </c>
      <c r="B137" s="72">
        <v>40127407</v>
      </c>
      <c r="C137" s="1">
        <v>670.61</v>
      </c>
      <c r="D137" s="11">
        <v>45239</v>
      </c>
      <c r="E137" s="10">
        <v>690.35</v>
      </c>
    </row>
    <row r="138" ht="15.75" spans="1:5">
      <c r="A138" s="72">
        <v>304537741</v>
      </c>
      <c r="B138" s="72">
        <v>40127407</v>
      </c>
      <c r="C138" s="1">
        <v>670.61</v>
      </c>
      <c r="D138" s="11">
        <v>45240</v>
      </c>
      <c r="E138" s="10">
        <v>690.24</v>
      </c>
    </row>
    <row r="139" ht="15.75" spans="1:5">
      <c r="A139" s="72">
        <v>304537741</v>
      </c>
      <c r="B139" s="72">
        <v>40127407</v>
      </c>
      <c r="C139" s="1">
        <v>670.61</v>
      </c>
      <c r="D139" s="11">
        <v>45241</v>
      </c>
      <c r="E139" s="10">
        <v>690.14</v>
      </c>
    </row>
    <row r="140" ht="15.75" spans="1:5">
      <c r="A140" s="72">
        <v>304537741</v>
      </c>
      <c r="B140" s="72">
        <v>40127407</v>
      </c>
      <c r="C140" s="1">
        <v>670.61</v>
      </c>
      <c r="D140" s="11">
        <v>45242</v>
      </c>
      <c r="E140" s="10"/>
    </row>
    <row r="141" ht="15.75" spans="1:5">
      <c r="A141" s="72">
        <v>304537741</v>
      </c>
      <c r="B141" s="72">
        <v>40127407</v>
      </c>
      <c r="C141" s="1">
        <v>670.61</v>
      </c>
      <c r="D141" s="11">
        <v>45243</v>
      </c>
      <c r="E141" s="10"/>
    </row>
    <row r="142" ht="15.75" spans="1:5">
      <c r="A142" s="72">
        <v>304537741</v>
      </c>
      <c r="B142" s="72">
        <v>40127407</v>
      </c>
      <c r="C142" s="1">
        <v>670.61</v>
      </c>
      <c r="D142" s="11">
        <v>45244</v>
      </c>
      <c r="E142" s="10"/>
    </row>
    <row r="143" ht="15.75" spans="1:5">
      <c r="A143" s="72">
        <v>304537741</v>
      </c>
      <c r="B143" s="72">
        <v>40127407</v>
      </c>
      <c r="C143" s="1">
        <v>670.61</v>
      </c>
      <c r="D143" s="11">
        <v>45245</v>
      </c>
      <c r="E143" s="10"/>
    </row>
    <row r="144" ht="15.75" spans="1:5">
      <c r="A144" s="72">
        <v>304537741</v>
      </c>
      <c r="B144" s="72">
        <v>40127407</v>
      </c>
      <c r="C144" s="1">
        <v>670.61</v>
      </c>
      <c r="D144" s="11">
        <v>45246</v>
      </c>
      <c r="E144" s="10">
        <v>690.14</v>
      </c>
    </row>
    <row r="145" ht="15.75" spans="1:5">
      <c r="A145" s="72">
        <v>304537741</v>
      </c>
      <c r="B145" s="72">
        <v>40127407</v>
      </c>
      <c r="C145" s="1">
        <v>670.61</v>
      </c>
      <c r="D145" s="11">
        <v>45247</v>
      </c>
      <c r="E145" s="10">
        <v>690</v>
      </c>
    </row>
    <row r="146" ht="15.75" spans="1:5">
      <c r="A146" s="72">
        <v>304537741</v>
      </c>
      <c r="B146" s="72">
        <v>40127407</v>
      </c>
      <c r="C146" s="1">
        <v>670.61</v>
      </c>
      <c r="D146" s="11">
        <v>45248</v>
      </c>
      <c r="E146" s="10">
        <v>689.9</v>
      </c>
    </row>
    <row r="147" ht="15.75" spans="1:5">
      <c r="A147" s="72">
        <v>304537741</v>
      </c>
      <c r="B147" s="72">
        <v>40127407</v>
      </c>
      <c r="C147" s="1">
        <v>670.61</v>
      </c>
      <c r="D147" s="11">
        <v>45249</v>
      </c>
      <c r="E147" s="10">
        <v>689.82</v>
      </c>
    </row>
    <row r="148" ht="15.75" spans="1:5">
      <c r="A148" s="72">
        <v>304537741</v>
      </c>
      <c r="B148" s="72">
        <v>40127407</v>
      </c>
      <c r="C148" s="1">
        <v>670.61</v>
      </c>
      <c r="D148" s="11">
        <v>45250</v>
      </c>
      <c r="E148" s="10">
        <v>689.57</v>
      </c>
    </row>
    <row r="149" ht="15.75" spans="1:5">
      <c r="A149" s="72">
        <v>304537741</v>
      </c>
      <c r="B149" s="72">
        <v>40127407</v>
      </c>
      <c r="C149" s="1">
        <v>670.61</v>
      </c>
      <c r="D149" s="11">
        <v>45251</v>
      </c>
      <c r="E149" s="10">
        <v>689.53</v>
      </c>
    </row>
    <row r="150" ht="15.75" spans="1:5">
      <c r="A150" s="72">
        <v>304537741</v>
      </c>
      <c r="B150" s="72">
        <v>40127407</v>
      </c>
      <c r="C150" s="1">
        <v>670.61</v>
      </c>
      <c r="D150" s="11">
        <v>45252</v>
      </c>
      <c r="E150" s="10">
        <v>689.32</v>
      </c>
    </row>
    <row r="151" ht="15.75" spans="1:5">
      <c r="A151" s="72">
        <v>304537741</v>
      </c>
      <c r="B151" s="72">
        <v>40127407</v>
      </c>
      <c r="C151" s="1">
        <v>670.61</v>
      </c>
      <c r="D151" s="11">
        <v>45253</v>
      </c>
      <c r="E151" s="10">
        <v>689.32</v>
      </c>
    </row>
    <row r="152" ht="15.75" spans="1:5">
      <c r="A152" s="72">
        <v>304537741</v>
      </c>
      <c r="B152" s="72">
        <v>40127407</v>
      </c>
      <c r="C152" s="1">
        <v>670.61</v>
      </c>
      <c r="D152" s="11">
        <v>45254</v>
      </c>
      <c r="E152" s="10">
        <v>689.1</v>
      </c>
    </row>
    <row r="153" ht="15.75" spans="1:5">
      <c r="A153" s="72">
        <v>304537741</v>
      </c>
      <c r="B153" s="72">
        <v>40127407</v>
      </c>
      <c r="C153" s="1">
        <v>670.61</v>
      </c>
      <c r="D153" s="11">
        <v>45255</v>
      </c>
      <c r="E153" s="10"/>
    </row>
    <row r="154" ht="15.75" spans="1:5">
      <c r="A154" s="72">
        <v>304537741</v>
      </c>
      <c r="B154" s="72">
        <v>40127407</v>
      </c>
      <c r="C154" s="1">
        <v>670.61</v>
      </c>
      <c r="D154" s="11">
        <v>45256</v>
      </c>
      <c r="E154" s="10"/>
    </row>
    <row r="155" ht="15.75" spans="1:5">
      <c r="A155" s="72">
        <v>304537741</v>
      </c>
      <c r="B155" s="72">
        <v>40127407</v>
      </c>
      <c r="C155" s="1">
        <v>670.61</v>
      </c>
      <c r="D155" s="11">
        <v>45257</v>
      </c>
      <c r="E155" s="10"/>
    </row>
    <row r="156" ht="15.75" spans="1:5">
      <c r="A156" s="72">
        <v>304537741</v>
      </c>
      <c r="B156" s="72">
        <v>40127407</v>
      </c>
      <c r="C156" s="1">
        <v>670.61</v>
      </c>
      <c r="D156" s="11">
        <v>45258</v>
      </c>
      <c r="E156" s="10">
        <v>688.81</v>
      </c>
    </row>
    <row r="157" ht="15.75" spans="1:5">
      <c r="A157" s="72">
        <v>304537741</v>
      </c>
      <c r="B157" s="72">
        <v>40127407</v>
      </c>
      <c r="C157" s="1">
        <v>670.61</v>
      </c>
      <c r="D157" s="11">
        <v>45259</v>
      </c>
      <c r="E157" s="10">
        <v>688.65</v>
      </c>
    </row>
    <row r="158" ht="15.75" spans="1:5">
      <c r="A158" s="72">
        <v>304537741</v>
      </c>
      <c r="B158" s="72">
        <v>40127407</v>
      </c>
      <c r="C158" s="1">
        <v>670.61</v>
      </c>
      <c r="D158" s="11">
        <v>45260</v>
      </c>
      <c r="E158" s="10">
        <v>688.58</v>
      </c>
    </row>
    <row r="159" ht="15.75" spans="1:5">
      <c r="A159" s="72">
        <v>304537741</v>
      </c>
      <c r="B159" s="72">
        <v>40127407</v>
      </c>
      <c r="C159" s="1">
        <v>670.61</v>
      </c>
      <c r="D159" s="11">
        <v>45261</v>
      </c>
      <c r="E159" s="10">
        <v>688.48</v>
      </c>
    </row>
    <row r="160" ht="15.75" spans="1:5">
      <c r="A160" s="72">
        <v>304537741</v>
      </c>
      <c r="B160" s="72">
        <v>40127407</v>
      </c>
      <c r="C160" s="1">
        <v>670.61</v>
      </c>
      <c r="D160" s="11">
        <v>45262</v>
      </c>
      <c r="E160" s="10">
        <v>688.49</v>
      </c>
    </row>
    <row r="161" ht="15.75" spans="1:5">
      <c r="A161" s="72">
        <v>304537741</v>
      </c>
      <c r="B161" s="72">
        <v>40127407</v>
      </c>
      <c r="C161" s="1">
        <v>670.61</v>
      </c>
      <c r="D161" s="11">
        <v>45263</v>
      </c>
      <c r="E161" s="10">
        <v>688.61</v>
      </c>
    </row>
    <row r="162" ht="15.75" spans="1:5">
      <c r="A162" s="72">
        <v>304537741</v>
      </c>
      <c r="B162" s="72">
        <v>40127407</v>
      </c>
      <c r="C162" s="1">
        <v>670.61</v>
      </c>
      <c r="D162" s="11">
        <v>45264</v>
      </c>
      <c r="E162" s="10">
        <v>688.54</v>
      </c>
    </row>
    <row r="163" ht="15.75" spans="1:5">
      <c r="A163" s="72">
        <v>304537741</v>
      </c>
      <c r="B163" s="72">
        <v>40127407</v>
      </c>
      <c r="C163" s="1">
        <v>670.61</v>
      </c>
      <c r="D163" s="11">
        <v>45265</v>
      </c>
      <c r="E163" s="10">
        <v>688.43</v>
      </c>
    </row>
    <row r="164" ht="15.75" spans="1:5">
      <c r="A164" s="72">
        <v>304537741</v>
      </c>
      <c r="B164" s="72">
        <v>40127407</v>
      </c>
      <c r="C164" s="1">
        <v>670.61</v>
      </c>
      <c r="D164" s="11">
        <v>45266</v>
      </c>
      <c r="E164" s="10">
        <v>688.22</v>
      </c>
    </row>
    <row r="165" ht="15.75" spans="1:5">
      <c r="A165" s="72">
        <v>304537741</v>
      </c>
      <c r="B165" s="72">
        <v>40127407</v>
      </c>
      <c r="C165" s="1">
        <v>670.61</v>
      </c>
      <c r="D165" s="11">
        <v>45267</v>
      </c>
      <c r="E165" s="10"/>
    </row>
    <row r="166" ht="15.75" spans="1:5">
      <c r="A166" s="72">
        <v>304537741</v>
      </c>
      <c r="B166" s="72">
        <v>40127407</v>
      </c>
      <c r="C166" s="1">
        <v>670.61</v>
      </c>
      <c r="D166" s="11">
        <v>45268</v>
      </c>
      <c r="E166" s="10"/>
    </row>
    <row r="167" ht="15.75" spans="1:5">
      <c r="A167" s="72">
        <v>304537741</v>
      </c>
      <c r="B167" s="72">
        <v>40127407</v>
      </c>
      <c r="C167" s="1">
        <v>670.61</v>
      </c>
      <c r="D167" s="11">
        <v>45269</v>
      </c>
      <c r="E167" s="10"/>
    </row>
    <row r="168" ht="15.75" spans="1:5">
      <c r="A168" s="72">
        <v>304537741</v>
      </c>
      <c r="B168" s="72">
        <v>40127407</v>
      </c>
      <c r="C168" s="1">
        <v>670.61</v>
      </c>
      <c r="D168" s="11">
        <v>45270</v>
      </c>
      <c r="E168" s="10"/>
    </row>
    <row r="169" ht="15.75" spans="1:5">
      <c r="A169" s="72">
        <v>304537741</v>
      </c>
      <c r="B169" s="72">
        <v>40127407</v>
      </c>
      <c r="C169" s="1">
        <v>670.61</v>
      </c>
      <c r="D169" s="11">
        <v>45271</v>
      </c>
      <c r="E169" s="10"/>
    </row>
    <row r="170" ht="15.75" spans="1:5">
      <c r="A170" s="72">
        <v>304537741</v>
      </c>
      <c r="B170" s="72">
        <v>40127407</v>
      </c>
      <c r="C170" s="1">
        <v>670.61</v>
      </c>
      <c r="D170" s="11">
        <v>45272</v>
      </c>
      <c r="E170" s="10">
        <v>688.34</v>
      </c>
    </row>
    <row r="171" ht="15.75" spans="1:5">
      <c r="A171" s="72">
        <v>304537741</v>
      </c>
      <c r="B171" s="72">
        <v>40127407</v>
      </c>
      <c r="C171" s="1">
        <v>670.61</v>
      </c>
      <c r="D171" s="11">
        <v>45273</v>
      </c>
      <c r="E171" s="10">
        <v>688.14</v>
      </c>
    </row>
    <row r="172" ht="15.75" spans="1:5">
      <c r="A172" s="72">
        <v>304537741</v>
      </c>
      <c r="B172" s="72">
        <v>40127407</v>
      </c>
      <c r="C172" s="1">
        <v>670.61</v>
      </c>
      <c r="D172" s="11">
        <v>45274</v>
      </c>
      <c r="E172" s="10">
        <v>688.14</v>
      </c>
    </row>
    <row r="173" ht="15.75" spans="1:5">
      <c r="A173" s="72">
        <v>304537741</v>
      </c>
      <c r="B173" s="72">
        <v>40127407</v>
      </c>
      <c r="C173" s="1">
        <v>670.61</v>
      </c>
      <c r="D173" s="11">
        <v>45275</v>
      </c>
      <c r="E173" s="10">
        <v>687.94</v>
      </c>
    </row>
    <row r="174" ht="15.75" spans="1:5">
      <c r="A174" s="72">
        <v>304537741</v>
      </c>
      <c r="B174" s="72">
        <v>40127407</v>
      </c>
      <c r="C174" s="1">
        <v>670.61</v>
      </c>
      <c r="D174" s="11">
        <v>45276</v>
      </c>
      <c r="E174" s="10">
        <v>687.64</v>
      </c>
    </row>
    <row r="175" ht="15.75" spans="1:5">
      <c r="A175" s="72">
        <v>304537741</v>
      </c>
      <c r="B175" s="72">
        <v>40127407</v>
      </c>
      <c r="C175" s="1">
        <v>670.61</v>
      </c>
      <c r="D175" s="11">
        <v>45277</v>
      </c>
      <c r="E175" s="10">
        <v>687.74</v>
      </c>
    </row>
    <row r="176" ht="15.75" spans="1:5">
      <c r="A176" s="72">
        <v>304537741</v>
      </c>
      <c r="B176" s="72">
        <v>40127407</v>
      </c>
      <c r="C176" s="1">
        <v>670.61</v>
      </c>
      <c r="D176" s="11">
        <v>45278</v>
      </c>
      <c r="E176" s="10">
        <v>687.64</v>
      </c>
    </row>
    <row r="177" ht="15.75" spans="1:5">
      <c r="A177" s="72">
        <v>304537741</v>
      </c>
      <c r="B177" s="72">
        <v>40127407</v>
      </c>
      <c r="C177" s="1">
        <v>670.61</v>
      </c>
      <c r="D177" s="11">
        <v>45279</v>
      </c>
      <c r="E177" s="10">
        <v>687.64</v>
      </c>
    </row>
    <row r="178" ht="15.75" spans="1:5">
      <c r="A178" s="72">
        <v>304537741</v>
      </c>
      <c r="B178" s="72">
        <v>40127407</v>
      </c>
      <c r="C178" s="1">
        <v>670.61</v>
      </c>
      <c r="D178" s="11">
        <v>45280</v>
      </c>
      <c r="E178" s="10">
        <v>688.14</v>
      </c>
    </row>
    <row r="179" ht="15.75" spans="1:5">
      <c r="A179" s="72">
        <v>304537741</v>
      </c>
      <c r="B179" s="72">
        <v>40127407</v>
      </c>
      <c r="C179" s="1">
        <v>670.61</v>
      </c>
      <c r="D179" s="11">
        <v>45281</v>
      </c>
      <c r="E179" s="10">
        <v>688.24</v>
      </c>
    </row>
    <row r="180" ht="15.75" spans="1:5">
      <c r="A180" s="72">
        <v>304537741</v>
      </c>
      <c r="B180" s="72">
        <v>40127407</v>
      </c>
      <c r="C180" s="1">
        <v>670.61</v>
      </c>
      <c r="D180" s="11">
        <v>45282</v>
      </c>
      <c r="E180" s="10">
        <v>688.24</v>
      </c>
    </row>
    <row r="181" ht="15.75" spans="1:5">
      <c r="A181" s="72">
        <v>304537741</v>
      </c>
      <c r="B181" s="72">
        <v>40127407</v>
      </c>
      <c r="C181" s="1">
        <v>670.61</v>
      </c>
      <c r="D181" s="11">
        <v>45283</v>
      </c>
      <c r="E181" s="10">
        <v>687.94</v>
      </c>
    </row>
    <row r="182" ht="15.75" spans="1:5">
      <c r="A182" s="72">
        <v>304537741</v>
      </c>
      <c r="B182" s="72">
        <v>40127407</v>
      </c>
      <c r="C182" s="1">
        <v>670.61</v>
      </c>
      <c r="D182" s="11">
        <v>45284</v>
      </c>
      <c r="E182" s="10">
        <v>687.84</v>
      </c>
    </row>
    <row r="183" ht="15.75" spans="1:5">
      <c r="A183" s="72">
        <v>304537741</v>
      </c>
      <c r="B183" s="72">
        <v>40127407</v>
      </c>
      <c r="C183" s="1">
        <v>670.61</v>
      </c>
      <c r="D183" s="11">
        <v>45285</v>
      </c>
      <c r="E183" s="10">
        <v>687.94</v>
      </c>
    </row>
    <row r="184" ht="15.75" spans="1:5">
      <c r="A184" s="72">
        <v>304537741</v>
      </c>
      <c r="B184" s="72">
        <v>40127407</v>
      </c>
      <c r="C184" s="1">
        <v>670.61</v>
      </c>
      <c r="D184" s="11">
        <v>45286</v>
      </c>
      <c r="E184" s="10">
        <v>687.84</v>
      </c>
    </row>
    <row r="185" ht="15.75" spans="1:5">
      <c r="A185" s="72">
        <v>304537741</v>
      </c>
      <c r="B185" s="72">
        <v>40127407</v>
      </c>
      <c r="C185" s="1">
        <v>670.61</v>
      </c>
      <c r="D185" s="11">
        <v>45287</v>
      </c>
      <c r="E185" s="10">
        <v>687.64</v>
      </c>
    </row>
    <row r="186" ht="15.75" spans="1:5">
      <c r="A186" s="72">
        <v>304537741</v>
      </c>
      <c r="B186" s="72">
        <v>40127407</v>
      </c>
      <c r="C186" s="1">
        <v>670.61</v>
      </c>
      <c r="D186" s="11">
        <v>45288</v>
      </c>
      <c r="E186" s="10">
        <v>687.64</v>
      </c>
    </row>
    <row r="187" ht="15.75" spans="1:5">
      <c r="A187" s="72">
        <v>304537741</v>
      </c>
      <c r="B187" s="72">
        <v>40127407</v>
      </c>
      <c r="C187" s="1">
        <v>670.61</v>
      </c>
      <c r="D187" s="11">
        <v>45289</v>
      </c>
      <c r="E187" s="10">
        <v>687.74</v>
      </c>
    </row>
    <row r="188" ht="15.75" spans="1:5">
      <c r="A188" s="72">
        <v>304537741</v>
      </c>
      <c r="B188" s="72">
        <v>40127407</v>
      </c>
      <c r="C188" s="1">
        <v>670.61</v>
      </c>
      <c r="D188" s="11">
        <v>45290</v>
      </c>
      <c r="E188" s="10">
        <v>687.74</v>
      </c>
    </row>
    <row r="189" ht="15.75" spans="1:5">
      <c r="A189" s="72">
        <v>304537741</v>
      </c>
      <c r="B189" s="72">
        <v>40127407</v>
      </c>
      <c r="C189" s="1">
        <v>670.61</v>
      </c>
      <c r="D189" s="11">
        <v>45291</v>
      </c>
      <c r="E189" s="10">
        <v>687.415</v>
      </c>
    </row>
    <row r="190" ht="15.75" spans="1:5">
      <c r="A190" s="72">
        <v>304537741</v>
      </c>
      <c r="B190" s="72">
        <v>40127407</v>
      </c>
      <c r="C190" s="1">
        <v>670.61</v>
      </c>
      <c r="D190" s="11">
        <v>45292</v>
      </c>
      <c r="E190" s="10">
        <v>687.84</v>
      </c>
    </row>
    <row r="191" ht="15.75" spans="1:5">
      <c r="A191" s="72">
        <v>304537741</v>
      </c>
      <c r="B191" s="72">
        <v>40127407</v>
      </c>
      <c r="C191" s="1">
        <v>670.61</v>
      </c>
      <c r="D191" s="11">
        <v>45293</v>
      </c>
      <c r="E191" s="10">
        <v>687.74</v>
      </c>
    </row>
    <row r="192" ht="15.75" spans="1:5">
      <c r="A192" s="72">
        <v>304537741</v>
      </c>
      <c r="B192" s="72">
        <v>40127407</v>
      </c>
      <c r="C192" s="1">
        <v>670.61</v>
      </c>
      <c r="D192" s="11">
        <v>45294</v>
      </c>
      <c r="E192" s="10">
        <v>687.74</v>
      </c>
    </row>
    <row r="193" ht="15.75" spans="1:5">
      <c r="A193" s="72">
        <v>304537741</v>
      </c>
      <c r="B193" s="72">
        <v>40127407</v>
      </c>
      <c r="C193" s="1">
        <v>670.61</v>
      </c>
      <c r="D193" s="11">
        <v>45295</v>
      </c>
      <c r="E193" s="18">
        <v>687.74</v>
      </c>
    </row>
    <row r="194" ht="15.75" spans="1:5">
      <c r="A194" s="72">
        <v>304537741</v>
      </c>
      <c r="B194" s="72">
        <v>40127407</v>
      </c>
      <c r="C194" s="1">
        <v>670.61</v>
      </c>
      <c r="D194" s="11">
        <v>45296</v>
      </c>
      <c r="E194" s="18">
        <v>687.94</v>
      </c>
    </row>
    <row r="195" ht="15.75" spans="1:5">
      <c r="A195" s="72">
        <v>304537741</v>
      </c>
      <c r="B195" s="72">
        <v>40127407</v>
      </c>
      <c r="C195" s="1">
        <v>670.61</v>
      </c>
      <c r="D195" s="11">
        <v>45297</v>
      </c>
      <c r="E195" s="18">
        <v>687.84</v>
      </c>
    </row>
    <row r="196" ht="15.75" spans="1:5">
      <c r="A196" s="72">
        <v>304537741</v>
      </c>
      <c r="B196" s="72">
        <v>40127407</v>
      </c>
      <c r="C196" s="1">
        <v>670.61</v>
      </c>
      <c r="D196" s="11">
        <v>45298</v>
      </c>
      <c r="E196" s="18">
        <v>687.84</v>
      </c>
    </row>
    <row r="197" ht="15.75" spans="1:5">
      <c r="A197" s="72">
        <v>304537741</v>
      </c>
      <c r="B197" s="72">
        <v>40127407</v>
      </c>
      <c r="C197" s="1">
        <v>670.61</v>
      </c>
      <c r="D197" s="11">
        <v>45299</v>
      </c>
      <c r="E197" s="18">
        <v>687.44</v>
      </c>
    </row>
    <row r="198" ht="15.75" spans="1:5">
      <c r="A198" s="72">
        <v>304537741</v>
      </c>
      <c r="B198" s="72">
        <v>40127407</v>
      </c>
      <c r="C198" s="1">
        <v>670.61</v>
      </c>
      <c r="D198" s="11">
        <v>45300</v>
      </c>
      <c r="E198" s="18">
        <v>687.24</v>
      </c>
    </row>
    <row r="199" ht="15.75" spans="1:5">
      <c r="A199" s="72">
        <v>304537741</v>
      </c>
      <c r="B199" s="72">
        <v>40127407</v>
      </c>
      <c r="C199" s="1">
        <v>670.61</v>
      </c>
      <c r="D199" s="11">
        <v>45301</v>
      </c>
      <c r="E199" s="18">
        <v>687.04</v>
      </c>
    </row>
    <row r="200" ht="15.75" spans="1:5">
      <c r="A200" s="72">
        <v>304537741</v>
      </c>
      <c r="B200" s="72">
        <v>40127407</v>
      </c>
      <c r="C200" s="1">
        <v>670.61</v>
      </c>
      <c r="D200" s="11">
        <v>45302</v>
      </c>
      <c r="E200" s="18">
        <v>687.04</v>
      </c>
    </row>
    <row r="201" ht="15.75" spans="1:5">
      <c r="A201" s="72">
        <v>304537741</v>
      </c>
      <c r="B201" s="72">
        <v>40127407</v>
      </c>
      <c r="C201" s="1">
        <v>670.61</v>
      </c>
      <c r="D201" s="11">
        <v>45303</v>
      </c>
      <c r="E201" s="18">
        <v>686.84</v>
      </c>
    </row>
    <row r="202" ht="15.75" spans="1:5">
      <c r="A202" s="72">
        <v>304537741</v>
      </c>
      <c r="B202" s="72">
        <v>40127407</v>
      </c>
      <c r="C202" s="1">
        <v>670.61</v>
      </c>
      <c r="D202" s="11">
        <v>45304</v>
      </c>
      <c r="E202" s="18">
        <v>686.74</v>
      </c>
    </row>
    <row r="203" ht="15.75" spans="1:5">
      <c r="A203" s="72">
        <v>304537741</v>
      </c>
      <c r="B203" s="72">
        <v>40127407</v>
      </c>
      <c r="C203" s="1">
        <v>670.61</v>
      </c>
      <c r="D203" s="11">
        <v>45305</v>
      </c>
      <c r="E203" s="18">
        <v>686.64</v>
      </c>
    </row>
    <row r="204" ht="15.75" spans="1:5">
      <c r="A204" s="72">
        <v>304537741</v>
      </c>
      <c r="B204" s="72">
        <v>40127407</v>
      </c>
      <c r="C204" s="1">
        <v>670.61</v>
      </c>
      <c r="D204" s="11">
        <v>45306</v>
      </c>
      <c r="E204" s="18">
        <v>686.34</v>
      </c>
    </row>
    <row r="205" ht="15.75" spans="1:5">
      <c r="A205" s="72">
        <v>304537741</v>
      </c>
      <c r="B205" s="72">
        <v>40127407</v>
      </c>
      <c r="C205" s="1">
        <v>670.61</v>
      </c>
      <c r="D205" s="11">
        <v>45307</v>
      </c>
      <c r="E205" s="18">
        <v>686.14</v>
      </c>
    </row>
    <row r="206" ht="15.75" spans="1:5">
      <c r="A206" s="72">
        <v>304537741</v>
      </c>
      <c r="B206" s="72">
        <v>40127407</v>
      </c>
      <c r="C206" s="1">
        <v>670.61</v>
      </c>
      <c r="D206" s="11">
        <v>45308</v>
      </c>
      <c r="E206" s="18">
        <v>686.04</v>
      </c>
    </row>
    <row r="207" ht="15.75" spans="1:5">
      <c r="A207" s="72">
        <v>304537741</v>
      </c>
      <c r="B207" s="72">
        <v>40127407</v>
      </c>
      <c r="C207" s="1">
        <v>670.61</v>
      </c>
      <c r="D207" s="11">
        <v>45309</v>
      </c>
      <c r="E207" s="18">
        <v>685.94</v>
      </c>
    </row>
    <row r="208" ht="15.75" spans="1:5">
      <c r="A208" s="72">
        <v>304537741</v>
      </c>
      <c r="B208" s="72">
        <v>40127407</v>
      </c>
      <c r="C208" s="1">
        <v>670.61</v>
      </c>
      <c r="D208" s="11">
        <v>45310</v>
      </c>
      <c r="E208" s="18">
        <v>685.74</v>
      </c>
    </row>
    <row r="209" ht="15.75" spans="1:5">
      <c r="A209" s="72">
        <v>304537741</v>
      </c>
      <c r="B209" s="72">
        <v>40127407</v>
      </c>
      <c r="C209" s="1">
        <v>670.61</v>
      </c>
      <c r="D209" s="11">
        <v>45311</v>
      </c>
      <c r="E209" s="18">
        <v>686.74</v>
      </c>
    </row>
    <row r="210" ht="15.75" spans="1:5">
      <c r="A210" s="72">
        <v>304537741</v>
      </c>
      <c r="B210" s="72">
        <v>40127407</v>
      </c>
      <c r="C210" s="1">
        <v>670.61</v>
      </c>
      <c r="D210" s="11">
        <v>45312</v>
      </c>
      <c r="E210" s="18">
        <v>687.54</v>
      </c>
    </row>
    <row r="211" ht="15.75" spans="1:5">
      <c r="A211" s="72">
        <v>304537741</v>
      </c>
      <c r="B211" s="72">
        <v>40127407</v>
      </c>
      <c r="C211" s="1">
        <v>670.61</v>
      </c>
      <c r="D211" s="11">
        <v>45313</v>
      </c>
      <c r="E211" s="18">
        <v>687.54</v>
      </c>
    </row>
    <row r="212" ht="15.75" spans="1:5">
      <c r="A212" s="72">
        <v>304537741</v>
      </c>
      <c r="B212" s="72">
        <v>40127407</v>
      </c>
      <c r="C212" s="1">
        <v>670.61</v>
      </c>
      <c r="D212" s="11">
        <v>45314</v>
      </c>
      <c r="E212" s="18">
        <v>687.54</v>
      </c>
    </row>
    <row r="213" ht="15.75" spans="1:5">
      <c r="A213" s="72">
        <v>304537741</v>
      </c>
      <c r="B213" s="72">
        <v>40127407</v>
      </c>
      <c r="C213" s="1">
        <v>670.61</v>
      </c>
      <c r="D213" s="11">
        <v>45315</v>
      </c>
      <c r="E213" s="18">
        <v>687.54</v>
      </c>
    </row>
    <row r="214" ht="15.75" spans="1:5">
      <c r="A214" s="72">
        <v>304537741</v>
      </c>
      <c r="B214" s="72">
        <v>40127407</v>
      </c>
      <c r="C214" s="1">
        <v>670.61</v>
      </c>
      <c r="D214" s="11">
        <v>45316</v>
      </c>
      <c r="E214" s="18">
        <v>687.54</v>
      </c>
    </row>
    <row r="215" ht="15.75" spans="1:5">
      <c r="A215" s="72">
        <v>304537741</v>
      </c>
      <c r="B215" s="72">
        <v>40127407</v>
      </c>
      <c r="C215" s="1">
        <v>670.61</v>
      </c>
      <c r="D215" s="11">
        <v>45317</v>
      </c>
      <c r="E215" s="18">
        <v>687.54</v>
      </c>
    </row>
    <row r="216" ht="15.75" spans="1:5">
      <c r="A216" s="72">
        <v>304537741</v>
      </c>
      <c r="B216" s="72">
        <v>40127407</v>
      </c>
      <c r="C216" s="1">
        <v>670.61</v>
      </c>
      <c r="D216" s="11">
        <v>45318</v>
      </c>
      <c r="E216" s="18">
        <v>691.44</v>
      </c>
    </row>
    <row r="217" ht="15.75" spans="1:5">
      <c r="A217" s="72">
        <v>304537741</v>
      </c>
      <c r="B217" s="72">
        <v>40127407</v>
      </c>
      <c r="C217" s="1">
        <v>670.61</v>
      </c>
      <c r="D217" s="11">
        <v>45319</v>
      </c>
      <c r="E217" s="18">
        <v>691.24</v>
      </c>
    </row>
    <row r="218" ht="15.75" spans="1:5">
      <c r="A218" s="72">
        <v>304537741</v>
      </c>
      <c r="B218" s="72">
        <v>40127407</v>
      </c>
      <c r="C218" s="1">
        <v>670.61</v>
      </c>
      <c r="D218" s="11">
        <v>45320</v>
      </c>
      <c r="E218" s="18">
        <v>691.24</v>
      </c>
    </row>
    <row r="219" ht="15.75" spans="1:5">
      <c r="A219" s="72">
        <v>304537741</v>
      </c>
      <c r="B219" s="72">
        <v>40127407</v>
      </c>
      <c r="C219" s="1">
        <v>670.61</v>
      </c>
      <c r="D219" s="11">
        <v>45321</v>
      </c>
      <c r="E219" s="18">
        <v>691.24</v>
      </c>
    </row>
    <row r="220" ht="15.75" spans="1:5">
      <c r="A220" s="72">
        <v>304537741</v>
      </c>
      <c r="B220" s="72">
        <v>40127407</v>
      </c>
      <c r="C220" s="1">
        <v>670.61</v>
      </c>
      <c r="D220" s="11">
        <v>45322</v>
      </c>
      <c r="E220" s="18">
        <v>691.24</v>
      </c>
    </row>
    <row r="221" ht="15.75" spans="1:5">
      <c r="A221" s="72">
        <v>304537741</v>
      </c>
      <c r="B221" s="72">
        <v>40127407</v>
      </c>
      <c r="C221" s="1">
        <v>670.61</v>
      </c>
      <c r="D221" s="11">
        <v>45323</v>
      </c>
      <c r="E221" s="18">
        <v>691.24</v>
      </c>
    </row>
    <row r="222" ht="15.75" spans="1:5">
      <c r="A222" s="72">
        <v>304537741</v>
      </c>
      <c r="B222" s="72">
        <v>40127407</v>
      </c>
      <c r="C222" s="1">
        <v>670.61</v>
      </c>
      <c r="D222" s="11">
        <v>45324</v>
      </c>
      <c r="E222" s="18">
        <v>690.84</v>
      </c>
    </row>
    <row r="223" ht="15.75" spans="1:5">
      <c r="A223" s="72">
        <v>304537741</v>
      </c>
      <c r="B223" s="72">
        <v>40127407</v>
      </c>
      <c r="C223" s="1">
        <v>670.61</v>
      </c>
      <c r="D223" s="11">
        <v>45325</v>
      </c>
      <c r="E223" s="18">
        <v>690.44</v>
      </c>
    </row>
    <row r="224" ht="15.75" spans="1:5">
      <c r="A224" s="72">
        <v>304537741</v>
      </c>
      <c r="B224" s="72">
        <v>40127407</v>
      </c>
      <c r="C224" s="1">
        <v>670.61</v>
      </c>
      <c r="D224" s="11">
        <v>45326</v>
      </c>
      <c r="E224" s="18">
        <v>690.14</v>
      </c>
    </row>
    <row r="225" ht="15.75" spans="1:5">
      <c r="A225" s="72">
        <v>304537741</v>
      </c>
      <c r="B225" s="72">
        <v>40127407</v>
      </c>
      <c r="C225" s="1">
        <v>670.61</v>
      </c>
      <c r="D225" s="11">
        <v>45327</v>
      </c>
      <c r="E225" s="18">
        <v>689.94</v>
      </c>
    </row>
    <row r="226" ht="15.75" spans="1:5">
      <c r="A226" s="72">
        <v>304537741</v>
      </c>
      <c r="B226" s="72">
        <v>40127407</v>
      </c>
      <c r="C226" s="1">
        <v>670.61</v>
      </c>
      <c r="D226" s="11">
        <v>45328</v>
      </c>
      <c r="E226" s="18">
        <v>689.84</v>
      </c>
    </row>
    <row r="227" ht="15.75" spans="1:5">
      <c r="A227" s="72">
        <v>304537741</v>
      </c>
      <c r="B227" s="72">
        <v>40127407</v>
      </c>
      <c r="C227" s="1">
        <v>670.61</v>
      </c>
      <c r="D227" s="11">
        <v>45329</v>
      </c>
      <c r="E227" s="18">
        <v>689.74</v>
      </c>
    </row>
    <row r="228" ht="15.75" spans="1:5">
      <c r="A228" s="72">
        <v>304537741</v>
      </c>
      <c r="B228" s="72">
        <v>40127407</v>
      </c>
      <c r="C228" s="1">
        <v>670.61</v>
      </c>
      <c r="D228" s="11">
        <v>45330</v>
      </c>
      <c r="E228" s="18">
        <v>689.54</v>
      </c>
    </row>
    <row r="229" ht="15.75" spans="1:5">
      <c r="A229" s="72">
        <v>304537741</v>
      </c>
      <c r="B229" s="72">
        <v>40127407</v>
      </c>
      <c r="C229" s="1">
        <v>670.61</v>
      </c>
      <c r="D229" s="11">
        <v>45331</v>
      </c>
      <c r="E229" s="18">
        <v>689.34</v>
      </c>
    </row>
    <row r="230" ht="15.75" spans="1:5">
      <c r="A230" s="72">
        <v>304537741</v>
      </c>
      <c r="B230" s="72">
        <v>40127407</v>
      </c>
      <c r="C230" s="1">
        <v>670.61</v>
      </c>
      <c r="D230" s="11">
        <v>45332</v>
      </c>
      <c r="E230" s="18">
        <v>689.24</v>
      </c>
    </row>
    <row r="231" ht="15.75" spans="1:5">
      <c r="A231" s="72">
        <v>304537741</v>
      </c>
      <c r="B231" s="72">
        <v>40127407</v>
      </c>
      <c r="C231" s="1">
        <v>670.61</v>
      </c>
      <c r="D231" s="11">
        <v>45333</v>
      </c>
      <c r="E231" s="18">
        <v>689.14</v>
      </c>
    </row>
    <row r="232" ht="15.75" spans="1:5">
      <c r="A232" s="72">
        <v>304537741</v>
      </c>
      <c r="B232" s="72">
        <v>40127407</v>
      </c>
      <c r="C232" s="1">
        <v>670.61</v>
      </c>
      <c r="D232" s="11">
        <v>45334</v>
      </c>
      <c r="E232" s="18">
        <v>689.14</v>
      </c>
    </row>
    <row r="233" ht="15.75" spans="1:5">
      <c r="A233" s="72">
        <v>304537741</v>
      </c>
      <c r="B233" s="72">
        <v>40127407</v>
      </c>
      <c r="C233" s="1">
        <v>670.61</v>
      </c>
      <c r="D233" s="11">
        <v>45335</v>
      </c>
      <c r="E233" s="18">
        <v>688.94</v>
      </c>
    </row>
    <row r="234" ht="15.75" spans="1:5">
      <c r="A234" s="72">
        <v>304537741</v>
      </c>
      <c r="B234" s="72">
        <v>40127407</v>
      </c>
      <c r="C234" s="1">
        <v>670.61</v>
      </c>
      <c r="D234" s="11">
        <v>45336</v>
      </c>
      <c r="E234" s="20">
        <v>688.84</v>
      </c>
    </row>
    <row r="235" ht="15.75" spans="1:5">
      <c r="A235" s="72">
        <v>304537741</v>
      </c>
      <c r="B235" s="72">
        <v>40127407</v>
      </c>
      <c r="C235" s="1">
        <v>670.61</v>
      </c>
      <c r="D235" s="11">
        <v>45337</v>
      </c>
      <c r="E235" s="12"/>
    </row>
    <row r="236" ht="15.75" spans="1:5">
      <c r="A236" s="72">
        <v>304537741</v>
      </c>
      <c r="B236" s="72">
        <v>40127407</v>
      </c>
      <c r="C236" s="1">
        <v>670.61</v>
      </c>
      <c r="D236" s="11">
        <v>45338</v>
      </c>
      <c r="E236" s="12"/>
    </row>
    <row r="237" ht="15.75" spans="1:5">
      <c r="A237" s="72">
        <v>304537741</v>
      </c>
      <c r="B237" s="72">
        <v>40127407</v>
      </c>
      <c r="C237" s="1">
        <v>670.61</v>
      </c>
      <c r="D237" s="11">
        <v>45339</v>
      </c>
      <c r="E237" s="12"/>
    </row>
    <row r="238" ht="15.75" spans="1:5">
      <c r="A238" s="72">
        <v>304537741</v>
      </c>
      <c r="B238" s="72">
        <v>40127407</v>
      </c>
      <c r="C238" s="1">
        <v>670.61</v>
      </c>
      <c r="D238" s="11">
        <v>45340</v>
      </c>
      <c r="E238" s="12"/>
    </row>
    <row r="239" ht="15.75" spans="1:5">
      <c r="A239" s="72">
        <v>304537741</v>
      </c>
      <c r="B239" s="72">
        <v>40127407</v>
      </c>
      <c r="C239" s="1">
        <v>670.61</v>
      </c>
      <c r="D239" s="11">
        <v>45341</v>
      </c>
      <c r="E239" s="18">
        <v>688.64</v>
      </c>
    </row>
    <row r="240" ht="15.75" spans="1:5">
      <c r="A240" s="72">
        <v>304537741</v>
      </c>
      <c r="B240" s="72">
        <v>40127407</v>
      </c>
      <c r="C240" s="1">
        <v>670.61</v>
      </c>
      <c r="D240" s="11">
        <v>45342</v>
      </c>
      <c r="E240" s="18">
        <v>688.34</v>
      </c>
    </row>
    <row r="241" ht="15.75" spans="1:5">
      <c r="A241" s="72">
        <v>304537741</v>
      </c>
      <c r="B241" s="72">
        <v>40127407</v>
      </c>
      <c r="C241" s="1">
        <v>670.61</v>
      </c>
      <c r="D241" s="11">
        <v>45343</v>
      </c>
      <c r="E241" s="18">
        <v>687.94</v>
      </c>
    </row>
    <row r="242" ht="15.75" spans="1:5">
      <c r="A242" s="72">
        <v>304537741</v>
      </c>
      <c r="B242" s="72">
        <v>40127407</v>
      </c>
      <c r="C242" s="1">
        <v>670.61</v>
      </c>
      <c r="D242" s="11">
        <v>45344</v>
      </c>
      <c r="E242" s="18">
        <v>687.64</v>
      </c>
    </row>
    <row r="243" ht="15.75" spans="1:5">
      <c r="A243" s="72">
        <v>304537741</v>
      </c>
      <c r="B243" s="72">
        <v>40127407</v>
      </c>
      <c r="C243" s="1">
        <v>670.61</v>
      </c>
      <c r="D243" s="11">
        <v>45345</v>
      </c>
      <c r="E243" s="18">
        <v>687.44</v>
      </c>
    </row>
    <row r="244" ht="15.75" spans="1:5">
      <c r="A244" s="72">
        <v>304537741</v>
      </c>
      <c r="B244" s="72">
        <v>40127407</v>
      </c>
      <c r="C244" s="1">
        <v>670.61</v>
      </c>
      <c r="D244" s="11">
        <v>45346</v>
      </c>
      <c r="E244" s="18">
        <v>687.34</v>
      </c>
    </row>
    <row r="245" ht="15.75" spans="1:5">
      <c r="A245" s="72">
        <v>304537741</v>
      </c>
      <c r="B245" s="72">
        <v>40127407</v>
      </c>
      <c r="C245" s="1">
        <v>670.61</v>
      </c>
      <c r="D245" s="11">
        <v>45347</v>
      </c>
      <c r="E245" s="18">
        <v>687.14</v>
      </c>
    </row>
    <row r="246" ht="15.75" spans="1:5">
      <c r="A246" s="72">
        <v>304537741</v>
      </c>
      <c r="B246" s="72">
        <v>40127407</v>
      </c>
      <c r="C246" s="1">
        <v>670.61</v>
      </c>
      <c r="D246" s="11">
        <v>45348</v>
      </c>
      <c r="E246" s="18">
        <v>686.84</v>
      </c>
    </row>
    <row r="247" ht="15.75" spans="1:5">
      <c r="A247" s="72">
        <v>304537741</v>
      </c>
      <c r="B247" s="72">
        <v>40127407</v>
      </c>
      <c r="C247" s="1">
        <v>670.61</v>
      </c>
      <c r="D247" s="11">
        <v>45349</v>
      </c>
      <c r="E247" s="18">
        <v>686.54</v>
      </c>
    </row>
    <row r="248" ht="15.75" spans="1:5">
      <c r="A248" s="72">
        <v>304537741</v>
      </c>
      <c r="B248" s="72">
        <v>40127407</v>
      </c>
      <c r="C248" s="1">
        <v>670.61</v>
      </c>
      <c r="D248" s="11">
        <v>45350</v>
      </c>
      <c r="E248" s="18">
        <v>686.34</v>
      </c>
    </row>
    <row r="249" ht="15.75" spans="1:5">
      <c r="A249" s="72">
        <v>304537741</v>
      </c>
      <c r="B249" s="72">
        <v>40127407</v>
      </c>
      <c r="C249" s="1">
        <v>670.61</v>
      </c>
      <c r="D249" s="11">
        <v>45351</v>
      </c>
      <c r="E249" s="18">
        <v>686.24</v>
      </c>
    </row>
    <row r="250" ht="15.75" spans="1:5">
      <c r="A250" s="72">
        <v>304537741</v>
      </c>
      <c r="B250" s="72">
        <v>40127407</v>
      </c>
      <c r="C250" s="1">
        <v>670.61</v>
      </c>
      <c r="D250" s="11">
        <v>45352</v>
      </c>
      <c r="E250" s="18">
        <v>686.04</v>
      </c>
    </row>
    <row r="251" ht="15.75" spans="1:5">
      <c r="A251" s="72">
        <v>304537741</v>
      </c>
      <c r="B251" s="72">
        <v>40127407</v>
      </c>
      <c r="C251" s="1">
        <v>670.61</v>
      </c>
      <c r="D251" s="11">
        <v>45353</v>
      </c>
      <c r="E251" s="18">
        <v>686.24</v>
      </c>
    </row>
    <row r="252" ht="15.75" spans="1:5">
      <c r="A252" s="72">
        <v>304537741</v>
      </c>
      <c r="B252" s="72">
        <v>40127407</v>
      </c>
      <c r="C252" s="1">
        <v>670.61</v>
      </c>
      <c r="D252" s="11">
        <v>45354</v>
      </c>
      <c r="E252" s="18">
        <v>686.04</v>
      </c>
    </row>
    <row r="253" ht="15.75" spans="1:5">
      <c r="A253" s="72">
        <v>304537741</v>
      </c>
      <c r="B253" s="72">
        <v>40127407</v>
      </c>
      <c r="C253" s="1">
        <v>670.61</v>
      </c>
      <c r="D253" s="11">
        <v>45355</v>
      </c>
      <c r="E253" s="18">
        <v>685.94</v>
      </c>
    </row>
    <row r="254" ht="15.75" spans="1:5">
      <c r="A254" s="72">
        <v>304537741</v>
      </c>
      <c r="B254" s="72">
        <v>40127407</v>
      </c>
      <c r="C254" s="1">
        <v>670.61</v>
      </c>
      <c r="D254" s="11">
        <v>45356</v>
      </c>
      <c r="E254" s="18">
        <v>685.84</v>
      </c>
    </row>
    <row r="255" ht="15.75" spans="1:5">
      <c r="A255" s="72">
        <v>304537741</v>
      </c>
      <c r="B255" s="72">
        <v>40127407</v>
      </c>
      <c r="C255" s="1">
        <v>670.61</v>
      </c>
      <c r="D255" s="11">
        <v>45357</v>
      </c>
      <c r="E255" s="18">
        <v>685.64</v>
      </c>
    </row>
    <row r="256" ht="15.75" spans="1:5">
      <c r="A256" s="72">
        <v>304537741</v>
      </c>
      <c r="B256" s="72">
        <v>40127407</v>
      </c>
      <c r="C256" s="1">
        <v>670.61</v>
      </c>
      <c r="D256" s="11">
        <v>45358</v>
      </c>
      <c r="E256" s="18">
        <v>685.54</v>
      </c>
    </row>
    <row r="257" ht="15.75" spans="1:5">
      <c r="A257" s="72">
        <v>304537741</v>
      </c>
      <c r="B257" s="72">
        <v>40127407</v>
      </c>
      <c r="C257" s="1">
        <v>670.61</v>
      </c>
      <c r="D257" s="11">
        <v>45359</v>
      </c>
      <c r="E257" s="18">
        <v>685.44</v>
      </c>
    </row>
    <row r="258" ht="15.75" spans="1:5">
      <c r="A258" s="72">
        <v>304537741</v>
      </c>
      <c r="B258" s="72">
        <v>40127407</v>
      </c>
      <c r="C258" s="1">
        <v>670.61</v>
      </c>
      <c r="D258" s="11">
        <v>45360</v>
      </c>
      <c r="E258" s="18">
        <v>685.34</v>
      </c>
    </row>
    <row r="259" ht="15.75" spans="1:5">
      <c r="A259" s="72">
        <v>304537741</v>
      </c>
      <c r="B259" s="72">
        <v>40127407</v>
      </c>
      <c r="C259" s="1">
        <v>670.61</v>
      </c>
      <c r="D259" s="11">
        <v>45361</v>
      </c>
      <c r="E259" s="18"/>
    </row>
    <row r="260" ht="15.75" spans="1:5">
      <c r="A260" s="72">
        <v>304537741</v>
      </c>
      <c r="B260" s="72">
        <v>40127407</v>
      </c>
      <c r="C260" s="1">
        <v>670.61</v>
      </c>
      <c r="D260" s="11">
        <v>45362</v>
      </c>
      <c r="E260" s="18"/>
    </row>
    <row r="261" ht="15.75" spans="1:5">
      <c r="A261" s="72">
        <v>304537741</v>
      </c>
      <c r="B261" s="72">
        <v>40127407</v>
      </c>
      <c r="C261" s="1">
        <v>670.61</v>
      </c>
      <c r="D261" s="11">
        <v>45363</v>
      </c>
      <c r="E261" s="18"/>
    </row>
    <row r="262" ht="15.75" spans="1:5">
      <c r="A262" s="72">
        <v>304537741</v>
      </c>
      <c r="B262" s="72">
        <v>40127407</v>
      </c>
      <c r="C262" s="1">
        <v>670.61</v>
      </c>
      <c r="D262" s="11">
        <v>45364</v>
      </c>
      <c r="E262" s="18"/>
    </row>
    <row r="263" ht="15.75" spans="1:5">
      <c r="A263" s="72">
        <v>304537741</v>
      </c>
      <c r="B263" s="72">
        <v>40127407</v>
      </c>
      <c r="C263" s="1">
        <v>670.61</v>
      </c>
      <c r="D263" s="11">
        <v>45365</v>
      </c>
      <c r="E263" s="18"/>
    </row>
    <row r="264" ht="15.75" spans="1:5">
      <c r="A264" s="72">
        <v>304537741</v>
      </c>
      <c r="B264" s="72">
        <v>40127407</v>
      </c>
      <c r="C264" s="1">
        <v>670.61</v>
      </c>
      <c r="D264" s="11">
        <v>45366</v>
      </c>
      <c r="E264" s="18"/>
    </row>
    <row r="265" ht="15.75" spans="1:5">
      <c r="A265" s="72">
        <v>304537741</v>
      </c>
      <c r="B265" s="72">
        <v>40127407</v>
      </c>
      <c r="C265" s="1">
        <v>670.61</v>
      </c>
      <c r="D265" s="11">
        <v>45367</v>
      </c>
      <c r="E265" s="18"/>
    </row>
    <row r="266" ht="15.75" spans="1:5">
      <c r="A266" s="72">
        <v>304537741</v>
      </c>
      <c r="B266" s="72">
        <v>40127407</v>
      </c>
      <c r="C266" s="1">
        <v>670.61</v>
      </c>
      <c r="D266" s="11">
        <v>45368</v>
      </c>
      <c r="E266" s="18"/>
    </row>
    <row r="267" ht="15.75" spans="1:5">
      <c r="A267" s="72">
        <v>304537741</v>
      </c>
      <c r="B267" s="72">
        <v>40127407</v>
      </c>
      <c r="C267" s="1">
        <v>670.61</v>
      </c>
      <c r="D267" s="11">
        <v>45369</v>
      </c>
      <c r="E267" s="18"/>
    </row>
    <row r="268" ht="15.75" spans="1:5">
      <c r="A268" s="72">
        <v>304537741</v>
      </c>
      <c r="B268" s="72">
        <v>40127407</v>
      </c>
      <c r="C268" s="1">
        <v>670.61</v>
      </c>
      <c r="D268" s="11">
        <v>45370</v>
      </c>
      <c r="E268" s="18"/>
    </row>
    <row r="269" ht="15.75" spans="1:5">
      <c r="A269" s="72">
        <v>304537741</v>
      </c>
      <c r="B269" s="72">
        <v>40127407</v>
      </c>
      <c r="C269" s="1">
        <v>670.61</v>
      </c>
      <c r="D269" s="11">
        <v>45371</v>
      </c>
      <c r="E269" s="18"/>
    </row>
    <row r="270" ht="15.75" spans="1:5">
      <c r="A270" s="72">
        <v>304537741</v>
      </c>
      <c r="B270" s="72">
        <v>40127407</v>
      </c>
      <c r="C270" s="1">
        <v>670.61</v>
      </c>
      <c r="D270" s="11">
        <v>45372</v>
      </c>
      <c r="E270" s="18"/>
    </row>
    <row r="271" ht="15.75" spans="1:5">
      <c r="A271" s="72">
        <v>304537741</v>
      </c>
      <c r="B271" s="72">
        <v>40127407</v>
      </c>
      <c r="C271" s="1">
        <v>670.61</v>
      </c>
      <c r="D271" s="11">
        <v>45373</v>
      </c>
      <c r="E271" s="18"/>
    </row>
    <row r="272" ht="15.75" spans="1:5">
      <c r="A272" s="72">
        <v>304537741</v>
      </c>
      <c r="B272" s="72">
        <v>40127407</v>
      </c>
      <c r="C272" s="1">
        <v>670.61</v>
      </c>
      <c r="D272" s="11">
        <v>45374</v>
      </c>
      <c r="E272" s="18"/>
    </row>
    <row r="273" ht="15.75" spans="1:5">
      <c r="A273" s="72">
        <v>304537741</v>
      </c>
      <c r="B273" s="72">
        <v>40127407</v>
      </c>
      <c r="C273" s="1">
        <v>670.61</v>
      </c>
      <c r="D273" s="11">
        <v>45375</v>
      </c>
      <c r="E273" s="18"/>
    </row>
    <row r="274" ht="15.75" spans="1:5">
      <c r="A274" s="72">
        <v>304537741</v>
      </c>
      <c r="B274" s="72">
        <v>40127407</v>
      </c>
      <c r="C274" s="1">
        <v>670.61</v>
      </c>
      <c r="D274" s="11">
        <v>45376</v>
      </c>
      <c r="E274" s="18"/>
    </row>
    <row r="275" ht="15.75" spans="1:5">
      <c r="A275" s="72">
        <v>304537741</v>
      </c>
      <c r="B275" s="72">
        <v>40127407</v>
      </c>
      <c r="C275" s="1">
        <v>670.61</v>
      </c>
      <c r="D275" s="11">
        <v>45377</v>
      </c>
      <c r="E275" s="18"/>
    </row>
    <row r="276" ht="15.75" spans="1:5">
      <c r="A276" s="72">
        <v>304537741</v>
      </c>
      <c r="B276" s="72">
        <v>40127407</v>
      </c>
      <c r="C276" s="1">
        <v>670.61</v>
      </c>
      <c r="D276" s="11">
        <v>45378</v>
      </c>
      <c r="E276" s="18"/>
    </row>
    <row r="277" ht="15.75" spans="1:5">
      <c r="A277" s="72">
        <v>304537741</v>
      </c>
      <c r="B277" s="72">
        <v>40127407</v>
      </c>
      <c r="C277" s="1">
        <v>670.61</v>
      </c>
      <c r="D277" s="11">
        <v>45379</v>
      </c>
      <c r="E277" s="18"/>
    </row>
    <row r="278" ht="15.75" spans="1:5">
      <c r="A278" s="72">
        <v>304537741</v>
      </c>
      <c r="B278" s="72">
        <v>40127407</v>
      </c>
      <c r="C278" s="1">
        <v>670.61</v>
      </c>
      <c r="D278" s="11">
        <v>45380</v>
      </c>
      <c r="E278" s="18"/>
    </row>
    <row r="279" ht="15.75" spans="1:5">
      <c r="A279" s="72">
        <v>304537741</v>
      </c>
      <c r="B279" s="72">
        <v>40127407</v>
      </c>
      <c r="C279" s="1">
        <v>670.61</v>
      </c>
      <c r="D279" s="11">
        <v>45381</v>
      </c>
      <c r="E279" s="18"/>
    </row>
    <row r="280" ht="15.75" spans="1:5">
      <c r="A280" s="72">
        <v>304537741</v>
      </c>
      <c r="B280" s="72">
        <v>40127407</v>
      </c>
      <c r="C280" s="1">
        <v>670.61</v>
      </c>
      <c r="D280" s="11">
        <v>45382</v>
      </c>
      <c r="E280" s="18"/>
    </row>
    <row r="281" ht="15.75" spans="1:5">
      <c r="A281" s="72">
        <v>304537741</v>
      </c>
      <c r="B281" s="72">
        <v>40127407</v>
      </c>
      <c r="C281" s="1">
        <v>670.61</v>
      </c>
      <c r="D281" s="11">
        <v>45383</v>
      </c>
      <c r="E281" s="18"/>
    </row>
    <row r="282" ht="15.75" spans="1:5">
      <c r="A282" s="72">
        <v>304537741</v>
      </c>
      <c r="B282" s="72">
        <v>40127407</v>
      </c>
      <c r="C282" s="1">
        <v>670.61</v>
      </c>
      <c r="D282" s="11">
        <v>45384</v>
      </c>
      <c r="E282" s="18"/>
    </row>
    <row r="283" ht="15.75" spans="1:5">
      <c r="A283" s="72">
        <v>304537741</v>
      </c>
      <c r="B283" s="72">
        <v>40127407</v>
      </c>
      <c r="C283" s="1">
        <v>670.61</v>
      </c>
      <c r="D283" s="11">
        <v>45385</v>
      </c>
      <c r="E283" s="18">
        <v>682.04</v>
      </c>
    </row>
    <row r="284" ht="15.75" spans="1:5">
      <c r="A284" s="72">
        <v>304537741</v>
      </c>
      <c r="B284" s="72">
        <v>40127407</v>
      </c>
      <c r="C284" s="1">
        <v>670.61</v>
      </c>
      <c r="D284" s="11">
        <v>45386</v>
      </c>
      <c r="E284" s="18">
        <v>681.84</v>
      </c>
    </row>
    <row r="285" ht="15.75" spans="1:5">
      <c r="A285" s="72">
        <v>304537741</v>
      </c>
      <c r="B285" s="72">
        <v>40127407</v>
      </c>
      <c r="C285" s="1">
        <v>670.61</v>
      </c>
      <c r="D285" s="11">
        <v>45387</v>
      </c>
      <c r="E285" s="18">
        <v>681.64</v>
      </c>
    </row>
    <row r="286" ht="15.75" spans="1:5">
      <c r="A286" s="72">
        <v>304537741</v>
      </c>
      <c r="B286" s="72">
        <v>40127407</v>
      </c>
      <c r="C286" s="1">
        <v>670.61</v>
      </c>
      <c r="D286" s="11">
        <v>45388</v>
      </c>
      <c r="E286" s="18">
        <v>681.44</v>
      </c>
    </row>
    <row r="287" ht="15.75" spans="1:5">
      <c r="A287" s="72">
        <v>304537741</v>
      </c>
      <c r="B287" s="72">
        <v>40127407</v>
      </c>
      <c r="C287" s="1">
        <v>670.61</v>
      </c>
      <c r="D287" s="11">
        <v>45389</v>
      </c>
      <c r="E287" s="18">
        <v>681.34</v>
      </c>
    </row>
    <row r="288" ht="15.75" spans="1:5">
      <c r="A288" s="72">
        <v>304537741</v>
      </c>
      <c r="B288" s="72">
        <v>40127407</v>
      </c>
      <c r="C288" s="1">
        <v>670.61</v>
      </c>
      <c r="D288" s="11">
        <v>45390</v>
      </c>
      <c r="E288" s="18">
        <v>681.14</v>
      </c>
    </row>
    <row r="289" ht="15.75" spans="1:5">
      <c r="A289" s="72">
        <v>304537741</v>
      </c>
      <c r="B289" s="72">
        <v>40127407</v>
      </c>
      <c r="C289" s="1">
        <v>670.61</v>
      </c>
      <c r="D289" s="11">
        <v>45391</v>
      </c>
      <c r="E289" s="18">
        <v>681.04</v>
      </c>
    </row>
    <row r="290" ht="15.75" spans="1:5">
      <c r="A290" s="72">
        <v>304537741</v>
      </c>
      <c r="B290" s="72">
        <v>40127407</v>
      </c>
      <c r="C290" s="1">
        <v>670.61</v>
      </c>
      <c r="D290" s="11">
        <v>45392</v>
      </c>
      <c r="E290" s="18">
        <v>680.84</v>
      </c>
    </row>
    <row r="291" ht="15.75" spans="1:5">
      <c r="A291" s="72">
        <v>304537741</v>
      </c>
      <c r="B291" s="72">
        <v>40127407</v>
      </c>
      <c r="C291" s="1">
        <v>670.61</v>
      </c>
      <c r="D291" s="11">
        <v>45393</v>
      </c>
      <c r="E291" s="18">
        <v>680.74</v>
      </c>
    </row>
    <row r="292" ht="15.75" spans="1:5">
      <c r="A292" s="72">
        <v>304537741</v>
      </c>
      <c r="B292" s="72">
        <v>40127407</v>
      </c>
      <c r="C292" s="1">
        <v>670.61</v>
      </c>
      <c r="D292" s="11">
        <v>45394</v>
      </c>
      <c r="E292" s="18">
        <v>680.74</v>
      </c>
    </row>
    <row r="293" ht="15.75" spans="1:5">
      <c r="A293" s="72">
        <v>304537741</v>
      </c>
      <c r="B293" s="72">
        <v>40127407</v>
      </c>
      <c r="C293" s="1">
        <v>670.61</v>
      </c>
      <c r="D293" s="11">
        <v>45395</v>
      </c>
      <c r="E293" s="18">
        <v>680.64</v>
      </c>
    </row>
    <row r="294" ht="15.75" spans="1:5">
      <c r="A294" s="72">
        <v>304537741</v>
      </c>
      <c r="B294" s="72">
        <v>40127407</v>
      </c>
      <c r="C294" s="1">
        <v>670.61</v>
      </c>
      <c r="D294" s="11">
        <v>45396</v>
      </c>
      <c r="E294" s="18">
        <v>680.54</v>
      </c>
    </row>
    <row r="295" ht="15.75" spans="1:5">
      <c r="A295" s="72">
        <v>304537741</v>
      </c>
      <c r="B295" s="72">
        <v>40127407</v>
      </c>
      <c r="C295" s="1">
        <v>670.61</v>
      </c>
      <c r="D295" s="11">
        <v>45397</v>
      </c>
      <c r="E295" s="18">
        <v>680.44</v>
      </c>
    </row>
    <row r="296" ht="15.75" spans="1:5">
      <c r="A296" s="72">
        <v>304537741</v>
      </c>
      <c r="B296" s="72">
        <v>40127407</v>
      </c>
      <c r="C296" s="1">
        <v>670.61</v>
      </c>
      <c r="D296" s="11">
        <v>45398</v>
      </c>
      <c r="E296" s="18">
        <v>680.34</v>
      </c>
    </row>
    <row r="297" ht="15.75" spans="1:5">
      <c r="A297" s="72">
        <v>304537741</v>
      </c>
      <c r="B297" s="72">
        <v>40127407</v>
      </c>
      <c r="C297" s="1">
        <v>670.61</v>
      </c>
      <c r="D297" s="11">
        <v>45399</v>
      </c>
      <c r="E297" s="18">
        <v>680.24</v>
      </c>
    </row>
    <row r="298" ht="15.75" spans="1:5">
      <c r="A298" s="72">
        <v>304537741</v>
      </c>
      <c r="B298" s="72">
        <v>40127407</v>
      </c>
      <c r="C298" s="1">
        <v>670.61</v>
      </c>
      <c r="D298" s="11">
        <v>45400</v>
      </c>
      <c r="E298" s="18">
        <v>680.14</v>
      </c>
    </row>
    <row r="299" ht="15.75" spans="1:5">
      <c r="A299" s="72">
        <v>304537741</v>
      </c>
      <c r="B299" s="72">
        <v>40127407</v>
      </c>
      <c r="C299" s="1">
        <v>670.61</v>
      </c>
      <c r="D299" s="11">
        <v>45401</v>
      </c>
      <c r="E299" s="18">
        <v>679.94</v>
      </c>
    </row>
    <row r="300" ht="15.75" spans="1:5">
      <c r="A300" s="72">
        <v>304537741</v>
      </c>
      <c r="B300" s="72">
        <v>40127407</v>
      </c>
      <c r="C300" s="1">
        <v>670.61</v>
      </c>
      <c r="D300" s="11">
        <v>45402</v>
      </c>
      <c r="E300" s="18">
        <v>679.84</v>
      </c>
    </row>
    <row r="301" ht="15.75" spans="1:5">
      <c r="A301" s="72">
        <v>304537741</v>
      </c>
      <c r="B301" s="72">
        <v>40127407</v>
      </c>
      <c r="C301" s="1">
        <v>670.61</v>
      </c>
      <c r="D301" s="11">
        <v>45403</v>
      </c>
      <c r="E301" s="18">
        <v>679.74</v>
      </c>
    </row>
    <row r="302" ht="15.75" spans="1:5">
      <c r="A302" s="72">
        <v>304537741</v>
      </c>
      <c r="B302" s="72">
        <v>40127407</v>
      </c>
      <c r="C302" s="1">
        <v>670.61</v>
      </c>
      <c r="D302" s="11">
        <v>45404</v>
      </c>
      <c r="E302" s="18">
        <v>679.64</v>
      </c>
    </row>
    <row r="303" ht="15.75" spans="1:5">
      <c r="A303" s="72">
        <v>304537741</v>
      </c>
      <c r="B303" s="72">
        <v>40127407</v>
      </c>
      <c r="C303" s="1">
        <v>670.61</v>
      </c>
      <c r="D303" s="11">
        <v>45405</v>
      </c>
      <c r="E303" s="18">
        <v>679.54</v>
      </c>
    </row>
    <row r="304" ht="15.75" spans="1:5">
      <c r="A304" s="72">
        <v>304537741</v>
      </c>
      <c r="B304" s="72">
        <v>40127407</v>
      </c>
      <c r="C304" s="1">
        <v>670.61</v>
      </c>
      <c r="D304" s="11">
        <v>45406</v>
      </c>
      <c r="E304" s="18">
        <v>679.44</v>
      </c>
    </row>
    <row r="305" ht="15.75" spans="1:5">
      <c r="A305" s="72">
        <v>304537741</v>
      </c>
      <c r="B305" s="72">
        <v>40127407</v>
      </c>
      <c r="C305" s="1">
        <v>670.61</v>
      </c>
      <c r="D305" s="11">
        <v>45407</v>
      </c>
      <c r="E305" s="18">
        <v>679.34</v>
      </c>
    </row>
    <row r="306" ht="15.75" spans="1:5">
      <c r="A306" s="72">
        <v>304537741</v>
      </c>
      <c r="B306" s="72">
        <v>40127407</v>
      </c>
      <c r="C306" s="1">
        <v>670.61</v>
      </c>
      <c r="D306" s="11">
        <v>45408</v>
      </c>
      <c r="E306" s="18">
        <v>679.24</v>
      </c>
    </row>
    <row r="307" ht="15.75" spans="1:5">
      <c r="A307" s="72">
        <v>304537741</v>
      </c>
      <c r="B307" s="72">
        <v>40127407</v>
      </c>
      <c r="C307" s="1">
        <v>670.61</v>
      </c>
      <c r="D307" s="11">
        <v>45409</v>
      </c>
      <c r="E307" s="18">
        <v>679.14</v>
      </c>
    </row>
    <row r="308" ht="15.75" spans="1:5">
      <c r="A308" s="72">
        <v>304537741</v>
      </c>
      <c r="B308" s="72">
        <v>40127407</v>
      </c>
      <c r="C308" s="1">
        <v>670.61</v>
      </c>
      <c r="D308" s="11">
        <v>45410</v>
      </c>
      <c r="E308" s="18">
        <v>679.04</v>
      </c>
    </row>
    <row r="309" ht="15.75" spans="1:5">
      <c r="A309" s="72">
        <v>304537741</v>
      </c>
      <c r="B309" s="72">
        <v>40127407</v>
      </c>
      <c r="C309" s="1">
        <v>670.61</v>
      </c>
      <c r="D309" s="11">
        <v>45411</v>
      </c>
      <c r="E309" s="18">
        <v>679.04</v>
      </c>
    </row>
    <row r="310" ht="15.75" spans="1:5">
      <c r="A310" s="72">
        <v>304537741</v>
      </c>
      <c r="B310" s="72">
        <v>40127407</v>
      </c>
      <c r="C310" s="1">
        <v>670.61</v>
      </c>
      <c r="D310" s="11">
        <v>45412</v>
      </c>
      <c r="E310" s="18">
        <v>678.84</v>
      </c>
    </row>
    <row r="311" ht="15.75" spans="1:5">
      <c r="A311" s="72">
        <v>304537741</v>
      </c>
      <c r="B311" s="72">
        <v>40127407</v>
      </c>
      <c r="C311" s="1">
        <v>670.61</v>
      </c>
      <c r="D311" s="11">
        <v>45413</v>
      </c>
      <c r="E311" s="18">
        <v>678.84</v>
      </c>
    </row>
    <row r="312" ht="15.75" spans="1:5">
      <c r="A312" s="72">
        <v>304537741</v>
      </c>
      <c r="B312" s="72">
        <v>40127407</v>
      </c>
      <c r="C312" s="1">
        <v>670.61</v>
      </c>
      <c r="D312" s="11">
        <v>45414</v>
      </c>
      <c r="E312" s="18">
        <v>678.64</v>
      </c>
    </row>
    <row r="313" ht="15.75" spans="1:5">
      <c r="A313" s="72">
        <v>304537741</v>
      </c>
      <c r="B313" s="72">
        <v>40127407</v>
      </c>
      <c r="C313" s="1">
        <v>670.61</v>
      </c>
      <c r="D313" s="11">
        <v>45415</v>
      </c>
      <c r="E313" s="18">
        <v>680.24</v>
      </c>
    </row>
    <row r="314" ht="15.75" spans="1:5">
      <c r="A314" s="72">
        <v>304537741</v>
      </c>
      <c r="B314" s="72">
        <v>40127407</v>
      </c>
      <c r="C314" s="1">
        <v>670.61</v>
      </c>
      <c r="D314" s="11">
        <v>45416</v>
      </c>
      <c r="E314" s="18">
        <v>680.04</v>
      </c>
    </row>
    <row r="315" ht="15.75" spans="1:5">
      <c r="A315" s="72">
        <v>304537741</v>
      </c>
      <c r="B315" s="72">
        <v>40127407</v>
      </c>
      <c r="C315" s="1">
        <v>670.61</v>
      </c>
      <c r="D315" s="11">
        <v>45417</v>
      </c>
      <c r="E315" s="18">
        <v>679.74</v>
      </c>
    </row>
    <row r="316" ht="15.75" spans="1:5">
      <c r="A316" s="72">
        <v>304537741</v>
      </c>
      <c r="B316" s="72">
        <v>40127407</v>
      </c>
      <c r="C316" s="1">
        <v>670.61</v>
      </c>
      <c r="D316" s="11">
        <v>45418</v>
      </c>
      <c r="E316" s="18">
        <v>679.54</v>
      </c>
    </row>
    <row r="317" ht="15.75" spans="1:5">
      <c r="A317" s="72">
        <v>304537741</v>
      </c>
      <c r="B317" s="72">
        <v>40127407</v>
      </c>
      <c r="C317" s="1">
        <v>670.61</v>
      </c>
      <c r="D317" s="11">
        <v>45419</v>
      </c>
      <c r="E317" s="18">
        <v>679.34</v>
      </c>
    </row>
    <row r="318" ht="15.75" spans="1:5">
      <c r="A318" s="72">
        <v>304537741</v>
      </c>
      <c r="B318" s="72">
        <v>40127407</v>
      </c>
      <c r="C318" s="1">
        <v>670.61</v>
      </c>
      <c r="D318" s="11">
        <v>45420</v>
      </c>
      <c r="E318" s="18">
        <v>679.04</v>
      </c>
    </row>
    <row r="319" ht="15.75" spans="1:5">
      <c r="A319" s="72">
        <v>304537741</v>
      </c>
      <c r="B319" s="72">
        <v>40127407</v>
      </c>
      <c r="C319" s="1">
        <v>670.61</v>
      </c>
      <c r="D319" s="11">
        <v>45421</v>
      </c>
      <c r="E319" s="18">
        <v>678.84</v>
      </c>
    </row>
    <row r="320" ht="15.75" spans="1:5">
      <c r="A320" s="72">
        <v>304537741</v>
      </c>
      <c r="B320" s="72">
        <v>40127407</v>
      </c>
      <c r="C320" s="1">
        <v>670.61</v>
      </c>
      <c r="D320" s="11">
        <v>45422</v>
      </c>
      <c r="E320" s="18">
        <v>678.54</v>
      </c>
    </row>
    <row r="321" ht="15.75" spans="1:5">
      <c r="A321" s="72">
        <v>304537741</v>
      </c>
      <c r="B321" s="72">
        <v>40127407</v>
      </c>
      <c r="C321" s="1">
        <v>670.61</v>
      </c>
      <c r="D321" s="11">
        <v>45423</v>
      </c>
      <c r="E321" s="18">
        <v>678.44</v>
      </c>
    </row>
  </sheetData>
  <mergeCells count="1">
    <mergeCell ref="A1:C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5"/>
  <sheetViews>
    <sheetView workbookViewId="0">
      <selection activeCell="G8" sqref="G8"/>
    </sheetView>
  </sheetViews>
  <sheetFormatPr defaultColWidth="9" defaultRowHeight="14.25" outlineLevelCol="5"/>
  <cols>
    <col min="1" max="1" width="17.25" customWidth="1"/>
    <col min="3" max="3" width="19.25" customWidth="1"/>
    <col min="4" max="4" width="17.25" customWidth="1"/>
    <col min="6" max="6" width="24.87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33">
        <v>3045833.438</v>
      </c>
      <c r="B3" s="33">
        <v>401067.686</v>
      </c>
      <c r="C3" s="33">
        <v>614.4</v>
      </c>
      <c r="D3" s="11">
        <v>45261</v>
      </c>
      <c r="E3" s="39"/>
      <c r="F3" t="s">
        <v>3064</v>
      </c>
    </row>
    <row r="4" ht="15.75" spans="1:5">
      <c r="A4" s="33">
        <v>3045833.438</v>
      </c>
      <c r="B4" s="33">
        <v>401067.686</v>
      </c>
      <c r="C4" s="33">
        <v>614.4</v>
      </c>
      <c r="D4" s="11">
        <v>45262</v>
      </c>
      <c r="E4" s="39"/>
    </row>
    <row r="5" ht="15.75" spans="1:5">
      <c r="A5" s="33">
        <v>3045833.438</v>
      </c>
      <c r="B5" s="33">
        <v>401067.686</v>
      </c>
      <c r="C5" s="33">
        <v>614.4</v>
      </c>
      <c r="D5" s="11">
        <v>45263</v>
      </c>
      <c r="E5" s="39"/>
    </row>
    <row r="6" ht="15.75" spans="1:5">
      <c r="A6" s="33">
        <v>3045833.438</v>
      </c>
      <c r="B6" s="33">
        <v>401067.686</v>
      </c>
      <c r="C6" s="33">
        <v>614.4</v>
      </c>
      <c r="D6" s="11">
        <v>45264</v>
      </c>
      <c r="E6" s="39"/>
    </row>
    <row r="7" ht="15.75" spans="1:5">
      <c r="A7" s="33">
        <v>3045833.438</v>
      </c>
      <c r="B7" s="33">
        <v>401067.686</v>
      </c>
      <c r="C7" s="33">
        <v>614.4</v>
      </c>
      <c r="D7" s="11">
        <v>45265</v>
      </c>
      <c r="E7" s="39"/>
    </row>
    <row r="8" ht="15.75" spans="1:5">
      <c r="A8" s="33">
        <v>3045833.438</v>
      </c>
      <c r="B8" s="33">
        <v>401067.686</v>
      </c>
      <c r="C8" s="33">
        <v>614.4</v>
      </c>
      <c r="D8" s="11">
        <v>45266</v>
      </c>
      <c r="E8" s="39"/>
    </row>
    <row r="9" ht="15.75" spans="1:5">
      <c r="A9" s="33">
        <v>3045833.438</v>
      </c>
      <c r="B9" s="33">
        <v>401067.686</v>
      </c>
      <c r="C9" s="33">
        <v>614.4</v>
      </c>
      <c r="D9" s="11">
        <v>45267</v>
      </c>
      <c r="E9" s="39"/>
    </row>
    <row r="10" ht="15.75" spans="1:5">
      <c r="A10" s="33">
        <v>3045833.438</v>
      </c>
      <c r="B10" s="33">
        <v>401067.686</v>
      </c>
      <c r="C10" s="33">
        <v>614.4</v>
      </c>
      <c r="D10" s="11">
        <v>45268</v>
      </c>
      <c r="E10" s="39"/>
    </row>
    <row r="11" ht="15.75" spans="1:5">
      <c r="A11" s="33">
        <v>3045833.438</v>
      </c>
      <c r="B11" s="33">
        <v>401067.686</v>
      </c>
      <c r="C11" s="33">
        <v>614.4</v>
      </c>
      <c r="D11" s="11">
        <v>45269</v>
      </c>
      <c r="E11" s="39"/>
    </row>
    <row r="12" ht="15.75" spans="1:5">
      <c r="A12" s="33">
        <v>3045833.438</v>
      </c>
      <c r="B12" s="33">
        <v>401067.686</v>
      </c>
      <c r="C12" s="33">
        <v>614.4</v>
      </c>
      <c r="D12" s="11">
        <v>45270</v>
      </c>
      <c r="E12" s="39"/>
    </row>
    <row r="13" ht="15.75" spans="1:5">
      <c r="A13" s="33">
        <v>3045833.438</v>
      </c>
      <c r="B13" s="33">
        <v>401067.686</v>
      </c>
      <c r="C13" s="33">
        <v>614.4</v>
      </c>
      <c r="D13" s="11">
        <v>45271</v>
      </c>
      <c r="E13" s="39"/>
    </row>
    <row r="14" ht="15.75" spans="1:5">
      <c r="A14" s="33">
        <v>3045833.438</v>
      </c>
      <c r="B14" s="33">
        <v>401067.686</v>
      </c>
      <c r="C14" s="33">
        <v>614.4</v>
      </c>
      <c r="D14" s="11">
        <v>45272</v>
      </c>
      <c r="E14" s="39"/>
    </row>
    <row r="15" ht="15.75" spans="1:5">
      <c r="A15" s="33">
        <v>3045833.438</v>
      </c>
      <c r="B15" s="33">
        <v>401067.686</v>
      </c>
      <c r="C15" s="33">
        <v>614.4</v>
      </c>
      <c r="D15" s="11">
        <v>45273</v>
      </c>
      <c r="E15" s="39"/>
    </row>
    <row r="16" ht="15.75" spans="1:5">
      <c r="A16" s="33">
        <v>3045833.438</v>
      </c>
      <c r="B16" s="33">
        <v>401067.686</v>
      </c>
      <c r="C16" s="33">
        <v>614.4</v>
      </c>
      <c r="D16" s="11">
        <v>45274</v>
      </c>
      <c r="E16" s="39">
        <v>639</v>
      </c>
    </row>
    <row r="17" ht="15.75" spans="1:5">
      <c r="A17" s="33">
        <v>3045833.438</v>
      </c>
      <c r="B17" s="33">
        <v>401067.686</v>
      </c>
      <c r="C17" s="33">
        <v>614.4</v>
      </c>
      <c r="D17" s="11">
        <v>45275</v>
      </c>
      <c r="E17" s="39"/>
    </row>
    <row r="18" ht="15.75" spans="1:5">
      <c r="A18" s="33">
        <v>3045833.438</v>
      </c>
      <c r="B18" s="33">
        <v>401067.686</v>
      </c>
      <c r="C18" s="33">
        <v>614.4</v>
      </c>
      <c r="D18" s="11">
        <v>45276</v>
      </c>
      <c r="E18" s="39">
        <v>716.325</v>
      </c>
    </row>
    <row r="19" ht="15.75" spans="1:5">
      <c r="A19" s="33">
        <v>3045833.438</v>
      </c>
      <c r="B19" s="33">
        <v>401067.686</v>
      </c>
      <c r="C19" s="33">
        <v>614.4</v>
      </c>
      <c r="D19" s="11">
        <v>45277</v>
      </c>
      <c r="E19" s="39">
        <v>646.45</v>
      </c>
    </row>
    <row r="20" ht="15.75" spans="1:5">
      <c r="A20" s="33">
        <v>3045833.438</v>
      </c>
      <c r="B20" s="33">
        <v>401067.686</v>
      </c>
      <c r="C20" s="33">
        <v>614.4</v>
      </c>
      <c r="D20" s="11">
        <v>45278</v>
      </c>
      <c r="E20" s="39">
        <v>726.3</v>
      </c>
    </row>
    <row r="21" ht="15.75" spans="1:5">
      <c r="A21" s="33">
        <v>3045833.438</v>
      </c>
      <c r="B21" s="33">
        <v>401067.686</v>
      </c>
      <c r="C21" s="33">
        <v>614.4</v>
      </c>
      <c r="D21" s="11">
        <v>45279</v>
      </c>
      <c r="E21" s="39">
        <v>726.5</v>
      </c>
    </row>
    <row r="22" ht="15.75" spans="1:5">
      <c r="A22" s="33">
        <v>3045833.438</v>
      </c>
      <c r="B22" s="33">
        <v>401067.686</v>
      </c>
      <c r="C22" s="33">
        <v>614.4</v>
      </c>
      <c r="D22" s="11">
        <v>45280</v>
      </c>
      <c r="E22" s="39">
        <v>723.8</v>
      </c>
    </row>
    <row r="23" ht="15.75" spans="1:5">
      <c r="A23" s="33">
        <v>3045833.438</v>
      </c>
      <c r="B23" s="33">
        <v>401067.686</v>
      </c>
      <c r="C23" s="33">
        <v>614.4</v>
      </c>
      <c r="D23" s="11">
        <v>45281</v>
      </c>
      <c r="E23" s="39">
        <v>722.8</v>
      </c>
    </row>
    <row r="24" ht="15.75" spans="1:5">
      <c r="A24" s="33">
        <v>3045833.438</v>
      </c>
      <c r="B24" s="33">
        <v>401067.686</v>
      </c>
      <c r="C24" s="33">
        <v>614.4</v>
      </c>
      <c r="D24" s="11">
        <v>45282</v>
      </c>
      <c r="E24" s="39">
        <v>717.7</v>
      </c>
    </row>
    <row r="25" ht="15.75" spans="1:5">
      <c r="A25" s="33">
        <v>3045833.438</v>
      </c>
      <c r="B25" s="33">
        <v>401067.686</v>
      </c>
      <c r="C25" s="33">
        <v>614.4</v>
      </c>
      <c r="D25" s="11">
        <v>45283</v>
      </c>
      <c r="E25" s="39">
        <v>716.4</v>
      </c>
    </row>
    <row r="26" ht="15.75" spans="1:5">
      <c r="A26" s="33">
        <v>3045833.438</v>
      </c>
      <c r="B26" s="33">
        <v>401067.686</v>
      </c>
      <c r="C26" s="33">
        <v>614.4</v>
      </c>
      <c r="D26" s="11">
        <v>45284</v>
      </c>
      <c r="E26" s="39">
        <v>715.7</v>
      </c>
    </row>
    <row r="27" ht="15.75" spans="1:5">
      <c r="A27" s="33">
        <v>3045833.438</v>
      </c>
      <c r="B27" s="33">
        <v>401067.686</v>
      </c>
      <c r="C27" s="33">
        <v>614.4</v>
      </c>
      <c r="D27" s="11">
        <v>45285</v>
      </c>
      <c r="E27" s="39">
        <v>715.2</v>
      </c>
    </row>
    <row r="28" ht="15.75" spans="1:5">
      <c r="A28" s="33">
        <v>3045833.438</v>
      </c>
      <c r="B28" s="33">
        <v>401067.686</v>
      </c>
      <c r="C28" s="33">
        <v>614.4</v>
      </c>
      <c r="D28" s="11">
        <v>45286</v>
      </c>
      <c r="E28" s="39">
        <v>714.7</v>
      </c>
    </row>
    <row r="29" ht="15.75" spans="1:5">
      <c r="A29" s="33">
        <v>3045833.438</v>
      </c>
      <c r="B29" s="33">
        <v>401067.686</v>
      </c>
      <c r="C29" s="33">
        <v>614.4</v>
      </c>
      <c r="D29" s="11">
        <v>45287</v>
      </c>
      <c r="E29" s="39">
        <v>714.2</v>
      </c>
    </row>
    <row r="30" ht="15.75" spans="1:5">
      <c r="A30" s="33">
        <v>3045833.438</v>
      </c>
      <c r="B30" s="33">
        <v>401067.686</v>
      </c>
      <c r="C30" s="33">
        <v>614.4</v>
      </c>
      <c r="D30" s="11">
        <v>45288</v>
      </c>
      <c r="E30" s="39">
        <v>713.8</v>
      </c>
    </row>
    <row r="31" ht="15.75" spans="1:5">
      <c r="A31" s="33">
        <v>3045833.438</v>
      </c>
      <c r="B31" s="33">
        <v>401067.686</v>
      </c>
      <c r="C31" s="33">
        <v>614.4</v>
      </c>
      <c r="D31" s="11">
        <v>45289</v>
      </c>
      <c r="E31" s="39">
        <v>711.6</v>
      </c>
    </row>
    <row r="32" ht="15.75" spans="1:5">
      <c r="A32" s="33">
        <v>3045833.438</v>
      </c>
      <c r="B32" s="33">
        <v>401067.686</v>
      </c>
      <c r="C32" s="33">
        <v>614.4</v>
      </c>
      <c r="D32" s="11">
        <v>45290</v>
      </c>
      <c r="E32" s="39">
        <v>711.8</v>
      </c>
    </row>
    <row r="33" ht="15.75" spans="1:5">
      <c r="A33" s="33">
        <v>3045833.438</v>
      </c>
      <c r="B33" s="33">
        <v>401067.686</v>
      </c>
      <c r="C33" s="33">
        <v>614.4</v>
      </c>
      <c r="D33" s="11">
        <v>45291</v>
      </c>
      <c r="E33" s="39">
        <v>712.2</v>
      </c>
    </row>
    <row r="34" ht="15.75" spans="1:5">
      <c r="A34" s="33">
        <v>3045833.438</v>
      </c>
      <c r="B34" s="33">
        <v>401067.686</v>
      </c>
      <c r="C34" s="33">
        <v>614.4</v>
      </c>
      <c r="D34" s="11">
        <v>45292</v>
      </c>
      <c r="E34" s="39">
        <v>716.2</v>
      </c>
    </row>
    <row r="35" ht="15.75" spans="1:5">
      <c r="A35" s="33">
        <v>3045833.438</v>
      </c>
      <c r="B35" s="33">
        <v>401067.686</v>
      </c>
      <c r="C35" s="33">
        <v>614.4</v>
      </c>
      <c r="D35" s="11">
        <v>45293</v>
      </c>
      <c r="E35" s="39">
        <v>717</v>
      </c>
    </row>
    <row r="36" ht="15.75" spans="1:5">
      <c r="A36" s="33">
        <v>3045833.438</v>
      </c>
      <c r="B36" s="33">
        <v>401067.686</v>
      </c>
      <c r="C36" s="33">
        <v>614.4</v>
      </c>
      <c r="D36" s="11">
        <v>45294</v>
      </c>
      <c r="E36" s="39">
        <v>716.8</v>
      </c>
    </row>
    <row r="37" ht="15.75" spans="1:5">
      <c r="A37" s="33">
        <v>3045833.438</v>
      </c>
      <c r="B37" s="33">
        <v>401067.686</v>
      </c>
      <c r="C37" s="33">
        <v>614.4</v>
      </c>
      <c r="D37" s="11">
        <v>45295</v>
      </c>
      <c r="E37" s="71">
        <v>716.7</v>
      </c>
    </row>
    <row r="38" ht="15.75" spans="1:5">
      <c r="A38" s="33">
        <v>3045833.438</v>
      </c>
      <c r="B38" s="33">
        <v>401067.686</v>
      </c>
      <c r="C38" s="33">
        <v>614.4</v>
      </c>
      <c r="D38" s="11">
        <v>45296</v>
      </c>
      <c r="E38" s="44">
        <v>716.4</v>
      </c>
    </row>
    <row r="39" ht="15.75" spans="1:5">
      <c r="A39" s="33">
        <v>3045833.438</v>
      </c>
      <c r="B39" s="33">
        <v>401067.686</v>
      </c>
      <c r="C39" s="33">
        <v>614.4</v>
      </c>
      <c r="D39" s="11">
        <v>45297</v>
      </c>
      <c r="E39" s="44">
        <v>716.1</v>
      </c>
    </row>
    <row r="40" ht="15.75" spans="1:5">
      <c r="A40" s="33">
        <v>3045833.438</v>
      </c>
      <c r="B40" s="33">
        <v>401067.686</v>
      </c>
      <c r="C40" s="33">
        <v>614.4</v>
      </c>
      <c r="D40" s="11">
        <v>45298</v>
      </c>
      <c r="E40" s="44">
        <v>715.9</v>
      </c>
    </row>
    <row r="41" ht="15.75" spans="1:5">
      <c r="A41" s="33">
        <v>3045833.438</v>
      </c>
      <c r="B41" s="33">
        <v>401067.686</v>
      </c>
      <c r="C41" s="33">
        <v>614.4</v>
      </c>
      <c r="D41" s="11">
        <v>45299</v>
      </c>
      <c r="E41" s="44">
        <v>714.8</v>
      </c>
    </row>
    <row r="42" ht="15.75" spans="1:5">
      <c r="A42" s="33">
        <v>3045833.438</v>
      </c>
      <c r="B42" s="33">
        <v>401067.686</v>
      </c>
      <c r="C42" s="33">
        <v>614.4</v>
      </c>
      <c r="D42" s="11">
        <v>45300</v>
      </c>
      <c r="E42" s="44">
        <v>714</v>
      </c>
    </row>
    <row r="43" ht="15.75" spans="1:5">
      <c r="A43" s="33">
        <v>3045833.438</v>
      </c>
      <c r="B43" s="33">
        <v>401067.686</v>
      </c>
      <c r="C43" s="33">
        <v>614.4</v>
      </c>
      <c r="D43" s="11">
        <v>45301</v>
      </c>
      <c r="E43" s="44">
        <v>714</v>
      </c>
    </row>
    <row r="44" ht="15.75" spans="1:5">
      <c r="A44" s="33">
        <v>3045833.438</v>
      </c>
      <c r="B44" s="33">
        <v>401067.686</v>
      </c>
      <c r="C44" s="33">
        <v>614.4</v>
      </c>
      <c r="D44" s="11">
        <v>45302</v>
      </c>
      <c r="E44" s="44">
        <v>714</v>
      </c>
    </row>
    <row r="45" ht="15.75" spans="1:5">
      <c r="A45" s="33">
        <v>3045833.438</v>
      </c>
      <c r="B45" s="33">
        <v>401067.686</v>
      </c>
      <c r="C45" s="33">
        <v>614.4</v>
      </c>
      <c r="D45" s="11">
        <v>45303</v>
      </c>
      <c r="E45" s="44">
        <v>714</v>
      </c>
    </row>
    <row r="46" ht="15.75" spans="1:5">
      <c r="A46" s="33">
        <v>3045833.438</v>
      </c>
      <c r="B46" s="33">
        <v>401067.686</v>
      </c>
      <c r="C46" s="33">
        <v>614.4</v>
      </c>
      <c r="D46" s="11">
        <v>45304</v>
      </c>
      <c r="E46" s="43">
        <v>712.6</v>
      </c>
    </row>
    <row r="47" ht="15.75" spans="1:5">
      <c r="A47" s="33">
        <v>3045833.438</v>
      </c>
      <c r="B47" s="33">
        <v>401067.686</v>
      </c>
      <c r="C47" s="33">
        <v>614.4</v>
      </c>
      <c r="D47" s="11">
        <v>45305</v>
      </c>
      <c r="E47" s="43">
        <v>644.7</v>
      </c>
    </row>
    <row r="48" ht="15.75" spans="1:5">
      <c r="A48" s="33">
        <v>3045833.438</v>
      </c>
      <c r="B48" s="33">
        <v>401067.686</v>
      </c>
      <c r="C48" s="33">
        <v>614.4</v>
      </c>
      <c r="D48" s="11">
        <v>45306</v>
      </c>
      <c r="E48" s="44">
        <v>631.1</v>
      </c>
    </row>
    <row r="49" ht="15.75" spans="1:5">
      <c r="A49" s="33">
        <v>3045833.438</v>
      </c>
      <c r="B49" s="33">
        <v>401067.686</v>
      </c>
      <c r="C49" s="33">
        <v>614.4</v>
      </c>
      <c r="D49" s="11">
        <v>45307</v>
      </c>
      <c r="E49" s="44">
        <v>630.5</v>
      </c>
    </row>
    <row r="50" ht="15.75" spans="1:5">
      <c r="A50" s="33">
        <v>3045833.438</v>
      </c>
      <c r="B50" s="33">
        <v>401067.686</v>
      </c>
      <c r="C50" s="33">
        <v>614.4</v>
      </c>
      <c r="D50" s="11">
        <v>45308</v>
      </c>
      <c r="E50" s="44">
        <v>629.7</v>
      </c>
    </row>
    <row r="51" ht="15.75" spans="1:5">
      <c r="A51" s="33">
        <v>3045833.438</v>
      </c>
      <c r="B51" s="33">
        <v>401067.686</v>
      </c>
      <c r="C51" s="33">
        <v>614.4</v>
      </c>
      <c r="D51" s="11">
        <v>45309</v>
      </c>
      <c r="E51" s="44">
        <v>629.5</v>
      </c>
    </row>
    <row r="52" ht="15.75" spans="1:5">
      <c r="A52" s="33">
        <v>3045833.438</v>
      </c>
      <c r="B52" s="33">
        <v>401067.686</v>
      </c>
      <c r="C52" s="33">
        <v>614.4</v>
      </c>
      <c r="D52" s="11">
        <v>45310</v>
      </c>
      <c r="E52" s="44">
        <v>629.1</v>
      </c>
    </row>
    <row r="53" ht="15.75" spans="1:5">
      <c r="A53" s="33">
        <v>3045833.438</v>
      </c>
      <c r="B53" s="33">
        <v>401067.686</v>
      </c>
      <c r="C53" s="33">
        <v>614.4</v>
      </c>
      <c r="D53" s="11">
        <v>45311</v>
      </c>
      <c r="E53" s="44">
        <v>628.8</v>
      </c>
    </row>
    <row r="54" ht="15.75" spans="1:5">
      <c r="A54" s="33">
        <v>3045833.438</v>
      </c>
      <c r="B54" s="33">
        <v>401067.686</v>
      </c>
      <c r="C54" s="33">
        <v>614.4</v>
      </c>
      <c r="D54" s="11">
        <v>45312</v>
      </c>
      <c r="E54" s="44">
        <v>628.3</v>
      </c>
    </row>
    <row r="55" ht="15.75" spans="1:5">
      <c r="A55" s="33">
        <v>3045833.438</v>
      </c>
      <c r="B55" s="33">
        <v>401067.686</v>
      </c>
      <c r="C55" s="33">
        <v>614.4</v>
      </c>
      <c r="D55" s="11">
        <v>45313</v>
      </c>
      <c r="E55" s="44">
        <v>628.1</v>
      </c>
    </row>
    <row r="56" ht="15.75" spans="1:5">
      <c r="A56" s="33">
        <v>3045833.438</v>
      </c>
      <c r="B56" s="33">
        <v>401067.686</v>
      </c>
      <c r="C56" s="33">
        <v>614.4</v>
      </c>
      <c r="D56" s="11">
        <v>45314</v>
      </c>
      <c r="E56" s="44">
        <v>628.1</v>
      </c>
    </row>
    <row r="57" ht="15.75" spans="1:5">
      <c r="A57" s="33">
        <v>3045833.438</v>
      </c>
      <c r="B57" s="33">
        <v>401067.686</v>
      </c>
      <c r="C57" s="33">
        <v>614.4</v>
      </c>
      <c r="D57" s="11">
        <v>45315</v>
      </c>
      <c r="E57" s="44">
        <v>628.1</v>
      </c>
    </row>
    <row r="58" ht="15.75" spans="1:5">
      <c r="A58" s="33">
        <v>3045833.438</v>
      </c>
      <c r="B58" s="33">
        <v>401067.686</v>
      </c>
      <c r="C58" s="33">
        <v>614.4</v>
      </c>
      <c r="D58" s="11">
        <v>45316</v>
      </c>
      <c r="E58" s="44">
        <v>628.1</v>
      </c>
    </row>
    <row r="59" ht="15.75" spans="1:5">
      <c r="A59" s="33">
        <v>3045833.438</v>
      </c>
      <c r="B59" s="33">
        <v>401067.686</v>
      </c>
      <c r="C59" s="33">
        <v>614.4</v>
      </c>
      <c r="D59" s="11">
        <v>45317</v>
      </c>
      <c r="E59" s="44">
        <v>628.1</v>
      </c>
    </row>
    <row r="60" ht="15.75" spans="1:5">
      <c r="A60" s="33">
        <v>3045833.438</v>
      </c>
      <c r="B60" s="33">
        <v>401067.686</v>
      </c>
      <c r="C60" s="33">
        <v>614.4</v>
      </c>
      <c r="D60" s="11">
        <v>45318</v>
      </c>
      <c r="E60" s="44">
        <v>628.1</v>
      </c>
    </row>
    <row r="61" ht="15.75" spans="1:5">
      <c r="A61" s="33">
        <v>3045833.438</v>
      </c>
      <c r="B61" s="33">
        <v>401067.686</v>
      </c>
      <c r="C61" s="33">
        <v>614.4</v>
      </c>
      <c r="D61" s="11">
        <v>45319</v>
      </c>
      <c r="E61" s="44">
        <v>680.6</v>
      </c>
    </row>
    <row r="62" ht="15.75" spans="1:5">
      <c r="A62" s="33">
        <v>3045833.438</v>
      </c>
      <c r="B62" s="33">
        <v>401067.686</v>
      </c>
      <c r="C62" s="33">
        <v>614.4</v>
      </c>
      <c r="D62" s="11">
        <v>45320</v>
      </c>
      <c r="E62" s="44">
        <v>706.7</v>
      </c>
    </row>
    <row r="63" ht="15.75" spans="1:5">
      <c r="A63" s="33">
        <v>3045833.438</v>
      </c>
      <c r="B63" s="33">
        <v>401067.686</v>
      </c>
      <c r="C63" s="33">
        <v>614.4</v>
      </c>
      <c r="D63" s="11">
        <v>45321</v>
      </c>
      <c r="E63" s="44">
        <v>708.3</v>
      </c>
    </row>
    <row r="64" ht="15.75" spans="1:5">
      <c r="A64" s="33">
        <v>3045833.438</v>
      </c>
      <c r="B64" s="33">
        <v>401067.686</v>
      </c>
      <c r="C64" s="33">
        <v>614.4</v>
      </c>
      <c r="D64" s="11">
        <v>45322</v>
      </c>
      <c r="E64" s="44">
        <v>711.5</v>
      </c>
    </row>
    <row r="65" ht="15.75" spans="1:5">
      <c r="A65" s="33">
        <v>3045833.438</v>
      </c>
      <c r="B65" s="33">
        <v>401067.686</v>
      </c>
      <c r="C65" s="33">
        <v>614.4</v>
      </c>
      <c r="D65" s="11">
        <v>45323</v>
      </c>
      <c r="E65" s="44">
        <v>711.8</v>
      </c>
    </row>
    <row r="66" ht="15.75" spans="1:5">
      <c r="A66" s="33">
        <v>3045833.438</v>
      </c>
      <c r="B66" s="33">
        <v>401067.686</v>
      </c>
      <c r="C66" s="33">
        <v>614.4</v>
      </c>
      <c r="D66" s="11">
        <v>45324</v>
      </c>
      <c r="E66" s="44">
        <v>711.6</v>
      </c>
    </row>
    <row r="67" ht="15.75" spans="1:5">
      <c r="A67" s="33">
        <v>3045833.438</v>
      </c>
      <c r="B67" s="33">
        <v>401067.686</v>
      </c>
      <c r="C67" s="33">
        <v>614.4</v>
      </c>
      <c r="D67" s="11">
        <v>45325</v>
      </c>
      <c r="E67" s="44">
        <v>635</v>
      </c>
    </row>
    <row r="68" ht="15.75" spans="1:5">
      <c r="A68" s="33">
        <v>3045833.438</v>
      </c>
      <c r="B68" s="33">
        <v>401067.686</v>
      </c>
      <c r="C68" s="33">
        <v>614.4</v>
      </c>
      <c r="D68" s="11">
        <v>45326</v>
      </c>
      <c r="E68" s="44">
        <v>634.4</v>
      </c>
    </row>
    <row r="69" ht="15.75" spans="1:5">
      <c r="A69" s="33">
        <v>3045833.438</v>
      </c>
      <c r="B69" s="33">
        <v>401067.686</v>
      </c>
      <c r="C69" s="33">
        <v>614.4</v>
      </c>
      <c r="D69" s="11">
        <v>45327</v>
      </c>
      <c r="E69" s="44">
        <v>634.2</v>
      </c>
    </row>
    <row r="70" ht="15.75" spans="1:5">
      <c r="A70" s="33">
        <v>3045833.438</v>
      </c>
      <c r="B70" s="33">
        <v>401067.686</v>
      </c>
      <c r="C70" s="33">
        <v>614.4</v>
      </c>
      <c r="D70" s="11">
        <v>45328</v>
      </c>
      <c r="E70" s="44">
        <v>634</v>
      </c>
    </row>
    <row r="71" ht="15.75" spans="1:5">
      <c r="A71" s="33">
        <v>3045833.438</v>
      </c>
      <c r="B71" s="33">
        <v>401067.686</v>
      </c>
      <c r="C71" s="33">
        <v>614.4</v>
      </c>
      <c r="D71" s="11">
        <v>45329</v>
      </c>
      <c r="E71" s="44">
        <v>633.8</v>
      </c>
    </row>
    <row r="72" ht="15.75" spans="1:5">
      <c r="A72" s="33">
        <v>3045833.438</v>
      </c>
      <c r="B72" s="33">
        <v>401067.686</v>
      </c>
      <c r="C72" s="33">
        <v>614.4</v>
      </c>
      <c r="D72" s="11">
        <v>45330</v>
      </c>
      <c r="E72" s="44">
        <v>633.6</v>
      </c>
    </row>
    <row r="73" ht="15.75" spans="1:5">
      <c r="A73" s="33">
        <v>3045833.438</v>
      </c>
      <c r="B73" s="33">
        <v>401067.686</v>
      </c>
      <c r="C73" s="33">
        <v>614.4</v>
      </c>
      <c r="D73" s="11">
        <v>45331</v>
      </c>
      <c r="E73" s="44">
        <v>633.4</v>
      </c>
    </row>
    <row r="74" ht="15.75" spans="1:5">
      <c r="A74" s="33">
        <v>3045833.438</v>
      </c>
      <c r="B74" s="33">
        <v>401067.686</v>
      </c>
      <c r="C74" s="33">
        <v>614.4</v>
      </c>
      <c r="D74" s="11">
        <v>45332</v>
      </c>
      <c r="E74" s="44">
        <v>633.2</v>
      </c>
    </row>
    <row r="75" ht="15.75" spans="1:5">
      <c r="A75" s="33">
        <v>3045833.438</v>
      </c>
      <c r="B75" s="33">
        <v>401067.686</v>
      </c>
      <c r="C75" s="33">
        <v>614.4</v>
      </c>
      <c r="D75" s="11">
        <v>45333</v>
      </c>
      <c r="E75" s="44">
        <v>707.6</v>
      </c>
    </row>
    <row r="76" ht="15.75" spans="1:5">
      <c r="A76" s="33">
        <v>3045833.438</v>
      </c>
      <c r="B76" s="33">
        <v>401067.686</v>
      </c>
      <c r="C76" s="33">
        <v>614.4</v>
      </c>
      <c r="D76" s="11">
        <v>45334</v>
      </c>
      <c r="E76" s="44">
        <v>709.1</v>
      </c>
    </row>
    <row r="77" ht="15.75" spans="1:5">
      <c r="A77" s="33">
        <v>3045833.438</v>
      </c>
      <c r="B77" s="33">
        <v>401067.686</v>
      </c>
      <c r="C77" s="33">
        <v>614.4</v>
      </c>
      <c r="D77" s="11">
        <v>45335</v>
      </c>
      <c r="E77" s="44"/>
    </row>
    <row r="78" ht="15.75" spans="1:5">
      <c r="A78" s="33">
        <v>3045833.438</v>
      </c>
      <c r="B78" s="33">
        <v>401067.686</v>
      </c>
      <c r="C78" s="33">
        <v>614.4</v>
      </c>
      <c r="D78" s="11">
        <v>45336</v>
      </c>
      <c r="E78" s="45"/>
    </row>
    <row r="79" ht="15.75" spans="1:5">
      <c r="A79" s="33">
        <v>3045833.438</v>
      </c>
      <c r="B79" s="33">
        <v>401067.686</v>
      </c>
      <c r="C79" s="33">
        <v>614.4</v>
      </c>
      <c r="D79" s="11">
        <v>45337</v>
      </c>
      <c r="E79" s="37"/>
    </row>
    <row r="80" ht="15.75" spans="1:5">
      <c r="A80" s="33">
        <v>3045833.438</v>
      </c>
      <c r="B80" s="33">
        <v>401067.686</v>
      </c>
      <c r="C80" s="33">
        <v>614.4</v>
      </c>
      <c r="D80" s="11">
        <v>45338</v>
      </c>
      <c r="E80" s="37"/>
    </row>
    <row r="81" ht="15.75" spans="1:5">
      <c r="A81" s="33">
        <v>3045833.438</v>
      </c>
      <c r="B81" s="33">
        <v>401067.686</v>
      </c>
      <c r="C81" s="33">
        <v>614.4</v>
      </c>
      <c r="D81" s="11">
        <v>45339</v>
      </c>
      <c r="E81" s="37"/>
    </row>
    <row r="82" ht="15.75" spans="1:5">
      <c r="A82" s="33">
        <v>3045833.438</v>
      </c>
      <c r="B82" s="33">
        <v>401067.686</v>
      </c>
      <c r="C82" s="33">
        <v>614.4</v>
      </c>
      <c r="D82" s="11">
        <v>45340</v>
      </c>
      <c r="E82" s="37"/>
    </row>
    <row r="83" ht="15.75" spans="1:5">
      <c r="A83" s="33">
        <v>3045833.438</v>
      </c>
      <c r="B83" s="33">
        <v>401067.686</v>
      </c>
      <c r="C83" s="33">
        <v>614.4</v>
      </c>
      <c r="D83" s="11">
        <v>45341</v>
      </c>
      <c r="E83" s="44"/>
    </row>
    <row r="84" ht="15.75" spans="1:5">
      <c r="A84" s="33">
        <v>3045833.438</v>
      </c>
      <c r="B84" s="33">
        <v>401067.686</v>
      </c>
      <c r="C84" s="33">
        <v>614.4</v>
      </c>
      <c r="D84" s="11">
        <v>45342</v>
      </c>
      <c r="E84" s="44"/>
    </row>
    <row r="85" ht="15.75" spans="1:5">
      <c r="A85" s="33">
        <v>3045833.438</v>
      </c>
      <c r="B85" s="33">
        <v>401067.686</v>
      </c>
      <c r="C85" s="33">
        <v>614.4</v>
      </c>
      <c r="D85" s="11">
        <v>45343</v>
      </c>
      <c r="E85" s="44"/>
    </row>
    <row r="86" ht="15.75" spans="1:5">
      <c r="A86" s="33">
        <v>3045833.438</v>
      </c>
      <c r="B86" s="33">
        <v>401067.686</v>
      </c>
      <c r="C86" s="33">
        <v>614.4</v>
      </c>
      <c r="D86" s="11">
        <v>45344</v>
      </c>
      <c r="E86" s="44"/>
    </row>
    <row r="87" ht="15.75" spans="1:5">
      <c r="A87" s="33">
        <v>3045833.438</v>
      </c>
      <c r="B87" s="33">
        <v>401067.686</v>
      </c>
      <c r="C87" s="33">
        <v>614.4</v>
      </c>
      <c r="D87" s="11">
        <v>45345</v>
      </c>
      <c r="E87" s="44"/>
    </row>
    <row r="88" ht="15.75" spans="1:5">
      <c r="A88" s="33">
        <v>3045833.438</v>
      </c>
      <c r="B88" s="33">
        <v>401067.686</v>
      </c>
      <c r="C88" s="33">
        <v>614.4</v>
      </c>
      <c r="D88" s="11">
        <v>45346</v>
      </c>
      <c r="E88" s="44">
        <v>704.8</v>
      </c>
    </row>
    <row r="89" ht="15.75" spans="1:5">
      <c r="A89" s="33">
        <v>3045833.438</v>
      </c>
      <c r="B89" s="33">
        <v>401067.686</v>
      </c>
      <c r="C89" s="33">
        <v>614.4</v>
      </c>
      <c r="D89" s="11">
        <v>45347</v>
      </c>
      <c r="E89" s="44">
        <v>706.8</v>
      </c>
    </row>
    <row r="90" ht="15.75" spans="1:5">
      <c r="A90" s="33">
        <v>3045833.438</v>
      </c>
      <c r="B90" s="33">
        <v>401067.686</v>
      </c>
      <c r="C90" s="33">
        <v>614.4</v>
      </c>
      <c r="D90" s="11">
        <v>45348</v>
      </c>
      <c r="E90" s="44">
        <v>706.9</v>
      </c>
    </row>
    <row r="91" ht="15.75" spans="1:5">
      <c r="A91" s="33">
        <v>3045833.438</v>
      </c>
      <c r="B91" s="33">
        <v>401067.686</v>
      </c>
      <c r="C91" s="33">
        <v>614.4</v>
      </c>
      <c r="D91" s="11">
        <v>45349</v>
      </c>
      <c r="E91" s="44">
        <v>703</v>
      </c>
    </row>
    <row r="92" ht="15.75" spans="1:5">
      <c r="A92" s="33">
        <v>3045833.438</v>
      </c>
      <c r="B92" s="33">
        <v>401067.686</v>
      </c>
      <c r="C92" s="33">
        <v>614.4</v>
      </c>
      <c r="D92" s="11">
        <v>45350</v>
      </c>
      <c r="E92" s="44">
        <v>701.8</v>
      </c>
    </row>
    <row r="93" ht="15.75" spans="1:5">
      <c r="A93" s="33">
        <v>3045833.438</v>
      </c>
      <c r="B93" s="33">
        <v>401067.686</v>
      </c>
      <c r="C93" s="33">
        <v>614.4</v>
      </c>
      <c r="D93" s="11">
        <v>45351</v>
      </c>
      <c r="E93" s="44">
        <v>705.1</v>
      </c>
    </row>
    <row r="94" ht="15.75" spans="1:5">
      <c r="A94" s="33">
        <v>3045833.438</v>
      </c>
      <c r="B94" s="33">
        <v>401067.686</v>
      </c>
      <c r="C94" s="33">
        <v>614.4</v>
      </c>
      <c r="D94" s="11">
        <v>45352</v>
      </c>
      <c r="E94" s="44">
        <v>705.3</v>
      </c>
    </row>
    <row r="95" ht="15.75" spans="1:5">
      <c r="A95" s="33">
        <v>3045833.438</v>
      </c>
      <c r="B95" s="33">
        <v>401067.686</v>
      </c>
      <c r="C95" s="33">
        <v>614.4</v>
      </c>
      <c r="D95" s="11">
        <v>45353</v>
      </c>
      <c r="E95" s="44">
        <v>705.1</v>
      </c>
    </row>
    <row r="96" ht="15.75" spans="1:5">
      <c r="A96" s="33">
        <v>3045833.438</v>
      </c>
      <c r="B96" s="33">
        <v>401067.686</v>
      </c>
      <c r="C96" s="33">
        <v>614.4</v>
      </c>
      <c r="D96" s="11">
        <v>45354</v>
      </c>
      <c r="E96" s="44">
        <v>705.3</v>
      </c>
    </row>
    <row r="97" ht="15.75" spans="1:5">
      <c r="A97" s="33">
        <v>3045833.438</v>
      </c>
      <c r="B97" s="33">
        <v>401067.686</v>
      </c>
      <c r="C97" s="33">
        <v>614.4</v>
      </c>
      <c r="D97" s="11">
        <v>45355</v>
      </c>
      <c r="E97" s="44">
        <v>705.1</v>
      </c>
    </row>
    <row r="98" ht="15.75" spans="1:5">
      <c r="A98" s="33">
        <v>3045833.438</v>
      </c>
      <c r="B98" s="33">
        <v>401067.686</v>
      </c>
      <c r="C98" s="33">
        <v>614.4</v>
      </c>
      <c r="D98" s="11">
        <v>45356</v>
      </c>
      <c r="E98" s="44">
        <v>704.8</v>
      </c>
    </row>
    <row r="99" ht="15.75" spans="1:5">
      <c r="A99" s="33">
        <v>3045833.438</v>
      </c>
      <c r="B99" s="33">
        <v>401067.686</v>
      </c>
      <c r="C99" s="33">
        <v>614.4</v>
      </c>
      <c r="D99" s="11">
        <v>45357</v>
      </c>
      <c r="E99" s="44">
        <v>704.4</v>
      </c>
    </row>
    <row r="100" ht="15.75" spans="1:5">
      <c r="A100" s="33">
        <v>3045833.438</v>
      </c>
      <c r="B100" s="33">
        <v>401067.686</v>
      </c>
      <c r="C100" s="33">
        <v>614.4</v>
      </c>
      <c r="D100" s="11">
        <v>45358</v>
      </c>
      <c r="E100" s="44">
        <v>704.1</v>
      </c>
    </row>
    <row r="101" ht="15.75" spans="1:5">
      <c r="A101" s="33">
        <v>3045833.438</v>
      </c>
      <c r="B101" s="33">
        <v>401067.686</v>
      </c>
      <c r="C101" s="33">
        <v>614.4</v>
      </c>
      <c r="D101" s="11">
        <v>45359</v>
      </c>
      <c r="E101" s="44">
        <v>703.8</v>
      </c>
    </row>
    <row r="102" ht="15.75" spans="1:5">
      <c r="A102" s="33">
        <v>3045833.438</v>
      </c>
      <c r="B102" s="33">
        <v>401067.686</v>
      </c>
      <c r="C102" s="33">
        <v>614.4</v>
      </c>
      <c r="D102" s="11">
        <v>45360</v>
      </c>
      <c r="E102" s="44">
        <v>699.7</v>
      </c>
    </row>
    <row r="103" ht="15.75" spans="1:5">
      <c r="A103" s="33">
        <v>3045833.438</v>
      </c>
      <c r="B103" s="33">
        <v>401067.686</v>
      </c>
      <c r="C103" s="33">
        <v>614.4</v>
      </c>
      <c r="D103" s="11">
        <v>45361</v>
      </c>
      <c r="E103" s="44">
        <v>698.9</v>
      </c>
    </row>
    <row r="104" ht="15.75" spans="1:5">
      <c r="A104" s="33">
        <v>3045833.438</v>
      </c>
      <c r="B104" s="33">
        <v>401067.686</v>
      </c>
      <c r="C104" s="33">
        <v>614.4</v>
      </c>
      <c r="D104" s="11">
        <v>45362</v>
      </c>
      <c r="E104" s="44">
        <v>698.6</v>
      </c>
    </row>
    <row r="105" ht="15.75" spans="1:5">
      <c r="A105" s="33">
        <v>3045833.438</v>
      </c>
      <c r="B105" s="33">
        <v>401067.686</v>
      </c>
      <c r="C105" s="33">
        <v>614.4</v>
      </c>
      <c r="D105" s="11">
        <v>45363</v>
      </c>
      <c r="E105" s="44">
        <v>698.4</v>
      </c>
    </row>
    <row r="106" ht="15.75" spans="1:5">
      <c r="A106" s="33">
        <v>3045833.438</v>
      </c>
      <c r="B106" s="33">
        <v>401067.686</v>
      </c>
      <c r="C106" s="33">
        <v>614.4</v>
      </c>
      <c r="D106" s="11">
        <v>45364</v>
      </c>
      <c r="E106" s="44">
        <v>698.1</v>
      </c>
    </row>
    <row r="107" ht="15.75" spans="1:5">
      <c r="A107" s="33">
        <v>3045833.438</v>
      </c>
      <c r="B107" s="33">
        <v>401067.686</v>
      </c>
      <c r="C107" s="33">
        <v>614.4</v>
      </c>
      <c r="D107" s="11">
        <v>45365</v>
      </c>
      <c r="E107" s="44">
        <v>628.475</v>
      </c>
    </row>
    <row r="108" ht="15.75" spans="1:5">
      <c r="A108" s="33">
        <v>3045833.438</v>
      </c>
      <c r="B108" s="33">
        <v>401067.686</v>
      </c>
      <c r="C108" s="33">
        <v>614.4</v>
      </c>
      <c r="D108" s="11">
        <v>45366</v>
      </c>
      <c r="E108" s="44">
        <v>616.7</v>
      </c>
    </row>
    <row r="109" ht="15.75" spans="1:5">
      <c r="A109" s="33">
        <v>3045833.438</v>
      </c>
      <c r="B109" s="33">
        <v>401067.686</v>
      </c>
      <c r="C109" s="33">
        <v>614.4</v>
      </c>
      <c r="D109" s="11">
        <v>45367</v>
      </c>
      <c r="E109" s="44">
        <v>616.7</v>
      </c>
    </row>
    <row r="110" ht="15.75" spans="1:5">
      <c r="A110" s="33">
        <v>3045833.438</v>
      </c>
      <c r="B110" s="33">
        <v>401067.686</v>
      </c>
      <c r="C110" s="33">
        <v>614.4</v>
      </c>
      <c r="D110" s="11">
        <v>45368</v>
      </c>
      <c r="E110" s="44">
        <v>616.7</v>
      </c>
    </row>
    <row r="111" ht="15.75" spans="1:5">
      <c r="A111" s="33">
        <v>3045833.438</v>
      </c>
      <c r="B111" s="33">
        <v>401067.686</v>
      </c>
      <c r="C111" s="33">
        <v>614.4</v>
      </c>
      <c r="D111" s="11">
        <v>45369</v>
      </c>
      <c r="E111" s="44">
        <v>616.7</v>
      </c>
    </row>
    <row r="112" ht="15.75" spans="1:5">
      <c r="A112" s="33">
        <v>3045833.438</v>
      </c>
      <c r="B112" s="33">
        <v>401067.686</v>
      </c>
      <c r="C112" s="33">
        <v>614.4</v>
      </c>
      <c r="D112" s="11">
        <v>45370</v>
      </c>
      <c r="E112" s="44">
        <v>616.7</v>
      </c>
    </row>
    <row r="113" ht="15.75" spans="1:5">
      <c r="A113" s="33">
        <v>3045833.438</v>
      </c>
      <c r="B113" s="33">
        <v>401067.686</v>
      </c>
      <c r="C113" s="33">
        <v>614.4</v>
      </c>
      <c r="D113" s="11">
        <v>45371</v>
      </c>
      <c r="E113" s="44">
        <v>616.7</v>
      </c>
    </row>
    <row r="114" ht="15.75" spans="1:5">
      <c r="A114" s="33">
        <v>3045833.438</v>
      </c>
      <c r="B114" s="33">
        <v>401067.686</v>
      </c>
      <c r="C114" s="33">
        <v>614.4</v>
      </c>
      <c r="D114" s="11">
        <v>45372</v>
      </c>
      <c r="E114" s="44">
        <v>616.7</v>
      </c>
    </row>
    <row r="115" ht="15.75" spans="1:5">
      <c r="A115" s="33">
        <v>3045833.438</v>
      </c>
      <c r="B115" s="33">
        <v>401067.686</v>
      </c>
      <c r="C115" s="33">
        <v>614.4</v>
      </c>
      <c r="D115" s="11">
        <v>45373</v>
      </c>
      <c r="E115" s="44">
        <v>616.7</v>
      </c>
    </row>
    <row r="116" ht="15.75" spans="1:5">
      <c r="A116" s="33">
        <v>3045833.438</v>
      </c>
      <c r="B116" s="33">
        <v>401067.686</v>
      </c>
      <c r="C116" s="33">
        <v>614.4</v>
      </c>
      <c r="D116" s="11">
        <v>45374</v>
      </c>
      <c r="E116" s="44">
        <v>616.7</v>
      </c>
    </row>
    <row r="117" ht="15.75" spans="1:5">
      <c r="A117" s="33">
        <v>3045833.438</v>
      </c>
      <c r="B117" s="33">
        <v>401067.686</v>
      </c>
      <c r="C117" s="33">
        <v>614.4</v>
      </c>
      <c r="D117" s="11">
        <v>45375</v>
      </c>
      <c r="E117" s="44">
        <v>616.7</v>
      </c>
    </row>
    <row r="118" ht="15.75" spans="1:5">
      <c r="A118" s="33">
        <v>3045833.438</v>
      </c>
      <c r="B118" s="33">
        <v>401067.686</v>
      </c>
      <c r="C118" s="33">
        <v>614.4</v>
      </c>
      <c r="D118" s="11">
        <v>45376</v>
      </c>
      <c r="E118" s="44">
        <v>616.7</v>
      </c>
    </row>
    <row r="119" ht="15.75" spans="1:5">
      <c r="A119" s="33">
        <v>3045833.438</v>
      </c>
      <c r="B119" s="33">
        <v>401067.686</v>
      </c>
      <c r="C119" s="33">
        <v>614.4</v>
      </c>
      <c r="D119" s="11">
        <v>45377</v>
      </c>
      <c r="E119" s="44">
        <v>616.7</v>
      </c>
    </row>
    <row r="120" ht="15.75" spans="1:5">
      <c r="A120" s="33">
        <v>3045833.438</v>
      </c>
      <c r="B120" s="33">
        <v>401067.686</v>
      </c>
      <c r="C120" s="33">
        <v>614.4</v>
      </c>
      <c r="D120" s="11">
        <v>45378</v>
      </c>
      <c r="E120" s="44">
        <v>616.7</v>
      </c>
    </row>
    <row r="121" ht="15.75" spans="1:5">
      <c r="A121" s="33">
        <v>3045833.438</v>
      </c>
      <c r="B121" s="33">
        <v>401067.686</v>
      </c>
      <c r="C121" s="33">
        <v>614.4</v>
      </c>
      <c r="D121" s="11">
        <v>45379</v>
      </c>
      <c r="E121" s="44">
        <v>616.7</v>
      </c>
    </row>
    <row r="122" ht="15.75" spans="1:5">
      <c r="A122" s="33">
        <v>3045833.438</v>
      </c>
      <c r="B122" s="33">
        <v>401067.686</v>
      </c>
      <c r="C122" s="33">
        <v>614.4</v>
      </c>
      <c r="D122" s="11">
        <v>45380</v>
      </c>
      <c r="E122" s="44">
        <v>616.7</v>
      </c>
    </row>
    <row r="123" ht="15.75" spans="1:5">
      <c r="A123" s="33">
        <v>3045833.438</v>
      </c>
      <c r="B123" s="33">
        <v>401067.686</v>
      </c>
      <c r="C123" s="33">
        <v>614.4</v>
      </c>
      <c r="D123" s="11">
        <v>45381</v>
      </c>
      <c r="E123" s="44">
        <v>616.7</v>
      </c>
    </row>
    <row r="124" ht="15.75" spans="1:5">
      <c r="A124" s="33">
        <v>3045833.438</v>
      </c>
      <c r="B124" s="33">
        <v>401067.686</v>
      </c>
      <c r="C124" s="33">
        <v>614.4</v>
      </c>
      <c r="D124" s="11">
        <v>45382</v>
      </c>
      <c r="E124" s="44">
        <v>616.7</v>
      </c>
    </row>
    <row r="125" ht="15.75" spans="1:5">
      <c r="A125" s="33">
        <v>3045833.438</v>
      </c>
      <c r="B125" s="33">
        <v>401067.686</v>
      </c>
      <c r="C125" s="33">
        <v>614.4</v>
      </c>
      <c r="D125" s="11">
        <v>45383</v>
      </c>
      <c r="E125" s="44">
        <v>616.7</v>
      </c>
    </row>
    <row r="126" ht="15.75" spans="1:5">
      <c r="A126" s="33">
        <v>3045833.438</v>
      </c>
      <c r="B126" s="33">
        <v>401067.686</v>
      </c>
      <c r="C126" s="33">
        <v>614.4</v>
      </c>
      <c r="D126" s="11">
        <v>45384</v>
      </c>
      <c r="E126" s="44">
        <v>616.7</v>
      </c>
    </row>
    <row r="127" ht="15.75" spans="1:5">
      <c r="A127" s="33">
        <v>3045833.438</v>
      </c>
      <c r="B127" s="33">
        <v>401067.686</v>
      </c>
      <c r="C127" s="33">
        <v>614.4</v>
      </c>
      <c r="D127" s="11">
        <v>45385</v>
      </c>
      <c r="E127" s="44"/>
    </row>
    <row r="128" ht="15.75" spans="1:5">
      <c r="A128" s="33">
        <v>3045833.438</v>
      </c>
      <c r="B128" s="33">
        <v>401067.686</v>
      </c>
      <c r="C128" s="33">
        <v>614.4</v>
      </c>
      <c r="D128" s="11">
        <v>45386</v>
      </c>
      <c r="E128" s="44"/>
    </row>
    <row r="129" ht="15.75" spans="1:5">
      <c r="A129" s="33">
        <v>3045833.438</v>
      </c>
      <c r="B129" s="33">
        <v>401067.686</v>
      </c>
      <c r="C129" s="33">
        <v>614.4</v>
      </c>
      <c r="D129" s="11">
        <v>45387</v>
      </c>
      <c r="E129" s="44"/>
    </row>
    <row r="130" ht="15.75" spans="1:5">
      <c r="A130" s="33">
        <v>3045833.438</v>
      </c>
      <c r="B130" s="33">
        <v>401067.686</v>
      </c>
      <c r="C130" s="33">
        <v>614.4</v>
      </c>
      <c r="D130" s="11">
        <v>45388</v>
      </c>
      <c r="E130" s="44"/>
    </row>
    <row r="131" ht="15.75" spans="1:5">
      <c r="A131" s="33">
        <v>3045833.438</v>
      </c>
      <c r="B131" s="33">
        <v>401067.686</v>
      </c>
      <c r="C131" s="33">
        <v>614.4</v>
      </c>
      <c r="D131" s="11">
        <v>45389</v>
      </c>
      <c r="E131" s="44"/>
    </row>
    <row r="132" ht="15.75" spans="1:5">
      <c r="A132" s="33">
        <v>3045833.438</v>
      </c>
      <c r="B132" s="33">
        <v>401067.686</v>
      </c>
      <c r="C132" s="33">
        <v>614.4</v>
      </c>
      <c r="D132" s="11">
        <v>45390</v>
      </c>
      <c r="E132" s="44"/>
    </row>
    <row r="133" ht="15.75" spans="1:5">
      <c r="A133" s="33">
        <v>3045833.438</v>
      </c>
      <c r="B133" s="33">
        <v>401067.686</v>
      </c>
      <c r="C133" s="33">
        <v>614.4</v>
      </c>
      <c r="D133" s="11">
        <v>45391</v>
      </c>
      <c r="E133" s="44"/>
    </row>
    <row r="134" ht="15.75" spans="1:5">
      <c r="A134" s="33">
        <v>3045833.438</v>
      </c>
      <c r="B134" s="33">
        <v>401067.686</v>
      </c>
      <c r="C134" s="33">
        <v>614.4</v>
      </c>
      <c r="D134" s="11">
        <v>45392</v>
      </c>
      <c r="E134" s="44"/>
    </row>
    <row r="135" ht="15.75" spans="1:5">
      <c r="A135" s="33">
        <v>3045833.438</v>
      </c>
      <c r="B135" s="33">
        <v>401067.686</v>
      </c>
      <c r="C135" s="33">
        <v>614.4</v>
      </c>
      <c r="D135" s="11">
        <v>45393</v>
      </c>
      <c r="E135" s="44"/>
    </row>
    <row r="136" ht="15.75" spans="1:5">
      <c r="A136" s="33">
        <v>3045833.438</v>
      </c>
      <c r="B136" s="33">
        <v>401067.686</v>
      </c>
      <c r="C136" s="33">
        <v>614.4</v>
      </c>
      <c r="D136" s="11">
        <v>45394</v>
      </c>
      <c r="E136" s="44"/>
    </row>
    <row r="137" ht="15.75" spans="1:5">
      <c r="A137" s="33">
        <v>3045833.438</v>
      </c>
      <c r="B137" s="33">
        <v>401067.686</v>
      </c>
      <c r="C137" s="33">
        <v>614.4</v>
      </c>
      <c r="D137" s="11">
        <v>45395</v>
      </c>
      <c r="E137" s="44"/>
    </row>
    <row r="138" ht="15.75" spans="1:5">
      <c r="A138" s="33">
        <v>3045833.438</v>
      </c>
      <c r="B138" s="33">
        <v>401067.686</v>
      </c>
      <c r="C138" s="33">
        <v>614.4</v>
      </c>
      <c r="D138" s="11">
        <v>45396</v>
      </c>
      <c r="E138" s="44"/>
    </row>
    <row r="139" ht="15.75" spans="1:5">
      <c r="A139" s="33">
        <v>3045833.438</v>
      </c>
      <c r="B139" s="33">
        <v>401067.686</v>
      </c>
      <c r="C139" s="33">
        <v>614.4</v>
      </c>
      <c r="D139" s="11">
        <v>45397</v>
      </c>
      <c r="E139" s="44"/>
    </row>
    <row r="140" ht="15.75" spans="1:5">
      <c r="A140" s="33">
        <v>3045833.438</v>
      </c>
      <c r="B140" s="33">
        <v>401067.686</v>
      </c>
      <c r="C140" s="33">
        <v>614.4</v>
      </c>
      <c r="D140" s="11">
        <v>45398</v>
      </c>
      <c r="E140" s="44"/>
    </row>
    <row r="141" ht="15.75" spans="1:5">
      <c r="A141" s="33">
        <v>3045833.438</v>
      </c>
      <c r="B141" s="33">
        <v>401067.686</v>
      </c>
      <c r="C141" s="33">
        <v>614.4</v>
      </c>
      <c r="D141" s="11">
        <v>45399</v>
      </c>
      <c r="E141" s="44"/>
    </row>
    <row r="142" ht="15.75" spans="1:5">
      <c r="A142" s="33">
        <v>3045833.438</v>
      </c>
      <c r="B142" s="33">
        <v>401067.686</v>
      </c>
      <c r="C142" s="33">
        <v>614.4</v>
      </c>
      <c r="D142" s="11">
        <v>45400</v>
      </c>
      <c r="E142" s="44"/>
    </row>
    <row r="143" ht="15.75" spans="1:5">
      <c r="A143" s="33">
        <v>3045833.438</v>
      </c>
      <c r="B143" s="33">
        <v>401067.686</v>
      </c>
      <c r="C143" s="33">
        <v>614.4</v>
      </c>
      <c r="D143" s="11">
        <v>45401</v>
      </c>
      <c r="E143" s="44">
        <v>616.7</v>
      </c>
    </row>
    <row r="144" ht="15.75" spans="1:5">
      <c r="A144" s="33">
        <v>3045833.438</v>
      </c>
      <c r="B144" s="33">
        <v>401067.686</v>
      </c>
      <c r="C144" s="33">
        <v>614.4</v>
      </c>
      <c r="D144" s="11">
        <v>45402</v>
      </c>
      <c r="E144" s="44"/>
    </row>
    <row r="145" ht="15.75" spans="1:5">
      <c r="A145" s="33">
        <v>3045833.438</v>
      </c>
      <c r="B145" s="33">
        <v>401067.686</v>
      </c>
      <c r="C145" s="33">
        <v>614.4</v>
      </c>
      <c r="D145" s="11">
        <v>45403</v>
      </c>
      <c r="E145" s="44"/>
    </row>
    <row r="146" ht="15.75" spans="1:5">
      <c r="A146" s="33">
        <v>3045833.438</v>
      </c>
      <c r="B146" s="33">
        <v>401067.686</v>
      </c>
      <c r="C146" s="33">
        <v>614.4</v>
      </c>
      <c r="D146" s="11">
        <v>45404</v>
      </c>
      <c r="E146" s="44"/>
    </row>
    <row r="147" ht="15.75" spans="1:5">
      <c r="A147" s="33">
        <v>3045833.438</v>
      </c>
      <c r="B147" s="33">
        <v>401067.686</v>
      </c>
      <c r="C147" s="33">
        <v>614.4</v>
      </c>
      <c r="D147" s="11">
        <v>45405</v>
      </c>
      <c r="E147" s="44"/>
    </row>
    <row r="148" ht="15.75" spans="1:5">
      <c r="A148" s="33">
        <v>3045833.438</v>
      </c>
      <c r="B148" s="33">
        <v>401067.686</v>
      </c>
      <c r="C148" s="33">
        <v>614.4</v>
      </c>
      <c r="D148" s="11">
        <v>45406</v>
      </c>
      <c r="E148" s="44"/>
    </row>
    <row r="149" ht="15.75" spans="1:5">
      <c r="A149" s="33">
        <v>3045833.438</v>
      </c>
      <c r="B149" s="33">
        <v>401067.686</v>
      </c>
      <c r="C149" s="33">
        <v>614.4</v>
      </c>
      <c r="D149" s="11">
        <v>45407</v>
      </c>
      <c r="E149" s="44"/>
    </row>
    <row r="150" ht="15.75" spans="1:5">
      <c r="A150" s="33">
        <v>3045833.438</v>
      </c>
      <c r="B150" s="33">
        <v>401067.686</v>
      </c>
      <c r="C150" s="33">
        <v>614.4</v>
      </c>
      <c r="D150" s="11">
        <v>45408</v>
      </c>
      <c r="E150" s="44"/>
    </row>
    <row r="151" ht="15.75" spans="1:5">
      <c r="A151" s="33">
        <v>3045833.438</v>
      </c>
      <c r="B151" s="33">
        <v>401067.686</v>
      </c>
      <c r="C151" s="33">
        <v>614.4</v>
      </c>
      <c r="D151" s="11">
        <v>45409</v>
      </c>
      <c r="E151" s="44">
        <v>616.7</v>
      </c>
    </row>
    <row r="152" ht="15.75" spans="1:5">
      <c r="A152" s="33">
        <v>3045833.438</v>
      </c>
      <c r="B152" s="33">
        <v>401067.686</v>
      </c>
      <c r="C152" s="33">
        <v>614.4</v>
      </c>
      <c r="D152" s="11">
        <v>45410</v>
      </c>
      <c r="E152" s="44"/>
    </row>
    <row r="153" ht="15.75" spans="1:5">
      <c r="A153" s="33">
        <v>3045833.438</v>
      </c>
      <c r="B153" s="33">
        <v>401067.686</v>
      </c>
      <c r="C153" s="33">
        <v>614.4</v>
      </c>
      <c r="D153" s="11">
        <v>45411</v>
      </c>
      <c r="E153" s="44"/>
    </row>
    <row r="154" ht="15.75" spans="1:5">
      <c r="A154" s="33">
        <v>3045833.438</v>
      </c>
      <c r="B154" s="33">
        <v>401067.686</v>
      </c>
      <c r="C154" s="33">
        <v>614.4</v>
      </c>
      <c r="D154" s="11">
        <v>45412</v>
      </c>
      <c r="E154" s="44"/>
    </row>
    <row r="155" ht="15.75" spans="1:5">
      <c r="A155" s="33">
        <v>3045833.438</v>
      </c>
      <c r="B155" s="33">
        <v>401067.686</v>
      </c>
      <c r="C155" s="33">
        <v>614.4</v>
      </c>
      <c r="D155" s="11">
        <v>45413</v>
      </c>
      <c r="E155" s="44"/>
    </row>
    <row r="156" ht="15.75" spans="1:5">
      <c r="A156" s="33">
        <v>3045833.438</v>
      </c>
      <c r="B156" s="33">
        <v>401067.686</v>
      </c>
      <c r="C156" s="33">
        <v>614.4</v>
      </c>
      <c r="D156" s="11">
        <v>45414</v>
      </c>
      <c r="E156" s="44"/>
    </row>
    <row r="157" ht="15.75" spans="1:5">
      <c r="A157" s="33">
        <v>3045833.438</v>
      </c>
      <c r="B157" s="33">
        <v>401067.686</v>
      </c>
      <c r="C157" s="33">
        <v>614.4</v>
      </c>
      <c r="D157" s="11">
        <v>45415</v>
      </c>
      <c r="E157" s="44"/>
    </row>
    <row r="158" ht="15.75" spans="1:5">
      <c r="A158" s="33">
        <v>3045833.438</v>
      </c>
      <c r="B158" s="33">
        <v>401067.686</v>
      </c>
      <c r="C158" s="33">
        <v>614.4</v>
      </c>
      <c r="D158" s="11">
        <v>45416</v>
      </c>
      <c r="E158" s="44"/>
    </row>
    <row r="159" ht="15.75" spans="1:5">
      <c r="A159" s="33">
        <v>3045833.438</v>
      </c>
      <c r="B159" s="33">
        <v>401067.686</v>
      </c>
      <c r="C159" s="33">
        <v>614.4</v>
      </c>
      <c r="D159" s="11">
        <v>45417</v>
      </c>
      <c r="E159" s="44"/>
    </row>
    <row r="160" ht="15.75" spans="1:5">
      <c r="A160" s="33">
        <v>3045833.438</v>
      </c>
      <c r="B160" s="33">
        <v>401067.686</v>
      </c>
      <c r="C160" s="33">
        <v>614.4</v>
      </c>
      <c r="D160" s="11">
        <v>45418</v>
      </c>
      <c r="E160" s="44">
        <v>616.7</v>
      </c>
    </row>
    <row r="161" ht="15.75" spans="1:5">
      <c r="A161" s="33">
        <v>3045833.438</v>
      </c>
      <c r="B161" s="33">
        <v>401067.686</v>
      </c>
      <c r="C161" s="33">
        <v>614.4</v>
      </c>
      <c r="D161" s="11">
        <v>45419</v>
      </c>
      <c r="E161" s="44"/>
    </row>
    <row r="162" ht="15.75" spans="1:5">
      <c r="A162" s="33">
        <v>3045833.438</v>
      </c>
      <c r="B162" s="33">
        <v>401067.686</v>
      </c>
      <c r="C162" s="33">
        <v>614.4</v>
      </c>
      <c r="D162" s="11">
        <v>45420</v>
      </c>
      <c r="E162" s="44"/>
    </row>
    <row r="163" ht="15.75" spans="1:5">
      <c r="A163" s="33">
        <v>3045833.438</v>
      </c>
      <c r="B163" s="33">
        <v>401067.686</v>
      </c>
      <c r="C163" s="33">
        <v>614.4</v>
      </c>
      <c r="D163" s="11">
        <v>45421</v>
      </c>
      <c r="E163" s="44"/>
    </row>
    <row r="164" ht="15.75" spans="1:5">
      <c r="A164" s="33">
        <v>3045833.438</v>
      </c>
      <c r="B164" s="33">
        <v>401067.686</v>
      </c>
      <c r="C164" s="33">
        <v>614.4</v>
      </c>
      <c r="D164" s="11">
        <v>45422</v>
      </c>
      <c r="E164" s="44"/>
    </row>
    <row r="165" ht="15.75" spans="1:5">
      <c r="A165" s="33">
        <v>3045833.438</v>
      </c>
      <c r="B165" s="33">
        <v>401067.686</v>
      </c>
      <c r="C165" s="33">
        <v>614.4</v>
      </c>
      <c r="D165" s="11">
        <v>45423</v>
      </c>
      <c r="E165" s="44"/>
    </row>
  </sheetData>
  <mergeCells count="1">
    <mergeCell ref="A1:C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"/>
  <sheetViews>
    <sheetView workbookViewId="0">
      <selection activeCell="A1" sqref="$A1:$XFD2"/>
    </sheetView>
  </sheetViews>
  <sheetFormatPr defaultColWidth="9" defaultRowHeight="14.25" outlineLevelCol="5"/>
  <cols>
    <col min="1" max="1" width="17.375" style="65" customWidth="1"/>
    <col min="2" max="2" width="12.625" style="65" customWidth="1"/>
    <col min="3" max="3" width="19.25" style="35" customWidth="1"/>
    <col min="4" max="4" width="17.25" style="35" customWidth="1"/>
    <col min="5" max="5" width="9" style="35"/>
    <col min="6" max="6" width="26" style="35" customWidth="1"/>
    <col min="7" max="16384" width="9" style="35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3" t="s">
        <v>2</v>
      </c>
      <c r="B2" s="3" t="s">
        <v>3</v>
      </c>
      <c r="C2" s="1" t="s">
        <v>4</v>
      </c>
      <c r="D2" s="1" t="s">
        <v>5</v>
      </c>
      <c r="E2" s="4" t="s">
        <v>6</v>
      </c>
    </row>
    <row r="3" ht="15.75" spans="1:6">
      <c r="A3" s="66">
        <v>3045462.956</v>
      </c>
      <c r="B3" s="66">
        <v>35400647.754</v>
      </c>
      <c r="C3" s="66">
        <v>907.053</v>
      </c>
      <c r="D3" s="11">
        <v>45105</v>
      </c>
      <c r="E3" s="67">
        <f>670-30</f>
        <v>640</v>
      </c>
      <c r="F3" t="s">
        <v>3062</v>
      </c>
    </row>
    <row r="4" ht="15.75" spans="1:5">
      <c r="A4" s="66">
        <v>3045462.956</v>
      </c>
      <c r="B4" s="66">
        <v>35400647.754</v>
      </c>
      <c r="C4" s="66">
        <v>907.053</v>
      </c>
      <c r="D4" s="11">
        <v>45106</v>
      </c>
      <c r="E4" s="68"/>
    </row>
    <row r="5" ht="15.75" spans="1:5">
      <c r="A5" s="66">
        <v>3045462.956</v>
      </c>
      <c r="B5" s="66">
        <v>35400647.754</v>
      </c>
      <c r="C5" s="66">
        <v>907.053</v>
      </c>
      <c r="D5" s="11">
        <v>45107</v>
      </c>
      <c r="E5" s="68"/>
    </row>
    <row r="6" ht="15.75" spans="1:5">
      <c r="A6" s="66">
        <v>3045462.956</v>
      </c>
      <c r="B6" s="66">
        <v>35400647.754</v>
      </c>
      <c r="C6" s="66">
        <v>907.053</v>
      </c>
      <c r="D6" s="11">
        <v>45108</v>
      </c>
      <c r="E6" s="68"/>
    </row>
    <row r="7" ht="15.75" spans="1:5">
      <c r="A7" s="66">
        <v>3045462.956</v>
      </c>
      <c r="B7" s="66">
        <v>35400647.754</v>
      </c>
      <c r="C7" s="66">
        <v>907.053</v>
      </c>
      <c r="D7" s="11">
        <v>45109</v>
      </c>
      <c r="E7" s="68"/>
    </row>
    <row r="8" ht="15.75" spans="1:5">
      <c r="A8" s="66">
        <v>3045462.956</v>
      </c>
      <c r="B8" s="66">
        <v>35400647.754</v>
      </c>
      <c r="C8" s="66">
        <v>907.053</v>
      </c>
      <c r="D8" s="11">
        <v>45110</v>
      </c>
      <c r="E8" s="68"/>
    </row>
    <row r="9" ht="15.75" spans="1:5">
      <c r="A9" s="66">
        <v>3045462.956</v>
      </c>
      <c r="B9" s="66">
        <v>35400647.754</v>
      </c>
      <c r="C9" s="66">
        <v>907.053</v>
      </c>
      <c r="D9" s="11">
        <v>45111</v>
      </c>
      <c r="E9" s="68"/>
    </row>
    <row r="10" ht="15.75" spans="1:5">
      <c r="A10" s="66">
        <v>3045462.956</v>
      </c>
      <c r="B10" s="66">
        <v>35400647.754</v>
      </c>
      <c r="C10" s="66">
        <v>907.053</v>
      </c>
      <c r="D10" s="11">
        <v>45112</v>
      </c>
      <c r="E10" s="67">
        <f>670-31.22</f>
        <v>638.78</v>
      </c>
    </row>
    <row r="11" ht="15.75" spans="1:5">
      <c r="A11" s="66">
        <v>3045462.956</v>
      </c>
      <c r="B11" s="66">
        <v>35400647.754</v>
      </c>
      <c r="C11" s="66">
        <v>907.053</v>
      </c>
      <c r="D11" s="11">
        <v>45113</v>
      </c>
      <c r="E11" s="68"/>
    </row>
    <row r="12" ht="15.75" spans="1:5">
      <c r="A12" s="66">
        <v>3045462.956</v>
      </c>
      <c r="B12" s="66">
        <v>35400647.754</v>
      </c>
      <c r="C12" s="66">
        <v>907.053</v>
      </c>
      <c r="D12" s="11">
        <v>45114</v>
      </c>
      <c r="E12" s="68"/>
    </row>
    <row r="13" ht="15.75" spans="1:5">
      <c r="A13" s="66">
        <v>3045462.956</v>
      </c>
      <c r="B13" s="66">
        <v>35400647.754</v>
      </c>
      <c r="C13" s="66">
        <v>907.053</v>
      </c>
      <c r="D13" s="11">
        <v>45115</v>
      </c>
      <c r="E13" s="68"/>
    </row>
    <row r="14" ht="15.75" spans="1:5">
      <c r="A14" s="66">
        <v>3045462.956</v>
      </c>
      <c r="B14" s="66">
        <v>35400647.754</v>
      </c>
      <c r="C14" s="66">
        <v>907.053</v>
      </c>
      <c r="D14" s="11">
        <v>45116</v>
      </c>
      <c r="E14" s="68"/>
    </row>
    <row r="15" ht="15.75" spans="1:5">
      <c r="A15" s="66">
        <v>3045462.956</v>
      </c>
      <c r="B15" s="66">
        <v>35400647.754</v>
      </c>
      <c r="C15" s="66">
        <v>907.053</v>
      </c>
      <c r="D15" s="11">
        <v>45117</v>
      </c>
      <c r="E15" s="67">
        <f>670-31.78</f>
        <v>638.22</v>
      </c>
    </row>
    <row r="16" ht="15.75" spans="1:5">
      <c r="A16" s="66">
        <v>3045462.956</v>
      </c>
      <c r="B16" s="66">
        <v>35400647.754</v>
      </c>
      <c r="C16" s="66">
        <v>907.053</v>
      </c>
      <c r="D16" s="11">
        <v>45118</v>
      </c>
      <c r="E16" s="68"/>
    </row>
    <row r="17" ht="15.75" spans="1:5">
      <c r="A17" s="66">
        <v>3045462.956</v>
      </c>
      <c r="B17" s="66">
        <v>35400647.754</v>
      </c>
      <c r="C17" s="66">
        <v>907.053</v>
      </c>
      <c r="D17" s="11">
        <v>45119</v>
      </c>
      <c r="E17" s="68"/>
    </row>
    <row r="18" ht="15.75" spans="1:5">
      <c r="A18" s="66">
        <v>3045462.956</v>
      </c>
      <c r="B18" s="66">
        <v>35400647.754</v>
      </c>
      <c r="C18" s="66">
        <v>907.053</v>
      </c>
      <c r="D18" s="11">
        <v>45120</v>
      </c>
      <c r="E18" s="68"/>
    </row>
    <row r="19" ht="15.75" spans="1:5">
      <c r="A19" s="66">
        <v>3045462.956</v>
      </c>
      <c r="B19" s="66">
        <v>35400647.754</v>
      </c>
      <c r="C19" s="66">
        <v>907.053</v>
      </c>
      <c r="D19" s="11">
        <v>45121</v>
      </c>
      <c r="E19" s="68"/>
    </row>
    <row r="20" ht="15.75" spans="1:5">
      <c r="A20" s="66">
        <v>3045462.956</v>
      </c>
      <c r="B20" s="66">
        <v>35400647.754</v>
      </c>
      <c r="C20" s="66">
        <v>907.053</v>
      </c>
      <c r="D20" s="11">
        <v>45122</v>
      </c>
      <c r="E20" s="67">
        <f>670-32.53</f>
        <v>637.47</v>
      </c>
    </row>
    <row r="21" ht="15.75" spans="1:5">
      <c r="A21" s="66">
        <v>3045462.956</v>
      </c>
      <c r="B21" s="66">
        <v>35400647.754</v>
      </c>
      <c r="C21" s="66">
        <v>907.053</v>
      </c>
      <c r="D21" s="11">
        <v>45123</v>
      </c>
      <c r="E21" s="68"/>
    </row>
    <row r="22" ht="15.75" spans="1:5">
      <c r="A22" s="66">
        <v>3045462.956</v>
      </c>
      <c r="B22" s="66">
        <v>35400647.754</v>
      </c>
      <c r="C22" s="66">
        <v>907.053</v>
      </c>
      <c r="D22" s="11">
        <v>45124</v>
      </c>
      <c r="E22" s="68"/>
    </row>
    <row r="23" ht="15.75" spans="1:5">
      <c r="A23" s="66">
        <v>3045462.956</v>
      </c>
      <c r="B23" s="66">
        <v>35400647.754</v>
      </c>
      <c r="C23" s="66">
        <v>907.053</v>
      </c>
      <c r="D23" s="11">
        <v>45125</v>
      </c>
      <c r="E23" s="68"/>
    </row>
    <row r="24" ht="15.75" spans="1:5">
      <c r="A24" s="66">
        <v>3045462.956</v>
      </c>
      <c r="B24" s="66">
        <v>35400647.754</v>
      </c>
      <c r="C24" s="66">
        <v>907.053</v>
      </c>
      <c r="D24" s="11">
        <v>45126</v>
      </c>
      <c r="E24" s="68"/>
    </row>
    <row r="25" ht="15.75" spans="1:5">
      <c r="A25" s="66">
        <v>3045462.956</v>
      </c>
      <c r="B25" s="66">
        <v>35400647.754</v>
      </c>
      <c r="C25" s="66">
        <v>907.053</v>
      </c>
      <c r="D25" s="11">
        <v>45127</v>
      </c>
      <c r="E25" s="67">
        <f>670-33.12</f>
        <v>636.88</v>
      </c>
    </row>
    <row r="26" ht="15.75" spans="1:5">
      <c r="A26" s="66">
        <v>3045462.956</v>
      </c>
      <c r="B26" s="66">
        <v>35400647.754</v>
      </c>
      <c r="C26" s="66">
        <v>907.053</v>
      </c>
      <c r="D26" s="11">
        <v>45128</v>
      </c>
      <c r="E26" s="68"/>
    </row>
    <row r="27" ht="15.75" spans="1:5">
      <c r="A27" s="66">
        <v>3045462.956</v>
      </c>
      <c r="B27" s="66">
        <v>35400647.754</v>
      </c>
      <c r="C27" s="66">
        <v>907.053</v>
      </c>
      <c r="D27" s="11">
        <v>45129</v>
      </c>
      <c r="E27" s="68"/>
    </row>
    <row r="28" ht="15.75" spans="1:5">
      <c r="A28" s="66">
        <v>3045462.956</v>
      </c>
      <c r="B28" s="66">
        <v>35400647.754</v>
      </c>
      <c r="C28" s="66">
        <v>907.053</v>
      </c>
      <c r="D28" s="11">
        <v>45130</v>
      </c>
      <c r="E28" s="68"/>
    </row>
    <row r="29" ht="15.75" spans="1:5">
      <c r="A29" s="66">
        <v>3045462.956</v>
      </c>
      <c r="B29" s="66">
        <v>35400647.754</v>
      </c>
      <c r="C29" s="66">
        <v>907.053</v>
      </c>
      <c r="D29" s="11">
        <v>45131</v>
      </c>
      <c r="E29" s="68"/>
    </row>
    <row r="30" ht="15.75" spans="1:5">
      <c r="A30" s="66">
        <v>3045462.956</v>
      </c>
      <c r="B30" s="66">
        <v>35400647.754</v>
      </c>
      <c r="C30" s="66">
        <v>907.053</v>
      </c>
      <c r="D30" s="11">
        <v>45132</v>
      </c>
      <c r="E30" s="67">
        <f>670-34</f>
        <v>636</v>
      </c>
    </row>
    <row r="31" ht="15.75" spans="1:5">
      <c r="A31" s="66">
        <v>3045462.956</v>
      </c>
      <c r="B31" s="66">
        <v>35400647.754</v>
      </c>
      <c r="C31" s="66">
        <v>907.053</v>
      </c>
      <c r="D31" s="11">
        <v>45133</v>
      </c>
      <c r="E31" s="68"/>
    </row>
    <row r="32" ht="15.75" spans="1:5">
      <c r="A32" s="66">
        <v>3045462.956</v>
      </c>
      <c r="B32" s="66">
        <v>35400647.754</v>
      </c>
      <c r="C32" s="66">
        <v>907.053</v>
      </c>
      <c r="D32" s="11">
        <v>45134</v>
      </c>
      <c r="E32" s="68"/>
    </row>
    <row r="33" ht="15.75" spans="1:5">
      <c r="A33" s="66">
        <v>3045462.956</v>
      </c>
      <c r="B33" s="66">
        <v>35400647.754</v>
      </c>
      <c r="C33" s="66">
        <v>907.053</v>
      </c>
      <c r="D33" s="11">
        <v>45135</v>
      </c>
      <c r="E33" s="68"/>
    </row>
    <row r="34" ht="15.75" spans="1:5">
      <c r="A34" s="66">
        <v>3045462.956</v>
      </c>
      <c r="B34" s="66">
        <v>35400647.754</v>
      </c>
      <c r="C34" s="66">
        <v>907.053</v>
      </c>
      <c r="D34" s="11">
        <v>45136</v>
      </c>
      <c r="E34" s="68"/>
    </row>
    <row r="35" ht="15.75" spans="1:5">
      <c r="A35" s="66">
        <v>3045462.956</v>
      </c>
      <c r="B35" s="66">
        <v>35400647.754</v>
      </c>
      <c r="C35" s="66">
        <v>907.053</v>
      </c>
      <c r="D35" s="11">
        <v>45137</v>
      </c>
      <c r="E35" s="68"/>
    </row>
    <row r="36" ht="15.75" spans="1:5">
      <c r="A36" s="66">
        <v>3045462.956</v>
      </c>
      <c r="B36" s="66">
        <v>35400647.754</v>
      </c>
      <c r="C36" s="66">
        <v>907.053</v>
      </c>
      <c r="D36" s="11">
        <v>45138</v>
      </c>
      <c r="E36" s="68"/>
    </row>
    <row r="37" ht="15.75" spans="1:5">
      <c r="A37" s="66">
        <v>3045462.956</v>
      </c>
      <c r="B37" s="66">
        <v>35400647.754</v>
      </c>
      <c r="C37" s="66">
        <v>907.053</v>
      </c>
      <c r="D37" s="11">
        <v>45139</v>
      </c>
      <c r="E37" s="68"/>
    </row>
    <row r="38" ht="15.75" spans="1:5">
      <c r="A38" s="66">
        <v>3045462.956</v>
      </c>
      <c r="B38" s="66">
        <v>35400647.754</v>
      </c>
      <c r="C38" s="66">
        <v>907.053</v>
      </c>
      <c r="D38" s="11">
        <v>45140</v>
      </c>
      <c r="E38" s="67">
        <f>670-34.75</f>
        <v>635.25</v>
      </c>
    </row>
    <row r="39" ht="15.75" spans="1:5">
      <c r="A39" s="66">
        <v>3045462.956</v>
      </c>
      <c r="B39" s="66">
        <v>35400647.754</v>
      </c>
      <c r="C39" s="66">
        <v>907.053</v>
      </c>
      <c r="D39" s="11">
        <v>45141</v>
      </c>
      <c r="E39" s="68"/>
    </row>
    <row r="40" ht="15.75" spans="1:5">
      <c r="A40" s="66">
        <v>3045462.956</v>
      </c>
      <c r="B40" s="66">
        <v>35400647.754</v>
      </c>
      <c r="C40" s="66">
        <v>907.053</v>
      </c>
      <c r="D40" s="11">
        <v>45142</v>
      </c>
      <c r="E40" s="67"/>
    </row>
    <row r="41" ht="15.75" spans="1:5">
      <c r="A41" s="66">
        <v>3045462.956</v>
      </c>
      <c r="B41" s="66">
        <v>35400647.754</v>
      </c>
      <c r="C41" s="66">
        <v>907.053</v>
      </c>
      <c r="D41" s="11">
        <v>45143</v>
      </c>
      <c r="E41" s="67"/>
    </row>
    <row r="42" ht="15.75" spans="1:5">
      <c r="A42" s="66">
        <v>3045462.956</v>
      </c>
      <c r="B42" s="66">
        <v>35400647.754</v>
      </c>
      <c r="C42" s="66">
        <v>907.053</v>
      </c>
      <c r="D42" s="11">
        <v>45144</v>
      </c>
      <c r="E42" s="67"/>
    </row>
    <row r="43" ht="15.75" spans="1:5">
      <c r="A43" s="66">
        <v>3045462.956</v>
      </c>
      <c r="B43" s="66">
        <v>35400647.754</v>
      </c>
      <c r="C43" s="66">
        <v>907.053</v>
      </c>
      <c r="D43" s="11">
        <v>45145</v>
      </c>
      <c r="E43" s="67"/>
    </row>
    <row r="44" ht="15.75" spans="1:5">
      <c r="A44" s="66">
        <v>3045462.956</v>
      </c>
      <c r="B44" s="66">
        <v>35400647.754</v>
      </c>
      <c r="C44" s="66">
        <v>907.053</v>
      </c>
      <c r="D44" s="11">
        <v>45146</v>
      </c>
      <c r="E44" s="67"/>
    </row>
    <row r="45" ht="15.75" spans="1:5">
      <c r="A45" s="66">
        <v>3045462.956</v>
      </c>
      <c r="B45" s="66">
        <v>35400647.754</v>
      </c>
      <c r="C45" s="66">
        <v>907.053</v>
      </c>
      <c r="D45" s="11">
        <v>45147</v>
      </c>
      <c r="E45" s="67">
        <f>670-34.25</f>
        <v>635.75</v>
      </c>
    </row>
    <row r="46" ht="15.75" spans="1:5">
      <c r="A46" s="66">
        <v>3045462.956</v>
      </c>
      <c r="B46" s="66">
        <v>35400647.754</v>
      </c>
      <c r="C46" s="66">
        <v>907.053</v>
      </c>
      <c r="D46" s="11">
        <v>45148</v>
      </c>
      <c r="E46" s="67"/>
    </row>
    <row r="47" ht="15.75" spans="1:5">
      <c r="A47" s="66">
        <v>3045462.956</v>
      </c>
      <c r="B47" s="66">
        <v>35400647.754</v>
      </c>
      <c r="C47" s="66">
        <v>907.053</v>
      </c>
      <c r="D47" s="11">
        <v>45149</v>
      </c>
      <c r="E47" s="67"/>
    </row>
    <row r="48" ht="15.75" spans="1:5">
      <c r="A48" s="66">
        <v>3045462.956</v>
      </c>
      <c r="B48" s="66">
        <v>35400647.754</v>
      </c>
      <c r="C48" s="66">
        <v>907.053</v>
      </c>
      <c r="D48" s="11">
        <v>45150</v>
      </c>
      <c r="E48" s="67"/>
    </row>
    <row r="49" ht="15.75" spans="1:5">
      <c r="A49" s="66">
        <v>3045462.956</v>
      </c>
      <c r="B49" s="66">
        <v>35400647.754</v>
      </c>
      <c r="C49" s="66">
        <v>907.053</v>
      </c>
      <c r="D49" s="11">
        <v>45151</v>
      </c>
      <c r="E49" s="67"/>
    </row>
    <row r="50" ht="15.75" spans="1:5">
      <c r="A50" s="66">
        <v>3045462.956</v>
      </c>
      <c r="B50" s="66">
        <v>35400647.754</v>
      </c>
      <c r="C50" s="66">
        <v>907.053</v>
      </c>
      <c r="D50" s="11">
        <v>45152</v>
      </c>
      <c r="E50" s="67"/>
    </row>
    <row r="51" ht="15.75" spans="1:5">
      <c r="A51" s="66">
        <v>3045462.956</v>
      </c>
      <c r="B51" s="66">
        <v>35400647.754</v>
      </c>
      <c r="C51" s="66">
        <v>907.053</v>
      </c>
      <c r="D51" s="11">
        <v>45153</v>
      </c>
      <c r="E51" s="68"/>
    </row>
    <row r="52" ht="15.75" spans="1:5">
      <c r="A52" s="66">
        <v>3045462.956</v>
      </c>
      <c r="B52" s="66">
        <v>35400647.754</v>
      </c>
      <c r="C52" s="66">
        <v>907.053</v>
      </c>
      <c r="D52" s="11">
        <v>45154</v>
      </c>
      <c r="E52" s="68"/>
    </row>
    <row r="53" ht="15.75" spans="1:5">
      <c r="A53" s="66">
        <v>3045462.956</v>
      </c>
      <c r="B53" s="66">
        <v>35400647.754</v>
      </c>
      <c r="C53" s="66">
        <v>907.053</v>
      </c>
      <c r="D53" s="11">
        <v>45155</v>
      </c>
      <c r="E53" s="67">
        <f>670-34.28</f>
        <v>635.72</v>
      </c>
    </row>
    <row r="54" ht="15.75" spans="1:5">
      <c r="A54" s="66">
        <v>3045462.956</v>
      </c>
      <c r="B54" s="66">
        <v>35400647.754</v>
      </c>
      <c r="C54" s="66">
        <v>907.053</v>
      </c>
      <c r="D54" s="11">
        <v>45156</v>
      </c>
      <c r="E54" s="67"/>
    </row>
    <row r="55" ht="15.75" spans="1:5">
      <c r="A55" s="66">
        <v>3045462.956</v>
      </c>
      <c r="B55" s="66">
        <v>35400647.754</v>
      </c>
      <c r="C55" s="66">
        <v>907.053</v>
      </c>
      <c r="D55" s="11">
        <v>45157</v>
      </c>
      <c r="E55" s="67"/>
    </row>
    <row r="56" ht="15.75" spans="1:5">
      <c r="A56" s="66">
        <v>3045462.956</v>
      </c>
      <c r="B56" s="66">
        <v>35400647.754</v>
      </c>
      <c r="C56" s="66">
        <v>907.053</v>
      </c>
      <c r="D56" s="11">
        <v>45158</v>
      </c>
      <c r="E56" s="67"/>
    </row>
    <row r="57" ht="15.75" spans="1:5">
      <c r="A57" s="66">
        <v>3045462.956</v>
      </c>
      <c r="B57" s="66">
        <v>35400647.754</v>
      </c>
      <c r="C57" s="66">
        <v>907.053</v>
      </c>
      <c r="D57" s="11">
        <v>45159</v>
      </c>
      <c r="E57" s="67">
        <f>670-34.53</f>
        <v>635.47</v>
      </c>
    </row>
    <row r="58" ht="15.75" spans="1:5">
      <c r="A58" s="66">
        <v>3045462.956</v>
      </c>
      <c r="B58" s="66">
        <v>35400647.754</v>
      </c>
      <c r="C58" s="66">
        <v>907.053</v>
      </c>
      <c r="D58" s="11">
        <v>45160</v>
      </c>
      <c r="E58" s="67"/>
    </row>
    <row r="59" ht="15.75" spans="1:5">
      <c r="A59" s="66">
        <v>3045462.956</v>
      </c>
      <c r="B59" s="66">
        <v>35400647.754</v>
      </c>
      <c r="C59" s="66">
        <v>907.053</v>
      </c>
      <c r="D59" s="11">
        <v>45161</v>
      </c>
      <c r="E59" s="67"/>
    </row>
    <row r="60" ht="15.75" spans="1:5">
      <c r="A60" s="66">
        <v>3045462.956</v>
      </c>
      <c r="B60" s="66">
        <v>35400647.754</v>
      </c>
      <c r="C60" s="66">
        <v>907.053</v>
      </c>
      <c r="D60" s="11">
        <v>45162</v>
      </c>
      <c r="E60" s="67"/>
    </row>
    <row r="61" ht="15.75" spans="1:5">
      <c r="A61" s="66">
        <v>3045462.956</v>
      </c>
      <c r="B61" s="66">
        <v>35400647.754</v>
      </c>
      <c r="C61" s="66">
        <v>907.053</v>
      </c>
      <c r="D61" s="11">
        <v>45163</v>
      </c>
      <c r="E61" s="67">
        <f>670-33.91</f>
        <v>636.09</v>
      </c>
    </row>
    <row r="62" ht="15.75" spans="1:5">
      <c r="A62" s="66">
        <v>3045462.956</v>
      </c>
      <c r="B62" s="66">
        <v>35400647.754</v>
      </c>
      <c r="C62" s="66">
        <v>907.053</v>
      </c>
      <c r="D62" s="11">
        <v>45164</v>
      </c>
      <c r="E62" s="68"/>
    </row>
    <row r="63" ht="15.75" spans="1:5">
      <c r="A63" s="66">
        <v>3045462.956</v>
      </c>
      <c r="B63" s="66">
        <v>35400647.754</v>
      </c>
      <c r="C63" s="66">
        <v>907.053</v>
      </c>
      <c r="D63" s="11">
        <v>45165</v>
      </c>
      <c r="E63" s="68"/>
    </row>
    <row r="64" ht="15.75" spans="1:5">
      <c r="A64" s="66">
        <v>3045462.956</v>
      </c>
      <c r="B64" s="66">
        <v>35400647.754</v>
      </c>
      <c r="C64" s="66">
        <v>907.053</v>
      </c>
      <c r="D64" s="11">
        <v>45166</v>
      </c>
      <c r="E64" s="68"/>
    </row>
    <row r="65" ht="15.75" spans="1:5">
      <c r="A65" s="66">
        <v>3045462.956</v>
      </c>
      <c r="B65" s="66">
        <v>35400647.754</v>
      </c>
      <c r="C65" s="66">
        <v>907.053</v>
      </c>
      <c r="D65" s="11">
        <v>45167</v>
      </c>
      <c r="E65" s="68"/>
    </row>
    <row r="66" ht="15.75" spans="1:5">
      <c r="A66" s="66">
        <v>3045462.956</v>
      </c>
      <c r="B66" s="66">
        <v>35400647.754</v>
      </c>
      <c r="C66" s="66">
        <v>907.053</v>
      </c>
      <c r="D66" s="11">
        <v>45168</v>
      </c>
      <c r="E66" s="68"/>
    </row>
    <row r="67" ht="15.75" spans="1:5">
      <c r="A67" s="66">
        <v>3045462.956</v>
      </c>
      <c r="B67" s="66">
        <v>35400647.754</v>
      </c>
      <c r="C67" s="66">
        <v>907.053</v>
      </c>
      <c r="D67" s="11">
        <v>45169</v>
      </c>
      <c r="E67" s="67"/>
    </row>
    <row r="68" ht="15.75" spans="1:5">
      <c r="A68" s="66">
        <v>3045462.956</v>
      </c>
      <c r="B68" s="66">
        <v>35400647.754</v>
      </c>
      <c r="C68" s="66">
        <v>907.053</v>
      </c>
      <c r="D68" s="11">
        <v>45170</v>
      </c>
      <c r="E68" s="67"/>
    </row>
    <row r="69" ht="15.75" spans="1:5">
      <c r="A69" s="66">
        <v>3045462.956</v>
      </c>
      <c r="B69" s="66">
        <v>35400647.754</v>
      </c>
      <c r="C69" s="66">
        <v>907.053</v>
      </c>
      <c r="D69" s="11">
        <v>45171</v>
      </c>
      <c r="E69" s="67"/>
    </row>
    <row r="70" ht="15.75" spans="1:5">
      <c r="A70" s="66">
        <v>3045462.956</v>
      </c>
      <c r="B70" s="66">
        <v>35400647.754</v>
      </c>
      <c r="C70" s="66">
        <v>907.053</v>
      </c>
      <c r="D70" s="11">
        <v>45172</v>
      </c>
      <c r="E70" s="67"/>
    </row>
    <row r="71" ht="15.75" spans="1:5">
      <c r="A71" s="66">
        <v>3045462.956</v>
      </c>
      <c r="B71" s="66">
        <v>35400647.754</v>
      </c>
      <c r="C71" s="66">
        <v>907.053</v>
      </c>
      <c r="D71" s="11">
        <v>45173</v>
      </c>
      <c r="E71" s="67"/>
    </row>
    <row r="72" ht="15.75" spans="1:5">
      <c r="A72" s="66">
        <v>3045462.956</v>
      </c>
      <c r="B72" s="66">
        <v>35400647.754</v>
      </c>
      <c r="C72" s="66">
        <v>907.053</v>
      </c>
      <c r="D72" s="11">
        <v>45174</v>
      </c>
      <c r="E72" s="67"/>
    </row>
    <row r="73" ht="15.75" spans="1:5">
      <c r="A73" s="66">
        <v>3045462.956</v>
      </c>
      <c r="B73" s="66">
        <v>35400647.754</v>
      </c>
      <c r="C73" s="66">
        <v>907.053</v>
      </c>
      <c r="D73" s="11">
        <v>45175</v>
      </c>
      <c r="E73" s="67"/>
    </row>
    <row r="74" ht="15.75" spans="1:5">
      <c r="A74" s="66">
        <v>3045462.956</v>
      </c>
      <c r="B74" s="66">
        <v>35400647.754</v>
      </c>
      <c r="C74" s="66">
        <v>907.053</v>
      </c>
      <c r="D74" s="11">
        <v>45176</v>
      </c>
      <c r="E74" s="67"/>
    </row>
    <row r="75" ht="15.75" spans="1:5">
      <c r="A75" s="66">
        <v>3045462.956</v>
      </c>
      <c r="B75" s="66">
        <v>35400647.754</v>
      </c>
      <c r="C75" s="66">
        <v>907.053</v>
      </c>
      <c r="D75" s="11">
        <v>45177</v>
      </c>
      <c r="E75" s="67"/>
    </row>
    <row r="76" ht="15.75" spans="1:5">
      <c r="A76" s="66">
        <v>3045462.956</v>
      </c>
      <c r="B76" s="66">
        <v>35400647.754</v>
      </c>
      <c r="C76" s="66">
        <v>907.053</v>
      </c>
      <c r="D76" s="11">
        <v>45178</v>
      </c>
      <c r="E76" s="67"/>
    </row>
    <row r="77" ht="15.75" spans="1:5">
      <c r="A77" s="66">
        <v>3045462.956</v>
      </c>
      <c r="B77" s="66">
        <v>35400647.754</v>
      </c>
      <c r="C77" s="66">
        <v>907.053</v>
      </c>
      <c r="D77" s="11">
        <v>45179</v>
      </c>
      <c r="E77" s="67"/>
    </row>
    <row r="78" ht="15.75" spans="1:5">
      <c r="A78" s="66">
        <v>3045462.956</v>
      </c>
      <c r="B78" s="66">
        <v>35400647.754</v>
      </c>
      <c r="C78" s="66">
        <v>907.053</v>
      </c>
      <c r="D78" s="11">
        <v>45180</v>
      </c>
      <c r="E78" s="67"/>
    </row>
    <row r="79" ht="15.75" spans="1:5">
      <c r="A79" s="66">
        <v>3045462.956</v>
      </c>
      <c r="B79" s="66">
        <v>35400647.754</v>
      </c>
      <c r="C79" s="66">
        <v>907.053</v>
      </c>
      <c r="D79" s="11">
        <v>45181</v>
      </c>
      <c r="E79" s="67"/>
    </row>
    <row r="80" ht="15.75" spans="1:5">
      <c r="A80" s="66">
        <v>3045462.956</v>
      </c>
      <c r="B80" s="66">
        <v>35400647.754</v>
      </c>
      <c r="C80" s="66">
        <v>907.053</v>
      </c>
      <c r="D80" s="11">
        <v>45182</v>
      </c>
      <c r="E80" s="67"/>
    </row>
    <row r="81" ht="15.75" spans="1:5">
      <c r="A81" s="66">
        <v>3045462.956</v>
      </c>
      <c r="B81" s="66">
        <v>35400647.754</v>
      </c>
      <c r="C81" s="66">
        <v>907.053</v>
      </c>
      <c r="D81" s="11">
        <v>45183</v>
      </c>
      <c r="E81" s="67">
        <f>670-35.68</f>
        <v>634.32</v>
      </c>
    </row>
    <row r="82" ht="15.75" spans="1:5">
      <c r="A82" s="66">
        <v>3045462.956</v>
      </c>
      <c r="B82" s="66">
        <v>35400647.754</v>
      </c>
      <c r="C82" s="66">
        <v>907.053</v>
      </c>
      <c r="D82" s="11">
        <v>45184</v>
      </c>
      <c r="E82" s="67"/>
    </row>
    <row r="83" ht="15.75" spans="1:5">
      <c r="A83" s="66">
        <v>3045462.956</v>
      </c>
      <c r="B83" s="66">
        <v>35400647.754</v>
      </c>
      <c r="C83" s="66">
        <v>907.053</v>
      </c>
      <c r="D83" s="11">
        <v>45185</v>
      </c>
      <c r="E83" s="67"/>
    </row>
    <row r="84" ht="15.75" spans="1:5">
      <c r="A84" s="66">
        <v>3045462.956</v>
      </c>
      <c r="B84" s="66">
        <v>35400647.754</v>
      </c>
      <c r="C84" s="66">
        <v>907.053</v>
      </c>
      <c r="D84" s="11">
        <v>45186</v>
      </c>
      <c r="E84" s="67"/>
    </row>
    <row r="85" ht="15.75" spans="1:5">
      <c r="A85" s="66">
        <v>3045462.956</v>
      </c>
      <c r="B85" s="66">
        <v>35400647.754</v>
      </c>
      <c r="C85" s="66">
        <v>907.053</v>
      </c>
      <c r="D85" s="11">
        <v>45187</v>
      </c>
      <c r="E85" s="67"/>
    </row>
    <row r="86" ht="15.75" spans="1:5">
      <c r="A86" s="66">
        <v>3045462.956</v>
      </c>
      <c r="B86" s="66">
        <v>35400647.754</v>
      </c>
      <c r="C86" s="66">
        <v>907.053</v>
      </c>
      <c r="D86" s="11">
        <v>45188</v>
      </c>
      <c r="E86" s="67"/>
    </row>
    <row r="87" ht="15.75" spans="1:5">
      <c r="A87" s="66">
        <v>3045462.956</v>
      </c>
      <c r="B87" s="66">
        <v>35400647.754</v>
      </c>
      <c r="C87" s="66">
        <v>907.053</v>
      </c>
      <c r="D87" s="11">
        <v>45189</v>
      </c>
      <c r="E87" s="67"/>
    </row>
    <row r="88" ht="15.75" spans="1:5">
      <c r="A88" s="66">
        <v>3045462.956</v>
      </c>
      <c r="B88" s="66">
        <v>35400647.754</v>
      </c>
      <c r="C88" s="66">
        <v>907.053</v>
      </c>
      <c r="D88" s="11">
        <v>45190</v>
      </c>
      <c r="E88" s="67">
        <f>670-34.85</f>
        <v>635.15</v>
      </c>
    </row>
    <row r="89" ht="15.75" spans="1:5">
      <c r="A89" s="66">
        <v>3045462.956</v>
      </c>
      <c r="B89" s="66">
        <v>35400647.754</v>
      </c>
      <c r="C89" s="66">
        <v>907.053</v>
      </c>
      <c r="D89" s="11">
        <v>45191</v>
      </c>
      <c r="E89" s="67"/>
    </row>
    <row r="90" ht="15.75" spans="1:5">
      <c r="A90" s="66">
        <v>3045462.956</v>
      </c>
      <c r="B90" s="66">
        <v>35400647.754</v>
      </c>
      <c r="C90" s="66">
        <v>907.053</v>
      </c>
      <c r="D90" s="11">
        <v>45192</v>
      </c>
      <c r="E90" s="67"/>
    </row>
    <row r="91" ht="15.75" spans="1:5">
      <c r="A91" s="66">
        <v>3045462.956</v>
      </c>
      <c r="B91" s="66">
        <v>35400647.754</v>
      </c>
      <c r="C91" s="66">
        <v>907.053</v>
      </c>
      <c r="D91" s="11">
        <v>45193</v>
      </c>
      <c r="E91" s="67"/>
    </row>
    <row r="92" ht="15.75" spans="1:5">
      <c r="A92" s="66">
        <v>3045462.956</v>
      </c>
      <c r="B92" s="66">
        <v>35400647.754</v>
      </c>
      <c r="C92" s="66">
        <v>907.053</v>
      </c>
      <c r="D92" s="11">
        <v>45194</v>
      </c>
      <c r="E92" s="67"/>
    </row>
    <row r="93" ht="15.75" spans="1:5">
      <c r="A93" s="66">
        <v>3045462.956</v>
      </c>
      <c r="B93" s="66">
        <v>35400647.754</v>
      </c>
      <c r="C93" s="66">
        <v>907.053</v>
      </c>
      <c r="D93" s="11">
        <v>45195</v>
      </c>
      <c r="E93" s="67"/>
    </row>
    <row r="94" ht="15.75" spans="1:5">
      <c r="A94" s="66">
        <v>3045462.956</v>
      </c>
      <c r="B94" s="66">
        <v>35400647.754</v>
      </c>
      <c r="C94" s="66">
        <v>907.053</v>
      </c>
      <c r="D94" s="11">
        <v>45196</v>
      </c>
      <c r="E94" s="67"/>
    </row>
    <row r="95" ht="15.75" spans="1:5">
      <c r="A95" s="66">
        <v>3045462.956</v>
      </c>
      <c r="B95" s="66">
        <v>35400647.754</v>
      </c>
      <c r="C95" s="66">
        <v>907.053</v>
      </c>
      <c r="D95" s="11">
        <v>45197</v>
      </c>
      <c r="E95" s="67">
        <f>670-34.76</f>
        <v>635.24</v>
      </c>
    </row>
    <row r="96" ht="15.75" spans="1:5">
      <c r="A96" s="66">
        <v>3045462.956</v>
      </c>
      <c r="B96" s="66">
        <v>35400647.754</v>
      </c>
      <c r="C96" s="66">
        <v>907.053</v>
      </c>
      <c r="D96" s="11">
        <v>45198</v>
      </c>
      <c r="E96" s="67"/>
    </row>
    <row r="97" ht="15.75" spans="1:5">
      <c r="A97" s="66">
        <v>3045462.956</v>
      </c>
      <c r="B97" s="66">
        <v>35400647.754</v>
      </c>
      <c r="C97" s="66">
        <v>907.053</v>
      </c>
      <c r="D97" s="11">
        <v>45199</v>
      </c>
      <c r="E97" s="67"/>
    </row>
    <row r="98" ht="15.75" spans="1:5">
      <c r="A98" s="66">
        <v>3045462.956</v>
      </c>
      <c r="B98" s="66">
        <v>35400647.754</v>
      </c>
      <c r="C98" s="66">
        <v>907.053</v>
      </c>
      <c r="D98" s="11">
        <v>45200</v>
      </c>
      <c r="E98" s="67"/>
    </row>
    <row r="99" ht="15.75" spans="1:5">
      <c r="A99" s="66">
        <v>3045462.956</v>
      </c>
      <c r="B99" s="66">
        <v>35400647.754</v>
      </c>
      <c r="C99" s="66">
        <v>907.053</v>
      </c>
      <c r="D99" s="11">
        <v>45201</v>
      </c>
      <c r="E99" s="67"/>
    </row>
    <row r="100" ht="15.75" spans="1:5">
      <c r="A100" s="66">
        <v>3045462.956</v>
      </c>
      <c r="B100" s="66">
        <v>35400647.754</v>
      </c>
      <c r="C100" s="66">
        <v>907.053</v>
      </c>
      <c r="D100" s="11">
        <v>45202</v>
      </c>
      <c r="E100" s="67"/>
    </row>
    <row r="101" ht="15.75" spans="1:5">
      <c r="A101" s="66">
        <v>3045462.956</v>
      </c>
      <c r="B101" s="66">
        <v>35400647.754</v>
      </c>
      <c r="C101" s="66">
        <v>907.053</v>
      </c>
      <c r="D101" s="11">
        <v>45203</v>
      </c>
      <c r="E101" s="67"/>
    </row>
    <row r="102" ht="15.75" spans="1:5">
      <c r="A102" s="66">
        <v>3045462.956</v>
      </c>
      <c r="B102" s="66">
        <v>35400647.754</v>
      </c>
      <c r="C102" s="66">
        <v>907.053</v>
      </c>
      <c r="D102" s="11">
        <v>45204</v>
      </c>
      <c r="E102" s="67">
        <f>670-35.14</f>
        <v>634.86</v>
      </c>
    </row>
    <row r="103" ht="15.75" spans="1:5">
      <c r="A103" s="66">
        <v>3045462.956</v>
      </c>
      <c r="B103" s="66">
        <v>35400647.754</v>
      </c>
      <c r="C103" s="66">
        <v>907.053</v>
      </c>
      <c r="D103" s="11">
        <v>45205</v>
      </c>
      <c r="E103" s="67"/>
    </row>
    <row r="104" ht="15.75" spans="1:5">
      <c r="A104" s="66">
        <v>3045462.956</v>
      </c>
      <c r="B104" s="66">
        <v>35400647.754</v>
      </c>
      <c r="C104" s="66">
        <v>907.053</v>
      </c>
      <c r="D104" s="11">
        <v>45206</v>
      </c>
      <c r="E104" s="67"/>
    </row>
    <row r="105" ht="15.75" spans="1:5">
      <c r="A105" s="66">
        <v>3045462.956</v>
      </c>
      <c r="B105" s="66">
        <v>35400647.754</v>
      </c>
      <c r="C105" s="66">
        <v>907.053</v>
      </c>
      <c r="D105" s="11">
        <v>45207</v>
      </c>
      <c r="E105" s="67"/>
    </row>
    <row r="106" ht="15.75" spans="1:5">
      <c r="A106" s="66">
        <v>3045462.956</v>
      </c>
      <c r="B106" s="66">
        <v>35400647.754</v>
      </c>
      <c r="C106" s="66">
        <v>907.053</v>
      </c>
      <c r="D106" s="11">
        <v>45208</v>
      </c>
      <c r="E106" s="67"/>
    </row>
    <row r="107" ht="15.75" spans="1:5">
      <c r="A107" s="66">
        <v>3045462.956</v>
      </c>
      <c r="B107" s="66">
        <v>35400647.754</v>
      </c>
      <c r="C107" s="66">
        <v>907.053</v>
      </c>
      <c r="D107" s="11">
        <v>45209</v>
      </c>
      <c r="E107" s="67"/>
    </row>
    <row r="108" ht="15.75" spans="1:5">
      <c r="A108" s="66">
        <v>3045462.956</v>
      </c>
      <c r="B108" s="66">
        <v>35400647.754</v>
      </c>
      <c r="C108" s="66">
        <v>907.053</v>
      </c>
      <c r="D108" s="11">
        <v>45210</v>
      </c>
      <c r="E108" s="67"/>
    </row>
    <row r="109" ht="15.75" spans="1:5">
      <c r="A109" s="66">
        <v>3045462.956</v>
      </c>
      <c r="B109" s="66">
        <v>35400647.754</v>
      </c>
      <c r="C109" s="66">
        <v>907.053</v>
      </c>
      <c r="D109" s="11">
        <v>45211</v>
      </c>
      <c r="E109" s="67">
        <f>670-37.33</f>
        <v>632.67</v>
      </c>
    </row>
    <row r="110" ht="15.75" spans="1:5">
      <c r="A110" s="66">
        <v>3045462.956</v>
      </c>
      <c r="B110" s="66">
        <v>35400647.754</v>
      </c>
      <c r="C110" s="66">
        <v>907.053</v>
      </c>
      <c r="D110" s="11">
        <v>45212</v>
      </c>
      <c r="E110" s="67"/>
    </row>
    <row r="111" ht="15.75" spans="1:5">
      <c r="A111" s="66">
        <v>3045462.956</v>
      </c>
      <c r="B111" s="66">
        <v>35400647.754</v>
      </c>
      <c r="C111" s="66">
        <v>907.053</v>
      </c>
      <c r="D111" s="11">
        <v>45213</v>
      </c>
      <c r="E111" s="67"/>
    </row>
    <row r="112" ht="15.75" spans="1:5">
      <c r="A112" s="66">
        <v>3045462.956</v>
      </c>
      <c r="B112" s="66">
        <v>35400647.754</v>
      </c>
      <c r="C112" s="66">
        <v>907.053</v>
      </c>
      <c r="D112" s="11">
        <v>45214</v>
      </c>
      <c r="E112" s="67"/>
    </row>
    <row r="113" ht="15.75" spans="1:5">
      <c r="A113" s="66">
        <v>3045462.956</v>
      </c>
      <c r="B113" s="66">
        <v>35400647.754</v>
      </c>
      <c r="C113" s="66">
        <v>907.053</v>
      </c>
      <c r="D113" s="11">
        <v>45215</v>
      </c>
      <c r="E113" s="67">
        <f>670-37.33</f>
        <v>632.67</v>
      </c>
    </row>
    <row r="114" ht="15.75" spans="1:5">
      <c r="A114" s="66">
        <v>3045462.956</v>
      </c>
      <c r="B114" s="66">
        <v>35400647.754</v>
      </c>
      <c r="C114" s="66">
        <v>907.053</v>
      </c>
      <c r="D114" s="11">
        <v>45216</v>
      </c>
      <c r="E114" s="67"/>
    </row>
    <row r="115" ht="15.75" spans="1:5">
      <c r="A115" s="66">
        <v>3045462.956</v>
      </c>
      <c r="B115" s="66">
        <v>35400647.754</v>
      </c>
      <c r="C115" s="66">
        <v>907.053</v>
      </c>
      <c r="D115" s="11">
        <v>45217</v>
      </c>
      <c r="E115" s="67"/>
    </row>
    <row r="116" ht="15.75" spans="1:5">
      <c r="A116" s="66">
        <v>3045462.956</v>
      </c>
      <c r="B116" s="66">
        <v>35400647.754</v>
      </c>
      <c r="C116" s="66">
        <v>907.053</v>
      </c>
      <c r="D116" s="11">
        <v>45218</v>
      </c>
      <c r="E116" s="67"/>
    </row>
    <row r="117" ht="15.75" spans="1:5">
      <c r="A117" s="66">
        <v>3045462.956</v>
      </c>
      <c r="B117" s="66">
        <v>35400647.754</v>
      </c>
      <c r="C117" s="66">
        <v>907.053</v>
      </c>
      <c r="D117" s="11">
        <v>45219</v>
      </c>
      <c r="E117" s="67"/>
    </row>
    <row r="118" ht="15.75" spans="1:5">
      <c r="A118" s="66">
        <v>3045462.956</v>
      </c>
      <c r="B118" s="66">
        <v>35400647.754</v>
      </c>
      <c r="C118" s="66">
        <v>907.053</v>
      </c>
      <c r="D118" s="11">
        <v>45220</v>
      </c>
      <c r="E118" s="67"/>
    </row>
    <row r="119" ht="15.75" spans="1:5">
      <c r="A119" s="66">
        <v>3045462.956</v>
      </c>
      <c r="B119" s="66">
        <v>35400647.754</v>
      </c>
      <c r="C119" s="66">
        <v>907.053</v>
      </c>
      <c r="D119" s="11">
        <v>45221</v>
      </c>
      <c r="E119" s="67"/>
    </row>
    <row r="120" ht="15.75" spans="1:5">
      <c r="A120" s="66">
        <v>3045462.956</v>
      </c>
      <c r="B120" s="66">
        <v>35400647.754</v>
      </c>
      <c r="C120" s="66">
        <v>907.053</v>
      </c>
      <c r="D120" s="11">
        <v>45222</v>
      </c>
      <c r="E120" s="67"/>
    </row>
    <row r="121" ht="15.75" spans="1:5">
      <c r="A121" s="66">
        <v>3045462.956</v>
      </c>
      <c r="B121" s="66">
        <v>35400647.754</v>
      </c>
      <c r="C121" s="66">
        <v>907.053</v>
      </c>
      <c r="D121" s="11">
        <v>45223</v>
      </c>
      <c r="E121" s="67"/>
    </row>
    <row r="122" ht="15.75" spans="1:5">
      <c r="A122" s="66">
        <v>3045462.956</v>
      </c>
      <c r="B122" s="66">
        <v>35400647.754</v>
      </c>
      <c r="C122" s="66">
        <v>907.053</v>
      </c>
      <c r="D122" s="11">
        <v>45224</v>
      </c>
      <c r="E122" s="67"/>
    </row>
    <row r="123" ht="15.75" spans="1:5">
      <c r="A123" s="66">
        <v>3045462.956</v>
      </c>
      <c r="B123" s="66">
        <v>35400647.754</v>
      </c>
      <c r="C123" s="66">
        <v>907.053</v>
      </c>
      <c r="D123" s="11">
        <v>45225</v>
      </c>
      <c r="E123" s="67"/>
    </row>
    <row r="124" ht="15.75" spans="1:5">
      <c r="A124" s="66">
        <v>3045462.956</v>
      </c>
      <c r="B124" s="66">
        <v>35400647.754</v>
      </c>
      <c r="C124" s="66">
        <v>907.053</v>
      </c>
      <c r="D124" s="11">
        <v>45226</v>
      </c>
      <c r="E124" s="67"/>
    </row>
    <row r="125" ht="15.75" spans="1:5">
      <c r="A125" s="66">
        <v>3045462.956</v>
      </c>
      <c r="B125" s="66">
        <v>35400647.754</v>
      </c>
      <c r="C125" s="66">
        <v>907.053</v>
      </c>
      <c r="D125" s="11">
        <v>45227</v>
      </c>
      <c r="E125" s="67"/>
    </row>
    <row r="126" ht="15.75" spans="1:5">
      <c r="A126" s="66">
        <v>3045462.956</v>
      </c>
      <c r="B126" s="66">
        <v>35400647.754</v>
      </c>
      <c r="C126" s="66">
        <v>907.053</v>
      </c>
      <c r="D126" s="11">
        <v>45228</v>
      </c>
      <c r="E126" s="67"/>
    </row>
    <row r="127" ht="15.75" spans="1:5">
      <c r="A127" s="66">
        <v>3045462.956</v>
      </c>
      <c r="B127" s="66">
        <v>35400647.754</v>
      </c>
      <c r="C127" s="66">
        <v>907.053</v>
      </c>
      <c r="D127" s="11">
        <v>45229</v>
      </c>
      <c r="E127" s="67"/>
    </row>
    <row r="128" ht="15.75" spans="1:5">
      <c r="A128" s="66">
        <v>3045462.956</v>
      </c>
      <c r="B128" s="66">
        <v>35400647.754</v>
      </c>
      <c r="C128" s="66">
        <v>907.053</v>
      </c>
      <c r="D128" s="11">
        <v>45230</v>
      </c>
      <c r="E128" s="67"/>
    </row>
    <row r="129" ht="15.75" spans="1:5">
      <c r="A129" s="66">
        <v>3045462.956</v>
      </c>
      <c r="B129" s="66">
        <v>35400647.754</v>
      </c>
      <c r="C129" s="66">
        <v>907.053</v>
      </c>
      <c r="D129" s="11">
        <v>45231</v>
      </c>
      <c r="E129" s="67"/>
    </row>
    <row r="130" ht="15.75" spans="1:5">
      <c r="A130" s="66">
        <v>3045462.956</v>
      </c>
      <c r="B130" s="66">
        <v>35400647.754</v>
      </c>
      <c r="C130" s="66">
        <v>907.053</v>
      </c>
      <c r="D130" s="11">
        <v>45232</v>
      </c>
      <c r="E130" s="67">
        <f>670-33.03</f>
        <v>636.97</v>
      </c>
    </row>
    <row r="131" ht="15.75" spans="1:5">
      <c r="A131" s="66">
        <v>3045462.956</v>
      </c>
      <c r="B131" s="66">
        <v>35400647.754</v>
      </c>
      <c r="C131" s="66">
        <v>907.053</v>
      </c>
      <c r="D131" s="11">
        <v>45233</v>
      </c>
      <c r="E131" s="67"/>
    </row>
    <row r="132" ht="15.75" spans="1:5">
      <c r="A132" s="66">
        <v>3045462.956</v>
      </c>
      <c r="B132" s="66">
        <v>35400647.754</v>
      </c>
      <c r="C132" s="66">
        <v>907.053</v>
      </c>
      <c r="D132" s="11">
        <v>45234</v>
      </c>
      <c r="E132" s="67"/>
    </row>
    <row r="133" ht="15.75" spans="1:5">
      <c r="A133" s="66">
        <v>3045462.956</v>
      </c>
      <c r="B133" s="66">
        <v>35400647.754</v>
      </c>
      <c r="C133" s="66">
        <v>907.053</v>
      </c>
      <c r="D133" s="11">
        <v>45235</v>
      </c>
      <c r="E133" s="67"/>
    </row>
    <row r="134" ht="15.75" spans="1:5">
      <c r="A134" s="66">
        <v>3045462.956</v>
      </c>
      <c r="B134" s="66">
        <v>35400647.754</v>
      </c>
      <c r="C134" s="66">
        <v>907.053</v>
      </c>
      <c r="D134" s="11">
        <v>45236</v>
      </c>
      <c r="E134" s="67"/>
    </row>
    <row r="135" ht="15.75" spans="1:5">
      <c r="A135" s="66">
        <v>3045462.956</v>
      </c>
      <c r="B135" s="66">
        <v>35400647.754</v>
      </c>
      <c r="C135" s="66">
        <v>907.053</v>
      </c>
      <c r="D135" s="11">
        <v>45237</v>
      </c>
      <c r="E135" s="67"/>
    </row>
    <row r="136" ht="15.75" spans="1:5">
      <c r="A136" s="66">
        <v>3045462.956</v>
      </c>
      <c r="B136" s="66">
        <v>35400647.754</v>
      </c>
      <c r="C136" s="66">
        <v>907.053</v>
      </c>
      <c r="D136" s="11">
        <v>45238</v>
      </c>
      <c r="E136" s="67"/>
    </row>
    <row r="137" ht="15.75" spans="1:5">
      <c r="A137" s="66">
        <v>3045462.956</v>
      </c>
      <c r="B137" s="66">
        <v>35400647.754</v>
      </c>
      <c r="C137" s="66">
        <v>907.053</v>
      </c>
      <c r="D137" s="11">
        <v>45239</v>
      </c>
      <c r="E137" s="67"/>
    </row>
    <row r="138" ht="15.75" spans="1:5">
      <c r="A138" s="66">
        <v>3045462.956</v>
      </c>
      <c r="B138" s="66">
        <v>35400647.754</v>
      </c>
      <c r="C138" s="66">
        <v>907.053</v>
      </c>
      <c r="D138" s="11">
        <v>45240</v>
      </c>
      <c r="E138" s="67">
        <f>670-38.65</f>
        <v>631.35</v>
      </c>
    </row>
    <row r="139" ht="15.75" spans="1:5">
      <c r="A139" s="66">
        <v>3045462.956</v>
      </c>
      <c r="B139" s="66">
        <v>35400647.754</v>
      </c>
      <c r="C139" s="66">
        <v>907.053</v>
      </c>
      <c r="D139" s="11">
        <v>45241</v>
      </c>
      <c r="E139" s="67"/>
    </row>
    <row r="140" ht="15.75" spans="1:5">
      <c r="A140" s="66">
        <v>3045462.956</v>
      </c>
      <c r="B140" s="66">
        <v>35400647.754</v>
      </c>
      <c r="C140" s="66">
        <v>907.053</v>
      </c>
      <c r="D140" s="11">
        <v>45242</v>
      </c>
      <c r="E140" s="67"/>
    </row>
    <row r="141" ht="15.75" spans="1:5">
      <c r="A141" s="66">
        <v>3045462.956</v>
      </c>
      <c r="B141" s="66">
        <v>35400647.754</v>
      </c>
      <c r="C141" s="66">
        <v>907.053</v>
      </c>
      <c r="D141" s="11">
        <v>45243</v>
      </c>
      <c r="E141" s="67"/>
    </row>
    <row r="142" ht="15.75" spans="1:5">
      <c r="A142" s="66">
        <v>3045462.956</v>
      </c>
      <c r="B142" s="66">
        <v>35400647.754</v>
      </c>
      <c r="C142" s="66">
        <v>907.053</v>
      </c>
      <c r="D142" s="11">
        <v>45244</v>
      </c>
      <c r="E142" s="67"/>
    </row>
    <row r="143" ht="15.75" spans="1:5">
      <c r="A143" s="66">
        <v>3045462.956</v>
      </c>
      <c r="B143" s="66">
        <v>35400647.754</v>
      </c>
      <c r="C143" s="66">
        <v>907.053</v>
      </c>
      <c r="D143" s="11">
        <v>45245</v>
      </c>
      <c r="E143" s="67"/>
    </row>
    <row r="144" ht="15.75" spans="1:5">
      <c r="A144" s="66">
        <v>3045462.956</v>
      </c>
      <c r="B144" s="66">
        <v>35400647.754</v>
      </c>
      <c r="C144" s="66">
        <v>907.053</v>
      </c>
      <c r="D144" s="11">
        <v>45246</v>
      </c>
      <c r="E144" s="67">
        <f>670-38.88</f>
        <v>631.12</v>
      </c>
    </row>
    <row r="145" ht="15.75" spans="1:5">
      <c r="A145" s="66">
        <v>3045462.956</v>
      </c>
      <c r="B145" s="66">
        <v>35400647.754</v>
      </c>
      <c r="C145" s="66">
        <v>907.053</v>
      </c>
      <c r="D145" s="11">
        <v>45247</v>
      </c>
      <c r="E145" s="67"/>
    </row>
    <row r="146" ht="15.75" spans="1:5">
      <c r="A146" s="66">
        <v>3045462.956</v>
      </c>
      <c r="B146" s="66">
        <v>35400647.754</v>
      </c>
      <c r="C146" s="66">
        <v>907.053</v>
      </c>
      <c r="D146" s="11">
        <v>45248</v>
      </c>
      <c r="E146" s="67"/>
    </row>
    <row r="147" ht="15.75" spans="1:5">
      <c r="A147" s="66">
        <v>3045462.956</v>
      </c>
      <c r="B147" s="66">
        <v>35400647.754</v>
      </c>
      <c r="C147" s="66">
        <v>907.053</v>
      </c>
      <c r="D147" s="11">
        <v>45249</v>
      </c>
      <c r="E147" s="67"/>
    </row>
    <row r="148" ht="15.75" spans="1:5">
      <c r="A148" s="66">
        <v>3045462.956</v>
      </c>
      <c r="B148" s="66">
        <v>35400647.754</v>
      </c>
      <c r="C148" s="66">
        <v>907.053</v>
      </c>
      <c r="D148" s="11">
        <v>45250</v>
      </c>
      <c r="E148" s="67"/>
    </row>
    <row r="149" ht="15.75" spans="1:5">
      <c r="A149" s="66">
        <v>3045462.956</v>
      </c>
      <c r="B149" s="66">
        <v>35400647.754</v>
      </c>
      <c r="C149" s="66">
        <v>907.053</v>
      </c>
      <c r="D149" s="11">
        <v>45251</v>
      </c>
      <c r="E149" s="67"/>
    </row>
    <row r="150" ht="15.75" spans="1:5">
      <c r="A150" s="66">
        <v>3045462.956</v>
      </c>
      <c r="B150" s="66">
        <v>35400647.754</v>
      </c>
      <c r="C150" s="66">
        <v>907.053</v>
      </c>
      <c r="D150" s="11">
        <v>45252</v>
      </c>
      <c r="E150" s="67"/>
    </row>
    <row r="151" ht="15.75" spans="1:5">
      <c r="A151" s="66">
        <v>3045462.956</v>
      </c>
      <c r="B151" s="66">
        <v>35400647.754</v>
      </c>
      <c r="C151" s="66">
        <v>907.053</v>
      </c>
      <c r="D151" s="11">
        <v>45253</v>
      </c>
      <c r="E151" s="67">
        <f>670-38.6</f>
        <v>631.4</v>
      </c>
    </row>
    <row r="152" ht="15.75" spans="1:5">
      <c r="A152" s="66">
        <v>3045462.956</v>
      </c>
      <c r="B152" s="66">
        <v>35400647.754</v>
      </c>
      <c r="C152" s="66">
        <v>907.053</v>
      </c>
      <c r="D152" s="11">
        <v>45254</v>
      </c>
      <c r="E152" s="67"/>
    </row>
    <row r="153" ht="15.75" spans="1:5">
      <c r="A153" s="66">
        <v>3045462.956</v>
      </c>
      <c r="B153" s="66">
        <v>35400647.754</v>
      </c>
      <c r="C153" s="66">
        <v>907.053</v>
      </c>
      <c r="D153" s="11">
        <v>45255</v>
      </c>
      <c r="E153" s="67"/>
    </row>
    <row r="154" ht="15.75" spans="1:5">
      <c r="A154" s="66">
        <v>3045462.956</v>
      </c>
      <c r="B154" s="66">
        <v>35400647.754</v>
      </c>
      <c r="C154" s="66">
        <v>907.053</v>
      </c>
      <c r="D154" s="11">
        <v>45256</v>
      </c>
      <c r="E154" s="67"/>
    </row>
    <row r="155" ht="15.75" spans="1:5">
      <c r="A155" s="66">
        <v>3045462.956</v>
      </c>
      <c r="B155" s="66">
        <v>35400647.754</v>
      </c>
      <c r="C155" s="66">
        <v>907.053</v>
      </c>
      <c r="D155" s="11">
        <v>45257</v>
      </c>
      <c r="E155" s="67"/>
    </row>
    <row r="156" ht="15.75" spans="1:5">
      <c r="A156" s="66">
        <v>3045462.956</v>
      </c>
      <c r="B156" s="66">
        <v>35400647.754</v>
      </c>
      <c r="C156" s="66">
        <v>907.053</v>
      </c>
      <c r="D156" s="11">
        <v>45258</v>
      </c>
      <c r="E156" s="67"/>
    </row>
    <row r="157" ht="15.75" spans="1:5">
      <c r="A157" s="66">
        <v>3045462.956</v>
      </c>
      <c r="B157" s="66">
        <v>35400647.754</v>
      </c>
      <c r="C157" s="66">
        <v>907.053</v>
      </c>
      <c r="D157" s="11">
        <v>45259</v>
      </c>
      <c r="E157" s="67"/>
    </row>
    <row r="158" ht="15.75" spans="1:5">
      <c r="A158" s="66">
        <v>3045462.956</v>
      </c>
      <c r="B158" s="66">
        <v>35400647.754</v>
      </c>
      <c r="C158" s="66">
        <v>907.053</v>
      </c>
      <c r="D158" s="11">
        <v>45260</v>
      </c>
      <c r="E158" s="67"/>
    </row>
    <row r="159" ht="15.75" spans="1:5">
      <c r="A159" s="66">
        <v>3045462.956</v>
      </c>
      <c r="B159" s="66">
        <v>35400647.754</v>
      </c>
      <c r="C159" s="66">
        <v>907.053</v>
      </c>
      <c r="D159" s="11">
        <v>45261</v>
      </c>
      <c r="E159" s="67"/>
    </row>
    <row r="160" ht="15.75" spans="1:5">
      <c r="A160" s="66">
        <v>3045462.956</v>
      </c>
      <c r="B160" s="66">
        <v>35400647.754</v>
      </c>
      <c r="C160" s="66">
        <v>907.053</v>
      </c>
      <c r="D160" s="11">
        <v>45262</v>
      </c>
      <c r="E160" s="67"/>
    </row>
    <row r="161" ht="15.75" spans="1:5">
      <c r="A161" s="66">
        <v>3045462.956</v>
      </c>
      <c r="B161" s="66">
        <v>35400647.754</v>
      </c>
      <c r="C161" s="66">
        <v>907.053</v>
      </c>
      <c r="D161" s="11">
        <v>45263</v>
      </c>
      <c r="E161" s="67"/>
    </row>
    <row r="162" ht="15.75" spans="1:5">
      <c r="A162" s="66">
        <v>3045462.956</v>
      </c>
      <c r="B162" s="66">
        <v>35400647.754</v>
      </c>
      <c r="C162" s="66">
        <v>907.053</v>
      </c>
      <c r="D162" s="11">
        <v>45264</v>
      </c>
      <c r="E162" s="67"/>
    </row>
    <row r="163" ht="15.75" spans="1:5">
      <c r="A163" s="66">
        <v>3045462.956</v>
      </c>
      <c r="B163" s="66">
        <v>35400647.754</v>
      </c>
      <c r="C163" s="66">
        <v>907.053</v>
      </c>
      <c r="D163" s="11">
        <v>45265</v>
      </c>
      <c r="E163" s="67"/>
    </row>
    <row r="164" ht="15.75" spans="1:5">
      <c r="A164" s="66">
        <v>3045462.956</v>
      </c>
      <c r="B164" s="66">
        <v>35400647.754</v>
      </c>
      <c r="C164" s="66">
        <v>907.053</v>
      </c>
      <c r="D164" s="11">
        <v>45266</v>
      </c>
      <c r="E164" s="67"/>
    </row>
    <row r="165" ht="15.75" spans="1:5">
      <c r="A165" s="66">
        <v>3045462.956</v>
      </c>
      <c r="B165" s="66">
        <v>35400647.754</v>
      </c>
      <c r="C165" s="66">
        <v>907.053</v>
      </c>
      <c r="D165" s="11">
        <v>45267</v>
      </c>
      <c r="E165" s="67">
        <f>670-38.35</f>
        <v>631.65</v>
      </c>
    </row>
    <row r="166" ht="15.75" spans="1:5">
      <c r="A166" s="66">
        <v>3045462.956</v>
      </c>
      <c r="B166" s="66">
        <v>35400647.754</v>
      </c>
      <c r="C166" s="66">
        <v>907.053</v>
      </c>
      <c r="D166" s="11">
        <v>45268</v>
      </c>
      <c r="E166" s="67"/>
    </row>
    <row r="167" ht="15.75" spans="1:5">
      <c r="A167" s="66">
        <v>3045462.956</v>
      </c>
      <c r="B167" s="66">
        <v>35400647.754</v>
      </c>
      <c r="C167" s="66">
        <v>907.053</v>
      </c>
      <c r="D167" s="11">
        <v>45269</v>
      </c>
      <c r="E167" s="67"/>
    </row>
    <row r="168" ht="15.75" spans="1:5">
      <c r="A168" s="66">
        <v>3045462.956</v>
      </c>
      <c r="B168" s="66">
        <v>35400647.754</v>
      </c>
      <c r="C168" s="66">
        <v>907.053</v>
      </c>
      <c r="D168" s="11">
        <v>45270</v>
      </c>
      <c r="E168" s="67"/>
    </row>
    <row r="169" ht="15.75" spans="1:5">
      <c r="A169" s="66">
        <v>3045462.956</v>
      </c>
      <c r="B169" s="66">
        <v>35400647.754</v>
      </c>
      <c r="C169" s="66">
        <v>907.053</v>
      </c>
      <c r="D169" s="11">
        <v>45271</v>
      </c>
      <c r="E169" s="67"/>
    </row>
    <row r="170" ht="15.75" spans="1:5">
      <c r="A170" s="66">
        <v>3045462.956</v>
      </c>
      <c r="B170" s="66">
        <v>35400647.754</v>
      </c>
      <c r="C170" s="66">
        <v>907.053</v>
      </c>
      <c r="D170" s="11">
        <v>45272</v>
      </c>
      <c r="E170" s="67"/>
    </row>
    <row r="171" ht="15.75" spans="1:5">
      <c r="A171" s="66">
        <v>3045462.956</v>
      </c>
      <c r="B171" s="66">
        <v>35400647.754</v>
      </c>
      <c r="C171" s="66">
        <v>907.053</v>
      </c>
      <c r="D171" s="11">
        <v>45273</v>
      </c>
      <c r="E171" s="67"/>
    </row>
    <row r="172" ht="15.75" spans="1:5">
      <c r="A172" s="66">
        <v>3045462.956</v>
      </c>
      <c r="B172" s="66">
        <v>35400647.754</v>
      </c>
      <c r="C172" s="66">
        <v>907.053</v>
      </c>
      <c r="D172" s="11">
        <v>45274</v>
      </c>
      <c r="E172" s="67"/>
    </row>
    <row r="173" ht="15.75" spans="1:5">
      <c r="A173" s="66">
        <v>3045462.956</v>
      </c>
      <c r="B173" s="66">
        <v>35400647.754</v>
      </c>
      <c r="C173" s="66">
        <v>907.053</v>
      </c>
      <c r="D173" s="11">
        <v>45275</v>
      </c>
      <c r="E173" s="67">
        <v>641.392</v>
      </c>
    </row>
    <row r="174" ht="15.75" spans="1:5">
      <c r="A174" s="66">
        <v>3045462.956</v>
      </c>
      <c r="B174" s="66">
        <v>35400647.754</v>
      </c>
      <c r="C174" s="66">
        <v>907.053</v>
      </c>
      <c r="D174" s="11">
        <v>45276</v>
      </c>
      <c r="E174" s="67">
        <v>641.099</v>
      </c>
    </row>
    <row r="175" ht="15.75" spans="1:5">
      <c r="A175" s="66">
        <v>3045462.956</v>
      </c>
      <c r="B175" s="66">
        <v>35400647.754</v>
      </c>
      <c r="C175" s="66">
        <v>907.053</v>
      </c>
      <c r="D175" s="11">
        <v>45277</v>
      </c>
      <c r="E175" s="67">
        <v>640.982</v>
      </c>
    </row>
    <row r="176" ht="15.75" spans="1:5">
      <c r="A176" s="66">
        <v>3045462.956</v>
      </c>
      <c r="B176" s="66">
        <v>35400647.754</v>
      </c>
      <c r="C176" s="66">
        <v>907.053</v>
      </c>
      <c r="D176" s="11">
        <v>45278</v>
      </c>
      <c r="E176" s="67">
        <v>640.836</v>
      </c>
    </row>
    <row r="177" ht="15.75" spans="1:5">
      <c r="A177" s="66">
        <v>3045462.956</v>
      </c>
      <c r="B177" s="66">
        <v>35400647.754</v>
      </c>
      <c r="C177" s="66">
        <v>907.053</v>
      </c>
      <c r="D177" s="11">
        <v>45279</v>
      </c>
      <c r="E177" s="67">
        <v>640.65</v>
      </c>
    </row>
    <row r="178" ht="15.75" spans="1:5">
      <c r="A178" s="66">
        <v>3045462.956</v>
      </c>
      <c r="B178" s="66">
        <v>35400647.754</v>
      </c>
      <c r="C178" s="66">
        <v>907.053</v>
      </c>
      <c r="D178" s="11">
        <v>45280</v>
      </c>
      <c r="E178" s="67">
        <v>640.419</v>
      </c>
    </row>
    <row r="179" ht="15.75" spans="1:5">
      <c r="A179" s="66">
        <v>3045462.956</v>
      </c>
      <c r="B179" s="66">
        <v>35400647.754</v>
      </c>
      <c r="C179" s="66">
        <v>907.053</v>
      </c>
      <c r="D179" s="11">
        <v>45281</v>
      </c>
      <c r="E179" s="67">
        <v>640.148</v>
      </c>
    </row>
    <row r="180" ht="15.75" spans="1:5">
      <c r="A180" s="66">
        <v>3045462.956</v>
      </c>
      <c r="B180" s="66">
        <v>35400647.754</v>
      </c>
      <c r="C180" s="66">
        <v>907.053</v>
      </c>
      <c r="D180" s="11">
        <v>45282</v>
      </c>
      <c r="E180" s="67">
        <v>639.812</v>
      </c>
    </row>
    <row r="181" ht="15.75" spans="1:5">
      <c r="A181" s="66">
        <v>3045462.956</v>
      </c>
      <c r="B181" s="66">
        <v>35400647.754</v>
      </c>
      <c r="C181" s="66">
        <v>907.053</v>
      </c>
      <c r="D181" s="11">
        <v>45283</v>
      </c>
      <c r="E181" s="67">
        <v>639.685</v>
      </c>
    </row>
    <row r="182" ht="15.75" spans="1:5">
      <c r="A182" s="66">
        <v>3045462.956</v>
      </c>
      <c r="B182" s="66">
        <v>35400647.754</v>
      </c>
      <c r="C182" s="66">
        <v>907.053</v>
      </c>
      <c r="D182" s="11">
        <v>45284</v>
      </c>
      <c r="E182" s="67">
        <v>639.538</v>
      </c>
    </row>
    <row r="183" ht="15.75" spans="1:5">
      <c r="A183" s="66">
        <v>3045462.956</v>
      </c>
      <c r="B183" s="66">
        <v>35400647.754</v>
      </c>
      <c r="C183" s="66">
        <v>907.053</v>
      </c>
      <c r="D183" s="11">
        <v>45285</v>
      </c>
      <c r="E183" s="67">
        <v>639.687</v>
      </c>
    </row>
    <row r="184" ht="15.75" spans="1:5">
      <c r="A184" s="66">
        <v>3045462.956</v>
      </c>
      <c r="B184" s="66">
        <v>35400647.754</v>
      </c>
      <c r="C184" s="66">
        <v>907.053</v>
      </c>
      <c r="D184" s="11">
        <v>45286</v>
      </c>
      <c r="E184" s="67">
        <v>639.625</v>
      </c>
    </row>
    <row r="185" ht="15.75" spans="1:5">
      <c r="A185" s="66">
        <v>3045462.956</v>
      </c>
      <c r="B185" s="66">
        <v>35400647.754</v>
      </c>
      <c r="C185" s="66">
        <v>907.053</v>
      </c>
      <c r="D185" s="11">
        <v>45287</v>
      </c>
      <c r="E185" s="67">
        <v>639.491</v>
      </c>
    </row>
    <row r="186" ht="15.75" spans="1:5">
      <c r="A186" s="66">
        <v>3045462.956</v>
      </c>
      <c r="B186" s="66">
        <v>35400647.754</v>
      </c>
      <c r="C186" s="66">
        <v>907.053</v>
      </c>
      <c r="D186" s="11">
        <v>45288</v>
      </c>
      <c r="E186" s="67">
        <v>639.437</v>
      </c>
    </row>
    <row r="187" ht="15.75" spans="1:5">
      <c r="A187" s="66">
        <v>3045462.956</v>
      </c>
      <c r="B187" s="66">
        <v>35400647.754</v>
      </c>
      <c r="C187" s="66">
        <v>907.053</v>
      </c>
      <c r="D187" s="11">
        <v>45289</v>
      </c>
      <c r="E187" s="67">
        <v>639.431</v>
      </c>
    </row>
    <row r="188" ht="15.75" spans="1:5">
      <c r="A188" s="66">
        <v>3045462.956</v>
      </c>
      <c r="B188" s="66">
        <v>35400647.754</v>
      </c>
      <c r="C188" s="66">
        <v>907.053</v>
      </c>
      <c r="D188" s="11">
        <v>45290</v>
      </c>
      <c r="E188" s="67">
        <v>639.595</v>
      </c>
    </row>
    <row r="189" ht="15.75" spans="1:5">
      <c r="A189" s="66">
        <v>3045462.956</v>
      </c>
      <c r="B189" s="66">
        <v>35400647.754</v>
      </c>
      <c r="C189" s="66">
        <v>907.053</v>
      </c>
      <c r="D189" s="11">
        <v>45291</v>
      </c>
      <c r="E189" s="67">
        <v>639.315</v>
      </c>
    </row>
    <row r="190" ht="15.75" spans="1:5">
      <c r="A190" s="66">
        <v>3045462.956</v>
      </c>
      <c r="B190" s="66">
        <v>35400647.754</v>
      </c>
      <c r="C190" s="66">
        <v>907.053</v>
      </c>
      <c r="D190" s="11">
        <v>45292</v>
      </c>
      <c r="E190" s="67">
        <v>639.282</v>
      </c>
    </row>
    <row r="191" ht="15.75" spans="1:5">
      <c r="A191" s="66">
        <v>3045462.956</v>
      </c>
      <c r="B191" s="66">
        <v>35400647.754</v>
      </c>
      <c r="C191" s="66">
        <v>907.053</v>
      </c>
      <c r="D191" s="11">
        <v>45293</v>
      </c>
      <c r="E191" s="67">
        <v>639.338</v>
      </c>
    </row>
    <row r="192" ht="15.75" spans="1:5">
      <c r="A192" s="66">
        <v>3045462.956</v>
      </c>
      <c r="B192" s="66">
        <v>35400647.754</v>
      </c>
      <c r="C192" s="66">
        <v>907.053</v>
      </c>
      <c r="D192" s="11">
        <v>45294</v>
      </c>
      <c r="E192" s="67">
        <v>639.026</v>
      </c>
    </row>
    <row r="193" ht="15.75" spans="1:5">
      <c r="A193" s="66">
        <v>3045462.956</v>
      </c>
      <c r="B193" s="66">
        <v>35400647.754</v>
      </c>
      <c r="C193" s="66">
        <v>907.053</v>
      </c>
      <c r="D193" s="11">
        <v>45295</v>
      </c>
      <c r="E193" s="67">
        <v>638.617</v>
      </c>
    </row>
    <row r="194" ht="15.75" spans="1:5">
      <c r="A194" s="66">
        <v>3045462.956</v>
      </c>
      <c r="B194" s="66">
        <v>35400647.754</v>
      </c>
      <c r="C194" s="66">
        <v>907.053</v>
      </c>
      <c r="D194" s="11">
        <v>45296</v>
      </c>
      <c r="E194" s="67">
        <v>638.617</v>
      </c>
    </row>
    <row r="195" ht="15.75" spans="1:5">
      <c r="A195" s="66">
        <v>3045462.956</v>
      </c>
      <c r="B195" s="66">
        <v>35400647.754</v>
      </c>
      <c r="C195" s="66">
        <v>907.053</v>
      </c>
      <c r="D195" s="11">
        <v>45297</v>
      </c>
      <c r="E195" s="67">
        <v>638.617</v>
      </c>
    </row>
    <row r="196" ht="15.75" spans="1:5">
      <c r="A196" s="66">
        <v>3045462.956</v>
      </c>
      <c r="B196" s="66">
        <v>35400647.754</v>
      </c>
      <c r="C196" s="66">
        <v>907.053</v>
      </c>
      <c r="D196" s="11">
        <v>45298</v>
      </c>
      <c r="E196" s="67">
        <v>638.617</v>
      </c>
    </row>
    <row r="197" ht="15.75" spans="1:5">
      <c r="A197" s="66">
        <v>3045462.956</v>
      </c>
      <c r="B197" s="66">
        <v>35400647.754</v>
      </c>
      <c r="C197" s="66">
        <v>907.053</v>
      </c>
      <c r="D197" s="11">
        <v>45299</v>
      </c>
      <c r="E197" s="67">
        <v>638.42</v>
      </c>
    </row>
    <row r="198" ht="15.75" spans="1:5">
      <c r="A198" s="66">
        <v>3045462.956</v>
      </c>
      <c r="B198" s="66">
        <v>35400647.754</v>
      </c>
      <c r="C198" s="66">
        <v>907.053</v>
      </c>
      <c r="D198" s="11">
        <v>45300</v>
      </c>
      <c r="E198" s="67">
        <v>638.617</v>
      </c>
    </row>
    <row r="199" ht="15.75" spans="1:5">
      <c r="A199" s="66">
        <v>3045462.956</v>
      </c>
      <c r="B199" s="66">
        <v>35400647.754</v>
      </c>
      <c r="C199" s="66">
        <v>907.053</v>
      </c>
      <c r="D199" s="11">
        <v>45301</v>
      </c>
      <c r="E199" s="67">
        <v>638.42</v>
      </c>
    </row>
    <row r="200" ht="15.75" spans="1:5">
      <c r="A200" s="66">
        <v>3045462.956</v>
      </c>
      <c r="B200" s="66">
        <v>35400647.754</v>
      </c>
      <c r="C200" s="66">
        <v>907.053</v>
      </c>
      <c r="D200" s="11">
        <v>45302</v>
      </c>
      <c r="E200" s="67">
        <v>638.42</v>
      </c>
    </row>
    <row r="201" ht="15.75" spans="1:5">
      <c r="A201" s="66">
        <v>3045462.956</v>
      </c>
      <c r="B201" s="66">
        <v>35400647.754</v>
      </c>
      <c r="C201" s="66">
        <v>907.053</v>
      </c>
      <c r="D201" s="11">
        <v>45303</v>
      </c>
      <c r="E201" s="67">
        <v>638.25</v>
      </c>
    </row>
    <row r="202" ht="15.75" spans="1:5">
      <c r="A202" s="66">
        <v>3045462.956</v>
      </c>
      <c r="B202" s="66">
        <v>35400647.754</v>
      </c>
      <c r="C202" s="66">
        <v>907.053</v>
      </c>
      <c r="D202" s="11">
        <v>45304</v>
      </c>
      <c r="E202" s="67">
        <v>638.25</v>
      </c>
    </row>
    <row r="203" ht="15.75" spans="1:5">
      <c r="A203" s="66">
        <v>3045462.956</v>
      </c>
      <c r="B203" s="66">
        <v>35400647.754</v>
      </c>
      <c r="C203" s="66">
        <v>907.053</v>
      </c>
      <c r="D203" s="11">
        <v>45305</v>
      </c>
      <c r="E203" s="67">
        <v>638.25</v>
      </c>
    </row>
    <row r="204" ht="15.75" spans="1:5">
      <c r="A204" s="66">
        <v>3045462.956</v>
      </c>
      <c r="B204" s="66">
        <v>35400647.754</v>
      </c>
      <c r="C204" s="66">
        <v>907.053</v>
      </c>
      <c r="D204" s="11">
        <v>45306</v>
      </c>
      <c r="E204" s="67">
        <v>638.2</v>
      </c>
    </row>
    <row r="205" ht="15.75" spans="1:5">
      <c r="A205" s="66">
        <v>3045462.956</v>
      </c>
      <c r="B205" s="66">
        <v>35400647.754</v>
      </c>
      <c r="C205" s="66">
        <v>907.053</v>
      </c>
      <c r="D205" s="11">
        <v>45307</v>
      </c>
      <c r="E205" s="67">
        <v>638.2</v>
      </c>
    </row>
    <row r="206" ht="15.75" spans="1:5">
      <c r="A206" s="66">
        <v>3045462.956</v>
      </c>
      <c r="B206" s="66">
        <v>35400647.754</v>
      </c>
      <c r="C206" s="66">
        <v>907.053</v>
      </c>
      <c r="D206" s="11">
        <v>45308</v>
      </c>
      <c r="E206" s="67">
        <v>638.2</v>
      </c>
    </row>
    <row r="207" ht="15.75" spans="1:5">
      <c r="A207" s="66">
        <v>3045462.956</v>
      </c>
      <c r="B207" s="66">
        <v>35400647.754</v>
      </c>
      <c r="C207" s="66">
        <v>907.053</v>
      </c>
      <c r="D207" s="11">
        <v>45309</v>
      </c>
      <c r="E207" s="67">
        <v>638.05</v>
      </c>
    </row>
    <row r="208" ht="15.75" spans="1:5">
      <c r="A208" s="66">
        <v>3045462.956</v>
      </c>
      <c r="B208" s="66">
        <v>35400647.754</v>
      </c>
      <c r="C208" s="66">
        <v>907.053</v>
      </c>
      <c r="D208" s="11">
        <v>45310</v>
      </c>
      <c r="E208" s="67">
        <v>638.05</v>
      </c>
    </row>
    <row r="209" ht="15.75" spans="1:5">
      <c r="A209" s="66">
        <v>3045462.956</v>
      </c>
      <c r="B209" s="66">
        <v>35400647.754</v>
      </c>
      <c r="C209" s="66">
        <v>907.053</v>
      </c>
      <c r="D209" s="11">
        <v>45311</v>
      </c>
      <c r="E209" s="67">
        <v>638.05</v>
      </c>
    </row>
    <row r="210" ht="15.75" spans="1:5">
      <c r="A210" s="66">
        <v>3045462.956</v>
      </c>
      <c r="B210" s="66">
        <v>35400647.754</v>
      </c>
      <c r="C210" s="66">
        <v>907.053</v>
      </c>
      <c r="D210" s="11">
        <v>45312</v>
      </c>
      <c r="E210" s="67">
        <v>637.98</v>
      </c>
    </row>
    <row r="211" ht="15.75" spans="1:5">
      <c r="A211" s="66">
        <v>3045462.956</v>
      </c>
      <c r="B211" s="66">
        <v>35400647.754</v>
      </c>
      <c r="C211" s="66">
        <v>907.053</v>
      </c>
      <c r="D211" s="11">
        <v>45313</v>
      </c>
      <c r="E211" s="69">
        <v>637.897</v>
      </c>
    </row>
    <row r="212" ht="15.75" spans="1:5">
      <c r="A212" s="66">
        <v>3045462.956</v>
      </c>
      <c r="B212" s="66">
        <v>35400647.754</v>
      </c>
      <c r="C212" s="66">
        <v>907.053</v>
      </c>
      <c r="D212" s="11">
        <v>45314</v>
      </c>
      <c r="E212" s="69">
        <v>636.763</v>
      </c>
    </row>
    <row r="213" ht="15.75" spans="1:5">
      <c r="A213" s="66">
        <v>3045462.956</v>
      </c>
      <c r="B213" s="66">
        <v>35400647.754</v>
      </c>
      <c r="C213" s="66">
        <v>907.053</v>
      </c>
      <c r="D213" s="11">
        <v>45315</v>
      </c>
      <c r="E213" s="69">
        <v>629.864</v>
      </c>
    </row>
    <row r="214" ht="15.75" spans="1:5">
      <c r="A214" s="66">
        <v>3045462.956</v>
      </c>
      <c r="B214" s="66">
        <v>35400647.754</v>
      </c>
      <c r="C214" s="66">
        <v>907.053</v>
      </c>
      <c r="D214" s="11">
        <v>45316</v>
      </c>
      <c r="E214" s="69">
        <v>628.283</v>
      </c>
    </row>
    <row r="215" ht="15.75" spans="1:5">
      <c r="A215" s="66">
        <v>3045462.956</v>
      </c>
      <c r="B215" s="66">
        <v>35400647.754</v>
      </c>
      <c r="C215" s="66">
        <v>907.053</v>
      </c>
      <c r="D215" s="11">
        <v>45317</v>
      </c>
      <c r="E215" s="69">
        <v>633.834</v>
      </c>
    </row>
    <row r="216" ht="15.75" spans="1:5">
      <c r="A216" s="66">
        <v>3045462.956</v>
      </c>
      <c r="B216" s="66">
        <v>35400647.754</v>
      </c>
      <c r="C216" s="66">
        <v>907.053</v>
      </c>
      <c r="D216" s="11">
        <v>45318</v>
      </c>
      <c r="E216" s="69">
        <v>636.26</v>
      </c>
    </row>
    <row r="217" ht="15.75" spans="1:5">
      <c r="A217" s="66">
        <v>3045462.956</v>
      </c>
      <c r="B217" s="66">
        <v>35400647.754</v>
      </c>
      <c r="C217" s="66">
        <v>907.053</v>
      </c>
      <c r="D217" s="11">
        <v>45319</v>
      </c>
      <c r="E217" s="69">
        <v>637.106</v>
      </c>
    </row>
    <row r="218" ht="15.75" spans="1:5">
      <c r="A218" s="66">
        <v>3045462.956</v>
      </c>
      <c r="B218" s="66">
        <v>35400647.754</v>
      </c>
      <c r="C218" s="66">
        <v>907.053</v>
      </c>
      <c r="D218" s="11">
        <v>45320</v>
      </c>
      <c r="E218" s="69">
        <v>637.271</v>
      </c>
    </row>
    <row r="219" ht="15.75" spans="1:5">
      <c r="A219" s="66">
        <v>3045462.956</v>
      </c>
      <c r="B219" s="66">
        <v>35400647.754</v>
      </c>
      <c r="C219" s="66">
        <v>907.053</v>
      </c>
      <c r="D219" s="11">
        <v>45321</v>
      </c>
      <c r="E219" s="69">
        <v>637.48</v>
      </c>
    </row>
    <row r="220" ht="15.75" spans="1:5">
      <c r="A220" s="66">
        <v>3045462.956</v>
      </c>
      <c r="B220" s="66">
        <v>35400647.754</v>
      </c>
      <c r="C220" s="66">
        <v>907.053</v>
      </c>
      <c r="D220" s="11">
        <v>45322</v>
      </c>
      <c r="E220" s="69">
        <v>637.47</v>
      </c>
    </row>
    <row r="221" ht="15.75" spans="1:5">
      <c r="A221" s="66">
        <v>3045462.956</v>
      </c>
      <c r="B221" s="66">
        <v>35400647.754</v>
      </c>
      <c r="C221" s="66">
        <v>907.053</v>
      </c>
      <c r="D221" s="11">
        <v>45323</v>
      </c>
      <c r="E221" s="69">
        <v>637.345</v>
      </c>
    </row>
    <row r="222" ht="15.75" spans="1:5">
      <c r="A222" s="66">
        <v>3045462.956</v>
      </c>
      <c r="B222" s="66">
        <v>35400647.754</v>
      </c>
      <c r="C222" s="66">
        <v>907.053</v>
      </c>
      <c r="D222" s="11">
        <v>45324</v>
      </c>
      <c r="E222" s="69">
        <v>637.332</v>
      </c>
    </row>
    <row r="223" ht="15.75" spans="1:5">
      <c r="A223" s="66">
        <v>3045462.956</v>
      </c>
      <c r="B223" s="66">
        <v>35400647.754</v>
      </c>
      <c r="C223" s="66">
        <v>907.053</v>
      </c>
      <c r="D223" s="11">
        <v>45325</v>
      </c>
      <c r="E223" s="69">
        <v>637.133</v>
      </c>
    </row>
    <row r="224" ht="15.75" spans="1:5">
      <c r="A224" s="66">
        <v>3045462.956</v>
      </c>
      <c r="B224" s="66">
        <v>35400647.754</v>
      </c>
      <c r="C224" s="66">
        <v>907.053</v>
      </c>
      <c r="D224" s="11">
        <v>45326</v>
      </c>
      <c r="E224" s="69">
        <v>636.991</v>
      </c>
    </row>
    <row r="225" ht="15.75" spans="1:5">
      <c r="A225" s="66">
        <v>3045462.956</v>
      </c>
      <c r="B225" s="66">
        <v>35400647.754</v>
      </c>
      <c r="C225" s="66">
        <v>907.053</v>
      </c>
      <c r="D225" s="11">
        <v>45327</v>
      </c>
      <c r="E225" s="69">
        <v>637.062</v>
      </c>
    </row>
    <row r="226" ht="15.75" spans="1:5">
      <c r="A226" s="66">
        <v>3045462.956</v>
      </c>
      <c r="B226" s="66">
        <v>35400647.754</v>
      </c>
      <c r="C226" s="66">
        <v>907.053</v>
      </c>
      <c r="D226" s="11">
        <v>45328</v>
      </c>
      <c r="E226" s="69">
        <v>636.957</v>
      </c>
    </row>
    <row r="227" ht="15.75" spans="1:5">
      <c r="A227" s="66">
        <v>3045462.956</v>
      </c>
      <c r="B227" s="66">
        <v>35400647.754</v>
      </c>
      <c r="C227" s="66">
        <v>907.053</v>
      </c>
      <c r="D227" s="11">
        <v>45329</v>
      </c>
      <c r="E227" s="69">
        <v>636.945</v>
      </c>
    </row>
    <row r="228" ht="15.75" spans="1:5">
      <c r="A228" s="66">
        <v>3045462.956</v>
      </c>
      <c r="B228" s="66">
        <v>35400647.754</v>
      </c>
      <c r="C228" s="66">
        <v>907.053</v>
      </c>
      <c r="D228" s="11">
        <v>45330</v>
      </c>
      <c r="E228" s="69">
        <v>636.78</v>
      </c>
    </row>
    <row r="229" ht="15.75" spans="1:5">
      <c r="A229" s="66">
        <v>3045462.956</v>
      </c>
      <c r="B229" s="66">
        <v>35400647.754</v>
      </c>
      <c r="C229" s="66">
        <v>907.053</v>
      </c>
      <c r="D229" s="11">
        <v>45331</v>
      </c>
      <c r="E229" s="69">
        <v>636.608</v>
      </c>
    </row>
    <row r="230" ht="15.75" spans="1:5">
      <c r="A230" s="66">
        <v>3045462.956</v>
      </c>
      <c r="B230" s="66">
        <v>35400647.754</v>
      </c>
      <c r="C230" s="66">
        <v>907.053</v>
      </c>
      <c r="D230" s="11">
        <v>45332</v>
      </c>
      <c r="E230" s="69">
        <v>636.561</v>
      </c>
    </row>
    <row r="231" ht="15.75" spans="1:5">
      <c r="A231" s="66">
        <v>3045462.956</v>
      </c>
      <c r="B231" s="66">
        <v>35400647.754</v>
      </c>
      <c r="C231" s="66">
        <v>907.053</v>
      </c>
      <c r="D231" s="11">
        <v>45333</v>
      </c>
      <c r="E231" s="69">
        <v>636.407</v>
      </c>
    </row>
    <row r="232" ht="15.75" spans="1:5">
      <c r="A232" s="66">
        <v>3045462.956</v>
      </c>
      <c r="B232" s="66">
        <v>35400647.754</v>
      </c>
      <c r="C232" s="66">
        <v>907.053</v>
      </c>
      <c r="D232" s="11">
        <v>45334</v>
      </c>
      <c r="E232" s="69">
        <v>636.283</v>
      </c>
    </row>
    <row r="233" ht="15.75" spans="1:5">
      <c r="A233" s="66">
        <v>3045462.956</v>
      </c>
      <c r="B233" s="66">
        <v>35400647.754</v>
      </c>
      <c r="C233" s="66">
        <v>907.053</v>
      </c>
      <c r="D233" s="11">
        <v>45335</v>
      </c>
      <c r="E233" s="69">
        <v>635.975</v>
      </c>
    </row>
    <row r="234" ht="15.75" spans="1:5">
      <c r="A234" s="66">
        <v>3045462.956</v>
      </c>
      <c r="B234" s="66">
        <v>35400647.754</v>
      </c>
      <c r="C234" s="66">
        <v>907.053</v>
      </c>
      <c r="D234" s="11">
        <v>45336</v>
      </c>
      <c r="E234" s="70">
        <v>635.884</v>
      </c>
    </row>
    <row r="235" ht="15.75" spans="1:5">
      <c r="A235" s="66">
        <v>3045462.956</v>
      </c>
      <c r="B235" s="66">
        <v>35400647.754</v>
      </c>
      <c r="C235" s="66">
        <v>907.053</v>
      </c>
      <c r="D235" s="11">
        <v>45337</v>
      </c>
      <c r="E235" s="67"/>
    </row>
    <row r="236" ht="15.75" spans="1:5">
      <c r="A236" s="66">
        <v>3045462.956</v>
      </c>
      <c r="B236" s="66">
        <v>35400647.754</v>
      </c>
      <c r="C236" s="66">
        <v>907.053</v>
      </c>
      <c r="D236" s="11">
        <v>45338</v>
      </c>
      <c r="E236" s="67"/>
    </row>
    <row r="237" ht="15.75" spans="1:5">
      <c r="A237" s="66">
        <v>3045462.956</v>
      </c>
      <c r="B237" s="66">
        <v>35400647.754</v>
      </c>
      <c r="C237" s="66">
        <v>907.053</v>
      </c>
      <c r="D237" s="11">
        <v>45339</v>
      </c>
      <c r="E237" s="67"/>
    </row>
    <row r="238" ht="15.75" spans="1:5">
      <c r="A238" s="66">
        <v>3045462.956</v>
      </c>
      <c r="B238" s="66">
        <v>35400647.754</v>
      </c>
      <c r="C238" s="66">
        <v>907.053</v>
      </c>
      <c r="D238" s="11">
        <v>45340</v>
      </c>
      <c r="E238" s="67"/>
    </row>
    <row r="239" ht="15.75" spans="1:5">
      <c r="A239" s="66">
        <v>3045462.956</v>
      </c>
      <c r="B239" s="66">
        <v>35400647.754</v>
      </c>
      <c r="C239" s="66">
        <v>907.053</v>
      </c>
      <c r="D239" s="11">
        <v>45341</v>
      </c>
      <c r="E239" s="69">
        <v>635.326</v>
      </c>
    </row>
    <row r="240" ht="15.75" spans="1:5">
      <c r="A240" s="66">
        <v>3045462.956</v>
      </c>
      <c r="B240" s="66">
        <v>35400647.754</v>
      </c>
      <c r="C240" s="66">
        <v>907.053</v>
      </c>
      <c r="D240" s="11">
        <v>45342</v>
      </c>
      <c r="E240" s="69">
        <v>635.331</v>
      </c>
    </row>
    <row r="241" ht="15.75" spans="1:5">
      <c r="A241" s="66">
        <v>3045462.956</v>
      </c>
      <c r="B241" s="66">
        <v>35400647.754</v>
      </c>
      <c r="C241" s="66">
        <v>907.053</v>
      </c>
      <c r="D241" s="11">
        <v>45343</v>
      </c>
      <c r="E241" s="69">
        <v>635.298</v>
      </c>
    </row>
    <row r="242" ht="15.75" spans="1:5">
      <c r="A242" s="66">
        <v>3045462.956</v>
      </c>
      <c r="B242" s="66">
        <v>35400647.754</v>
      </c>
      <c r="C242" s="66">
        <v>907.053</v>
      </c>
      <c r="D242" s="11">
        <v>45344</v>
      </c>
      <c r="E242" s="69">
        <v>635.019</v>
      </c>
    </row>
    <row r="243" ht="15.75" spans="1:5">
      <c r="A243" s="66">
        <v>3045462.956</v>
      </c>
      <c r="B243" s="66">
        <v>35400647.754</v>
      </c>
      <c r="C243" s="66">
        <v>907.053</v>
      </c>
      <c r="D243" s="11">
        <v>45345</v>
      </c>
      <c r="E243" s="69">
        <v>634.641</v>
      </c>
    </row>
    <row r="244" ht="15.75" spans="1:5">
      <c r="A244" s="66">
        <v>3045462.956</v>
      </c>
      <c r="B244" s="66">
        <v>35400647.754</v>
      </c>
      <c r="C244" s="66">
        <v>907.053</v>
      </c>
      <c r="D244" s="11">
        <v>45346</v>
      </c>
      <c r="E244" s="69">
        <v>634.308</v>
      </c>
    </row>
    <row r="245" ht="15.75" spans="1:5">
      <c r="A245" s="66">
        <v>3045462.956</v>
      </c>
      <c r="B245" s="66">
        <v>35400647.754</v>
      </c>
      <c r="C245" s="66">
        <v>907.053</v>
      </c>
      <c r="D245" s="11">
        <v>45347</v>
      </c>
      <c r="E245" s="69">
        <v>633.796</v>
      </c>
    </row>
    <row r="246" ht="15.75" spans="1:5">
      <c r="A246" s="66">
        <v>3045462.956</v>
      </c>
      <c r="B246" s="66">
        <v>35400647.754</v>
      </c>
      <c r="C246" s="66">
        <v>907.053</v>
      </c>
      <c r="D246" s="11">
        <v>45348</v>
      </c>
      <c r="E246" s="69">
        <v>633.313</v>
      </c>
    </row>
    <row r="247" ht="15.75" spans="1:5">
      <c r="A247" s="66">
        <v>3045462.956</v>
      </c>
      <c r="B247" s="66">
        <v>35400647.754</v>
      </c>
      <c r="C247" s="66">
        <v>907.053</v>
      </c>
      <c r="D247" s="11">
        <v>45349</v>
      </c>
      <c r="E247" s="69">
        <v>632.958</v>
      </c>
    </row>
    <row r="248" ht="15.75" spans="1:5">
      <c r="A248" s="66">
        <v>3045462.956</v>
      </c>
      <c r="B248" s="66">
        <v>35400647.754</v>
      </c>
      <c r="C248" s="66">
        <v>907.053</v>
      </c>
      <c r="D248" s="11">
        <v>45350</v>
      </c>
      <c r="E248" s="69">
        <v>632.822</v>
      </c>
    </row>
    <row r="249" ht="15.75" spans="1:5">
      <c r="A249" s="66">
        <v>3045462.956</v>
      </c>
      <c r="B249" s="66">
        <v>35400647.754</v>
      </c>
      <c r="C249" s="66">
        <v>907.053</v>
      </c>
      <c r="D249" s="11">
        <v>45351</v>
      </c>
      <c r="E249" s="69">
        <v>632.5</v>
      </c>
    </row>
    <row r="250" ht="15.75" spans="1:5">
      <c r="A250" s="66">
        <v>3045462.956</v>
      </c>
      <c r="B250" s="66">
        <v>35400647.754</v>
      </c>
      <c r="C250" s="66">
        <v>907.053</v>
      </c>
      <c r="D250" s="11">
        <v>45352</v>
      </c>
      <c r="E250" s="69">
        <v>632.244</v>
      </c>
    </row>
    <row r="251" ht="15.75" spans="1:5">
      <c r="A251" s="66">
        <v>3045462.956</v>
      </c>
      <c r="B251" s="66">
        <v>35400647.754</v>
      </c>
      <c r="C251" s="66">
        <v>907.053</v>
      </c>
      <c r="D251" s="11">
        <v>45353</v>
      </c>
      <c r="E251" s="69">
        <v>632.5</v>
      </c>
    </row>
    <row r="252" ht="15.75" spans="1:5">
      <c r="A252" s="66">
        <v>3045462.956</v>
      </c>
      <c r="B252" s="66">
        <v>35400647.754</v>
      </c>
      <c r="C252" s="66">
        <v>907.053</v>
      </c>
      <c r="D252" s="11">
        <v>45354</v>
      </c>
      <c r="E252" s="69">
        <v>632.244</v>
      </c>
    </row>
    <row r="253" ht="15.75" spans="1:5">
      <c r="A253" s="66">
        <v>3045462.956</v>
      </c>
      <c r="B253" s="66">
        <v>35400647.754</v>
      </c>
      <c r="C253" s="66">
        <v>907.053</v>
      </c>
      <c r="D253" s="11">
        <v>45355</v>
      </c>
      <c r="E253" s="69">
        <v>632.021</v>
      </c>
    </row>
    <row r="254" ht="15.75" spans="1:5">
      <c r="A254" s="66">
        <v>3045462.956</v>
      </c>
      <c r="B254" s="66">
        <v>35400647.754</v>
      </c>
      <c r="C254" s="66">
        <v>907.053</v>
      </c>
      <c r="D254" s="11">
        <v>45356</v>
      </c>
      <c r="E254" s="69">
        <v>631.745</v>
      </c>
    </row>
    <row r="255" ht="15.75" spans="1:5">
      <c r="A255" s="66">
        <v>3045462.956</v>
      </c>
      <c r="B255" s="66">
        <v>35400647.754</v>
      </c>
      <c r="C255" s="66">
        <v>907.053</v>
      </c>
      <c r="D255" s="11">
        <v>45357</v>
      </c>
      <c r="E255" s="69">
        <v>631.434</v>
      </c>
    </row>
    <row r="256" ht="15.75" spans="1:5">
      <c r="A256" s="66">
        <v>3045462.956</v>
      </c>
      <c r="B256" s="66">
        <v>35400647.754</v>
      </c>
      <c r="C256" s="66">
        <v>907.053</v>
      </c>
      <c r="D256" s="11">
        <v>45358</v>
      </c>
      <c r="E256" s="69">
        <v>631.212</v>
      </c>
    </row>
    <row r="257" ht="15.75" spans="1:5">
      <c r="A257" s="66">
        <v>3045462.956</v>
      </c>
      <c r="B257" s="66">
        <v>35400647.754</v>
      </c>
      <c r="C257" s="66">
        <v>907.053</v>
      </c>
      <c r="D257" s="11">
        <v>45359</v>
      </c>
      <c r="E257" s="69">
        <v>631.031</v>
      </c>
    </row>
    <row r="258" ht="15.75" spans="1:5">
      <c r="A258" s="66">
        <v>3045462.956</v>
      </c>
      <c r="B258" s="66">
        <v>35400647.754</v>
      </c>
      <c r="C258" s="66">
        <v>907.053</v>
      </c>
      <c r="D258" s="11">
        <v>45360</v>
      </c>
      <c r="E258" s="69">
        <v>630.761</v>
      </c>
    </row>
    <row r="259" ht="15.75" spans="1:5">
      <c r="A259" s="66">
        <v>3045462.956</v>
      </c>
      <c r="B259" s="66">
        <v>35400647.754</v>
      </c>
      <c r="C259" s="66">
        <v>907.053</v>
      </c>
      <c r="D259" s="11">
        <v>45361</v>
      </c>
      <c r="E259" s="69">
        <v>630.538</v>
      </c>
    </row>
    <row r="260" ht="15.75" spans="1:5">
      <c r="A260" s="66">
        <v>3045462.956</v>
      </c>
      <c r="B260" s="66">
        <v>35400647.754</v>
      </c>
      <c r="C260" s="66">
        <v>907.053</v>
      </c>
      <c r="D260" s="11">
        <v>45362</v>
      </c>
      <c r="E260" s="69">
        <v>630.315</v>
      </c>
    </row>
    <row r="261" ht="15.75" spans="1:5">
      <c r="A261" s="66">
        <v>3045462.956</v>
      </c>
      <c r="B261" s="66">
        <v>35400647.754</v>
      </c>
      <c r="C261" s="66">
        <v>907.053</v>
      </c>
      <c r="D261" s="11">
        <v>45363</v>
      </c>
      <c r="E261" s="69">
        <v>630.297</v>
      </c>
    </row>
    <row r="262" ht="15.75" spans="1:5">
      <c r="A262" s="66">
        <v>3045462.956</v>
      </c>
      <c r="B262" s="66">
        <v>35400647.754</v>
      </c>
      <c r="C262" s="66">
        <v>907.053</v>
      </c>
      <c r="D262" s="11">
        <v>45364</v>
      </c>
      <c r="E262" s="69"/>
    </row>
    <row r="263" ht="15.75" spans="1:5">
      <c r="A263" s="66">
        <v>3045462.956</v>
      </c>
      <c r="B263" s="66">
        <v>35400647.754</v>
      </c>
      <c r="C263" s="66">
        <v>907.053</v>
      </c>
      <c r="D263" s="11">
        <v>45365</v>
      </c>
      <c r="E263" s="69"/>
    </row>
    <row r="264" ht="15.75" spans="1:5">
      <c r="A264" s="66">
        <v>3045462.956</v>
      </c>
      <c r="B264" s="66">
        <v>35400647.754</v>
      </c>
      <c r="C264" s="66">
        <v>907.053</v>
      </c>
      <c r="D264" s="11">
        <v>45366</v>
      </c>
      <c r="E264" s="69"/>
    </row>
    <row r="265" ht="15.75" spans="1:5">
      <c r="A265" s="66">
        <v>3045462.956</v>
      </c>
      <c r="B265" s="66">
        <v>35400647.754</v>
      </c>
      <c r="C265" s="66">
        <v>907.053</v>
      </c>
      <c r="D265" s="11">
        <v>45367</v>
      </c>
      <c r="E265" s="69"/>
    </row>
    <row r="266" ht="15.75" spans="1:5">
      <c r="A266" s="66">
        <v>3045462.956</v>
      </c>
      <c r="B266" s="66">
        <v>35400647.754</v>
      </c>
      <c r="C266" s="66">
        <v>907.053</v>
      </c>
      <c r="D266" s="11">
        <v>45368</v>
      </c>
      <c r="E266" s="69"/>
    </row>
    <row r="267" ht="15.75" spans="1:5">
      <c r="A267" s="66">
        <v>3045462.956</v>
      </c>
      <c r="B267" s="66">
        <v>35400647.754</v>
      </c>
      <c r="C267" s="66">
        <v>907.053</v>
      </c>
      <c r="D267" s="11">
        <v>45369</v>
      </c>
      <c r="E267" s="69"/>
    </row>
    <row r="268" ht="15.75" spans="1:5">
      <c r="A268" s="66">
        <v>3045462.956</v>
      </c>
      <c r="B268" s="66">
        <v>35400647.754</v>
      </c>
      <c r="C268" s="66">
        <v>907.053</v>
      </c>
      <c r="D268" s="11">
        <v>45370</v>
      </c>
      <c r="E268" s="69"/>
    </row>
    <row r="269" ht="15.75" spans="1:5">
      <c r="A269" s="66">
        <v>3045462.956</v>
      </c>
      <c r="B269" s="66">
        <v>35400647.754</v>
      </c>
      <c r="C269" s="66">
        <v>907.053</v>
      </c>
      <c r="D269" s="11">
        <v>45371</v>
      </c>
      <c r="E269" s="69"/>
    </row>
    <row r="270" ht="15.75" spans="1:5">
      <c r="A270" s="66">
        <v>3045462.956</v>
      </c>
      <c r="B270" s="66">
        <v>35400647.754</v>
      </c>
      <c r="C270" s="66">
        <v>907.053</v>
      </c>
      <c r="D270" s="11">
        <v>45372</v>
      </c>
      <c r="E270" s="69"/>
    </row>
    <row r="271" ht="15.75" spans="1:5">
      <c r="A271" s="66">
        <v>3045462.956</v>
      </c>
      <c r="B271" s="66">
        <v>35400647.754</v>
      </c>
      <c r="C271" s="66">
        <v>907.053</v>
      </c>
      <c r="D271" s="11">
        <v>45373</v>
      </c>
      <c r="E271" s="69"/>
    </row>
    <row r="272" ht="15.75" spans="1:5">
      <c r="A272" s="66">
        <v>3045462.956</v>
      </c>
      <c r="B272" s="66">
        <v>35400647.754</v>
      </c>
      <c r="C272" s="66">
        <v>907.053</v>
      </c>
      <c r="D272" s="11">
        <v>45374</v>
      </c>
      <c r="E272" s="69"/>
    </row>
    <row r="273" ht="15.75" spans="1:5">
      <c r="A273" s="66">
        <v>3045462.956</v>
      </c>
      <c r="B273" s="66">
        <v>35400647.754</v>
      </c>
      <c r="C273" s="66">
        <v>907.053</v>
      </c>
      <c r="D273" s="11">
        <v>45375</v>
      </c>
      <c r="E273" s="69"/>
    </row>
    <row r="274" ht="15.75" spans="1:5">
      <c r="A274" s="66">
        <v>3045462.956</v>
      </c>
      <c r="B274" s="66">
        <v>35400647.754</v>
      </c>
      <c r="C274" s="66">
        <v>907.053</v>
      </c>
      <c r="D274" s="11">
        <v>45376</v>
      </c>
      <c r="E274" s="69"/>
    </row>
    <row r="275" ht="15.75" spans="1:5">
      <c r="A275" s="66">
        <v>3045462.956</v>
      </c>
      <c r="B275" s="66">
        <v>35400647.754</v>
      </c>
      <c r="C275" s="66">
        <v>907.053</v>
      </c>
      <c r="D275" s="11">
        <v>45377</v>
      </c>
      <c r="E275" s="69"/>
    </row>
    <row r="276" ht="15.75" spans="1:5">
      <c r="A276" s="66">
        <v>3045462.956</v>
      </c>
      <c r="B276" s="66">
        <v>35400647.754</v>
      </c>
      <c r="C276" s="66">
        <v>907.053</v>
      </c>
      <c r="D276" s="11">
        <v>45378</v>
      </c>
      <c r="E276" s="69"/>
    </row>
    <row r="277" ht="15.75" spans="1:5">
      <c r="A277" s="66">
        <v>3045462.956</v>
      </c>
      <c r="B277" s="66">
        <v>35400647.754</v>
      </c>
      <c r="C277" s="66">
        <v>907.053</v>
      </c>
      <c r="D277" s="11">
        <v>45379</v>
      </c>
      <c r="E277" s="69"/>
    </row>
    <row r="278" ht="15.75" spans="1:5">
      <c r="A278" s="66">
        <v>3045462.956</v>
      </c>
      <c r="B278" s="66">
        <v>35400647.754</v>
      </c>
      <c r="C278" s="66">
        <v>907.053</v>
      </c>
      <c r="D278" s="11">
        <v>45380</v>
      </c>
      <c r="E278" s="69"/>
    </row>
    <row r="279" ht="15.75" spans="1:5">
      <c r="A279" s="66">
        <v>3045462.956</v>
      </c>
      <c r="B279" s="66">
        <v>35400647.754</v>
      </c>
      <c r="C279" s="66">
        <v>907.053</v>
      </c>
      <c r="D279" s="11">
        <v>45381</v>
      </c>
      <c r="E279" s="69"/>
    </row>
    <row r="280" ht="15.75" spans="1:5">
      <c r="A280" s="66">
        <v>3045462.956</v>
      </c>
      <c r="B280" s="66">
        <v>35400647.754</v>
      </c>
      <c r="C280" s="66">
        <v>907.053</v>
      </c>
      <c r="D280" s="11">
        <v>45382</v>
      </c>
      <c r="E280" s="69"/>
    </row>
    <row r="281" ht="15.75" spans="1:5">
      <c r="A281" s="66">
        <v>3045462.956</v>
      </c>
      <c r="B281" s="66">
        <v>35400647.754</v>
      </c>
      <c r="C281" s="66">
        <v>907.053</v>
      </c>
      <c r="D281" s="11">
        <v>45383</v>
      </c>
      <c r="E281" s="69">
        <v>630.24</v>
      </c>
    </row>
    <row r="282" ht="15.75" spans="1:5">
      <c r="A282" s="66">
        <v>3045462.956</v>
      </c>
      <c r="B282" s="66">
        <v>35400647.754</v>
      </c>
      <c r="C282" s="66">
        <v>907.053</v>
      </c>
      <c r="D282" s="11">
        <v>45384</v>
      </c>
      <c r="E282" s="69">
        <v>738.766</v>
      </c>
    </row>
    <row r="283" ht="15.75" spans="1:5">
      <c r="A283" s="66">
        <v>3045462.956</v>
      </c>
      <c r="B283" s="66">
        <v>35400647.754</v>
      </c>
      <c r="C283" s="66">
        <v>907.053</v>
      </c>
      <c r="D283" s="11">
        <v>45385</v>
      </c>
      <c r="E283" s="69">
        <v>626.697</v>
      </c>
    </row>
    <row r="284" ht="15.75" spans="1:5">
      <c r="A284" s="66">
        <v>3045462.956</v>
      </c>
      <c r="B284" s="66">
        <v>35400647.754</v>
      </c>
      <c r="C284" s="66">
        <v>907.053</v>
      </c>
      <c r="D284" s="11">
        <v>45386</v>
      </c>
      <c r="E284" s="69">
        <v>626.388</v>
      </c>
    </row>
    <row r="285" ht="15.75" spans="1:5">
      <c r="A285" s="66">
        <v>3045462.956</v>
      </c>
      <c r="B285" s="66">
        <v>35400647.754</v>
      </c>
      <c r="C285" s="66">
        <v>907.053</v>
      </c>
      <c r="D285" s="11">
        <v>45387</v>
      </c>
      <c r="E285" s="69">
        <v>625.976</v>
      </c>
    </row>
    <row r="286" ht="15.75" spans="1:5">
      <c r="A286" s="66">
        <v>3045462.956</v>
      </c>
      <c r="B286" s="66">
        <v>35400647.754</v>
      </c>
      <c r="C286" s="66">
        <v>907.053</v>
      </c>
      <c r="D286" s="11">
        <v>45388</v>
      </c>
      <c r="E286" s="69">
        <v>625.979</v>
      </c>
    </row>
    <row r="287" ht="15.75" spans="1:5">
      <c r="A287" s="66">
        <v>3045462.956</v>
      </c>
      <c r="B287" s="66">
        <v>35400647.754</v>
      </c>
      <c r="C287" s="66">
        <v>907.053</v>
      </c>
      <c r="D287" s="11">
        <v>45389</v>
      </c>
      <c r="E287" s="69">
        <v>625.739</v>
      </c>
    </row>
    <row r="288" ht="15.75" spans="1:5">
      <c r="A288" s="66">
        <v>3045462.956</v>
      </c>
      <c r="B288" s="66">
        <v>35400647.754</v>
      </c>
      <c r="C288" s="66">
        <v>907.053</v>
      </c>
      <c r="D288" s="11">
        <v>45390</v>
      </c>
      <c r="E288" s="69">
        <v>625.558</v>
      </c>
    </row>
    <row r="289" ht="15.75" spans="1:5">
      <c r="A289" s="66">
        <v>3045462.956</v>
      </c>
      <c r="B289" s="66">
        <v>35400647.754</v>
      </c>
      <c r="C289" s="66">
        <v>907.053</v>
      </c>
      <c r="D289" s="11">
        <v>45391</v>
      </c>
      <c r="E289" s="69">
        <v>625.475</v>
      </c>
    </row>
    <row r="290" ht="15.75" spans="1:5">
      <c r="A290" s="66">
        <v>3045462.956</v>
      </c>
      <c r="B290" s="66">
        <v>35400647.754</v>
      </c>
      <c r="C290" s="66">
        <v>907.053</v>
      </c>
      <c r="D290" s="11">
        <v>45392</v>
      </c>
      <c r="E290" s="69">
        <v>625.363</v>
      </c>
    </row>
    <row r="291" ht="15.75" spans="1:5">
      <c r="A291" s="66">
        <v>3045462.956</v>
      </c>
      <c r="B291" s="66">
        <v>35400647.754</v>
      </c>
      <c r="C291" s="66">
        <v>907.053</v>
      </c>
      <c r="D291" s="11">
        <v>45393</v>
      </c>
      <c r="E291" s="69">
        <v>625.255</v>
      </c>
    </row>
    <row r="292" ht="15.75" spans="1:5">
      <c r="A292" s="66">
        <v>3045462.956</v>
      </c>
      <c r="B292" s="66">
        <v>35400647.754</v>
      </c>
      <c r="C292" s="66">
        <v>907.053</v>
      </c>
      <c r="D292" s="11">
        <v>45394</v>
      </c>
      <c r="E292" s="69">
        <v>625.04</v>
      </c>
    </row>
    <row r="293" ht="15.75" spans="1:5">
      <c r="A293" s="66">
        <v>3045462.956</v>
      </c>
      <c r="B293" s="66">
        <v>35400647.754</v>
      </c>
      <c r="C293" s="66">
        <v>907.053</v>
      </c>
      <c r="D293" s="11">
        <v>45395</v>
      </c>
      <c r="E293" s="69">
        <v>624.969</v>
      </c>
    </row>
    <row r="294" ht="15.75" spans="1:5">
      <c r="A294" s="66">
        <v>3045462.956</v>
      </c>
      <c r="B294" s="66">
        <v>35400647.754</v>
      </c>
      <c r="C294" s="66">
        <v>907.053</v>
      </c>
      <c r="D294" s="11">
        <v>45396</v>
      </c>
      <c r="E294" s="69"/>
    </row>
    <row r="295" ht="15.75" spans="1:5">
      <c r="A295" s="66">
        <v>3045462.956</v>
      </c>
      <c r="B295" s="66">
        <v>35400647.754</v>
      </c>
      <c r="C295" s="66">
        <v>907.053</v>
      </c>
      <c r="D295" s="11">
        <v>45397</v>
      </c>
      <c r="E295" s="69"/>
    </row>
    <row r="296" ht="15.75" spans="1:5">
      <c r="A296" s="66">
        <v>3045462.956</v>
      </c>
      <c r="B296" s="66">
        <v>35400647.754</v>
      </c>
      <c r="C296" s="66">
        <v>907.053</v>
      </c>
      <c r="D296" s="11">
        <v>45398</v>
      </c>
      <c r="E296" s="69"/>
    </row>
    <row r="297" ht="15.75" spans="1:5">
      <c r="A297" s="66">
        <v>3045462.956</v>
      </c>
      <c r="B297" s="66">
        <v>35400647.754</v>
      </c>
      <c r="C297" s="66">
        <v>907.053</v>
      </c>
      <c r="D297" s="11">
        <v>45399</v>
      </c>
      <c r="E297" s="69"/>
    </row>
    <row r="298" ht="15.75" spans="1:5">
      <c r="A298" s="66">
        <v>3045462.956</v>
      </c>
      <c r="B298" s="66">
        <v>35400647.754</v>
      </c>
      <c r="C298" s="66">
        <v>907.053</v>
      </c>
      <c r="D298" s="11">
        <v>45400</v>
      </c>
      <c r="E298" s="69"/>
    </row>
    <row r="299" ht="15.75" spans="1:5">
      <c r="A299" s="66">
        <v>3045462.956</v>
      </c>
      <c r="B299" s="66">
        <v>35400647.754</v>
      </c>
      <c r="C299" s="66">
        <v>907.053</v>
      </c>
      <c r="D299" s="11">
        <v>45401</v>
      </c>
      <c r="E299" s="69">
        <v>624.969</v>
      </c>
    </row>
    <row r="300" ht="15.75" spans="1:5">
      <c r="A300" s="66">
        <v>3045462.956</v>
      </c>
      <c r="B300" s="66">
        <v>35400647.754</v>
      </c>
      <c r="C300" s="66">
        <v>907.053</v>
      </c>
      <c r="D300" s="11">
        <v>45402</v>
      </c>
      <c r="E300" s="69"/>
    </row>
    <row r="301" ht="15.75" spans="1:5">
      <c r="A301" s="66">
        <v>3045462.956</v>
      </c>
      <c r="B301" s="66">
        <v>35400647.754</v>
      </c>
      <c r="C301" s="66">
        <v>907.053</v>
      </c>
      <c r="D301" s="11">
        <v>45403</v>
      </c>
      <c r="E301" s="69"/>
    </row>
    <row r="302" ht="15.75" spans="1:5">
      <c r="A302" s="66">
        <v>3045462.956</v>
      </c>
      <c r="B302" s="66">
        <v>35400647.754</v>
      </c>
      <c r="C302" s="66">
        <v>907.053</v>
      </c>
      <c r="D302" s="11">
        <v>45404</v>
      </c>
      <c r="E302" s="69">
        <v>624.02</v>
      </c>
    </row>
    <row r="303" ht="15.75" spans="1:5">
      <c r="A303" s="66">
        <v>3045462.956</v>
      </c>
      <c r="B303" s="66">
        <v>35400647.754</v>
      </c>
      <c r="C303" s="66">
        <v>907.053</v>
      </c>
      <c r="D303" s="11">
        <v>45405</v>
      </c>
      <c r="E303" s="69">
        <v>623.877</v>
      </c>
    </row>
    <row r="304" ht="15.75" spans="1:5">
      <c r="A304" s="66">
        <v>3045462.956</v>
      </c>
      <c r="B304" s="66">
        <v>35400647.754</v>
      </c>
      <c r="C304" s="66">
        <v>907.053</v>
      </c>
      <c r="D304" s="11">
        <v>45406</v>
      </c>
      <c r="E304" s="69">
        <v>623.791</v>
      </c>
    </row>
    <row r="305" ht="15.75" spans="1:5">
      <c r="A305" s="66">
        <v>3045462.956</v>
      </c>
      <c r="B305" s="66">
        <v>35400647.754</v>
      </c>
      <c r="C305" s="66">
        <v>907.053</v>
      </c>
      <c r="D305" s="11">
        <v>45407</v>
      </c>
      <c r="E305" s="69">
        <v>623.683</v>
      </c>
    </row>
    <row r="306" ht="15.75" spans="1:5">
      <c r="A306" s="66">
        <v>3045462.956</v>
      </c>
      <c r="B306" s="66">
        <v>35400647.754</v>
      </c>
      <c r="C306" s="66">
        <v>907.053</v>
      </c>
      <c r="D306" s="11">
        <v>45408</v>
      </c>
      <c r="E306" s="69">
        <v>623.588</v>
      </c>
    </row>
    <row r="307" ht="15.75" spans="1:5">
      <c r="A307" s="66">
        <v>3045462.956</v>
      </c>
      <c r="B307" s="66">
        <v>35400647.754</v>
      </c>
      <c r="C307" s="66">
        <v>907.053</v>
      </c>
      <c r="D307" s="11">
        <v>45409</v>
      </c>
      <c r="E307" s="69">
        <v>623.461</v>
      </c>
    </row>
    <row r="308" ht="15.75" spans="1:5">
      <c r="A308" s="66">
        <v>3045462.956</v>
      </c>
      <c r="B308" s="66">
        <v>35400647.754</v>
      </c>
      <c r="C308" s="66">
        <v>907.053</v>
      </c>
      <c r="D308" s="11">
        <v>45410</v>
      </c>
      <c r="E308" s="69">
        <v>623.521</v>
      </c>
    </row>
    <row r="309" ht="15.75" spans="1:5">
      <c r="A309" s="66">
        <v>3045462.956</v>
      </c>
      <c r="B309" s="66">
        <v>35400647.754</v>
      </c>
      <c r="C309" s="66">
        <v>907.053</v>
      </c>
      <c r="D309" s="11">
        <v>45411</v>
      </c>
      <c r="E309" s="69">
        <v>623.44</v>
      </c>
    </row>
    <row r="310" ht="15.75" spans="1:5">
      <c r="A310" s="66">
        <v>3045462.956</v>
      </c>
      <c r="B310" s="66">
        <v>35400647.754</v>
      </c>
      <c r="C310" s="66">
        <v>907.053</v>
      </c>
      <c r="D310" s="11">
        <v>45412</v>
      </c>
      <c r="E310" s="69">
        <v>623.322</v>
      </c>
    </row>
    <row r="311" ht="15.75" spans="1:5">
      <c r="A311" s="66">
        <v>3045462.956</v>
      </c>
      <c r="B311" s="66">
        <v>35400647.754</v>
      </c>
      <c r="C311" s="66">
        <v>907.053</v>
      </c>
      <c r="D311" s="11">
        <v>45413</v>
      </c>
      <c r="E311" s="69">
        <v>623.163</v>
      </c>
    </row>
    <row r="312" ht="15.75" spans="1:5">
      <c r="A312" s="66">
        <v>3045462.956</v>
      </c>
      <c r="B312" s="66">
        <v>35400647.754</v>
      </c>
      <c r="C312" s="66">
        <v>907.053</v>
      </c>
      <c r="D312" s="11">
        <v>45414</v>
      </c>
      <c r="E312" s="69">
        <v>623.087</v>
      </c>
    </row>
    <row r="313" ht="15.75" spans="1:5">
      <c r="A313" s="66">
        <v>3045462.956</v>
      </c>
      <c r="B313" s="66">
        <v>35400647.754</v>
      </c>
      <c r="C313" s="66">
        <v>907.053</v>
      </c>
      <c r="D313" s="11">
        <v>45415</v>
      </c>
      <c r="E313" s="69">
        <v>625.26</v>
      </c>
    </row>
    <row r="314" ht="15.75" spans="1:5">
      <c r="A314" s="66">
        <v>3045462.956</v>
      </c>
      <c r="B314" s="66">
        <v>35400647.754</v>
      </c>
      <c r="C314" s="66">
        <v>907.053</v>
      </c>
      <c r="D314" s="11">
        <v>45416</v>
      </c>
      <c r="E314" s="69">
        <v>625.397</v>
      </c>
    </row>
    <row r="315" ht="15.75" spans="1:5">
      <c r="A315" s="66">
        <v>3045462.956</v>
      </c>
      <c r="B315" s="66">
        <v>35400647.754</v>
      </c>
      <c r="C315" s="66">
        <v>907.053</v>
      </c>
      <c r="D315" s="11">
        <v>45417</v>
      </c>
      <c r="E315" s="69">
        <v>625.357</v>
      </c>
    </row>
    <row r="316" ht="15.75" spans="1:5">
      <c r="A316" s="66">
        <v>3045462.956</v>
      </c>
      <c r="B316" s="66">
        <v>35400647.754</v>
      </c>
      <c r="C316" s="66">
        <v>907.053</v>
      </c>
      <c r="D316" s="11">
        <v>45418</v>
      </c>
      <c r="E316" s="69">
        <v>625.217</v>
      </c>
    </row>
    <row r="317" ht="15.75" spans="1:5">
      <c r="A317" s="66">
        <v>3045462.956</v>
      </c>
      <c r="B317" s="66">
        <v>35400647.754</v>
      </c>
      <c r="C317" s="66">
        <v>907.053</v>
      </c>
      <c r="D317" s="11">
        <v>45419</v>
      </c>
      <c r="E317" s="69">
        <v>624.938</v>
      </c>
    </row>
    <row r="318" ht="15.75" spans="1:5">
      <c r="A318" s="66">
        <v>3045462.956</v>
      </c>
      <c r="B318" s="66">
        <v>35400647.754</v>
      </c>
      <c r="C318" s="66">
        <v>907.053</v>
      </c>
      <c r="D318" s="11">
        <v>45420</v>
      </c>
      <c r="E318" s="69">
        <v>624.616</v>
      </c>
    </row>
    <row r="319" ht="15.75" spans="1:5">
      <c r="A319" s="66">
        <v>3045462.956</v>
      </c>
      <c r="B319" s="66">
        <v>35400647.754</v>
      </c>
      <c r="C319" s="66">
        <v>907.053</v>
      </c>
      <c r="D319" s="11">
        <v>45421</v>
      </c>
      <c r="E319" s="69">
        <v>624.328</v>
      </c>
    </row>
    <row r="320" ht="15.75" spans="1:5">
      <c r="A320" s="66">
        <v>3045462.956</v>
      </c>
      <c r="B320" s="66">
        <v>35400647.754</v>
      </c>
      <c r="C320" s="66">
        <v>907.053</v>
      </c>
      <c r="D320" s="11">
        <v>45422</v>
      </c>
      <c r="E320" s="69">
        <v>623.962</v>
      </c>
    </row>
    <row r="321" ht="15.75" spans="1:5">
      <c r="A321" s="66">
        <v>3045462.956</v>
      </c>
      <c r="B321" s="66">
        <v>35400647.754</v>
      </c>
      <c r="C321" s="66">
        <v>907.053</v>
      </c>
      <c r="D321" s="11">
        <v>45423</v>
      </c>
      <c r="E321" s="69">
        <v>623.609</v>
      </c>
    </row>
  </sheetData>
  <mergeCells count="1">
    <mergeCell ref="A1:C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F3" sqref="F3"/>
    </sheetView>
  </sheetViews>
  <sheetFormatPr defaultColWidth="9" defaultRowHeight="15" outlineLevelCol="5"/>
  <cols>
    <col min="1" max="1" width="17.375" style="62" customWidth="1"/>
    <col min="2" max="2" width="10.5" style="62" customWidth="1"/>
    <col min="3" max="3" width="19.25" style="35" customWidth="1"/>
    <col min="4" max="4" width="17.25" style="1" customWidth="1"/>
    <col min="5" max="5" width="9.125" style="35" customWidth="1"/>
    <col min="6" max="6" width="24.875" style="35" customWidth="1"/>
    <col min="7" max="16384" width="9" style="35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5.75" spans="1:6">
      <c r="A3" s="63">
        <v>3045148.6737</v>
      </c>
      <c r="B3" s="63">
        <v>400730.5954</v>
      </c>
      <c r="C3" s="33">
        <v>671.68</v>
      </c>
      <c r="D3" s="34">
        <v>44927</v>
      </c>
      <c r="E3" s="54"/>
      <c r="F3" s="35" t="s">
        <v>3065</v>
      </c>
    </row>
    <row r="4" ht="15.75" spans="1:5">
      <c r="A4" s="63">
        <v>3045148.6737</v>
      </c>
      <c r="B4" s="63">
        <v>400730.5954</v>
      </c>
      <c r="C4" s="33">
        <v>671.68</v>
      </c>
      <c r="D4" s="11">
        <v>44928</v>
      </c>
      <c r="E4" s="54"/>
    </row>
    <row r="5" ht="15.75" spans="1:5">
      <c r="A5" s="63">
        <v>3045148.6737</v>
      </c>
      <c r="B5" s="63">
        <v>400730.5954</v>
      </c>
      <c r="C5" s="33">
        <v>671.68</v>
      </c>
      <c r="D5" s="11">
        <v>44929</v>
      </c>
      <c r="E5" s="54"/>
    </row>
    <row r="6" ht="15.75" spans="1:5">
      <c r="A6" s="63">
        <v>3045148.6737</v>
      </c>
      <c r="B6" s="63">
        <v>400730.5954</v>
      </c>
      <c r="C6" s="33">
        <v>671.68</v>
      </c>
      <c r="D6" s="11">
        <v>44930</v>
      </c>
      <c r="E6" s="54"/>
    </row>
    <row r="7" ht="15.75" spans="1:5">
      <c r="A7" s="63">
        <v>3045148.6737</v>
      </c>
      <c r="B7" s="63">
        <v>400730.5954</v>
      </c>
      <c r="C7" s="33">
        <v>671.68</v>
      </c>
      <c r="D7" s="11">
        <v>44931</v>
      </c>
      <c r="E7" s="56"/>
    </row>
    <row r="8" ht="15.75" spans="1:5">
      <c r="A8" s="63">
        <v>3045148.6737</v>
      </c>
      <c r="B8" s="63">
        <v>400730.5954</v>
      </c>
      <c r="C8" s="33">
        <v>671.68</v>
      </c>
      <c r="D8" s="11">
        <v>44932</v>
      </c>
      <c r="E8" s="54"/>
    </row>
    <row r="9" ht="15.75" spans="1:5">
      <c r="A9" s="63">
        <v>3045148.6737</v>
      </c>
      <c r="B9" s="63">
        <v>400730.5954</v>
      </c>
      <c r="C9" s="33">
        <v>671.68</v>
      </c>
      <c r="D9" s="11">
        <v>44933</v>
      </c>
      <c r="E9" s="54"/>
    </row>
    <row r="10" ht="15.75" spans="1:5">
      <c r="A10" s="63">
        <v>3045148.6737</v>
      </c>
      <c r="B10" s="63">
        <v>400730.5954</v>
      </c>
      <c r="C10" s="33">
        <v>671.68</v>
      </c>
      <c r="D10" s="11">
        <v>44934</v>
      </c>
      <c r="E10" s="54"/>
    </row>
    <row r="11" ht="15.75" spans="1:5">
      <c r="A11" s="63">
        <v>3045148.6737</v>
      </c>
      <c r="B11" s="63">
        <v>400730.5954</v>
      </c>
      <c r="C11" s="33">
        <v>671.68</v>
      </c>
      <c r="D11" s="11">
        <v>44935</v>
      </c>
      <c r="E11" s="54"/>
    </row>
    <row r="12" ht="15.75" spans="1:5">
      <c r="A12" s="63">
        <v>3045148.6737</v>
      </c>
      <c r="B12" s="63">
        <v>400730.5954</v>
      </c>
      <c r="C12" s="33">
        <v>671.68</v>
      </c>
      <c r="D12" s="11">
        <v>44936</v>
      </c>
      <c r="E12" s="54"/>
    </row>
    <row r="13" ht="15.75" spans="1:5">
      <c r="A13" s="63">
        <v>3045148.6737</v>
      </c>
      <c r="B13" s="63">
        <v>400730.5954</v>
      </c>
      <c r="C13" s="33">
        <v>671.68</v>
      </c>
      <c r="D13" s="11">
        <v>44937</v>
      </c>
      <c r="E13" s="54"/>
    </row>
    <row r="14" ht="15.75" spans="1:5">
      <c r="A14" s="63">
        <v>3045148.6737</v>
      </c>
      <c r="B14" s="63">
        <v>400730.5954</v>
      </c>
      <c r="C14" s="33">
        <v>671.68</v>
      </c>
      <c r="D14" s="11">
        <v>44938</v>
      </c>
      <c r="E14" s="54"/>
    </row>
    <row r="15" ht="15.75" spans="1:5">
      <c r="A15" s="63">
        <v>3045148.6737</v>
      </c>
      <c r="B15" s="63">
        <v>400730.5954</v>
      </c>
      <c r="C15" s="33">
        <v>671.68</v>
      </c>
      <c r="D15" s="11">
        <v>44939</v>
      </c>
      <c r="E15" s="54"/>
    </row>
    <row r="16" ht="15.75" spans="1:5">
      <c r="A16" s="63">
        <v>3045148.6737</v>
      </c>
      <c r="B16" s="63">
        <v>400730.5954</v>
      </c>
      <c r="C16" s="33">
        <v>671.68</v>
      </c>
      <c r="D16" s="11">
        <v>44940</v>
      </c>
      <c r="E16" s="54"/>
    </row>
    <row r="17" ht="15.75" spans="1:5">
      <c r="A17" s="63">
        <v>3045148.6737</v>
      </c>
      <c r="B17" s="63">
        <v>400730.5954</v>
      </c>
      <c r="C17" s="33">
        <v>671.68</v>
      </c>
      <c r="D17" s="11">
        <v>44941</v>
      </c>
      <c r="E17" s="54"/>
    </row>
    <row r="18" ht="15.75" spans="1:5">
      <c r="A18" s="63">
        <v>3045148.6737</v>
      </c>
      <c r="B18" s="63">
        <v>400730.5954</v>
      </c>
      <c r="C18" s="33">
        <v>671.68</v>
      </c>
      <c r="D18" s="11">
        <v>44942</v>
      </c>
      <c r="E18" s="54"/>
    </row>
    <row r="19" ht="15.75" spans="1:5">
      <c r="A19" s="63">
        <v>3045148.6737</v>
      </c>
      <c r="B19" s="63">
        <v>400730.5954</v>
      </c>
      <c r="C19" s="33">
        <v>671.68</v>
      </c>
      <c r="D19" s="11">
        <v>44943</v>
      </c>
      <c r="E19" s="54"/>
    </row>
    <row r="20" ht="15.75" spans="1:5">
      <c r="A20" s="63">
        <v>3045148.6737</v>
      </c>
      <c r="B20" s="63">
        <v>400730.5954</v>
      </c>
      <c r="C20" s="33">
        <v>671.68</v>
      </c>
      <c r="D20" s="11">
        <v>44944</v>
      </c>
      <c r="E20" s="54"/>
    </row>
    <row r="21" ht="15.75" spans="1:5">
      <c r="A21" s="63">
        <v>3045148.6737</v>
      </c>
      <c r="B21" s="63">
        <v>400730.5954</v>
      </c>
      <c r="C21" s="33">
        <v>671.68</v>
      </c>
      <c r="D21" s="11">
        <v>44945</v>
      </c>
      <c r="E21" s="54"/>
    </row>
    <row r="22" ht="15.75" spans="1:5">
      <c r="A22" s="63">
        <v>3045148.6737</v>
      </c>
      <c r="B22" s="63">
        <v>400730.5954</v>
      </c>
      <c r="C22" s="33">
        <v>671.68</v>
      </c>
      <c r="D22" s="11">
        <v>44946</v>
      </c>
      <c r="E22" s="54"/>
    </row>
    <row r="23" ht="15.75" spans="1:5">
      <c r="A23" s="63">
        <v>3045148.6737</v>
      </c>
      <c r="B23" s="63">
        <v>400730.5954</v>
      </c>
      <c r="C23" s="33">
        <v>671.68</v>
      </c>
      <c r="D23" s="11">
        <v>44947</v>
      </c>
      <c r="E23" s="54"/>
    </row>
    <row r="24" ht="15.75" spans="1:5">
      <c r="A24" s="63">
        <v>3045148.6737</v>
      </c>
      <c r="B24" s="63">
        <v>400730.5954</v>
      </c>
      <c r="C24" s="33">
        <v>671.68</v>
      </c>
      <c r="D24" s="11">
        <v>44948</v>
      </c>
      <c r="E24" s="54"/>
    </row>
    <row r="25" ht="15.75" spans="1:5">
      <c r="A25" s="63">
        <v>3045148.6737</v>
      </c>
      <c r="B25" s="63">
        <v>400730.5954</v>
      </c>
      <c r="C25" s="33">
        <v>671.68</v>
      </c>
      <c r="D25" s="11">
        <v>44949</v>
      </c>
      <c r="E25" s="54"/>
    </row>
    <row r="26" ht="15.75" spans="1:5">
      <c r="A26" s="63">
        <v>3045148.6737</v>
      </c>
      <c r="B26" s="63">
        <v>400730.5954</v>
      </c>
      <c r="C26" s="33">
        <v>671.68</v>
      </c>
      <c r="D26" s="11">
        <v>44950</v>
      </c>
      <c r="E26" s="54"/>
    </row>
    <row r="27" ht="15.75" spans="1:5">
      <c r="A27" s="63">
        <v>3045148.6737</v>
      </c>
      <c r="B27" s="63">
        <v>400730.5954</v>
      </c>
      <c r="C27" s="33">
        <v>671.68</v>
      </c>
      <c r="D27" s="11">
        <v>44951</v>
      </c>
      <c r="E27" s="54"/>
    </row>
    <row r="28" ht="15.75" spans="1:5">
      <c r="A28" s="63">
        <v>3045148.6737</v>
      </c>
      <c r="B28" s="63">
        <v>400730.5954</v>
      </c>
      <c r="C28" s="33">
        <v>671.68</v>
      </c>
      <c r="D28" s="11">
        <v>44952</v>
      </c>
      <c r="E28" s="54"/>
    </row>
    <row r="29" ht="15.75" spans="1:5">
      <c r="A29" s="63">
        <v>3045148.6737</v>
      </c>
      <c r="B29" s="63">
        <v>400730.5954</v>
      </c>
      <c r="C29" s="33">
        <v>671.68</v>
      </c>
      <c r="D29" s="11">
        <v>44953</v>
      </c>
      <c r="E29" s="54"/>
    </row>
    <row r="30" ht="15.75" spans="1:5">
      <c r="A30" s="63">
        <v>3045148.6737</v>
      </c>
      <c r="B30" s="63">
        <v>400730.5954</v>
      </c>
      <c r="C30" s="33">
        <v>671.68</v>
      </c>
      <c r="D30" s="11">
        <v>44954</v>
      </c>
      <c r="E30" s="54"/>
    </row>
    <row r="31" ht="15.75" spans="1:5">
      <c r="A31" s="63">
        <v>3045148.6737</v>
      </c>
      <c r="B31" s="63">
        <v>400730.5954</v>
      </c>
      <c r="C31" s="33">
        <v>671.68</v>
      </c>
      <c r="D31" s="11">
        <v>44955</v>
      </c>
      <c r="E31" s="54"/>
    </row>
    <row r="32" ht="15.75" spans="1:5">
      <c r="A32" s="63">
        <v>3045148.6737</v>
      </c>
      <c r="B32" s="63">
        <v>400730.5954</v>
      </c>
      <c r="C32" s="33">
        <v>671.68</v>
      </c>
      <c r="D32" s="11">
        <v>44956</v>
      </c>
      <c r="E32" s="54"/>
    </row>
    <row r="33" ht="15.75" spans="1:5">
      <c r="A33" s="63">
        <v>3045148.6737</v>
      </c>
      <c r="B33" s="63">
        <v>400730.5954</v>
      </c>
      <c r="C33" s="33">
        <v>671.68</v>
      </c>
      <c r="D33" s="11">
        <v>44957</v>
      </c>
      <c r="E33" s="54"/>
    </row>
    <row r="34" ht="15.75" spans="1:5">
      <c r="A34" s="63">
        <v>3045148.6737</v>
      </c>
      <c r="B34" s="63">
        <v>400730.5954</v>
      </c>
      <c r="C34" s="33">
        <v>671.68</v>
      </c>
      <c r="D34" s="11">
        <v>44958</v>
      </c>
      <c r="E34" s="54"/>
    </row>
    <row r="35" ht="15.75" spans="1:5">
      <c r="A35" s="63">
        <v>3045148.6737</v>
      </c>
      <c r="B35" s="63">
        <v>400730.5954</v>
      </c>
      <c r="C35" s="33">
        <v>671.68</v>
      </c>
      <c r="D35" s="11">
        <v>44959</v>
      </c>
      <c r="E35" s="56"/>
    </row>
    <row r="36" ht="15.75" spans="1:5">
      <c r="A36" s="63">
        <v>3045148.6737</v>
      </c>
      <c r="B36" s="63">
        <v>400730.5954</v>
      </c>
      <c r="C36" s="33">
        <v>671.68</v>
      </c>
      <c r="D36" s="11">
        <v>44960</v>
      </c>
      <c r="E36" s="54"/>
    </row>
    <row r="37" ht="15.75" spans="1:5">
      <c r="A37" s="63">
        <v>3045148.6737</v>
      </c>
      <c r="B37" s="63">
        <v>400730.5954</v>
      </c>
      <c r="C37" s="33">
        <v>671.68</v>
      </c>
      <c r="D37" s="11">
        <v>44961</v>
      </c>
      <c r="E37" s="54"/>
    </row>
    <row r="38" ht="15.75" spans="1:5">
      <c r="A38" s="63">
        <v>3045148.6737</v>
      </c>
      <c r="B38" s="63">
        <v>400730.5954</v>
      </c>
      <c r="C38" s="33">
        <v>671.68</v>
      </c>
      <c r="D38" s="11">
        <v>44962</v>
      </c>
      <c r="E38" s="54"/>
    </row>
    <row r="39" ht="15.75" spans="1:5">
      <c r="A39" s="63">
        <v>3045148.6737</v>
      </c>
      <c r="B39" s="63">
        <v>400730.5954</v>
      </c>
      <c r="C39" s="33">
        <v>671.68</v>
      </c>
      <c r="D39" s="11">
        <v>44963</v>
      </c>
      <c r="E39" s="54"/>
    </row>
    <row r="40" ht="15.75" spans="1:5">
      <c r="A40" s="63">
        <v>3045148.6737</v>
      </c>
      <c r="B40" s="63">
        <v>400730.5954</v>
      </c>
      <c r="C40" s="33">
        <v>671.68</v>
      </c>
      <c r="D40" s="11">
        <v>44964</v>
      </c>
      <c r="E40" s="54"/>
    </row>
    <row r="41" ht="15.75" spans="1:5">
      <c r="A41" s="63">
        <v>3045148.6737</v>
      </c>
      <c r="B41" s="63">
        <v>400730.5954</v>
      </c>
      <c r="C41" s="33">
        <v>671.68</v>
      </c>
      <c r="D41" s="11">
        <v>44965</v>
      </c>
      <c r="E41" s="54"/>
    </row>
    <row r="42" ht="15.75" spans="1:5">
      <c r="A42" s="63">
        <v>3045148.6737</v>
      </c>
      <c r="B42" s="63">
        <v>400730.5954</v>
      </c>
      <c r="C42" s="33">
        <v>671.68</v>
      </c>
      <c r="D42" s="11">
        <v>44966</v>
      </c>
      <c r="E42" s="54"/>
    </row>
    <row r="43" ht="15.75" spans="1:5">
      <c r="A43" s="63">
        <v>3045148.6737</v>
      </c>
      <c r="B43" s="63">
        <v>400730.5954</v>
      </c>
      <c r="C43" s="33">
        <v>671.68</v>
      </c>
      <c r="D43" s="11">
        <v>44967</v>
      </c>
      <c r="E43" s="54"/>
    </row>
    <row r="44" ht="15.75" spans="1:5">
      <c r="A44" s="63">
        <v>3045148.6737</v>
      </c>
      <c r="B44" s="63">
        <v>400730.5954</v>
      </c>
      <c r="C44" s="33">
        <v>671.68</v>
      </c>
      <c r="D44" s="11">
        <v>44968</v>
      </c>
      <c r="E44" s="54"/>
    </row>
    <row r="45" ht="15.75" spans="1:5">
      <c r="A45" s="63">
        <v>3045148.6737</v>
      </c>
      <c r="B45" s="63">
        <v>400730.5954</v>
      </c>
      <c r="C45" s="33">
        <v>671.68</v>
      </c>
      <c r="D45" s="11">
        <v>44969</v>
      </c>
      <c r="E45" s="54"/>
    </row>
    <row r="46" ht="15.75" spans="1:5">
      <c r="A46" s="63">
        <v>3045148.6737</v>
      </c>
      <c r="B46" s="63">
        <v>400730.5954</v>
      </c>
      <c r="C46" s="33">
        <v>671.68</v>
      </c>
      <c r="D46" s="11">
        <v>44970</v>
      </c>
      <c r="E46" s="56"/>
    </row>
    <row r="47" ht="15.75" spans="1:5">
      <c r="A47" s="63">
        <v>3045148.6737</v>
      </c>
      <c r="B47" s="63">
        <v>400730.5954</v>
      </c>
      <c r="C47" s="33">
        <v>671.68</v>
      </c>
      <c r="D47" s="11">
        <v>44971</v>
      </c>
      <c r="E47" s="54"/>
    </row>
    <row r="48" ht="15.75" spans="1:5">
      <c r="A48" s="63">
        <v>3045148.6737</v>
      </c>
      <c r="B48" s="63">
        <v>400730.5954</v>
      </c>
      <c r="C48" s="33">
        <v>671.68</v>
      </c>
      <c r="D48" s="11">
        <v>44972</v>
      </c>
      <c r="E48" s="54"/>
    </row>
    <row r="49" ht="15.75" spans="1:5">
      <c r="A49" s="63">
        <v>3045148.6737</v>
      </c>
      <c r="B49" s="63">
        <v>400730.5954</v>
      </c>
      <c r="C49" s="33">
        <v>671.68</v>
      </c>
      <c r="D49" s="11">
        <v>44973</v>
      </c>
      <c r="E49" s="54"/>
    </row>
    <row r="50" ht="15.75" spans="1:5">
      <c r="A50" s="63">
        <v>3045148.6737</v>
      </c>
      <c r="B50" s="63">
        <v>400730.5954</v>
      </c>
      <c r="C50" s="33">
        <v>671.68</v>
      </c>
      <c r="D50" s="11">
        <v>44974</v>
      </c>
      <c r="E50" s="54"/>
    </row>
    <row r="51" ht="15.75" spans="1:5">
      <c r="A51" s="63">
        <v>3045148.6737</v>
      </c>
      <c r="B51" s="63">
        <v>400730.5954</v>
      </c>
      <c r="C51" s="33">
        <v>671.68</v>
      </c>
      <c r="D51" s="11">
        <v>44975</v>
      </c>
      <c r="E51" s="54"/>
    </row>
    <row r="52" ht="15.75" spans="1:5">
      <c r="A52" s="63">
        <v>3045148.6737</v>
      </c>
      <c r="B52" s="63">
        <v>400730.5954</v>
      </c>
      <c r="C52" s="33">
        <v>671.68</v>
      </c>
      <c r="D52" s="11">
        <v>44976</v>
      </c>
      <c r="E52" s="54"/>
    </row>
    <row r="53" ht="15.75" spans="1:5">
      <c r="A53" s="63">
        <v>3045148.6737</v>
      </c>
      <c r="B53" s="63">
        <v>400730.5954</v>
      </c>
      <c r="C53" s="33">
        <v>671.68</v>
      </c>
      <c r="D53" s="11">
        <v>44977</v>
      </c>
      <c r="E53" s="54"/>
    </row>
    <row r="54" ht="15.75" spans="1:5">
      <c r="A54" s="63">
        <v>3045148.6737</v>
      </c>
      <c r="B54" s="63">
        <v>400730.5954</v>
      </c>
      <c r="C54" s="33">
        <v>671.68</v>
      </c>
      <c r="D54" s="11">
        <v>44978</v>
      </c>
      <c r="E54" s="54"/>
    </row>
    <row r="55" ht="15.75" spans="1:5">
      <c r="A55" s="63">
        <v>3045148.6737</v>
      </c>
      <c r="B55" s="63">
        <v>400730.5954</v>
      </c>
      <c r="C55" s="33">
        <v>671.68</v>
      </c>
      <c r="D55" s="11">
        <v>44979</v>
      </c>
      <c r="E55" s="54"/>
    </row>
    <row r="56" ht="15.75" spans="1:5">
      <c r="A56" s="63">
        <v>3045148.6737</v>
      </c>
      <c r="B56" s="63">
        <v>400730.5954</v>
      </c>
      <c r="C56" s="33">
        <v>671.68</v>
      </c>
      <c r="D56" s="11">
        <v>44980</v>
      </c>
      <c r="E56" s="54"/>
    </row>
    <row r="57" ht="15.75" spans="1:5">
      <c r="A57" s="63">
        <v>3045148.6737</v>
      </c>
      <c r="B57" s="63">
        <v>400730.5954</v>
      </c>
      <c r="C57" s="33">
        <v>671.68</v>
      </c>
      <c r="D57" s="11">
        <v>44981</v>
      </c>
      <c r="E57" s="54"/>
    </row>
    <row r="58" ht="15.75" spans="1:5">
      <c r="A58" s="63">
        <v>3045148.6737</v>
      </c>
      <c r="B58" s="63">
        <v>400730.5954</v>
      </c>
      <c r="C58" s="33">
        <v>671.68</v>
      </c>
      <c r="D58" s="11">
        <v>44982</v>
      </c>
      <c r="E58" s="54"/>
    </row>
    <row r="59" ht="15.75" spans="1:5">
      <c r="A59" s="63">
        <v>3045148.6737</v>
      </c>
      <c r="B59" s="63">
        <v>400730.5954</v>
      </c>
      <c r="C59" s="33">
        <v>671.68</v>
      </c>
      <c r="D59" s="11">
        <v>44983</v>
      </c>
      <c r="E59" s="54"/>
    </row>
    <row r="60" ht="15.75" spans="1:5">
      <c r="A60" s="63">
        <v>3045148.6737</v>
      </c>
      <c r="B60" s="63">
        <v>400730.5954</v>
      </c>
      <c r="C60" s="33">
        <v>671.68</v>
      </c>
      <c r="D60" s="11">
        <v>44984</v>
      </c>
      <c r="E60" s="54">
        <v>560.3</v>
      </c>
    </row>
    <row r="61" ht="15.75" spans="1:5">
      <c r="A61" s="63">
        <v>3045148.6737</v>
      </c>
      <c r="B61" s="63">
        <v>400730.5954</v>
      </c>
      <c r="C61" s="33">
        <v>671.68</v>
      </c>
      <c r="D61" s="11">
        <v>44985</v>
      </c>
      <c r="E61" s="54">
        <v>558.5</v>
      </c>
    </row>
    <row r="62" ht="15.75" spans="1:5">
      <c r="A62" s="63">
        <v>3045148.6737</v>
      </c>
      <c r="B62" s="63">
        <v>400730.5954</v>
      </c>
      <c r="C62" s="33">
        <v>671.68</v>
      </c>
      <c r="D62" s="11">
        <v>44986</v>
      </c>
      <c r="E62" s="54">
        <v>558</v>
      </c>
    </row>
    <row r="63" ht="15.75" spans="1:5">
      <c r="A63" s="63">
        <v>3045148.6737</v>
      </c>
      <c r="B63" s="63">
        <v>400730.5954</v>
      </c>
      <c r="C63" s="33">
        <v>671.68</v>
      </c>
      <c r="D63" s="11">
        <v>44987</v>
      </c>
      <c r="E63" s="54">
        <v>557.1</v>
      </c>
    </row>
    <row r="64" ht="15.75" spans="1:5">
      <c r="A64" s="63">
        <v>3045148.6737</v>
      </c>
      <c r="B64" s="63">
        <v>400730.5954</v>
      </c>
      <c r="C64" s="33">
        <v>671.68</v>
      </c>
      <c r="D64" s="11">
        <v>44988</v>
      </c>
      <c r="E64" s="54">
        <v>556.98</v>
      </c>
    </row>
    <row r="65" ht="15.75" spans="1:5">
      <c r="A65" s="63">
        <v>3045148.6737</v>
      </c>
      <c r="B65" s="63">
        <v>400730.5954</v>
      </c>
      <c r="C65" s="33">
        <v>671.68</v>
      </c>
      <c r="D65" s="11">
        <v>44989</v>
      </c>
      <c r="E65" s="54">
        <v>557.6</v>
      </c>
    </row>
    <row r="66" ht="15.75" spans="1:5">
      <c r="A66" s="63">
        <v>3045148.6737</v>
      </c>
      <c r="B66" s="63">
        <v>400730.5954</v>
      </c>
      <c r="C66" s="33">
        <v>671.68</v>
      </c>
      <c r="D66" s="11">
        <v>44990</v>
      </c>
      <c r="E66" s="54">
        <v>556.6</v>
      </c>
    </row>
    <row r="67" ht="15.75" spans="1:5">
      <c r="A67" s="63">
        <v>3045148.6737</v>
      </c>
      <c r="B67" s="63">
        <v>400730.5954</v>
      </c>
      <c r="C67" s="33">
        <v>671.68</v>
      </c>
      <c r="D67" s="11">
        <v>44991</v>
      </c>
      <c r="E67" s="54">
        <v>521.53</v>
      </c>
    </row>
    <row r="68" ht="15.75" spans="1:5">
      <c r="A68" s="63">
        <v>3045148.6737</v>
      </c>
      <c r="B68" s="63">
        <v>400730.5954</v>
      </c>
      <c r="C68" s="33">
        <v>671.68</v>
      </c>
      <c r="D68" s="11">
        <v>44992</v>
      </c>
      <c r="E68" s="54">
        <v>521</v>
      </c>
    </row>
    <row r="69" ht="15.75" spans="1:5">
      <c r="A69" s="63">
        <v>3045148.6737</v>
      </c>
      <c r="B69" s="63">
        <v>400730.5954</v>
      </c>
      <c r="C69" s="33">
        <v>671.68</v>
      </c>
      <c r="D69" s="11">
        <v>44993</v>
      </c>
      <c r="E69" s="54">
        <v>520.1</v>
      </c>
    </row>
    <row r="70" ht="15.75" spans="1:5">
      <c r="A70" s="63">
        <v>3045148.6737</v>
      </c>
      <c r="B70" s="63">
        <v>400730.5954</v>
      </c>
      <c r="C70" s="33">
        <v>671.68</v>
      </c>
      <c r="D70" s="11">
        <v>44994</v>
      </c>
      <c r="E70" s="54">
        <v>519.5</v>
      </c>
    </row>
    <row r="71" ht="15.75" spans="1:5">
      <c r="A71" s="63">
        <v>3045148.6737</v>
      </c>
      <c r="B71" s="63">
        <v>400730.5954</v>
      </c>
      <c r="C71" s="33">
        <v>671.68</v>
      </c>
      <c r="D71" s="11">
        <v>44995</v>
      </c>
      <c r="E71" s="54">
        <v>518.8</v>
      </c>
    </row>
    <row r="72" ht="15.75" spans="1:5">
      <c r="A72" s="63">
        <v>3045148.6737</v>
      </c>
      <c r="B72" s="63">
        <v>400730.5954</v>
      </c>
      <c r="C72" s="33">
        <v>671.68</v>
      </c>
      <c r="D72" s="11">
        <v>44996</v>
      </c>
      <c r="E72" s="54">
        <v>518</v>
      </c>
    </row>
    <row r="73" ht="15.75" spans="1:5">
      <c r="A73" s="63">
        <v>3045148.6737</v>
      </c>
      <c r="B73" s="63">
        <v>400730.5954</v>
      </c>
      <c r="C73" s="33">
        <v>671.68</v>
      </c>
      <c r="D73" s="11">
        <v>44997</v>
      </c>
      <c r="E73" s="54">
        <v>518</v>
      </c>
    </row>
    <row r="74" ht="15.75" spans="1:5">
      <c r="A74" s="63">
        <v>3045148.6737</v>
      </c>
      <c r="B74" s="63">
        <v>400730.5954</v>
      </c>
      <c r="C74" s="33">
        <v>671.68</v>
      </c>
      <c r="D74" s="11">
        <v>44998</v>
      </c>
      <c r="E74" s="54">
        <v>517.6</v>
      </c>
    </row>
    <row r="75" ht="15.75" spans="1:5">
      <c r="A75" s="63">
        <v>3045148.6737</v>
      </c>
      <c r="B75" s="63">
        <v>400730.5954</v>
      </c>
      <c r="C75" s="33">
        <v>671.68</v>
      </c>
      <c r="D75" s="11">
        <v>44999</v>
      </c>
      <c r="E75" s="54">
        <v>518.02</v>
      </c>
    </row>
    <row r="76" ht="15.75" spans="1:5">
      <c r="A76" s="63">
        <v>3045148.6737</v>
      </c>
      <c r="B76" s="63">
        <v>400730.5954</v>
      </c>
      <c r="C76" s="33">
        <v>671.68</v>
      </c>
      <c r="D76" s="11">
        <v>45000</v>
      </c>
      <c r="E76" s="54"/>
    </row>
    <row r="77" ht="15.75" spans="1:5">
      <c r="A77" s="63">
        <v>3045148.6737</v>
      </c>
      <c r="B77" s="63">
        <v>400730.5954</v>
      </c>
      <c r="C77" s="33">
        <v>671.68</v>
      </c>
      <c r="D77" s="11">
        <v>45001</v>
      </c>
      <c r="E77" s="54"/>
    </row>
    <row r="78" ht="15.75" spans="1:5">
      <c r="A78" s="63">
        <v>3045148.6737</v>
      </c>
      <c r="B78" s="63">
        <v>400730.5954</v>
      </c>
      <c r="C78" s="33">
        <v>671.68</v>
      </c>
      <c r="D78" s="11">
        <v>45002</v>
      </c>
      <c r="E78" s="59"/>
    </row>
    <row r="79" ht="15.75" spans="1:5">
      <c r="A79" s="63">
        <v>3045148.6737</v>
      </c>
      <c r="B79" s="63">
        <v>400730.5954</v>
      </c>
      <c r="C79" s="33">
        <v>671.68</v>
      </c>
      <c r="D79" s="11">
        <v>45003</v>
      </c>
      <c r="E79" s="54"/>
    </row>
    <row r="80" ht="15.75" spans="1:5">
      <c r="A80" s="63">
        <v>3045148.6737</v>
      </c>
      <c r="B80" s="63">
        <v>400730.5954</v>
      </c>
      <c r="C80" s="33">
        <v>671.68</v>
      </c>
      <c r="D80" s="11">
        <v>45004</v>
      </c>
      <c r="E80" s="54"/>
    </row>
    <row r="81" ht="15.75" spans="1:5">
      <c r="A81" s="63">
        <v>3045148.6737</v>
      </c>
      <c r="B81" s="63">
        <v>400730.5954</v>
      </c>
      <c r="C81" s="33">
        <v>671.68</v>
      </c>
      <c r="D81" s="11">
        <v>45005</v>
      </c>
      <c r="E81" s="54"/>
    </row>
    <row r="82" ht="15.75" spans="1:5">
      <c r="A82" s="63">
        <v>3045148.6737</v>
      </c>
      <c r="B82" s="63">
        <v>400730.5954</v>
      </c>
      <c r="C82" s="33">
        <v>671.68</v>
      </c>
      <c r="D82" s="11">
        <v>45006</v>
      </c>
      <c r="E82" s="54"/>
    </row>
    <row r="83" ht="15.75" spans="1:5">
      <c r="A83" s="63">
        <v>3045148.6737</v>
      </c>
      <c r="B83" s="63">
        <v>400730.5954</v>
      </c>
      <c r="C83" s="33">
        <v>671.68</v>
      </c>
      <c r="D83" s="11">
        <v>45007</v>
      </c>
      <c r="E83" s="54">
        <f>670-152.66</f>
        <v>517.34</v>
      </c>
    </row>
    <row r="84" ht="15.75" spans="1:5">
      <c r="A84" s="63">
        <v>3045148.6737</v>
      </c>
      <c r="B84" s="63">
        <v>400730.5954</v>
      </c>
      <c r="C84" s="33">
        <v>671.68</v>
      </c>
      <c r="D84" s="11">
        <v>45008</v>
      </c>
      <c r="E84" s="54"/>
    </row>
    <row r="85" ht="15.75" spans="1:5">
      <c r="A85" s="63">
        <v>3045148.6737</v>
      </c>
      <c r="B85" s="63">
        <v>400730.5954</v>
      </c>
      <c r="C85" s="33">
        <v>671.68</v>
      </c>
      <c r="D85" s="11">
        <v>45009</v>
      </c>
      <c r="E85" s="54"/>
    </row>
    <row r="86" ht="15.75" spans="1:5">
      <c r="A86" s="63">
        <v>3045148.6737</v>
      </c>
      <c r="B86" s="63">
        <v>400730.5954</v>
      </c>
      <c r="C86" s="33">
        <v>671.68</v>
      </c>
      <c r="D86" s="11">
        <v>45010</v>
      </c>
      <c r="E86" s="54"/>
    </row>
    <row r="87" ht="15.75" spans="1:5">
      <c r="A87" s="63">
        <v>3045148.6737</v>
      </c>
      <c r="B87" s="63">
        <v>400730.5954</v>
      </c>
      <c r="C87" s="33">
        <v>671.68</v>
      </c>
      <c r="D87" s="11">
        <v>45011</v>
      </c>
      <c r="E87" s="54"/>
    </row>
    <row r="88" ht="15.75" spans="1:5">
      <c r="A88" s="63">
        <v>3045148.6737</v>
      </c>
      <c r="B88" s="63">
        <v>400730.5954</v>
      </c>
      <c r="C88" s="33">
        <v>671.68</v>
      </c>
      <c r="D88" s="11">
        <v>45012</v>
      </c>
      <c r="E88" s="54"/>
    </row>
    <row r="89" ht="15.75" spans="1:5">
      <c r="A89" s="63">
        <v>3045148.6737</v>
      </c>
      <c r="B89" s="63">
        <v>400730.5954</v>
      </c>
      <c r="C89" s="33">
        <v>671.68</v>
      </c>
      <c r="D89" s="11">
        <v>45013</v>
      </c>
      <c r="E89" s="54"/>
    </row>
    <row r="90" ht="15.75" spans="1:5">
      <c r="A90" s="63">
        <v>3045148.6737</v>
      </c>
      <c r="B90" s="63">
        <v>400730.5954</v>
      </c>
      <c r="C90" s="33">
        <v>671.68</v>
      </c>
      <c r="D90" s="11">
        <v>45014</v>
      </c>
      <c r="E90" s="54"/>
    </row>
    <row r="91" ht="15.75" spans="1:5">
      <c r="A91" s="63">
        <v>3045148.6737</v>
      </c>
      <c r="B91" s="63">
        <v>400730.5954</v>
      </c>
      <c r="C91" s="33">
        <v>671.68</v>
      </c>
      <c r="D91" s="11">
        <v>45015</v>
      </c>
      <c r="E91" s="54">
        <f>670-153.05</f>
        <v>516.95</v>
      </c>
    </row>
    <row r="92" ht="15.75" spans="1:5">
      <c r="A92" s="63">
        <v>3045148.6737</v>
      </c>
      <c r="B92" s="63">
        <v>400730.5954</v>
      </c>
      <c r="C92" s="33">
        <v>671.68</v>
      </c>
      <c r="D92" s="11">
        <v>45016</v>
      </c>
      <c r="E92" s="54"/>
    </row>
    <row r="93" ht="15.75" spans="1:5">
      <c r="A93" s="63">
        <v>3045148.6737</v>
      </c>
      <c r="B93" s="63">
        <v>400730.5954</v>
      </c>
      <c r="C93" s="33">
        <v>671.68</v>
      </c>
      <c r="D93" s="11">
        <v>45017</v>
      </c>
      <c r="E93" s="54"/>
    </row>
    <row r="94" ht="15.75" spans="1:5">
      <c r="A94" s="63">
        <v>3045148.6737</v>
      </c>
      <c r="B94" s="63">
        <v>400730.5954</v>
      </c>
      <c r="C94" s="33">
        <v>671.68</v>
      </c>
      <c r="D94" s="11">
        <v>45018</v>
      </c>
      <c r="E94" s="54"/>
    </row>
    <row r="95" ht="15.75" spans="1:5">
      <c r="A95" s="63">
        <v>3045148.6737</v>
      </c>
      <c r="B95" s="63">
        <v>400730.5954</v>
      </c>
      <c r="C95" s="33">
        <v>671.68</v>
      </c>
      <c r="D95" s="11">
        <v>45019</v>
      </c>
      <c r="E95" s="54"/>
    </row>
    <row r="96" ht="15.75" spans="1:5">
      <c r="A96" s="63">
        <v>3045148.6737</v>
      </c>
      <c r="B96" s="63">
        <v>400730.5954</v>
      </c>
      <c r="C96" s="33">
        <v>671.68</v>
      </c>
      <c r="D96" s="11">
        <v>45020</v>
      </c>
      <c r="E96" s="59"/>
    </row>
    <row r="97" ht="15.75" spans="1:5">
      <c r="A97" s="63">
        <v>3045148.6737</v>
      </c>
      <c r="B97" s="63">
        <v>400730.5954</v>
      </c>
      <c r="C97" s="33">
        <v>671.68</v>
      </c>
      <c r="D97" s="11">
        <v>45021</v>
      </c>
      <c r="E97" s="54"/>
    </row>
    <row r="98" ht="15.75" spans="1:5">
      <c r="A98" s="63">
        <v>3045148.6737</v>
      </c>
      <c r="B98" s="63">
        <v>400730.5954</v>
      </c>
      <c r="C98" s="33">
        <v>671.68</v>
      </c>
      <c r="D98" s="11">
        <v>45022</v>
      </c>
      <c r="E98" s="54">
        <f>670-155.1</f>
        <v>514.9</v>
      </c>
    </row>
    <row r="99" ht="15.75" spans="1:5">
      <c r="A99" s="63">
        <v>3045148.6737</v>
      </c>
      <c r="B99" s="63">
        <v>400730.5954</v>
      </c>
      <c r="C99" s="33">
        <v>671.68</v>
      </c>
      <c r="D99" s="11">
        <v>45023</v>
      </c>
      <c r="E99" s="54"/>
    </row>
    <row r="100" ht="15.75" spans="1:5">
      <c r="A100" s="63">
        <v>3045148.6737</v>
      </c>
      <c r="B100" s="63">
        <v>400730.5954</v>
      </c>
      <c r="C100" s="33">
        <v>671.68</v>
      </c>
      <c r="D100" s="11">
        <v>45024</v>
      </c>
      <c r="E100" s="54"/>
    </row>
    <row r="101" ht="15.75" spans="1:5">
      <c r="A101" s="63">
        <v>3045148.6737</v>
      </c>
      <c r="B101" s="63">
        <v>400730.5954</v>
      </c>
      <c r="C101" s="33">
        <v>671.68</v>
      </c>
      <c r="D101" s="11">
        <v>45025</v>
      </c>
      <c r="E101" s="54"/>
    </row>
    <row r="102" ht="15.75" spans="1:5">
      <c r="A102" s="63">
        <v>3045148.6737</v>
      </c>
      <c r="B102" s="63">
        <v>400730.5954</v>
      </c>
      <c r="C102" s="33">
        <v>671.68</v>
      </c>
      <c r="D102" s="11">
        <v>45026</v>
      </c>
      <c r="E102" s="54">
        <f>670-158.43</f>
        <v>511.57</v>
      </c>
    </row>
    <row r="103" ht="15.75" spans="1:5">
      <c r="A103" s="63">
        <v>3045148.6737</v>
      </c>
      <c r="B103" s="63">
        <v>400730.5954</v>
      </c>
      <c r="C103" s="33">
        <v>671.68</v>
      </c>
      <c r="D103" s="11">
        <v>45027</v>
      </c>
      <c r="E103" s="54"/>
    </row>
    <row r="104" ht="15.75" spans="1:5">
      <c r="A104" s="63">
        <v>3045148.6737</v>
      </c>
      <c r="B104" s="63">
        <v>400730.5954</v>
      </c>
      <c r="C104" s="33">
        <v>671.68</v>
      </c>
      <c r="D104" s="11">
        <v>45028</v>
      </c>
      <c r="E104" s="59"/>
    </row>
    <row r="105" ht="15.75" spans="1:5">
      <c r="A105" s="63">
        <v>3045148.6737</v>
      </c>
      <c r="B105" s="63">
        <v>400730.5954</v>
      </c>
      <c r="C105" s="33">
        <v>671.68</v>
      </c>
      <c r="D105" s="11">
        <v>45029</v>
      </c>
      <c r="E105" s="54"/>
    </row>
    <row r="106" ht="15.75" spans="1:5">
      <c r="A106" s="63">
        <v>3045148.6737</v>
      </c>
      <c r="B106" s="63">
        <v>400730.5954</v>
      </c>
      <c r="C106" s="33">
        <v>671.68</v>
      </c>
      <c r="D106" s="11">
        <v>45030</v>
      </c>
      <c r="E106" s="54"/>
    </row>
    <row r="107" ht="15.75" spans="1:5">
      <c r="A107" s="63">
        <v>3045148.6737</v>
      </c>
      <c r="B107" s="63">
        <v>400730.5954</v>
      </c>
      <c r="C107" s="33">
        <v>671.68</v>
      </c>
      <c r="D107" s="11">
        <v>45031</v>
      </c>
      <c r="E107" s="54">
        <f>670-165.1</f>
        <v>504.9</v>
      </c>
    </row>
    <row r="108" ht="15.75" spans="1:5">
      <c r="A108" s="63">
        <v>3045148.6737</v>
      </c>
      <c r="B108" s="63">
        <v>400730.5954</v>
      </c>
      <c r="C108" s="33">
        <v>671.68</v>
      </c>
      <c r="D108" s="11">
        <v>45032</v>
      </c>
      <c r="E108" s="54"/>
    </row>
    <row r="109" ht="15.75" spans="1:5">
      <c r="A109" s="63">
        <v>3045148.6737</v>
      </c>
      <c r="B109" s="63">
        <v>400730.5954</v>
      </c>
      <c r="C109" s="33">
        <v>671.68</v>
      </c>
      <c r="D109" s="11">
        <v>45033</v>
      </c>
      <c r="E109" s="54"/>
    </row>
    <row r="110" ht="15.75" spans="1:5">
      <c r="A110" s="63">
        <v>3045148.6737</v>
      </c>
      <c r="B110" s="63">
        <v>400730.5954</v>
      </c>
      <c r="C110" s="33">
        <v>671.68</v>
      </c>
      <c r="D110" s="11">
        <v>45034</v>
      </c>
      <c r="E110" s="54"/>
    </row>
    <row r="111" ht="15.75" spans="1:5">
      <c r="A111" s="63">
        <v>3045148.6737</v>
      </c>
      <c r="B111" s="63">
        <v>400730.5954</v>
      </c>
      <c r="C111" s="33">
        <v>671.68</v>
      </c>
      <c r="D111" s="11">
        <v>45035</v>
      </c>
      <c r="E111" s="54">
        <v>497.23</v>
      </c>
    </row>
    <row r="112" ht="15.75" spans="1:5">
      <c r="A112" s="63">
        <v>3045148.6737</v>
      </c>
      <c r="B112" s="63">
        <v>400730.5954</v>
      </c>
      <c r="C112" s="33">
        <v>671.68</v>
      </c>
      <c r="D112" s="11">
        <v>45036</v>
      </c>
      <c r="E112" s="54">
        <v>494.99</v>
      </c>
    </row>
    <row r="113" ht="15.75" spans="1:5">
      <c r="A113" s="63">
        <v>3045148.6737</v>
      </c>
      <c r="B113" s="63">
        <v>400730.5954</v>
      </c>
      <c r="C113" s="33">
        <v>671.68</v>
      </c>
      <c r="D113" s="11">
        <v>45037</v>
      </c>
      <c r="E113" s="54">
        <v>494.88</v>
      </c>
    </row>
    <row r="114" ht="15.75" spans="1:5">
      <c r="A114" s="63">
        <v>3045148.6737</v>
      </c>
      <c r="B114" s="63">
        <v>400730.5954</v>
      </c>
      <c r="C114" s="33">
        <v>671.68</v>
      </c>
      <c r="D114" s="11">
        <v>45038</v>
      </c>
      <c r="E114" s="54">
        <v>494.74</v>
      </c>
    </row>
    <row r="115" ht="15.75" spans="1:5">
      <c r="A115" s="63">
        <v>3045148.6737</v>
      </c>
      <c r="B115" s="63">
        <v>400730.5954</v>
      </c>
      <c r="C115" s="33">
        <v>671.68</v>
      </c>
      <c r="D115" s="11">
        <v>45039</v>
      </c>
      <c r="E115" s="54">
        <v>495.73</v>
      </c>
    </row>
    <row r="116" ht="15.75" spans="1:5">
      <c r="A116" s="63">
        <v>3045148.6737</v>
      </c>
      <c r="B116" s="63">
        <v>400730.5954</v>
      </c>
      <c r="C116" s="33">
        <v>671.68</v>
      </c>
      <c r="D116" s="11">
        <v>45040</v>
      </c>
      <c r="E116" s="54">
        <v>495.34</v>
      </c>
    </row>
    <row r="117" ht="15.75" spans="1:5">
      <c r="A117" s="63">
        <v>3045148.6737</v>
      </c>
      <c r="B117" s="63">
        <v>400730.5954</v>
      </c>
      <c r="C117" s="33">
        <v>671.68</v>
      </c>
      <c r="D117" s="11">
        <v>45041</v>
      </c>
      <c r="E117" s="54">
        <v>494.27</v>
      </c>
    </row>
    <row r="118" ht="15.75" spans="1:5">
      <c r="A118" s="63">
        <v>3045148.6737</v>
      </c>
      <c r="B118" s="63">
        <v>400730.5954</v>
      </c>
      <c r="C118" s="33">
        <v>671.68</v>
      </c>
      <c r="D118" s="11">
        <v>45042</v>
      </c>
      <c r="E118" s="54">
        <v>493.53</v>
      </c>
    </row>
    <row r="119" ht="15.75" spans="1:5">
      <c r="A119" s="63">
        <v>3045148.6737</v>
      </c>
      <c r="B119" s="63">
        <v>400730.5954</v>
      </c>
      <c r="C119" s="33">
        <v>671.68</v>
      </c>
      <c r="D119" s="11">
        <v>45043</v>
      </c>
      <c r="E119" s="54">
        <v>492.86</v>
      </c>
    </row>
    <row r="120" ht="15.75" spans="1:5">
      <c r="A120" s="63">
        <v>3045148.6737</v>
      </c>
      <c r="B120" s="63">
        <v>400730.5954</v>
      </c>
      <c r="C120" s="33">
        <v>671.68</v>
      </c>
      <c r="D120" s="11">
        <v>45044</v>
      </c>
      <c r="E120" s="54">
        <v>491.32</v>
      </c>
    </row>
    <row r="121" ht="15.75" spans="1:5">
      <c r="A121" s="63">
        <v>3045148.6737</v>
      </c>
      <c r="B121" s="63">
        <v>400730.5954</v>
      </c>
      <c r="C121" s="33">
        <v>671.68</v>
      </c>
      <c r="D121" s="11">
        <v>45045</v>
      </c>
      <c r="E121" s="54">
        <v>489.41</v>
      </c>
    </row>
    <row r="122" ht="15.75" spans="1:5">
      <c r="A122" s="63">
        <v>3045148.6737</v>
      </c>
      <c r="B122" s="63">
        <v>400730.5954</v>
      </c>
      <c r="C122" s="33">
        <v>671.68</v>
      </c>
      <c r="D122" s="11">
        <v>45046</v>
      </c>
      <c r="E122" s="54">
        <v>490.84</v>
      </c>
    </row>
    <row r="123" ht="15.75" spans="1:5">
      <c r="A123" s="63">
        <v>3045148.6737</v>
      </c>
      <c r="B123" s="63">
        <v>400730.5954</v>
      </c>
      <c r="C123" s="33">
        <v>671.68</v>
      </c>
      <c r="D123" s="11">
        <v>45047</v>
      </c>
      <c r="E123" s="54">
        <v>491.28</v>
      </c>
    </row>
    <row r="124" ht="15.75" spans="1:5">
      <c r="A124" s="63">
        <v>3045148.6737</v>
      </c>
      <c r="B124" s="63">
        <v>400730.5954</v>
      </c>
      <c r="C124" s="33">
        <v>671.68</v>
      </c>
      <c r="D124" s="11">
        <v>45048</v>
      </c>
      <c r="E124" s="54">
        <v>490.74</v>
      </c>
    </row>
    <row r="125" ht="15.75" spans="1:5">
      <c r="A125" s="63">
        <v>3045148.6737</v>
      </c>
      <c r="B125" s="63">
        <v>400730.5954</v>
      </c>
      <c r="C125" s="33">
        <v>671.68</v>
      </c>
      <c r="D125" s="11">
        <v>45049</v>
      </c>
      <c r="E125" s="54">
        <v>490.93</v>
      </c>
    </row>
    <row r="126" ht="15.75" spans="1:5">
      <c r="A126" s="63">
        <v>3045148.6737</v>
      </c>
      <c r="B126" s="63">
        <v>400730.5954</v>
      </c>
      <c r="C126" s="33">
        <v>671.68</v>
      </c>
      <c r="D126" s="11">
        <v>45050</v>
      </c>
      <c r="E126" s="54">
        <v>490.35</v>
      </c>
    </row>
    <row r="127" ht="15.75" spans="1:5">
      <c r="A127" s="63">
        <v>3045148.6737</v>
      </c>
      <c r="B127" s="63">
        <v>400730.5954</v>
      </c>
      <c r="C127" s="33">
        <v>671.68</v>
      </c>
      <c r="D127" s="11">
        <v>45051</v>
      </c>
      <c r="E127" s="54">
        <v>490.47</v>
      </c>
    </row>
    <row r="128" ht="15.75" spans="1:5">
      <c r="A128" s="63">
        <v>3045148.6737</v>
      </c>
      <c r="B128" s="63">
        <v>400730.5954</v>
      </c>
      <c r="C128" s="33">
        <v>671.68</v>
      </c>
      <c r="D128" s="11">
        <v>45052</v>
      </c>
      <c r="E128" s="54">
        <v>489.27</v>
      </c>
    </row>
    <row r="129" ht="15.75" spans="1:5">
      <c r="A129" s="63">
        <v>3045148.6737</v>
      </c>
      <c r="B129" s="63">
        <v>400730.5954</v>
      </c>
      <c r="C129" s="33">
        <v>671.68</v>
      </c>
      <c r="D129" s="11">
        <v>45053</v>
      </c>
      <c r="E129" s="54">
        <v>488.84</v>
      </c>
    </row>
    <row r="130" ht="15.75" spans="1:5">
      <c r="A130" s="63">
        <v>3045148.6737</v>
      </c>
      <c r="B130" s="63">
        <v>400730.5954</v>
      </c>
      <c r="C130" s="33">
        <v>671.68</v>
      </c>
      <c r="D130" s="11">
        <v>45054</v>
      </c>
      <c r="E130" s="54">
        <v>487.93</v>
      </c>
    </row>
    <row r="131" ht="15.75" spans="1:5">
      <c r="A131" s="63">
        <v>3045148.6737</v>
      </c>
      <c r="B131" s="63">
        <v>400730.5954</v>
      </c>
      <c r="C131" s="33">
        <v>671.68</v>
      </c>
      <c r="D131" s="11">
        <v>45055</v>
      </c>
      <c r="E131" s="54">
        <v>487.04</v>
      </c>
    </row>
    <row r="132" ht="15.75" spans="1:5">
      <c r="A132" s="63">
        <v>3045148.6737</v>
      </c>
      <c r="B132" s="63">
        <v>400730.5954</v>
      </c>
      <c r="C132" s="33">
        <v>671.68</v>
      </c>
      <c r="D132" s="11">
        <v>45056</v>
      </c>
      <c r="E132" s="54">
        <v>487.2</v>
      </c>
    </row>
    <row r="133" ht="15.75" spans="1:5">
      <c r="A133" s="63">
        <v>3045148.6737</v>
      </c>
      <c r="B133" s="63">
        <v>400730.5954</v>
      </c>
      <c r="C133" s="33">
        <v>671.68</v>
      </c>
      <c r="D133" s="11">
        <v>45057</v>
      </c>
      <c r="E133" s="54">
        <v>486.75</v>
      </c>
    </row>
    <row r="134" ht="15.75" spans="1:5">
      <c r="A134" s="63">
        <v>3045148.6737</v>
      </c>
      <c r="B134" s="63">
        <v>400730.5954</v>
      </c>
      <c r="C134" s="33">
        <v>671.68</v>
      </c>
      <c r="D134" s="11">
        <v>45058</v>
      </c>
      <c r="E134" s="54"/>
    </row>
    <row r="135" ht="15.75" spans="1:5">
      <c r="A135" s="63">
        <v>3045148.6737</v>
      </c>
      <c r="B135" s="63">
        <v>400730.5954</v>
      </c>
      <c r="C135" s="33">
        <v>671.68</v>
      </c>
      <c r="D135" s="11">
        <v>45059</v>
      </c>
      <c r="E135" s="54">
        <v>489.67</v>
      </c>
    </row>
    <row r="136" ht="15.75" spans="1:5">
      <c r="A136" s="63">
        <v>3045148.6737</v>
      </c>
      <c r="B136" s="63">
        <v>400730.5954</v>
      </c>
      <c r="C136" s="33">
        <v>671.68</v>
      </c>
      <c r="D136" s="11">
        <v>45060</v>
      </c>
      <c r="E136" s="54">
        <v>486.48</v>
      </c>
    </row>
    <row r="137" ht="15.75" spans="1:5">
      <c r="A137" s="63">
        <v>3045148.6737</v>
      </c>
      <c r="B137" s="63">
        <v>400730.5954</v>
      </c>
      <c r="C137" s="33">
        <v>671.68</v>
      </c>
      <c r="D137" s="11">
        <v>45061</v>
      </c>
      <c r="E137" s="54">
        <v>487.46</v>
      </c>
    </row>
    <row r="138" ht="15.75" spans="1:5">
      <c r="A138" s="63">
        <v>3045148.6737</v>
      </c>
      <c r="B138" s="63">
        <v>400730.5954</v>
      </c>
      <c r="C138" s="33">
        <v>671.68</v>
      </c>
      <c r="D138" s="11">
        <v>45062</v>
      </c>
      <c r="E138" s="54">
        <v>488.81</v>
      </c>
    </row>
    <row r="139" ht="15.75" spans="1:5">
      <c r="A139" s="63">
        <v>3045148.6737</v>
      </c>
      <c r="B139" s="63">
        <v>400730.5954</v>
      </c>
      <c r="C139" s="33">
        <v>671.68</v>
      </c>
      <c r="D139" s="11">
        <v>45063</v>
      </c>
      <c r="E139" s="54">
        <v>487.6</v>
      </c>
    </row>
    <row r="140" ht="15.75" spans="1:5">
      <c r="A140" s="63">
        <v>3045148.6737</v>
      </c>
      <c r="B140" s="63">
        <v>400730.5954</v>
      </c>
      <c r="C140" s="33">
        <v>671.68</v>
      </c>
      <c r="D140" s="11">
        <v>45064</v>
      </c>
      <c r="E140" s="54"/>
    </row>
    <row r="141" ht="15.75" spans="1:5">
      <c r="A141" s="63">
        <v>3045148.6737</v>
      </c>
      <c r="B141" s="63">
        <v>400730.5954</v>
      </c>
      <c r="C141" s="33">
        <v>671.68</v>
      </c>
      <c r="D141" s="11">
        <v>45065</v>
      </c>
      <c r="E141" s="54">
        <v>487.32</v>
      </c>
    </row>
    <row r="142" ht="15.75" spans="1:5">
      <c r="A142" s="63">
        <v>3045148.6737</v>
      </c>
      <c r="B142" s="63">
        <v>400730.5954</v>
      </c>
      <c r="C142" s="33">
        <v>671.68</v>
      </c>
      <c r="D142" s="11">
        <v>45066</v>
      </c>
      <c r="E142" s="54">
        <v>487.03</v>
      </c>
    </row>
    <row r="143" ht="15.75" spans="1:5">
      <c r="A143" s="63">
        <v>3045148.6737</v>
      </c>
      <c r="B143" s="63">
        <v>400730.5954</v>
      </c>
      <c r="C143" s="33">
        <v>671.68</v>
      </c>
      <c r="D143" s="11">
        <v>45067</v>
      </c>
      <c r="E143" s="54">
        <v>490.48</v>
      </c>
    </row>
    <row r="144" ht="15.75" spans="1:5">
      <c r="A144" s="63">
        <v>3045148.6737</v>
      </c>
      <c r="B144" s="63">
        <v>400730.5954</v>
      </c>
      <c r="C144" s="33">
        <v>671.68</v>
      </c>
      <c r="D144" s="11">
        <v>45068</v>
      </c>
      <c r="E144" s="54">
        <v>487.01</v>
      </c>
    </row>
    <row r="145" ht="15.75" spans="1:5">
      <c r="A145" s="63">
        <v>3045148.6737</v>
      </c>
      <c r="B145" s="63">
        <v>400730.5954</v>
      </c>
      <c r="C145" s="33">
        <v>671.68</v>
      </c>
      <c r="D145" s="11">
        <v>45069</v>
      </c>
      <c r="E145" s="54">
        <v>486.12</v>
      </c>
    </row>
    <row r="146" ht="15.75" spans="1:5">
      <c r="A146" s="63">
        <v>3045148.6737</v>
      </c>
      <c r="B146" s="63">
        <v>400730.5954</v>
      </c>
      <c r="C146" s="33">
        <v>671.68</v>
      </c>
      <c r="D146" s="11">
        <v>45070</v>
      </c>
      <c r="E146" s="54">
        <v>485.99</v>
      </c>
    </row>
    <row r="147" ht="15.75" spans="1:5">
      <c r="A147" s="63">
        <v>3045148.6737</v>
      </c>
      <c r="B147" s="63">
        <v>400730.5954</v>
      </c>
      <c r="C147" s="33">
        <v>671.68</v>
      </c>
      <c r="D147" s="11">
        <v>45071</v>
      </c>
      <c r="E147" s="54">
        <v>490.47</v>
      </c>
    </row>
    <row r="148" ht="15.75" spans="1:5">
      <c r="A148" s="63">
        <v>3045148.6737</v>
      </c>
      <c r="B148" s="63">
        <v>400730.5954</v>
      </c>
      <c r="C148" s="33">
        <v>671.68</v>
      </c>
      <c r="D148" s="11">
        <v>45072</v>
      </c>
      <c r="E148" s="54">
        <v>490.79</v>
      </c>
    </row>
    <row r="149" ht="15.75" spans="1:5">
      <c r="A149" s="63">
        <v>3045148.6737</v>
      </c>
      <c r="B149" s="63">
        <v>400730.5954</v>
      </c>
      <c r="C149" s="33">
        <v>671.68</v>
      </c>
      <c r="D149" s="11">
        <v>45073</v>
      </c>
      <c r="E149" s="54">
        <v>490.41</v>
      </c>
    </row>
    <row r="150" ht="15.75" spans="1:5">
      <c r="A150" s="63">
        <v>3045148.6737</v>
      </c>
      <c r="B150" s="63">
        <v>400730.5954</v>
      </c>
      <c r="C150" s="33">
        <v>671.68</v>
      </c>
      <c r="D150" s="11">
        <v>45074</v>
      </c>
      <c r="E150" s="54">
        <v>490.19</v>
      </c>
    </row>
    <row r="151" ht="15.75" spans="1:5">
      <c r="A151" s="63">
        <v>3045148.6737</v>
      </c>
      <c r="B151" s="63">
        <v>400730.5954</v>
      </c>
      <c r="C151" s="33">
        <v>671.68</v>
      </c>
      <c r="D151" s="11">
        <v>45075</v>
      </c>
      <c r="E151" s="54">
        <v>490.23</v>
      </c>
    </row>
    <row r="152" ht="15.75" spans="1:5">
      <c r="A152" s="63">
        <v>3045148.6737</v>
      </c>
      <c r="B152" s="63">
        <v>400730.5954</v>
      </c>
      <c r="C152" s="33">
        <v>671.68</v>
      </c>
      <c r="D152" s="11">
        <v>45076</v>
      </c>
      <c r="E152" s="54">
        <v>490.74</v>
      </c>
    </row>
    <row r="153" ht="15.75" spans="1:5">
      <c r="A153" s="63">
        <v>3045148.6737</v>
      </c>
      <c r="B153" s="63">
        <v>400730.5954</v>
      </c>
      <c r="C153" s="33">
        <v>671.68</v>
      </c>
      <c r="D153" s="11">
        <v>45077</v>
      </c>
      <c r="E153" s="54">
        <v>490.83</v>
      </c>
    </row>
    <row r="154" ht="15.75" spans="1:5">
      <c r="A154" s="63">
        <v>3045148.6737</v>
      </c>
      <c r="B154" s="63">
        <v>400730.5954</v>
      </c>
      <c r="C154" s="33">
        <v>671.68</v>
      </c>
      <c r="D154" s="11">
        <v>45078</v>
      </c>
      <c r="E154" s="54">
        <v>490.33</v>
      </c>
    </row>
    <row r="155" ht="15.75" spans="1:5">
      <c r="A155" s="63">
        <v>3045148.6737</v>
      </c>
      <c r="B155" s="63">
        <v>400730.5954</v>
      </c>
      <c r="C155" s="33">
        <v>671.68</v>
      </c>
      <c r="D155" s="11">
        <v>45079</v>
      </c>
      <c r="E155" s="54">
        <v>489.62</v>
      </c>
    </row>
    <row r="156" ht="15.75" spans="1:5">
      <c r="A156" s="63">
        <v>3045148.6737</v>
      </c>
      <c r="B156" s="63">
        <v>400730.5954</v>
      </c>
      <c r="C156" s="33">
        <v>671.68</v>
      </c>
      <c r="D156" s="11">
        <v>45080</v>
      </c>
      <c r="E156" s="54">
        <v>489.08</v>
      </c>
    </row>
    <row r="157" ht="15.75" spans="1:5">
      <c r="A157" s="63">
        <v>3045148.6737</v>
      </c>
      <c r="B157" s="63">
        <v>400730.5954</v>
      </c>
      <c r="C157" s="33">
        <v>671.68</v>
      </c>
      <c r="D157" s="11">
        <v>45081</v>
      </c>
      <c r="E157" s="54">
        <v>476.74</v>
      </c>
    </row>
    <row r="158" ht="15.75" spans="1:5">
      <c r="A158" s="63">
        <v>3045148.6737</v>
      </c>
      <c r="B158" s="63">
        <v>400730.5954</v>
      </c>
      <c r="C158" s="33">
        <v>671.68</v>
      </c>
      <c r="D158" s="11">
        <v>45082</v>
      </c>
      <c r="E158" s="54">
        <v>474.45</v>
      </c>
    </row>
    <row r="159" ht="15.75" spans="1:5">
      <c r="A159" s="63">
        <v>3045148.6737</v>
      </c>
      <c r="B159" s="63">
        <v>400730.5954</v>
      </c>
      <c r="C159" s="33">
        <v>671.68</v>
      </c>
      <c r="D159" s="11">
        <v>45083</v>
      </c>
      <c r="E159" s="54">
        <v>474.68</v>
      </c>
    </row>
    <row r="160" ht="15.75" spans="1:5">
      <c r="A160" s="63">
        <v>3045148.6737</v>
      </c>
      <c r="B160" s="63">
        <v>400730.5954</v>
      </c>
      <c r="C160" s="33">
        <v>671.68</v>
      </c>
      <c r="D160" s="11">
        <v>45084</v>
      </c>
      <c r="E160" s="54">
        <v>477.19</v>
      </c>
    </row>
    <row r="161" ht="15.75" spans="1:5">
      <c r="A161" s="63">
        <v>3045148.6737</v>
      </c>
      <c r="B161" s="63">
        <v>400730.5954</v>
      </c>
      <c r="C161" s="33">
        <v>671.68</v>
      </c>
      <c r="D161" s="11">
        <v>45085</v>
      </c>
      <c r="E161" s="54">
        <v>479.67</v>
      </c>
    </row>
    <row r="162" ht="15.75" spans="1:5">
      <c r="A162" s="63">
        <v>3045148.6737</v>
      </c>
      <c r="B162" s="63">
        <v>400730.5954</v>
      </c>
      <c r="C162" s="33">
        <v>671.68</v>
      </c>
      <c r="D162" s="11">
        <v>45086</v>
      </c>
      <c r="E162" s="54">
        <v>479.37</v>
      </c>
    </row>
    <row r="163" ht="15.75" spans="1:5">
      <c r="A163" s="63">
        <v>3045148.6737</v>
      </c>
      <c r="B163" s="63">
        <v>400730.5954</v>
      </c>
      <c r="C163" s="33">
        <v>671.68</v>
      </c>
      <c r="D163" s="11">
        <v>45087</v>
      </c>
      <c r="E163" s="54">
        <v>478.35</v>
      </c>
    </row>
    <row r="164" ht="15.75" spans="1:5">
      <c r="A164" s="63">
        <v>3045148.6737</v>
      </c>
      <c r="B164" s="63">
        <v>400730.5954</v>
      </c>
      <c r="C164" s="33">
        <v>671.68</v>
      </c>
      <c r="D164" s="11">
        <v>45088</v>
      </c>
      <c r="E164" s="54">
        <v>476.97</v>
      </c>
    </row>
    <row r="165" ht="15.75" spans="1:5">
      <c r="A165" s="63">
        <v>3045148.6737</v>
      </c>
      <c r="B165" s="63">
        <v>400730.5954</v>
      </c>
      <c r="C165" s="33">
        <v>671.68</v>
      </c>
      <c r="D165" s="11">
        <v>45089</v>
      </c>
      <c r="E165" s="54">
        <v>476.85</v>
      </c>
    </row>
    <row r="166" ht="15.75" spans="1:5">
      <c r="A166" s="63">
        <v>3045148.6737</v>
      </c>
      <c r="B166" s="63">
        <v>400730.5954</v>
      </c>
      <c r="C166" s="33">
        <v>671.68</v>
      </c>
      <c r="D166" s="11">
        <v>45090</v>
      </c>
      <c r="E166" s="54">
        <v>477.26</v>
      </c>
    </row>
    <row r="167" ht="15.75" spans="1:5">
      <c r="A167" s="63">
        <v>3045148.6737</v>
      </c>
      <c r="B167" s="63">
        <v>400730.5954</v>
      </c>
      <c r="C167" s="33">
        <v>671.68</v>
      </c>
      <c r="D167" s="11">
        <v>45091</v>
      </c>
      <c r="E167" s="54">
        <v>477.14</v>
      </c>
    </row>
    <row r="168" ht="15.75" spans="1:5">
      <c r="A168" s="63">
        <v>3045148.6737</v>
      </c>
      <c r="B168" s="63">
        <v>400730.5954</v>
      </c>
      <c r="C168" s="33">
        <v>671.68</v>
      </c>
      <c r="D168" s="11">
        <v>45092</v>
      </c>
      <c r="E168" s="54">
        <v>477.42</v>
      </c>
    </row>
    <row r="169" ht="15.75" spans="1:5">
      <c r="A169" s="63">
        <v>3045148.6737</v>
      </c>
      <c r="B169" s="63">
        <v>400730.5954</v>
      </c>
      <c r="C169" s="33">
        <v>671.68</v>
      </c>
      <c r="D169" s="11">
        <v>45093</v>
      </c>
      <c r="E169" s="54">
        <v>475.04</v>
      </c>
    </row>
    <row r="170" ht="15.75" spans="1:5">
      <c r="A170" s="63">
        <v>3045148.6737</v>
      </c>
      <c r="B170" s="63">
        <v>400730.5954</v>
      </c>
      <c r="C170" s="33">
        <v>671.68</v>
      </c>
      <c r="D170" s="11">
        <v>45094</v>
      </c>
      <c r="E170" s="54">
        <v>475.73</v>
      </c>
    </row>
    <row r="171" ht="15.75" spans="1:5">
      <c r="A171" s="63">
        <v>3045148.6737</v>
      </c>
      <c r="B171" s="63">
        <v>400730.5954</v>
      </c>
      <c r="C171" s="33">
        <v>671.68</v>
      </c>
      <c r="D171" s="11">
        <v>45095</v>
      </c>
      <c r="E171" s="54">
        <v>476.41</v>
      </c>
    </row>
    <row r="172" ht="15.75" spans="1:5">
      <c r="A172" s="63">
        <v>3045148.6737</v>
      </c>
      <c r="B172" s="63">
        <v>400730.5954</v>
      </c>
      <c r="C172" s="33">
        <v>671.68</v>
      </c>
      <c r="D172" s="11">
        <v>45096</v>
      </c>
      <c r="E172" s="54">
        <v>476.18</v>
      </c>
    </row>
    <row r="173" ht="15.75" spans="1:5">
      <c r="A173" s="63">
        <v>3045148.6737</v>
      </c>
      <c r="B173" s="63">
        <v>400730.5954</v>
      </c>
      <c r="C173" s="33">
        <v>671.68</v>
      </c>
      <c r="D173" s="11">
        <v>45097</v>
      </c>
      <c r="E173" s="54">
        <v>475.35</v>
      </c>
    </row>
    <row r="174" ht="15.75" spans="1:5">
      <c r="A174" s="63">
        <v>3045148.6737</v>
      </c>
      <c r="B174" s="63">
        <v>400730.5954</v>
      </c>
      <c r="C174" s="33">
        <v>671.68</v>
      </c>
      <c r="D174" s="11">
        <v>45098</v>
      </c>
      <c r="E174" s="54">
        <v>475.29</v>
      </c>
    </row>
    <row r="175" ht="15.75" spans="1:5">
      <c r="A175" s="63">
        <v>3045148.6737</v>
      </c>
      <c r="B175" s="63">
        <v>400730.5954</v>
      </c>
      <c r="C175" s="33">
        <v>671.68</v>
      </c>
      <c r="D175" s="11">
        <v>45099</v>
      </c>
      <c r="E175" s="54">
        <v>476.43</v>
      </c>
    </row>
    <row r="176" ht="15.75" spans="1:5">
      <c r="A176" s="63">
        <v>3045148.6737</v>
      </c>
      <c r="B176" s="63">
        <v>400730.5954</v>
      </c>
      <c r="C176" s="33">
        <v>671.68</v>
      </c>
      <c r="D176" s="11">
        <v>45100</v>
      </c>
      <c r="E176" s="54">
        <v>476.64</v>
      </c>
    </row>
    <row r="177" ht="15.75" spans="1:5">
      <c r="A177" s="63">
        <v>3045148.6737</v>
      </c>
      <c r="B177" s="63">
        <v>400730.5954</v>
      </c>
      <c r="C177" s="33">
        <v>671.68</v>
      </c>
      <c r="D177" s="11">
        <v>45101</v>
      </c>
      <c r="E177" s="54">
        <v>476.47</v>
      </c>
    </row>
    <row r="178" ht="15.75" spans="1:5">
      <c r="A178" s="63">
        <v>3045148.6737</v>
      </c>
      <c r="B178" s="63">
        <v>400730.5954</v>
      </c>
      <c r="C178" s="33">
        <v>671.68</v>
      </c>
      <c r="D178" s="11">
        <v>45102</v>
      </c>
      <c r="E178" s="54">
        <v>476.87</v>
      </c>
    </row>
    <row r="179" ht="15.75" spans="1:5">
      <c r="A179" s="63">
        <v>3045148.6737</v>
      </c>
      <c r="B179" s="63">
        <v>400730.5954</v>
      </c>
      <c r="C179" s="33">
        <v>671.68</v>
      </c>
      <c r="D179" s="11">
        <v>45103</v>
      </c>
      <c r="E179" s="54">
        <v>476.83</v>
      </c>
    </row>
    <row r="180" ht="15.75" spans="1:5">
      <c r="A180" s="63">
        <v>3045148.6737</v>
      </c>
      <c r="B180" s="63">
        <v>400730.5954</v>
      </c>
      <c r="C180" s="33">
        <v>671.68</v>
      </c>
      <c r="D180" s="11">
        <v>45104</v>
      </c>
      <c r="E180" s="54">
        <v>476.34</v>
      </c>
    </row>
    <row r="181" ht="15.75" spans="1:5">
      <c r="A181" s="63">
        <v>3045148.6737</v>
      </c>
      <c r="B181" s="63">
        <v>400730.5954</v>
      </c>
      <c r="C181" s="33">
        <v>671.68</v>
      </c>
      <c r="D181" s="11">
        <v>45105</v>
      </c>
      <c r="E181" s="54">
        <v>474.45</v>
      </c>
    </row>
    <row r="182" ht="15.75" spans="1:5">
      <c r="A182" s="63">
        <v>3045148.6737</v>
      </c>
      <c r="B182" s="63">
        <v>400730.5954</v>
      </c>
      <c r="C182" s="33">
        <v>671.68</v>
      </c>
      <c r="D182" s="11">
        <v>45106</v>
      </c>
      <c r="E182" s="54">
        <v>476.54</v>
      </c>
    </row>
    <row r="183" ht="15.75" spans="1:5">
      <c r="A183" s="63">
        <v>3045148.6737</v>
      </c>
      <c r="B183" s="63">
        <v>400730.5954</v>
      </c>
      <c r="C183" s="33">
        <v>671.68</v>
      </c>
      <c r="D183" s="11">
        <v>45107</v>
      </c>
      <c r="E183" s="54">
        <v>475.34</v>
      </c>
    </row>
    <row r="184" ht="15.75" spans="1:5">
      <c r="A184" s="63">
        <v>3045148.6737</v>
      </c>
      <c r="B184" s="63">
        <v>400730.5954</v>
      </c>
      <c r="C184" s="33">
        <v>671.68</v>
      </c>
      <c r="D184" s="11">
        <v>45108</v>
      </c>
      <c r="E184" s="54">
        <v>477.14</v>
      </c>
    </row>
    <row r="185" ht="15.75" spans="1:5">
      <c r="A185" s="63">
        <v>3045148.6737</v>
      </c>
      <c r="B185" s="63">
        <v>400730.5954</v>
      </c>
      <c r="C185" s="33">
        <v>671.68</v>
      </c>
      <c r="D185" s="11">
        <v>45109</v>
      </c>
      <c r="E185" s="54">
        <v>478.42</v>
      </c>
    </row>
    <row r="186" ht="15.75" spans="1:5">
      <c r="A186" s="63">
        <v>3045148.6737</v>
      </c>
      <c r="B186" s="63">
        <v>400730.5954</v>
      </c>
      <c r="C186" s="33">
        <v>671.68</v>
      </c>
      <c r="D186" s="11">
        <v>45110</v>
      </c>
      <c r="E186" s="54">
        <v>478.19</v>
      </c>
    </row>
    <row r="187" ht="15.75" spans="1:5">
      <c r="A187" s="63">
        <v>3045148.6737</v>
      </c>
      <c r="B187" s="63">
        <v>400730.5954</v>
      </c>
      <c r="C187" s="33">
        <v>671.68</v>
      </c>
      <c r="D187" s="11">
        <v>45111</v>
      </c>
      <c r="E187" s="54">
        <v>479.82</v>
      </c>
    </row>
    <row r="188" ht="15.75" spans="1:5">
      <c r="A188" s="63">
        <v>3045148.6737</v>
      </c>
      <c r="B188" s="63">
        <v>400730.5954</v>
      </c>
      <c r="C188" s="33">
        <v>671.68</v>
      </c>
      <c r="D188" s="11">
        <v>45112</v>
      </c>
      <c r="E188" s="54">
        <v>469.92</v>
      </c>
    </row>
    <row r="189" ht="15.75" spans="1:5">
      <c r="A189" s="63">
        <v>3045148.6737</v>
      </c>
      <c r="B189" s="63">
        <v>400730.5954</v>
      </c>
      <c r="C189" s="33">
        <v>671.68</v>
      </c>
      <c r="D189" s="11">
        <v>45113</v>
      </c>
      <c r="E189" s="54">
        <v>468.24</v>
      </c>
    </row>
    <row r="190" ht="15.75" spans="1:5">
      <c r="A190" s="63">
        <v>3045148.6737</v>
      </c>
      <c r="B190" s="63">
        <v>400730.5954</v>
      </c>
      <c r="C190" s="33">
        <v>671.68</v>
      </c>
      <c r="D190" s="11">
        <v>45114</v>
      </c>
      <c r="E190" s="54">
        <v>466.84</v>
      </c>
    </row>
    <row r="191" ht="15.75" spans="1:5">
      <c r="A191" s="63">
        <v>3045148.6737</v>
      </c>
      <c r="B191" s="63">
        <v>400730.5954</v>
      </c>
      <c r="C191" s="33">
        <v>671.68</v>
      </c>
      <c r="D191" s="11">
        <v>45115</v>
      </c>
      <c r="E191" s="54">
        <v>464.94</v>
      </c>
    </row>
    <row r="192" ht="15.75" spans="1:5">
      <c r="A192" s="63">
        <v>3045148.6737</v>
      </c>
      <c r="B192" s="63">
        <v>400730.5954</v>
      </c>
      <c r="C192" s="33">
        <v>671.68</v>
      </c>
      <c r="D192" s="11">
        <v>45116</v>
      </c>
      <c r="E192" s="54">
        <v>462.75</v>
      </c>
    </row>
    <row r="193" ht="15.75" spans="1:5">
      <c r="A193" s="63">
        <v>3045148.6737</v>
      </c>
      <c r="B193" s="63">
        <v>400730.5954</v>
      </c>
      <c r="C193" s="33">
        <v>671.68</v>
      </c>
      <c r="D193" s="11">
        <v>45117</v>
      </c>
      <c r="E193" s="54">
        <v>463.57</v>
      </c>
    </row>
    <row r="194" ht="15.75" spans="1:5">
      <c r="A194" s="63">
        <v>3045148.6737</v>
      </c>
      <c r="B194" s="63">
        <v>400730.5954</v>
      </c>
      <c r="C194" s="33">
        <v>671.68</v>
      </c>
      <c r="D194" s="11">
        <v>45118</v>
      </c>
      <c r="E194" s="54">
        <v>463.54</v>
      </c>
    </row>
    <row r="195" ht="15.75" spans="1:5">
      <c r="A195" s="63">
        <v>3045148.6737</v>
      </c>
      <c r="B195" s="63">
        <v>400730.5954</v>
      </c>
      <c r="C195" s="33">
        <v>671.68</v>
      </c>
      <c r="D195" s="11">
        <v>45119</v>
      </c>
      <c r="E195" s="54">
        <v>463.68</v>
      </c>
    </row>
    <row r="196" ht="15.75" spans="1:5">
      <c r="A196" s="63">
        <v>3045148.6737</v>
      </c>
      <c r="B196" s="63">
        <v>400730.5954</v>
      </c>
      <c r="C196" s="33">
        <v>671.68</v>
      </c>
      <c r="D196" s="11">
        <v>45120</v>
      </c>
      <c r="E196" s="54">
        <v>463.66</v>
      </c>
    </row>
    <row r="197" ht="15.75" spans="1:5">
      <c r="A197" s="63">
        <v>3045148.6737</v>
      </c>
      <c r="B197" s="63">
        <v>400730.5954</v>
      </c>
      <c r="C197" s="33">
        <v>671.68</v>
      </c>
      <c r="D197" s="11">
        <v>45121</v>
      </c>
      <c r="E197" s="54">
        <v>462.893</v>
      </c>
    </row>
    <row r="198" ht="15.75" spans="1:5">
      <c r="A198" s="63">
        <v>3045148.6737</v>
      </c>
      <c r="B198" s="63">
        <v>400730.5954</v>
      </c>
      <c r="C198" s="33">
        <v>671.68</v>
      </c>
      <c r="D198" s="11">
        <v>45122</v>
      </c>
      <c r="E198" s="54">
        <v>462.618</v>
      </c>
    </row>
    <row r="199" ht="15.75" spans="1:5">
      <c r="A199" s="63">
        <v>3045148.6737</v>
      </c>
      <c r="B199" s="63">
        <v>400730.5954</v>
      </c>
      <c r="C199" s="33">
        <v>671.68</v>
      </c>
      <c r="D199" s="11">
        <v>45123</v>
      </c>
      <c r="E199" s="54">
        <v>462.423</v>
      </c>
    </row>
    <row r="200" ht="15.75" spans="1:5">
      <c r="A200" s="63">
        <v>3045148.6737</v>
      </c>
      <c r="B200" s="63">
        <v>400730.5954</v>
      </c>
      <c r="C200" s="33">
        <v>671.68</v>
      </c>
      <c r="D200" s="11">
        <v>45124</v>
      </c>
      <c r="E200" s="54">
        <v>463.478</v>
      </c>
    </row>
    <row r="201" ht="15.75" spans="1:5">
      <c r="A201" s="63">
        <v>3045148.6737</v>
      </c>
      <c r="B201" s="63">
        <v>400730.5954</v>
      </c>
      <c r="C201" s="33">
        <v>671.68</v>
      </c>
      <c r="D201" s="11">
        <v>45125</v>
      </c>
      <c r="E201" s="54">
        <v>462.453</v>
      </c>
    </row>
    <row r="202" ht="15.75" spans="1:5">
      <c r="A202" s="63">
        <v>3045148.6737</v>
      </c>
      <c r="B202" s="63">
        <v>400730.5954</v>
      </c>
      <c r="C202" s="33">
        <v>671.68</v>
      </c>
      <c r="D202" s="11">
        <v>45126</v>
      </c>
      <c r="E202" s="54">
        <v>462.311</v>
      </c>
    </row>
    <row r="203" ht="15.75" spans="1:5">
      <c r="A203" s="63">
        <v>3045148.6737</v>
      </c>
      <c r="B203" s="63">
        <v>400730.5954</v>
      </c>
      <c r="C203" s="33">
        <v>671.68</v>
      </c>
      <c r="D203" s="11">
        <v>45127</v>
      </c>
      <c r="E203" s="54">
        <v>462.34</v>
      </c>
    </row>
    <row r="204" ht="15.75" spans="1:5">
      <c r="A204" s="63">
        <v>3045148.6737</v>
      </c>
      <c r="B204" s="63">
        <v>400730.5954</v>
      </c>
      <c r="C204" s="33">
        <v>671.68</v>
      </c>
      <c r="D204" s="11">
        <v>45128</v>
      </c>
      <c r="E204" s="64"/>
    </row>
    <row r="205" ht="15.75" spans="1:5">
      <c r="A205" s="63">
        <v>3045148.6737</v>
      </c>
      <c r="B205" s="63">
        <v>400730.5954</v>
      </c>
      <c r="C205" s="33">
        <v>671.68</v>
      </c>
      <c r="D205" s="11">
        <v>45129</v>
      </c>
      <c r="E205" s="54"/>
    </row>
    <row r="206" ht="15.75" spans="1:5">
      <c r="A206" s="63">
        <v>3045148.6737</v>
      </c>
      <c r="B206" s="63">
        <v>400730.5954</v>
      </c>
      <c r="C206" s="33">
        <v>671.68</v>
      </c>
      <c r="D206" s="11">
        <v>45130</v>
      </c>
      <c r="E206" s="54"/>
    </row>
    <row r="207" ht="15.75" spans="1:5">
      <c r="A207" s="63">
        <v>3045148.6737</v>
      </c>
      <c r="B207" s="63">
        <v>400730.5954</v>
      </c>
      <c r="C207" s="33">
        <v>671.68</v>
      </c>
      <c r="D207" s="11">
        <v>45131</v>
      </c>
      <c r="E207" s="54"/>
    </row>
    <row r="208" ht="15.75" spans="1:5">
      <c r="A208" s="63">
        <v>3045148.6737</v>
      </c>
      <c r="B208" s="63">
        <v>400730.5954</v>
      </c>
      <c r="C208" s="33">
        <v>671.68</v>
      </c>
      <c r="D208" s="11">
        <v>45132</v>
      </c>
      <c r="E208" s="54"/>
    </row>
    <row r="209" ht="15.75" spans="1:5">
      <c r="A209" s="63">
        <v>3045148.6737</v>
      </c>
      <c r="B209" s="63">
        <v>400730.5954</v>
      </c>
      <c r="C209" s="33">
        <v>671.68</v>
      </c>
      <c r="D209" s="11">
        <v>45133</v>
      </c>
      <c r="E209" s="54"/>
    </row>
    <row r="210" ht="15.75" spans="1:5">
      <c r="A210" s="63">
        <v>3045148.6737</v>
      </c>
      <c r="B210" s="63">
        <v>400730.5954</v>
      </c>
      <c r="C210" s="33">
        <v>671.68</v>
      </c>
      <c r="D210" s="11">
        <v>45134</v>
      </c>
      <c r="E210" s="54"/>
    </row>
    <row r="211" ht="15.75" spans="1:5">
      <c r="A211" s="63">
        <v>3045148.6737</v>
      </c>
      <c r="B211" s="63">
        <v>400730.5954</v>
      </c>
      <c r="C211" s="33">
        <v>671.68</v>
      </c>
      <c r="D211" s="11">
        <v>45135</v>
      </c>
      <c r="E211" s="54"/>
    </row>
    <row r="212" ht="15.75" spans="1:5">
      <c r="A212" s="63">
        <v>3045148.6737</v>
      </c>
      <c r="B212" s="63">
        <v>400730.5954</v>
      </c>
      <c r="C212" s="33">
        <v>671.68</v>
      </c>
      <c r="D212" s="11">
        <v>45136</v>
      </c>
      <c r="E212" s="54"/>
    </row>
    <row r="213" ht="15.75" spans="1:5">
      <c r="A213" s="63">
        <v>3045148.6737</v>
      </c>
      <c r="B213" s="63">
        <v>400730.5954</v>
      </c>
      <c r="C213" s="33">
        <v>671.68</v>
      </c>
      <c r="D213" s="11">
        <v>45137</v>
      </c>
      <c r="E213" s="54"/>
    </row>
    <row r="214" ht="15.75" spans="1:5">
      <c r="A214" s="63">
        <v>3045148.6737</v>
      </c>
      <c r="B214" s="63">
        <v>400730.5954</v>
      </c>
      <c r="C214" s="33">
        <v>671.68</v>
      </c>
      <c r="D214" s="11">
        <v>45138</v>
      </c>
      <c r="E214" s="54"/>
    </row>
    <row r="215" ht="15.75" spans="1:5">
      <c r="A215" s="63">
        <v>3045148.6737</v>
      </c>
      <c r="B215" s="63">
        <v>400730.5954</v>
      </c>
      <c r="C215" s="33">
        <v>671.68</v>
      </c>
      <c r="D215" s="11">
        <v>45139</v>
      </c>
      <c r="E215" s="54"/>
    </row>
    <row r="216" ht="15.75" spans="1:5">
      <c r="A216" s="63">
        <v>3045148.6737</v>
      </c>
      <c r="B216" s="63">
        <v>400730.5954</v>
      </c>
      <c r="C216" s="33">
        <v>671.68</v>
      </c>
      <c r="D216" s="11">
        <v>45140</v>
      </c>
      <c r="E216" s="54"/>
    </row>
    <row r="217" ht="15.75" spans="1:5">
      <c r="A217" s="63">
        <v>3045148.6737</v>
      </c>
      <c r="B217" s="63">
        <v>400730.5954</v>
      </c>
      <c r="C217" s="33">
        <v>671.68</v>
      </c>
      <c r="D217" s="11">
        <v>45141</v>
      </c>
      <c r="E217" s="59"/>
    </row>
    <row r="218" ht="15.75" spans="1:5">
      <c r="A218" s="63">
        <v>3045148.6737</v>
      </c>
      <c r="B218" s="63">
        <v>400730.5954</v>
      </c>
      <c r="C218" s="33">
        <v>671.68</v>
      </c>
      <c r="D218" s="11">
        <v>45142</v>
      </c>
      <c r="E218" s="54"/>
    </row>
    <row r="219" ht="15.75" spans="1:5">
      <c r="A219" s="63">
        <v>3045148.6737</v>
      </c>
      <c r="B219" s="63">
        <v>400730.5954</v>
      </c>
      <c r="C219" s="33">
        <v>671.68</v>
      </c>
      <c r="D219" s="11">
        <v>45143</v>
      </c>
      <c r="E219" s="54"/>
    </row>
    <row r="220" ht="15.75" spans="1:5">
      <c r="A220" s="63">
        <v>3045148.6737</v>
      </c>
      <c r="B220" s="63">
        <v>400730.5954</v>
      </c>
      <c r="C220" s="33">
        <v>671.68</v>
      </c>
      <c r="D220" s="11">
        <v>45144</v>
      </c>
      <c r="E220" s="54"/>
    </row>
    <row r="221" ht="15.75" spans="1:5">
      <c r="A221" s="63">
        <v>3045148.6737</v>
      </c>
      <c r="B221" s="63">
        <v>400730.5954</v>
      </c>
      <c r="C221" s="33">
        <v>671.68</v>
      </c>
      <c r="D221" s="11">
        <v>45145</v>
      </c>
      <c r="E221" s="54"/>
    </row>
    <row r="222" ht="15.75" spans="1:5">
      <c r="A222" s="63">
        <v>3045148.6737</v>
      </c>
      <c r="B222" s="63">
        <v>400730.5954</v>
      </c>
      <c r="C222" s="33">
        <v>671.68</v>
      </c>
      <c r="D222" s="11">
        <v>45146</v>
      </c>
      <c r="E222" s="54"/>
    </row>
    <row r="223" ht="15.75" spans="1:5">
      <c r="A223" s="63">
        <v>3045148.6737</v>
      </c>
      <c r="B223" s="63">
        <v>400730.5954</v>
      </c>
      <c r="C223" s="33">
        <v>671.68</v>
      </c>
      <c r="D223" s="11">
        <v>45147</v>
      </c>
      <c r="E223" s="54"/>
    </row>
    <row r="224" ht="15.75" spans="1:5">
      <c r="A224" s="63">
        <v>3045148.6737</v>
      </c>
      <c r="B224" s="63">
        <v>400730.5954</v>
      </c>
      <c r="C224" s="33">
        <v>671.68</v>
      </c>
      <c r="D224" s="11">
        <v>45148</v>
      </c>
      <c r="E224" s="54"/>
    </row>
    <row r="225" ht="15.75" spans="1:5">
      <c r="A225" s="63">
        <v>3045148.6737</v>
      </c>
      <c r="B225" s="63">
        <v>400730.5954</v>
      </c>
      <c r="C225" s="33">
        <v>671.68</v>
      </c>
      <c r="D225" s="11">
        <v>45149</v>
      </c>
      <c r="E225" s="54"/>
    </row>
    <row r="226" ht="15.75" spans="1:5">
      <c r="A226" s="63">
        <v>3045148.6737</v>
      </c>
      <c r="B226" s="63">
        <v>400730.5954</v>
      </c>
      <c r="C226" s="33">
        <v>671.68</v>
      </c>
      <c r="D226" s="11">
        <v>45150</v>
      </c>
      <c r="E226" s="54"/>
    </row>
    <row r="227" ht="15.75" spans="1:5">
      <c r="A227" s="63">
        <v>3045148.6737</v>
      </c>
      <c r="B227" s="63">
        <v>400730.5954</v>
      </c>
      <c r="C227" s="33">
        <v>671.68</v>
      </c>
      <c r="D227" s="11">
        <v>45151</v>
      </c>
      <c r="E227" s="54"/>
    </row>
    <row r="228" ht="15.75" spans="1:5">
      <c r="A228" s="63">
        <v>3045148.6737</v>
      </c>
      <c r="B228" s="63">
        <v>400730.5954</v>
      </c>
      <c r="C228" s="33">
        <v>671.68</v>
      </c>
      <c r="D228" s="11">
        <v>45152</v>
      </c>
      <c r="E228" s="54"/>
    </row>
    <row r="229" ht="15.75" spans="1:5">
      <c r="A229" s="63">
        <v>3045148.6737</v>
      </c>
      <c r="B229" s="63">
        <v>400730.5954</v>
      </c>
      <c r="C229" s="33">
        <v>671.68</v>
      </c>
      <c r="D229" s="11">
        <v>45153</v>
      </c>
      <c r="E229" s="59"/>
    </row>
    <row r="230" ht="15.75" spans="1:5">
      <c r="A230" s="63">
        <v>3045148.6737</v>
      </c>
      <c r="B230" s="63">
        <v>400730.5954</v>
      </c>
      <c r="C230" s="33">
        <v>671.68</v>
      </c>
      <c r="D230" s="11">
        <v>45154</v>
      </c>
      <c r="E230" s="54">
        <v>449.822</v>
      </c>
    </row>
    <row r="231" ht="15.75" spans="1:5">
      <c r="A231" s="63">
        <v>3045148.6737</v>
      </c>
      <c r="B231" s="63">
        <v>400730.5954</v>
      </c>
      <c r="C231" s="33">
        <v>671.68</v>
      </c>
      <c r="D231" s="11">
        <v>45155</v>
      </c>
      <c r="E231" s="54">
        <v>449.561</v>
      </c>
    </row>
    <row r="232" ht="15.75" spans="1:5">
      <c r="A232" s="63">
        <v>3045148.6737</v>
      </c>
      <c r="B232" s="63">
        <v>400730.5954</v>
      </c>
      <c r="C232" s="33">
        <v>671.68</v>
      </c>
      <c r="D232" s="11">
        <v>45156</v>
      </c>
      <c r="E232" s="54">
        <v>449.383</v>
      </c>
    </row>
    <row r="233" ht="15.75" spans="1:5">
      <c r="A233" s="63">
        <v>3045148.6737</v>
      </c>
      <c r="B233" s="63">
        <v>400730.5954</v>
      </c>
      <c r="C233" s="33">
        <v>671.68</v>
      </c>
      <c r="D233" s="11">
        <v>45157</v>
      </c>
      <c r="E233" s="54">
        <v>449.204</v>
      </c>
    </row>
    <row r="234" ht="15.75" spans="1:5">
      <c r="A234" s="63">
        <v>3045148.6737</v>
      </c>
      <c r="B234" s="63">
        <v>400730.5954</v>
      </c>
      <c r="C234" s="33">
        <v>671.68</v>
      </c>
      <c r="D234" s="11">
        <v>45158</v>
      </c>
      <c r="E234" s="54">
        <v>449.447</v>
      </c>
    </row>
    <row r="235" ht="15.75" spans="1:5">
      <c r="A235" s="63">
        <v>3045148.6737</v>
      </c>
      <c r="B235" s="63">
        <v>400730.5954</v>
      </c>
      <c r="C235" s="33">
        <v>671.68</v>
      </c>
      <c r="D235" s="11">
        <v>45159</v>
      </c>
      <c r="E235" s="54">
        <v>448.501</v>
      </c>
    </row>
    <row r="236" ht="15.75" spans="1:5">
      <c r="A236" s="63">
        <v>3045148.6737</v>
      </c>
      <c r="B236" s="63">
        <v>400730.5954</v>
      </c>
      <c r="C236" s="33">
        <v>671.68</v>
      </c>
      <c r="D236" s="11">
        <v>45160</v>
      </c>
      <c r="E236" s="54">
        <v>448.344</v>
      </c>
    </row>
    <row r="237" ht="15.75" spans="1:5">
      <c r="A237" s="63">
        <v>3045148.6737</v>
      </c>
      <c r="B237" s="63">
        <v>400730.5954</v>
      </c>
      <c r="C237" s="33">
        <v>671.68</v>
      </c>
      <c r="D237" s="11">
        <v>45161</v>
      </c>
      <c r="E237" s="54">
        <v>448.874</v>
      </c>
    </row>
    <row r="238" ht="15.75" spans="1:5">
      <c r="A238" s="63">
        <v>3045148.6737</v>
      </c>
      <c r="B238" s="63">
        <v>400730.5954</v>
      </c>
      <c r="C238" s="33">
        <v>671.68</v>
      </c>
      <c r="D238" s="11">
        <v>45162</v>
      </c>
      <c r="E238" s="54">
        <v>448.914</v>
      </c>
    </row>
    <row r="239" ht="15.75" spans="1:5">
      <c r="A239" s="63">
        <v>3045148.6737</v>
      </c>
      <c r="B239" s="63">
        <v>400730.5954</v>
      </c>
      <c r="C239" s="33">
        <v>671.68</v>
      </c>
      <c r="D239" s="11">
        <v>45163</v>
      </c>
      <c r="E239" s="54">
        <v>447.786</v>
      </c>
    </row>
    <row r="240" ht="15.75" spans="1:5">
      <c r="A240" s="63">
        <v>3045148.6737</v>
      </c>
      <c r="B240" s="63">
        <v>400730.5954</v>
      </c>
      <c r="C240" s="33">
        <v>671.68</v>
      </c>
      <c r="D240" s="11">
        <v>45164</v>
      </c>
      <c r="E240" s="54">
        <v>447.24</v>
      </c>
    </row>
    <row r="241" ht="15.75" spans="1:5">
      <c r="A241" s="63">
        <v>3045148.6737</v>
      </c>
      <c r="B241" s="63">
        <v>400730.5954</v>
      </c>
      <c r="C241" s="33">
        <v>671.68</v>
      </c>
      <c r="D241" s="11">
        <v>45165</v>
      </c>
      <c r="E241" s="54">
        <v>447.991</v>
      </c>
    </row>
    <row r="242" ht="15.75" spans="1:5">
      <c r="A242" s="63">
        <v>3045148.6737</v>
      </c>
      <c r="B242" s="63">
        <v>400730.5954</v>
      </c>
      <c r="C242" s="33">
        <v>671.68</v>
      </c>
      <c r="D242" s="11">
        <v>45166</v>
      </c>
      <c r="E242" s="54">
        <v>447.049</v>
      </c>
    </row>
    <row r="243" ht="15.75" spans="1:5">
      <c r="A243" s="63">
        <v>3045148.6737</v>
      </c>
      <c r="B243" s="63">
        <v>400730.5954</v>
      </c>
      <c r="C243" s="33">
        <v>671.68</v>
      </c>
      <c r="D243" s="11">
        <v>45167</v>
      </c>
      <c r="E243" s="54">
        <v>446.615</v>
      </c>
    </row>
    <row r="244" ht="15.75" spans="1:5">
      <c r="A244" s="63">
        <v>3045148.6737</v>
      </c>
      <c r="B244" s="63">
        <v>400730.5954</v>
      </c>
      <c r="C244" s="33">
        <v>671.68</v>
      </c>
      <c r="D244" s="11">
        <v>45168</v>
      </c>
      <c r="E244" s="54">
        <v>446.901</v>
      </c>
    </row>
    <row r="245" ht="15.75" spans="1:5">
      <c r="A245" s="63">
        <v>3045148.6737</v>
      </c>
      <c r="B245" s="63">
        <v>400730.5954</v>
      </c>
      <c r="C245" s="33">
        <v>671.68</v>
      </c>
      <c r="D245" s="11">
        <v>45169</v>
      </c>
      <c r="E245" s="54"/>
    </row>
    <row r="246" ht="15.75" spans="1:5">
      <c r="A246" s="63">
        <v>3045148.6737</v>
      </c>
      <c r="B246" s="63">
        <v>400730.5954</v>
      </c>
      <c r="C246" s="33">
        <v>671.68</v>
      </c>
      <c r="D246" s="11">
        <v>45170</v>
      </c>
      <c r="E246" s="54">
        <v>447.201</v>
      </c>
    </row>
    <row r="247" ht="15.75" spans="1:5">
      <c r="A247" s="63">
        <v>3045148.6737</v>
      </c>
      <c r="B247" s="63">
        <v>400730.5954</v>
      </c>
      <c r="C247" s="33">
        <v>671.68</v>
      </c>
      <c r="D247" s="11">
        <v>45171</v>
      </c>
      <c r="E247" s="54">
        <v>446.788</v>
      </c>
    </row>
    <row r="248" ht="15.75" spans="1:5">
      <c r="A248" s="63">
        <v>3045148.6737</v>
      </c>
      <c r="B248" s="63">
        <v>400730.5954</v>
      </c>
      <c r="C248" s="33">
        <v>671.68</v>
      </c>
      <c r="D248" s="11">
        <v>45172</v>
      </c>
      <c r="E248" s="54">
        <v>446.607</v>
      </c>
    </row>
    <row r="249" ht="15.75" spans="1:5">
      <c r="A249" s="63">
        <v>3045148.6737</v>
      </c>
      <c r="B249" s="63">
        <v>400730.5954</v>
      </c>
      <c r="C249" s="33">
        <v>671.68</v>
      </c>
      <c r="D249" s="11">
        <v>45173</v>
      </c>
      <c r="E249" s="54">
        <v>446.44</v>
      </c>
    </row>
    <row r="250" ht="15.75" spans="1:5">
      <c r="A250" s="63">
        <v>3045148.6737</v>
      </c>
      <c r="B250" s="63">
        <v>400730.5954</v>
      </c>
      <c r="C250" s="33">
        <v>671.68</v>
      </c>
      <c r="D250" s="11">
        <v>45174</v>
      </c>
      <c r="E250" s="54">
        <v>446.825</v>
      </c>
    </row>
    <row r="251" ht="15.75" spans="1:5">
      <c r="A251" s="63">
        <v>3045148.6737</v>
      </c>
      <c r="B251" s="63">
        <v>400730.5954</v>
      </c>
      <c r="C251" s="33">
        <v>671.68</v>
      </c>
      <c r="D251" s="11">
        <v>45175</v>
      </c>
      <c r="E251" s="54">
        <v>448.183</v>
      </c>
    </row>
    <row r="252" ht="15.75" spans="1:5">
      <c r="A252" s="63">
        <v>3045148.6737</v>
      </c>
      <c r="B252" s="63">
        <v>400730.5954</v>
      </c>
      <c r="C252" s="33">
        <v>671.68</v>
      </c>
      <c r="D252" s="11">
        <v>45176</v>
      </c>
      <c r="E252" s="54">
        <v>450.329</v>
      </c>
    </row>
    <row r="253" ht="15.75" spans="1:5">
      <c r="A253" s="63">
        <v>3045148.6737</v>
      </c>
      <c r="B253" s="63">
        <v>400730.5954</v>
      </c>
      <c r="C253" s="33">
        <v>671.68</v>
      </c>
      <c r="D253" s="11">
        <v>45177</v>
      </c>
      <c r="E253" s="54">
        <v>449.121</v>
      </c>
    </row>
    <row r="254" ht="15.75" spans="1:5">
      <c r="A254" s="63">
        <v>3045148.6737</v>
      </c>
      <c r="B254" s="63">
        <v>400730.5954</v>
      </c>
      <c r="C254" s="33">
        <v>671.68</v>
      </c>
      <c r="D254" s="11">
        <v>45178</v>
      </c>
      <c r="E254" s="54"/>
    </row>
    <row r="255" ht="15.75" spans="1:5">
      <c r="A255" s="63">
        <v>3045148.6737</v>
      </c>
      <c r="B255" s="63">
        <v>400730.5954</v>
      </c>
      <c r="C255" s="33">
        <v>671.68</v>
      </c>
      <c r="D255" s="11">
        <v>45179</v>
      </c>
      <c r="E255" s="54"/>
    </row>
    <row r="256" ht="15.75" spans="1:5">
      <c r="A256" s="63">
        <v>3045148.6737</v>
      </c>
      <c r="B256" s="63">
        <v>400730.5954</v>
      </c>
      <c r="C256" s="33">
        <v>671.68</v>
      </c>
      <c r="D256" s="11">
        <v>45180</v>
      </c>
      <c r="E256" s="54"/>
    </row>
    <row r="257" ht="15.75" spans="1:5">
      <c r="A257" s="63">
        <v>3045148.6737</v>
      </c>
      <c r="B257" s="63">
        <v>400730.5954</v>
      </c>
      <c r="C257" s="33">
        <v>671.68</v>
      </c>
      <c r="D257" s="11">
        <v>45181</v>
      </c>
      <c r="E257" s="54"/>
    </row>
    <row r="258" ht="15.75" spans="1:5">
      <c r="A258" s="63">
        <v>3045148.6737</v>
      </c>
      <c r="B258" s="63">
        <v>400730.5954</v>
      </c>
      <c r="C258" s="33">
        <v>671.68</v>
      </c>
      <c r="D258" s="11">
        <v>45182</v>
      </c>
      <c r="E258" s="54"/>
    </row>
    <row r="259" ht="15.75" spans="1:5">
      <c r="A259" s="63">
        <v>3045148.6737</v>
      </c>
      <c r="B259" s="63">
        <v>400730.5954</v>
      </c>
      <c r="C259" s="33">
        <v>671.68</v>
      </c>
      <c r="D259" s="11">
        <v>45183</v>
      </c>
      <c r="E259" s="54">
        <f>670-222.24</f>
        <v>447.76</v>
      </c>
    </row>
    <row r="260" ht="15.75" spans="1:5">
      <c r="A260" s="63">
        <v>3045148.6737</v>
      </c>
      <c r="B260" s="63">
        <v>400730.5954</v>
      </c>
      <c r="C260" s="33">
        <v>671.68</v>
      </c>
      <c r="D260" s="11">
        <v>45184</v>
      </c>
      <c r="E260" s="54"/>
    </row>
    <row r="261" ht="15.75" spans="1:5">
      <c r="A261" s="63">
        <v>3045148.6737</v>
      </c>
      <c r="B261" s="63">
        <v>400730.5954</v>
      </c>
      <c r="C261" s="33">
        <v>671.68</v>
      </c>
      <c r="D261" s="11">
        <v>45185</v>
      </c>
      <c r="E261" s="54"/>
    </row>
    <row r="262" ht="15.75" spans="1:5">
      <c r="A262" s="63">
        <v>3045148.6737</v>
      </c>
      <c r="B262" s="63">
        <v>400730.5954</v>
      </c>
      <c r="C262" s="33">
        <v>671.68</v>
      </c>
      <c r="D262" s="11">
        <v>45186</v>
      </c>
      <c r="E262" s="54"/>
    </row>
    <row r="263" ht="15.75" spans="1:5">
      <c r="A263" s="63">
        <v>3045148.6737</v>
      </c>
      <c r="B263" s="63">
        <v>400730.5954</v>
      </c>
      <c r="C263" s="33">
        <v>671.68</v>
      </c>
      <c r="D263" s="11">
        <v>45187</v>
      </c>
      <c r="E263" s="54"/>
    </row>
    <row r="264" ht="15.75" spans="1:5">
      <c r="A264" s="63">
        <v>3045148.6737</v>
      </c>
      <c r="B264" s="63">
        <v>400730.5954</v>
      </c>
      <c r="C264" s="33">
        <v>671.68</v>
      </c>
      <c r="D264" s="11">
        <v>45188</v>
      </c>
      <c r="E264" s="54"/>
    </row>
    <row r="265" ht="15.75" spans="1:5">
      <c r="A265" s="63">
        <v>3045148.6737</v>
      </c>
      <c r="B265" s="63">
        <v>400730.5954</v>
      </c>
      <c r="C265" s="33">
        <v>671.68</v>
      </c>
      <c r="D265" s="11">
        <v>45189</v>
      </c>
      <c r="E265" s="54">
        <v>445.323</v>
      </c>
    </row>
    <row r="266" ht="15.75" spans="1:5">
      <c r="A266" s="63">
        <v>3045148.6737</v>
      </c>
      <c r="B266" s="63">
        <v>400730.5954</v>
      </c>
      <c r="C266" s="33">
        <v>671.68</v>
      </c>
      <c r="D266" s="11">
        <v>45190</v>
      </c>
      <c r="E266" s="54">
        <v>445.379</v>
      </c>
    </row>
    <row r="267" ht="15.75" spans="1:5">
      <c r="A267" s="63">
        <v>3045148.6737</v>
      </c>
      <c r="B267" s="63">
        <v>400730.5954</v>
      </c>
      <c r="C267" s="33">
        <v>671.68</v>
      </c>
      <c r="D267" s="11">
        <v>45191</v>
      </c>
      <c r="E267" s="54">
        <v>445.128</v>
      </c>
    </row>
    <row r="268" ht="15.75" spans="1:5">
      <c r="A268" s="63">
        <v>3045148.6737</v>
      </c>
      <c r="B268" s="63">
        <v>400730.5954</v>
      </c>
      <c r="C268" s="33">
        <v>671.68</v>
      </c>
      <c r="D268" s="11">
        <v>45192</v>
      </c>
      <c r="E268" s="54">
        <v>445.365</v>
      </c>
    </row>
    <row r="269" ht="15.75" spans="1:5">
      <c r="A269" s="63">
        <v>3045148.6737</v>
      </c>
      <c r="B269" s="63">
        <v>400730.5954</v>
      </c>
      <c r="C269" s="33">
        <v>671.68</v>
      </c>
      <c r="D269" s="11">
        <v>45193</v>
      </c>
      <c r="E269" s="54">
        <v>445.394</v>
      </c>
    </row>
    <row r="270" ht="15.75" spans="1:5">
      <c r="A270" s="63">
        <v>3045148.6737</v>
      </c>
      <c r="B270" s="63">
        <v>400730.5954</v>
      </c>
      <c r="C270" s="33">
        <v>671.68</v>
      </c>
      <c r="D270" s="11">
        <v>45194</v>
      </c>
      <c r="E270" s="54">
        <v>445.285</v>
      </c>
    </row>
    <row r="271" ht="15.75" spans="1:5">
      <c r="A271" s="63">
        <v>3045148.6737</v>
      </c>
      <c r="B271" s="63">
        <v>400730.5954</v>
      </c>
      <c r="C271" s="33">
        <v>671.68</v>
      </c>
      <c r="D271" s="11">
        <v>45195</v>
      </c>
      <c r="E271" s="54">
        <v>447.411</v>
      </c>
    </row>
    <row r="272" ht="15.75" spans="1:5">
      <c r="A272" s="63">
        <v>3045148.6737</v>
      </c>
      <c r="B272" s="63">
        <v>400730.5954</v>
      </c>
      <c r="C272" s="33">
        <v>671.68</v>
      </c>
      <c r="D272" s="11">
        <v>45196</v>
      </c>
      <c r="E272" s="54">
        <v>442.959</v>
      </c>
    </row>
    <row r="273" ht="15.75" spans="1:5">
      <c r="A273" s="63">
        <v>3045148.6737</v>
      </c>
      <c r="B273" s="63">
        <v>400730.5954</v>
      </c>
      <c r="C273" s="33">
        <v>671.68</v>
      </c>
      <c r="D273" s="11">
        <v>45197</v>
      </c>
      <c r="E273" s="54">
        <v>439.357</v>
      </c>
    </row>
    <row r="274" ht="15.75" spans="1:5">
      <c r="A274" s="63">
        <v>3045148.6737</v>
      </c>
      <c r="B274" s="63">
        <v>400730.5954</v>
      </c>
      <c r="C274" s="33">
        <v>671.68</v>
      </c>
      <c r="D274" s="11">
        <v>45198</v>
      </c>
      <c r="E274" s="54">
        <v>434.396</v>
      </c>
    </row>
    <row r="275" ht="15.75" spans="1:5">
      <c r="A275" s="63">
        <v>3045148.6737</v>
      </c>
      <c r="B275" s="63">
        <v>400730.5954</v>
      </c>
      <c r="C275" s="33">
        <v>671.68</v>
      </c>
      <c r="D275" s="11">
        <v>45199</v>
      </c>
      <c r="E275" s="54">
        <v>434.19</v>
      </c>
    </row>
    <row r="276" ht="15.75" spans="1:5">
      <c r="A276" s="63">
        <v>3045148.6737</v>
      </c>
      <c r="B276" s="63">
        <v>400730.5954</v>
      </c>
      <c r="C276" s="33">
        <v>671.68</v>
      </c>
      <c r="D276" s="11">
        <v>45200</v>
      </c>
      <c r="E276" s="54">
        <v>436.567</v>
      </c>
    </row>
    <row r="277" ht="15.75" spans="1:5">
      <c r="A277" s="63">
        <v>3045148.6737</v>
      </c>
      <c r="B277" s="63">
        <v>400730.5954</v>
      </c>
      <c r="C277" s="33">
        <v>671.68</v>
      </c>
      <c r="D277" s="11">
        <v>45201</v>
      </c>
      <c r="E277" s="54">
        <v>435.541</v>
      </c>
    </row>
    <row r="278" ht="15.75" spans="1:5">
      <c r="A278" s="63">
        <v>3045148.6737</v>
      </c>
      <c r="B278" s="63">
        <v>400730.5954</v>
      </c>
      <c r="C278" s="33">
        <v>671.68</v>
      </c>
      <c r="D278" s="11">
        <v>45202</v>
      </c>
      <c r="E278" s="54">
        <v>435.287</v>
      </c>
    </row>
    <row r="279" ht="15.75" spans="1:5">
      <c r="A279" s="63">
        <v>3045148.6737</v>
      </c>
      <c r="B279" s="63">
        <v>400730.5954</v>
      </c>
      <c r="C279" s="33">
        <v>671.68</v>
      </c>
      <c r="D279" s="11">
        <v>45203</v>
      </c>
      <c r="E279" s="54">
        <v>434.357</v>
      </c>
    </row>
    <row r="280" ht="15.75" spans="1:5">
      <c r="A280" s="63">
        <v>3045148.6737</v>
      </c>
      <c r="B280" s="63">
        <v>400730.5954</v>
      </c>
      <c r="C280" s="33">
        <v>671.68</v>
      </c>
      <c r="D280" s="11">
        <v>45204</v>
      </c>
      <c r="E280" s="54">
        <v>434.251</v>
      </c>
    </row>
    <row r="281" ht="15.75" spans="1:5">
      <c r="A281" s="63">
        <v>3045148.6737</v>
      </c>
      <c r="B281" s="63">
        <v>400730.5954</v>
      </c>
      <c r="C281" s="33">
        <v>671.68</v>
      </c>
      <c r="D281" s="11">
        <v>45205</v>
      </c>
      <c r="E281" s="54">
        <v>434.251</v>
      </c>
    </row>
    <row r="282" ht="15.75" spans="1:5">
      <c r="A282" s="63">
        <v>3045148.6737</v>
      </c>
      <c r="B282" s="63">
        <v>400730.5954</v>
      </c>
      <c r="C282" s="33">
        <v>671.68</v>
      </c>
      <c r="D282" s="11">
        <v>45206</v>
      </c>
      <c r="E282" s="54">
        <v>434</v>
      </c>
    </row>
    <row r="283" ht="15.75" spans="1:5">
      <c r="A283" s="63">
        <v>3045148.6737</v>
      </c>
      <c r="B283" s="63">
        <v>400730.5954</v>
      </c>
      <c r="C283" s="33">
        <v>671.68</v>
      </c>
      <c r="D283" s="11">
        <v>45207</v>
      </c>
      <c r="E283" s="54">
        <v>433.935</v>
      </c>
    </row>
    <row r="284" ht="15.75" spans="1:5">
      <c r="A284" s="63">
        <v>3045148.6737</v>
      </c>
      <c r="B284" s="63">
        <v>400730.5954</v>
      </c>
      <c r="C284" s="33">
        <v>671.68</v>
      </c>
      <c r="D284" s="11">
        <v>45208</v>
      </c>
      <c r="E284" s="54">
        <v>433.465</v>
      </c>
    </row>
    <row r="285" ht="15.75" spans="1:5">
      <c r="A285" s="63">
        <v>3045148.6737</v>
      </c>
      <c r="B285" s="63">
        <v>400730.5954</v>
      </c>
      <c r="C285" s="33">
        <v>671.68</v>
      </c>
      <c r="D285" s="11">
        <v>45209</v>
      </c>
      <c r="E285" s="54">
        <v>433.756</v>
      </c>
    </row>
    <row r="286" ht="15.75" spans="1:5">
      <c r="A286" s="63">
        <v>3045148.6737</v>
      </c>
      <c r="B286" s="63">
        <v>400730.5954</v>
      </c>
      <c r="C286" s="33">
        <v>671.68</v>
      </c>
      <c r="D286" s="11">
        <v>45210</v>
      </c>
      <c r="E286" s="54">
        <v>434.014</v>
      </c>
    </row>
    <row r="287" ht="15.75" spans="1:5">
      <c r="A287" s="63">
        <v>3045148.6737</v>
      </c>
      <c r="B287" s="63">
        <v>400730.5954</v>
      </c>
      <c r="C287" s="33">
        <v>671.68</v>
      </c>
      <c r="D287" s="11">
        <v>45211</v>
      </c>
      <c r="E287" s="54">
        <v>433.959</v>
      </c>
    </row>
    <row r="288" ht="15.75" spans="1:5">
      <c r="A288" s="63">
        <v>3045148.6737</v>
      </c>
      <c r="B288" s="63">
        <v>400730.5954</v>
      </c>
      <c r="C288" s="33">
        <v>671.68</v>
      </c>
      <c r="D288" s="11">
        <v>45212</v>
      </c>
      <c r="E288" s="54">
        <v>434.35</v>
      </c>
    </row>
    <row r="289" ht="15.75" spans="1:5">
      <c r="A289" s="63">
        <v>3045148.6737</v>
      </c>
      <c r="B289" s="63">
        <v>400730.5954</v>
      </c>
      <c r="C289" s="33">
        <v>671.68</v>
      </c>
      <c r="D289" s="11">
        <v>45213</v>
      </c>
      <c r="E289" s="54">
        <v>434.136</v>
      </c>
    </row>
    <row r="290" ht="15.75" spans="1:5">
      <c r="A290" s="63">
        <v>3045148.6737</v>
      </c>
      <c r="B290" s="63">
        <v>400730.5954</v>
      </c>
      <c r="C290" s="33">
        <v>671.68</v>
      </c>
      <c r="D290" s="11">
        <v>45214</v>
      </c>
      <c r="E290" s="54">
        <v>434.264</v>
      </c>
    </row>
    <row r="291" ht="15.75" spans="1:5">
      <c r="A291" s="63">
        <v>3045148.6737</v>
      </c>
      <c r="B291" s="63">
        <v>400730.5954</v>
      </c>
      <c r="C291" s="33">
        <v>671.68</v>
      </c>
      <c r="D291" s="11">
        <v>45215</v>
      </c>
      <c r="E291" s="54">
        <v>434.877</v>
      </c>
    </row>
    <row r="292" ht="15.75" spans="1:5">
      <c r="A292" s="63">
        <v>3045148.6737</v>
      </c>
      <c r="B292" s="63">
        <v>400730.5954</v>
      </c>
      <c r="C292" s="33">
        <v>671.68</v>
      </c>
      <c r="D292" s="11">
        <v>45216</v>
      </c>
      <c r="E292" s="54">
        <v>434.328</v>
      </c>
    </row>
    <row r="293" ht="15.75" spans="1:5">
      <c r="A293" s="63">
        <v>3045148.6737</v>
      </c>
      <c r="B293" s="63">
        <v>400730.5954</v>
      </c>
      <c r="C293" s="33">
        <v>671.68</v>
      </c>
      <c r="D293" s="11">
        <v>45217</v>
      </c>
      <c r="E293" s="54">
        <v>434.418</v>
      </c>
    </row>
    <row r="294" ht="15.75" spans="1:5">
      <c r="A294" s="63">
        <v>3045148.6737</v>
      </c>
      <c r="B294" s="63">
        <v>400730.5954</v>
      </c>
      <c r="C294" s="33">
        <v>671.68</v>
      </c>
      <c r="D294" s="11">
        <v>45218</v>
      </c>
      <c r="E294" s="54"/>
    </row>
    <row r="295" ht="15.75" spans="1:5">
      <c r="A295" s="63">
        <v>3045148.6737</v>
      </c>
      <c r="B295" s="63">
        <v>400730.5954</v>
      </c>
      <c r="C295" s="33">
        <v>671.68</v>
      </c>
      <c r="D295" s="11">
        <v>45219</v>
      </c>
      <c r="E295" s="54">
        <v>434.404</v>
      </c>
    </row>
    <row r="296" ht="15.75" spans="1:5">
      <c r="A296" s="63">
        <v>3045148.6737</v>
      </c>
      <c r="B296" s="63">
        <v>400730.5954</v>
      </c>
      <c r="C296" s="33">
        <v>671.68</v>
      </c>
      <c r="D296" s="11">
        <v>45220</v>
      </c>
      <c r="E296" s="54">
        <v>434.296</v>
      </c>
    </row>
    <row r="297" ht="15.75" spans="1:5">
      <c r="A297" s="63">
        <v>3045148.6737</v>
      </c>
      <c r="B297" s="63">
        <v>400730.5954</v>
      </c>
      <c r="C297" s="33">
        <v>671.68</v>
      </c>
      <c r="D297" s="11">
        <v>45221</v>
      </c>
      <c r="E297" s="54">
        <v>434.415</v>
      </c>
    </row>
    <row r="298" ht="15.75" spans="1:5">
      <c r="A298" s="63">
        <v>3045148.6737</v>
      </c>
      <c r="B298" s="63">
        <v>400730.5954</v>
      </c>
      <c r="C298" s="33">
        <v>671.68</v>
      </c>
      <c r="D298" s="11">
        <v>45222</v>
      </c>
      <c r="E298" s="54">
        <v>434.733</v>
      </c>
    </row>
    <row r="299" ht="15.75" spans="1:5">
      <c r="A299" s="63">
        <v>3045148.6737</v>
      </c>
      <c r="B299" s="63">
        <v>400730.5954</v>
      </c>
      <c r="C299" s="33">
        <v>671.68</v>
      </c>
      <c r="D299" s="11">
        <v>45223</v>
      </c>
      <c r="E299" s="54">
        <v>434.507</v>
      </c>
    </row>
    <row r="300" ht="15.75" spans="1:5">
      <c r="A300" s="63">
        <v>3045148.6737</v>
      </c>
      <c r="B300" s="63">
        <v>400730.5954</v>
      </c>
      <c r="C300" s="33">
        <v>671.68</v>
      </c>
      <c r="D300" s="11">
        <v>45224</v>
      </c>
      <c r="E300" s="54">
        <v>434.082</v>
      </c>
    </row>
    <row r="301" ht="15.75" spans="1:5">
      <c r="A301" s="63">
        <v>3045148.6737</v>
      </c>
      <c r="B301" s="63">
        <v>400730.5954</v>
      </c>
      <c r="C301" s="33">
        <v>671.68</v>
      </c>
      <c r="D301" s="11">
        <v>45225</v>
      </c>
      <c r="E301" s="54">
        <v>434.393</v>
      </c>
    </row>
    <row r="302" ht="15.75" spans="1:5">
      <c r="A302" s="63">
        <v>3045148.6737</v>
      </c>
      <c r="B302" s="63">
        <v>400730.5954</v>
      </c>
      <c r="C302" s="33">
        <v>671.68</v>
      </c>
      <c r="D302" s="11">
        <v>45226</v>
      </c>
      <c r="E302" s="54">
        <v>434.09</v>
      </c>
    </row>
    <row r="303" ht="15.75" spans="1:5">
      <c r="A303" s="63">
        <v>3045148.6737</v>
      </c>
      <c r="B303" s="63">
        <v>400730.5954</v>
      </c>
      <c r="C303" s="33">
        <v>671.68</v>
      </c>
      <c r="D303" s="11">
        <v>45227</v>
      </c>
      <c r="E303" s="54">
        <v>434.56</v>
      </c>
    </row>
    <row r="304" ht="15.75" spans="1:5">
      <c r="A304" s="63">
        <v>3045148.6737</v>
      </c>
      <c r="B304" s="63">
        <v>400730.5954</v>
      </c>
      <c r="C304" s="33">
        <v>671.68</v>
      </c>
      <c r="D304" s="11">
        <v>45228</v>
      </c>
      <c r="E304" s="54">
        <v>434.27</v>
      </c>
    </row>
    <row r="305" ht="15.75" spans="1:5">
      <c r="A305" s="63">
        <v>3045148.6737</v>
      </c>
      <c r="B305" s="63">
        <v>400730.5954</v>
      </c>
      <c r="C305" s="33">
        <v>671.68</v>
      </c>
      <c r="D305" s="11">
        <v>45229</v>
      </c>
      <c r="E305" s="54">
        <v>434.33</v>
      </c>
    </row>
    <row r="306" ht="15.75" spans="1:5">
      <c r="A306" s="63">
        <v>3045148.6737</v>
      </c>
      <c r="B306" s="63">
        <v>400730.5954</v>
      </c>
      <c r="C306" s="33">
        <v>671.68</v>
      </c>
      <c r="D306" s="11">
        <v>45230</v>
      </c>
      <c r="E306" s="54">
        <v>435.02</v>
      </c>
    </row>
    <row r="307" ht="15.75" spans="1:5">
      <c r="A307" s="63">
        <v>3045148.6737</v>
      </c>
      <c r="B307" s="63">
        <v>400730.5954</v>
      </c>
      <c r="C307" s="33">
        <v>671.68</v>
      </c>
      <c r="D307" s="11">
        <v>45231</v>
      </c>
      <c r="E307" s="54">
        <v>434.69</v>
      </c>
    </row>
    <row r="308" ht="15.75" spans="1:5">
      <c r="A308" s="63">
        <v>3045148.6737</v>
      </c>
      <c r="B308" s="63">
        <v>400730.5954</v>
      </c>
      <c r="C308" s="33">
        <v>671.68</v>
      </c>
      <c r="D308" s="11">
        <v>45232</v>
      </c>
      <c r="E308" s="54">
        <v>434.568</v>
      </c>
    </row>
    <row r="309" ht="15.75" spans="1:5">
      <c r="A309" s="63">
        <v>3045148.6737</v>
      </c>
      <c r="B309" s="63">
        <v>400730.5954</v>
      </c>
      <c r="C309" s="33">
        <v>671.68</v>
      </c>
      <c r="D309" s="11">
        <v>45233</v>
      </c>
      <c r="E309" s="54">
        <v>434.68</v>
      </c>
    </row>
    <row r="310" ht="15.75" spans="1:5">
      <c r="A310" s="63">
        <v>3045148.6737</v>
      </c>
      <c r="B310" s="63">
        <v>400730.5954</v>
      </c>
      <c r="C310" s="33">
        <v>671.68</v>
      </c>
      <c r="D310" s="11">
        <v>45234</v>
      </c>
      <c r="E310" s="54">
        <v>434.77</v>
      </c>
    </row>
    <row r="311" ht="15.75" spans="1:5">
      <c r="A311" s="63">
        <v>3045148.6737</v>
      </c>
      <c r="B311" s="63">
        <v>400730.5954</v>
      </c>
      <c r="C311" s="33">
        <v>671.68</v>
      </c>
      <c r="D311" s="11">
        <v>45235</v>
      </c>
      <c r="E311" s="54">
        <v>434.55</v>
      </c>
    </row>
    <row r="312" ht="15.75" spans="1:5">
      <c r="A312" s="63">
        <v>3045148.6737</v>
      </c>
      <c r="B312" s="63">
        <v>400730.5954</v>
      </c>
      <c r="C312" s="33">
        <v>671.68</v>
      </c>
      <c r="D312" s="11">
        <v>45236</v>
      </c>
      <c r="E312" s="54">
        <v>432.54</v>
      </c>
    </row>
    <row r="313" ht="15.75" spans="1:5">
      <c r="A313" s="63">
        <v>3045148.6737</v>
      </c>
      <c r="B313" s="63">
        <v>400730.5954</v>
      </c>
      <c r="C313" s="33">
        <v>671.68</v>
      </c>
      <c r="D313" s="11">
        <v>45237</v>
      </c>
      <c r="E313" s="54">
        <v>432.46</v>
      </c>
    </row>
    <row r="314" ht="15.75" spans="1:5">
      <c r="A314" s="63">
        <v>3045148.6737</v>
      </c>
      <c r="B314" s="63">
        <v>400730.5954</v>
      </c>
      <c r="C314" s="33">
        <v>671.68</v>
      </c>
      <c r="D314" s="11">
        <v>45238</v>
      </c>
      <c r="E314" s="54">
        <v>432.36</v>
      </c>
    </row>
    <row r="315" ht="15.75" spans="1:5">
      <c r="A315" s="63">
        <v>3045148.6737</v>
      </c>
      <c r="B315" s="63">
        <v>400730.5954</v>
      </c>
      <c r="C315" s="33">
        <v>671.68</v>
      </c>
      <c r="D315" s="11">
        <v>45239</v>
      </c>
      <c r="E315" s="54">
        <v>432.06</v>
      </c>
    </row>
    <row r="316" ht="15.75" spans="1:5">
      <c r="A316" s="63">
        <v>3045148.6737</v>
      </c>
      <c r="B316" s="63">
        <v>400730.5954</v>
      </c>
      <c r="C316" s="33">
        <v>671.68</v>
      </c>
      <c r="D316" s="11">
        <v>45240</v>
      </c>
      <c r="E316" s="54">
        <v>432.185</v>
      </c>
    </row>
    <row r="317" ht="15.75" spans="1:5">
      <c r="A317" s="63">
        <v>3045148.6737</v>
      </c>
      <c r="B317" s="63">
        <v>400730.5954</v>
      </c>
      <c r="C317" s="33">
        <v>671.68</v>
      </c>
      <c r="D317" s="11">
        <v>45241</v>
      </c>
      <c r="E317" s="54">
        <v>432.12</v>
      </c>
    </row>
    <row r="318" ht="15.75" spans="1:5">
      <c r="A318" s="63">
        <v>3045148.6737</v>
      </c>
      <c r="B318" s="63">
        <v>400730.5954</v>
      </c>
      <c r="C318" s="33">
        <v>671.68</v>
      </c>
      <c r="D318" s="11">
        <v>45242</v>
      </c>
      <c r="E318" s="54">
        <v>432.15</v>
      </c>
    </row>
    <row r="319" ht="15.75" spans="1:5">
      <c r="A319" s="63">
        <v>3045148.6737</v>
      </c>
      <c r="B319" s="63">
        <v>400730.5954</v>
      </c>
      <c r="C319" s="33">
        <v>671.68</v>
      </c>
      <c r="D319" s="11">
        <v>45243</v>
      </c>
      <c r="E319" s="54"/>
    </row>
    <row r="320" ht="15.75" spans="1:5">
      <c r="A320" s="63">
        <v>3045148.6737</v>
      </c>
      <c r="B320" s="63">
        <v>400730.5954</v>
      </c>
      <c r="C320" s="33">
        <v>671.68</v>
      </c>
      <c r="D320" s="11">
        <v>45244</v>
      </c>
      <c r="E320" s="54"/>
    </row>
    <row r="321" ht="15.75" spans="1:5">
      <c r="A321" s="63">
        <v>3045148.6737</v>
      </c>
      <c r="B321" s="63">
        <v>400730.5954</v>
      </c>
      <c r="C321" s="33">
        <v>671.68</v>
      </c>
      <c r="D321" s="11">
        <v>45245</v>
      </c>
      <c r="E321" s="54"/>
    </row>
    <row r="322" ht="15.75" spans="1:5">
      <c r="A322" s="63">
        <v>3045148.6737</v>
      </c>
      <c r="B322" s="63">
        <v>400730.5954</v>
      </c>
      <c r="C322" s="33">
        <v>671.68</v>
      </c>
      <c r="D322" s="11">
        <v>45246</v>
      </c>
      <c r="E322" s="54">
        <v>432.4</v>
      </c>
    </row>
    <row r="323" ht="15.75" spans="1:5">
      <c r="A323" s="63">
        <v>3045148.6737</v>
      </c>
      <c r="B323" s="63">
        <v>400730.5954</v>
      </c>
      <c r="C323" s="33">
        <v>671.68</v>
      </c>
      <c r="D323" s="11">
        <v>45247</v>
      </c>
      <c r="E323" s="54">
        <v>433.76</v>
      </c>
    </row>
    <row r="324" ht="15.75" spans="1:5">
      <c r="A324" s="63">
        <v>3045148.6737</v>
      </c>
      <c r="B324" s="63">
        <v>400730.5954</v>
      </c>
      <c r="C324" s="33">
        <v>671.68</v>
      </c>
      <c r="D324" s="11">
        <v>45248</v>
      </c>
      <c r="E324" s="54">
        <v>435.21</v>
      </c>
    </row>
    <row r="325" ht="15.75" spans="1:5">
      <c r="A325" s="63">
        <v>3045148.6737</v>
      </c>
      <c r="B325" s="63">
        <v>400730.5954</v>
      </c>
      <c r="C325" s="33">
        <v>671.68</v>
      </c>
      <c r="D325" s="11">
        <v>45249</v>
      </c>
      <c r="E325" s="54">
        <v>434.73</v>
      </c>
    </row>
    <row r="326" ht="15.75" spans="1:5">
      <c r="A326" s="63">
        <v>3045148.6737</v>
      </c>
      <c r="B326" s="63">
        <v>400730.5954</v>
      </c>
      <c r="C326" s="33">
        <v>671.68</v>
      </c>
      <c r="D326" s="11">
        <v>45250</v>
      </c>
      <c r="E326" s="54">
        <v>433.76</v>
      </c>
    </row>
    <row r="327" ht="15.75" spans="1:5">
      <c r="A327" s="63">
        <v>3045148.6737</v>
      </c>
      <c r="B327" s="63">
        <v>400730.5954</v>
      </c>
      <c r="C327" s="33">
        <v>671.68</v>
      </c>
      <c r="D327" s="11">
        <v>45251</v>
      </c>
      <c r="E327" s="54">
        <v>433.33</v>
      </c>
    </row>
    <row r="328" ht="15.75" spans="1:5">
      <c r="A328" s="63">
        <v>3045148.6737</v>
      </c>
      <c r="B328" s="63">
        <v>400730.5954</v>
      </c>
      <c r="C328" s="33">
        <v>671.68</v>
      </c>
      <c r="D328" s="11">
        <v>45252</v>
      </c>
      <c r="E328" s="54">
        <v>432.68</v>
      </c>
    </row>
    <row r="329" ht="15.75" spans="1:5">
      <c r="A329" s="63">
        <v>3045148.6737</v>
      </c>
      <c r="B329" s="63">
        <v>400730.5954</v>
      </c>
      <c r="C329" s="33">
        <v>671.68</v>
      </c>
      <c r="D329" s="11">
        <v>45253</v>
      </c>
      <c r="E329" s="54">
        <v>432.36</v>
      </c>
    </row>
    <row r="330" ht="15.75" spans="1:5">
      <c r="A330" s="63">
        <v>3045148.6737</v>
      </c>
      <c r="B330" s="63">
        <v>400730.5954</v>
      </c>
      <c r="C330" s="33">
        <v>671.68</v>
      </c>
      <c r="D330" s="11">
        <v>45254</v>
      </c>
      <c r="E330" s="54">
        <v>432.21</v>
      </c>
    </row>
    <row r="331" ht="15.75" spans="1:5">
      <c r="A331" s="63">
        <v>3045148.6737</v>
      </c>
      <c r="B331" s="63">
        <v>400730.5954</v>
      </c>
      <c r="C331" s="33">
        <v>671.68</v>
      </c>
      <c r="D331" s="11">
        <v>45255</v>
      </c>
      <c r="E331" s="54"/>
    </row>
    <row r="332" ht="15.75" spans="1:5">
      <c r="A332" s="63">
        <v>3045148.6737</v>
      </c>
      <c r="B332" s="63">
        <v>400730.5954</v>
      </c>
      <c r="C332" s="33">
        <v>671.68</v>
      </c>
      <c r="D332" s="11">
        <v>45256</v>
      </c>
      <c r="E332" s="54"/>
    </row>
    <row r="333" ht="15.75" spans="1:5">
      <c r="A333" s="63">
        <v>3045148.6737</v>
      </c>
      <c r="B333" s="63">
        <v>400730.5954</v>
      </c>
      <c r="C333" s="33">
        <v>671.68</v>
      </c>
      <c r="D333" s="11">
        <v>45257</v>
      </c>
      <c r="E333" s="54"/>
    </row>
    <row r="334" ht="15.75" spans="1:5">
      <c r="A334" s="63">
        <v>3045148.6737</v>
      </c>
      <c r="B334" s="63">
        <v>400730.5954</v>
      </c>
      <c r="C334" s="33">
        <v>671.68</v>
      </c>
      <c r="D334" s="11">
        <v>45258</v>
      </c>
      <c r="E334" s="54">
        <v>433.15</v>
      </c>
    </row>
    <row r="335" ht="15.75" spans="1:5">
      <c r="A335" s="63">
        <v>3045148.6737</v>
      </c>
      <c r="B335" s="63">
        <v>400730.5954</v>
      </c>
      <c r="C335" s="33">
        <v>671.68</v>
      </c>
      <c r="D335" s="11">
        <v>45259</v>
      </c>
      <c r="E335" s="54">
        <v>433.2</v>
      </c>
    </row>
    <row r="336" ht="15.75" spans="1:5">
      <c r="A336" s="63">
        <v>3045148.6737</v>
      </c>
      <c r="B336" s="63">
        <v>400730.5954</v>
      </c>
      <c r="C336" s="33">
        <v>671.68</v>
      </c>
      <c r="D336" s="11">
        <v>45260</v>
      </c>
      <c r="E336" s="54">
        <v>432.98</v>
      </c>
    </row>
    <row r="337" ht="15.75" spans="1:5">
      <c r="A337" s="63">
        <v>3045148.6737</v>
      </c>
      <c r="B337" s="63">
        <v>400730.5954</v>
      </c>
      <c r="C337" s="33">
        <v>671.68</v>
      </c>
      <c r="D337" s="11">
        <v>45261</v>
      </c>
      <c r="E337" s="54">
        <v>432.68</v>
      </c>
    </row>
    <row r="338" ht="15.75" spans="1:5">
      <c r="A338" s="63">
        <v>3045148.6737</v>
      </c>
      <c r="B338" s="63">
        <v>400730.5954</v>
      </c>
      <c r="C338" s="33">
        <v>671.68</v>
      </c>
      <c r="D338" s="11">
        <v>45262</v>
      </c>
      <c r="E338" s="54">
        <v>432.21</v>
      </c>
    </row>
    <row r="339" ht="15.75" spans="1:5">
      <c r="A339" s="63">
        <v>3045148.6737</v>
      </c>
      <c r="B339" s="63">
        <v>400730.5954</v>
      </c>
      <c r="C339" s="33">
        <v>671.68</v>
      </c>
      <c r="D339" s="11">
        <v>45263</v>
      </c>
      <c r="E339" s="54">
        <v>431.04</v>
      </c>
    </row>
    <row r="340" ht="15.75" spans="1:5">
      <c r="A340" s="63">
        <v>3045148.6737</v>
      </c>
      <c r="B340" s="63">
        <v>400730.5954</v>
      </c>
      <c r="C340" s="33">
        <v>671.68</v>
      </c>
      <c r="D340" s="11">
        <v>45264</v>
      </c>
      <c r="E340" s="54">
        <v>430.45</v>
      </c>
    </row>
    <row r="341" ht="15.75" spans="1:5">
      <c r="A341" s="63">
        <v>3045148.6737</v>
      </c>
      <c r="B341" s="63">
        <v>400730.5954</v>
      </c>
      <c r="C341" s="33">
        <v>671.68</v>
      </c>
      <c r="D341" s="11">
        <v>45265</v>
      </c>
      <c r="E341" s="54">
        <v>429.98</v>
      </c>
    </row>
    <row r="342" ht="15.75" spans="1:5">
      <c r="A342" s="63">
        <v>3045148.6737</v>
      </c>
      <c r="B342" s="63">
        <v>400730.5954</v>
      </c>
      <c r="C342" s="33">
        <v>671.68</v>
      </c>
      <c r="D342" s="11">
        <v>45266</v>
      </c>
      <c r="E342" s="54">
        <v>429.28</v>
      </c>
    </row>
    <row r="343" ht="15.75" spans="1:5">
      <c r="A343" s="63">
        <v>3045148.6737</v>
      </c>
      <c r="B343" s="63">
        <v>400730.5954</v>
      </c>
      <c r="C343" s="33">
        <v>671.68</v>
      </c>
      <c r="D343" s="11">
        <v>45267</v>
      </c>
      <c r="E343" s="54"/>
    </row>
    <row r="344" ht="15.75" spans="1:5">
      <c r="A344" s="63">
        <v>3045148.6737</v>
      </c>
      <c r="B344" s="63">
        <v>400730.5954</v>
      </c>
      <c r="C344" s="33">
        <v>671.68</v>
      </c>
      <c r="D344" s="11">
        <v>45268</v>
      </c>
      <c r="E344" s="54"/>
    </row>
    <row r="345" ht="15.75" spans="1:5">
      <c r="A345" s="63">
        <v>3045148.6737</v>
      </c>
      <c r="B345" s="63">
        <v>400730.5954</v>
      </c>
      <c r="C345" s="33">
        <v>671.68</v>
      </c>
      <c r="D345" s="11">
        <v>45269</v>
      </c>
      <c r="E345" s="54"/>
    </row>
    <row r="346" ht="15.75" spans="1:5">
      <c r="A346" s="63">
        <v>3045148.6737</v>
      </c>
      <c r="B346" s="63">
        <v>400730.5954</v>
      </c>
      <c r="C346" s="33">
        <v>671.68</v>
      </c>
      <c r="D346" s="11">
        <v>45270</v>
      </c>
      <c r="E346" s="54"/>
    </row>
    <row r="347" ht="15.75" spans="1:5">
      <c r="A347" s="63">
        <v>3045148.6737</v>
      </c>
      <c r="B347" s="63">
        <v>400730.5954</v>
      </c>
      <c r="C347" s="33">
        <v>671.68</v>
      </c>
      <c r="D347" s="11">
        <v>45271</v>
      </c>
      <c r="E347" s="54"/>
    </row>
    <row r="348" ht="15.75" spans="1:5">
      <c r="A348" s="63">
        <v>3045148.6737</v>
      </c>
      <c r="B348" s="63">
        <v>400730.5954</v>
      </c>
      <c r="C348" s="33">
        <v>671.68</v>
      </c>
      <c r="D348" s="11">
        <v>45272</v>
      </c>
      <c r="E348" s="54">
        <v>426.982</v>
      </c>
    </row>
    <row r="349" ht="15.75" spans="1:5">
      <c r="A349" s="63">
        <v>3045148.6737</v>
      </c>
      <c r="B349" s="63">
        <v>400730.5954</v>
      </c>
      <c r="C349" s="33">
        <v>671.68</v>
      </c>
      <c r="D349" s="11">
        <v>45273</v>
      </c>
      <c r="E349" s="54">
        <v>427.236</v>
      </c>
    </row>
    <row r="350" ht="15.75" spans="1:5">
      <c r="A350" s="63">
        <v>3045148.6737</v>
      </c>
      <c r="B350" s="63">
        <v>400730.5954</v>
      </c>
      <c r="C350" s="33">
        <v>671.68</v>
      </c>
      <c r="D350" s="11">
        <v>45274</v>
      </c>
      <c r="E350" s="54">
        <v>428.773</v>
      </c>
    </row>
    <row r="351" ht="15.75" spans="1:5">
      <c r="A351" s="63">
        <v>3045148.6737</v>
      </c>
      <c r="B351" s="63">
        <v>400730.5954</v>
      </c>
      <c r="C351" s="33">
        <v>671.68</v>
      </c>
      <c r="D351" s="11">
        <v>45275</v>
      </c>
      <c r="E351" s="54">
        <v>428.4</v>
      </c>
    </row>
    <row r="352" ht="15.75" spans="1:5">
      <c r="A352" s="63">
        <v>3045148.6737</v>
      </c>
      <c r="B352" s="63">
        <v>400730.5954</v>
      </c>
      <c r="C352" s="33">
        <v>671.68</v>
      </c>
      <c r="D352" s="11">
        <v>45276</v>
      </c>
      <c r="E352" s="54">
        <v>428.225</v>
      </c>
    </row>
    <row r="353" ht="15.75" spans="1:5">
      <c r="A353" s="63">
        <v>3045148.6737</v>
      </c>
      <c r="B353" s="63">
        <v>400730.5954</v>
      </c>
      <c r="C353" s="33">
        <v>671.68</v>
      </c>
      <c r="D353" s="11">
        <v>45277</v>
      </c>
      <c r="E353" s="54">
        <v>428.349</v>
      </c>
    </row>
    <row r="354" ht="15.75" spans="1:5">
      <c r="A354" s="63">
        <v>3045148.6737</v>
      </c>
      <c r="B354" s="63">
        <v>400730.5954</v>
      </c>
      <c r="C354" s="33">
        <v>671.68</v>
      </c>
      <c r="D354" s="11">
        <v>45278</v>
      </c>
      <c r="E354" s="54">
        <v>427.708</v>
      </c>
    </row>
    <row r="355" ht="15.75" spans="1:5">
      <c r="A355" s="63">
        <v>3045148.6737</v>
      </c>
      <c r="B355" s="63">
        <v>400730.5954</v>
      </c>
      <c r="C355" s="33">
        <v>671.68</v>
      </c>
      <c r="D355" s="11">
        <v>45279</v>
      </c>
      <c r="E355" s="54">
        <v>427.847</v>
      </c>
    </row>
    <row r="356" ht="15.75" spans="1:5">
      <c r="A356" s="63">
        <v>3045148.6737</v>
      </c>
      <c r="B356" s="63">
        <v>400730.5954</v>
      </c>
      <c r="C356" s="33">
        <v>671.68</v>
      </c>
      <c r="D356" s="11">
        <v>45280</v>
      </c>
      <c r="E356" s="54">
        <v>427.745</v>
      </c>
    </row>
    <row r="357" ht="15.75" spans="1:5">
      <c r="A357" s="63">
        <v>3045148.6737</v>
      </c>
      <c r="B357" s="63">
        <v>400730.5954</v>
      </c>
      <c r="C357" s="33">
        <v>671.68</v>
      </c>
      <c r="D357" s="11">
        <v>45281</v>
      </c>
      <c r="E357" s="54">
        <v>427.515</v>
      </c>
    </row>
    <row r="358" ht="15.75" spans="1:5">
      <c r="A358" s="63">
        <v>3045148.6737</v>
      </c>
      <c r="B358" s="63">
        <v>400730.5954</v>
      </c>
      <c r="C358" s="33">
        <v>671.68</v>
      </c>
      <c r="D358" s="11">
        <v>45282</v>
      </c>
      <c r="E358" s="54">
        <v>427.827</v>
      </c>
    </row>
    <row r="359" ht="15.75" spans="1:5">
      <c r="A359" s="63">
        <v>3045148.6737</v>
      </c>
      <c r="B359" s="63">
        <v>400730.5954</v>
      </c>
      <c r="C359" s="33">
        <v>671.68</v>
      </c>
      <c r="D359" s="11">
        <v>45283</v>
      </c>
      <c r="E359" s="54">
        <v>428.073</v>
      </c>
    </row>
    <row r="360" ht="15.75" spans="1:5">
      <c r="A360" s="63">
        <v>3045148.6737</v>
      </c>
      <c r="B360" s="63">
        <v>400730.5954</v>
      </c>
      <c r="C360" s="33">
        <v>671.68</v>
      </c>
      <c r="D360" s="11">
        <v>45284</v>
      </c>
      <c r="E360" s="54">
        <v>427.754</v>
      </c>
    </row>
    <row r="361" ht="15.75" spans="1:5">
      <c r="A361" s="63">
        <v>3045148.6737</v>
      </c>
      <c r="B361" s="63">
        <v>400730.5954</v>
      </c>
      <c r="C361" s="33">
        <v>671.68</v>
      </c>
      <c r="D361" s="11">
        <v>45285</v>
      </c>
      <c r="E361" s="54">
        <v>427.844</v>
      </c>
    </row>
    <row r="362" ht="15.75" spans="1:5">
      <c r="A362" s="63">
        <v>3045148.6737</v>
      </c>
      <c r="B362" s="63">
        <v>400730.5954</v>
      </c>
      <c r="C362" s="33">
        <v>671.68</v>
      </c>
      <c r="D362" s="11">
        <v>45286</v>
      </c>
      <c r="E362" s="54">
        <v>426.874</v>
      </c>
    </row>
    <row r="363" ht="15.75" spans="1:5">
      <c r="A363" s="63">
        <v>3045148.6737</v>
      </c>
      <c r="B363" s="63">
        <v>400730.5954</v>
      </c>
      <c r="C363" s="33">
        <v>671.68</v>
      </c>
      <c r="D363" s="11">
        <v>45287</v>
      </c>
      <c r="E363" s="54">
        <v>427.124</v>
      </c>
    </row>
    <row r="364" ht="15.75" spans="1:5">
      <c r="A364" s="63">
        <v>3045148.6737</v>
      </c>
      <c r="B364" s="63">
        <v>400730.5954</v>
      </c>
      <c r="C364" s="33">
        <v>671.68</v>
      </c>
      <c r="D364" s="11">
        <v>45288</v>
      </c>
      <c r="E364" s="54">
        <v>426.954</v>
      </c>
    </row>
    <row r="365" ht="15.75" spans="1:5">
      <c r="A365" s="63">
        <v>3045148.6737</v>
      </c>
      <c r="B365" s="63">
        <v>400730.5954</v>
      </c>
      <c r="C365" s="33">
        <v>671.68</v>
      </c>
      <c r="D365" s="11">
        <v>45289</v>
      </c>
      <c r="E365" s="54">
        <v>427.131</v>
      </c>
    </row>
    <row r="366" ht="15.75" spans="1:5">
      <c r="A366" s="63">
        <v>3045148.6737</v>
      </c>
      <c r="B366" s="63">
        <v>400730.5954</v>
      </c>
      <c r="C366" s="33">
        <v>671.68</v>
      </c>
      <c r="D366" s="11">
        <v>45290</v>
      </c>
      <c r="E366" s="54">
        <v>427.022</v>
      </c>
    </row>
    <row r="367" ht="15.75" spans="1:5">
      <c r="A367" s="63">
        <v>3045148.6737</v>
      </c>
      <c r="B367" s="63">
        <v>400730.5954</v>
      </c>
      <c r="C367" s="33">
        <v>671.68</v>
      </c>
      <c r="D367" s="11">
        <v>45291</v>
      </c>
      <c r="E367" s="54">
        <v>427.264</v>
      </c>
    </row>
    <row r="368" ht="15.75" spans="1:5">
      <c r="A368" s="63">
        <v>3045148.6737</v>
      </c>
      <c r="B368" s="63">
        <v>400730.5954</v>
      </c>
      <c r="C368" s="33">
        <v>671.68</v>
      </c>
      <c r="D368" s="11">
        <v>45292</v>
      </c>
      <c r="E368" s="54">
        <v>427.628</v>
      </c>
    </row>
    <row r="369" ht="15.75" spans="1:5">
      <c r="A369" s="63">
        <v>3045148.6737</v>
      </c>
      <c r="B369" s="63">
        <v>400730.5954</v>
      </c>
      <c r="C369" s="33">
        <v>671.68</v>
      </c>
      <c r="D369" s="11">
        <v>45293</v>
      </c>
      <c r="E369" s="54">
        <v>427.403</v>
      </c>
    </row>
    <row r="370" ht="15.75" spans="1:5">
      <c r="A370" s="63">
        <v>3045148.6737</v>
      </c>
      <c r="B370" s="63">
        <v>400730.5954</v>
      </c>
      <c r="C370" s="33">
        <v>671.68</v>
      </c>
      <c r="D370" s="11">
        <v>45294</v>
      </c>
      <c r="E370" s="54">
        <v>426.604</v>
      </c>
    </row>
    <row r="371" ht="15.75" spans="1:5">
      <c r="A371" s="63">
        <v>3045148.6737</v>
      </c>
      <c r="B371" s="63">
        <v>400730.5954</v>
      </c>
      <c r="C371" s="33">
        <v>671.68</v>
      </c>
      <c r="D371" s="11">
        <v>45295</v>
      </c>
      <c r="E371" s="60">
        <v>426.699</v>
      </c>
    </row>
    <row r="372" ht="15.75" spans="1:5">
      <c r="A372" s="63">
        <v>3045148.6737</v>
      </c>
      <c r="B372" s="63">
        <v>400730.5954</v>
      </c>
      <c r="C372" s="33">
        <v>671.68</v>
      </c>
      <c r="D372" s="11">
        <v>45296</v>
      </c>
      <c r="E372" s="60">
        <v>426.638</v>
      </c>
    </row>
    <row r="373" ht="15.75" spans="1:5">
      <c r="A373" s="63">
        <v>3045148.6737</v>
      </c>
      <c r="B373" s="63">
        <v>400730.5954</v>
      </c>
      <c r="C373" s="33">
        <v>671.68</v>
      </c>
      <c r="D373" s="11">
        <v>45297</v>
      </c>
      <c r="E373" s="60">
        <v>426.724</v>
      </c>
    </row>
    <row r="374" ht="15.75" spans="1:5">
      <c r="A374" s="63">
        <v>3045148.6737</v>
      </c>
      <c r="B374" s="63">
        <v>400730.5954</v>
      </c>
      <c r="C374" s="33">
        <v>671.68</v>
      </c>
      <c r="D374" s="11">
        <v>45298</v>
      </c>
      <c r="E374" s="60">
        <v>426.552</v>
      </c>
    </row>
    <row r="375" ht="15.75" spans="1:5">
      <c r="A375" s="63">
        <v>3045148.6737</v>
      </c>
      <c r="B375" s="63">
        <v>400730.5954</v>
      </c>
      <c r="C375" s="33">
        <v>671.68</v>
      </c>
      <c r="D375" s="11">
        <v>45299</v>
      </c>
      <c r="E375" s="60">
        <v>425.384</v>
      </c>
    </row>
    <row r="376" ht="15.75" spans="1:5">
      <c r="A376" s="63">
        <v>3045148.6737</v>
      </c>
      <c r="B376" s="63">
        <v>400730.5954</v>
      </c>
      <c r="C376" s="33">
        <v>671.68</v>
      </c>
      <c r="D376" s="11">
        <v>45300</v>
      </c>
      <c r="E376" s="60">
        <v>425.215</v>
      </c>
    </row>
    <row r="377" ht="15.75" spans="1:5">
      <c r="A377" s="63">
        <v>3045148.6737</v>
      </c>
      <c r="B377" s="63">
        <v>400730.5954</v>
      </c>
      <c r="C377" s="33">
        <v>671.68</v>
      </c>
      <c r="D377" s="11">
        <v>45301</v>
      </c>
      <c r="E377" s="60">
        <v>425.201</v>
      </c>
    </row>
    <row r="378" ht="15.75" spans="1:5">
      <c r="A378" s="63">
        <v>3045148.6737</v>
      </c>
      <c r="B378" s="63">
        <v>400730.5954</v>
      </c>
      <c r="C378" s="33">
        <v>671.68</v>
      </c>
      <c r="D378" s="11">
        <v>45302</v>
      </c>
      <c r="E378" s="60">
        <v>426.005</v>
      </c>
    </row>
    <row r="379" ht="15.75" spans="1:5">
      <c r="A379" s="63">
        <v>3045148.6737</v>
      </c>
      <c r="B379" s="63">
        <v>400730.5954</v>
      </c>
      <c r="C379" s="33">
        <v>671.68</v>
      </c>
      <c r="D379" s="11">
        <v>45303</v>
      </c>
      <c r="E379" s="60">
        <v>425.249</v>
      </c>
    </row>
    <row r="380" ht="15.75" spans="1:5">
      <c r="A380" s="63">
        <v>3045148.6737</v>
      </c>
      <c r="B380" s="63">
        <v>400730.5954</v>
      </c>
      <c r="C380" s="33">
        <v>671.68</v>
      </c>
      <c r="D380" s="11">
        <v>45304</v>
      </c>
      <c r="E380" s="60">
        <v>425.034</v>
      </c>
    </row>
    <row r="381" ht="15.75" spans="1:5">
      <c r="A381" s="63">
        <v>3045148.6737</v>
      </c>
      <c r="B381" s="63">
        <v>400730.5954</v>
      </c>
      <c r="C381" s="33">
        <v>671.68</v>
      </c>
      <c r="D381" s="11">
        <v>45305</v>
      </c>
      <c r="E381" s="60">
        <v>424.185</v>
      </c>
    </row>
    <row r="382" ht="15.75" spans="1:5">
      <c r="A382" s="63">
        <v>3045148.6737</v>
      </c>
      <c r="B382" s="63">
        <v>400730.5954</v>
      </c>
      <c r="C382" s="33">
        <v>671.68</v>
      </c>
      <c r="D382" s="11">
        <v>45306</v>
      </c>
      <c r="E382" s="60">
        <v>424.071</v>
      </c>
    </row>
    <row r="383" ht="15.75" spans="1:5">
      <c r="A383" s="63">
        <v>3045148.6737</v>
      </c>
      <c r="B383" s="63">
        <v>400730.5954</v>
      </c>
      <c r="C383" s="33">
        <v>671.68</v>
      </c>
      <c r="D383" s="11">
        <v>45307</v>
      </c>
      <c r="E383" s="60">
        <v>423.469</v>
      </c>
    </row>
    <row r="384" ht="15.75" spans="1:5">
      <c r="A384" s="63">
        <v>3045148.6737</v>
      </c>
      <c r="B384" s="63">
        <v>400730.5954</v>
      </c>
      <c r="C384" s="33">
        <v>671.68</v>
      </c>
      <c r="D384" s="11">
        <v>45308</v>
      </c>
      <c r="E384" s="60">
        <v>423.264</v>
      </c>
    </row>
    <row r="385" ht="15.75" spans="1:5">
      <c r="A385" s="63">
        <v>3045148.6737</v>
      </c>
      <c r="B385" s="63">
        <v>400730.5954</v>
      </c>
      <c r="C385" s="33">
        <v>671.68</v>
      </c>
      <c r="D385" s="11">
        <v>45309</v>
      </c>
      <c r="E385" s="60">
        <v>423.04</v>
      </c>
    </row>
    <row r="386" ht="15.75" spans="1:5">
      <c r="A386" s="63">
        <v>3045148.6737</v>
      </c>
      <c r="B386" s="63">
        <v>400730.5954</v>
      </c>
      <c r="C386" s="33">
        <v>671.68</v>
      </c>
      <c r="D386" s="11">
        <v>45310</v>
      </c>
      <c r="E386" s="60">
        <v>422.751</v>
      </c>
    </row>
    <row r="387" ht="15.75" spans="1:5">
      <c r="A387" s="63">
        <v>3045148.6737</v>
      </c>
      <c r="B387" s="63">
        <v>400730.5954</v>
      </c>
      <c r="C387" s="33">
        <v>671.68</v>
      </c>
      <c r="D387" s="11">
        <v>45311</v>
      </c>
      <c r="E387" s="60">
        <v>422.38</v>
      </c>
    </row>
    <row r="388" ht="15.75" spans="1:5">
      <c r="A388" s="63">
        <v>3045148.6737</v>
      </c>
      <c r="B388" s="63">
        <v>400730.5954</v>
      </c>
      <c r="C388" s="33">
        <v>671.68</v>
      </c>
      <c r="D388" s="11">
        <v>45312</v>
      </c>
      <c r="E388" s="60">
        <v>421.975</v>
      </c>
    </row>
    <row r="389" ht="15.75" spans="1:5">
      <c r="A389" s="63">
        <v>3045148.6737</v>
      </c>
      <c r="B389" s="63">
        <v>400730.5954</v>
      </c>
      <c r="C389" s="33">
        <v>671.68</v>
      </c>
      <c r="D389" s="11">
        <v>45313</v>
      </c>
      <c r="E389" s="60">
        <v>420.916</v>
      </c>
    </row>
    <row r="390" ht="15.75" spans="1:5">
      <c r="A390" s="63">
        <v>3045148.6737</v>
      </c>
      <c r="B390" s="63">
        <v>400730.5954</v>
      </c>
      <c r="C390" s="33">
        <v>671.68</v>
      </c>
      <c r="D390" s="11">
        <v>45314</v>
      </c>
      <c r="E390" s="60">
        <v>423.401</v>
      </c>
    </row>
    <row r="391" ht="15.75" spans="1:5">
      <c r="A391" s="63">
        <v>3045148.6737</v>
      </c>
      <c r="B391" s="63">
        <v>400730.5954</v>
      </c>
      <c r="C391" s="33">
        <v>671.68</v>
      </c>
      <c r="D391" s="11">
        <v>45315</v>
      </c>
      <c r="E391" s="60">
        <v>427.869</v>
      </c>
    </row>
    <row r="392" ht="15.75" spans="1:5">
      <c r="A392" s="63">
        <v>3045148.6737</v>
      </c>
      <c r="B392" s="63">
        <v>400730.5954</v>
      </c>
      <c r="C392" s="33">
        <v>671.68</v>
      </c>
      <c r="D392" s="11">
        <v>45316</v>
      </c>
      <c r="E392" s="60">
        <v>427.501</v>
      </c>
    </row>
    <row r="393" ht="15.75" spans="1:5">
      <c r="A393" s="63">
        <v>3045148.6737</v>
      </c>
      <c r="B393" s="63">
        <v>400730.5954</v>
      </c>
      <c r="C393" s="33">
        <v>671.68</v>
      </c>
      <c r="D393" s="11">
        <v>45317</v>
      </c>
      <c r="E393" s="60">
        <v>425.202</v>
      </c>
    </row>
    <row r="394" ht="15.75" spans="1:5">
      <c r="A394" s="63">
        <v>3045148.6737</v>
      </c>
      <c r="B394" s="63">
        <v>400730.5954</v>
      </c>
      <c r="C394" s="33">
        <v>671.68</v>
      </c>
      <c r="D394" s="11">
        <v>45318</v>
      </c>
      <c r="E394" s="60">
        <v>422.301</v>
      </c>
    </row>
    <row r="395" ht="15.75" spans="1:5">
      <c r="A395" s="63">
        <v>3045148.6737</v>
      </c>
      <c r="B395" s="63">
        <v>400730.5954</v>
      </c>
      <c r="C395" s="33">
        <v>671.68</v>
      </c>
      <c r="D395" s="11">
        <v>45319</v>
      </c>
      <c r="E395" s="60">
        <v>421.708</v>
      </c>
    </row>
    <row r="396" ht="15.75" spans="1:5">
      <c r="A396" s="63">
        <v>3045148.6737</v>
      </c>
      <c r="B396" s="63">
        <v>400730.5954</v>
      </c>
      <c r="C396" s="33">
        <v>671.68</v>
      </c>
      <c r="D396" s="11">
        <v>45320</v>
      </c>
      <c r="E396" s="60">
        <v>421.633</v>
      </c>
    </row>
    <row r="397" ht="15.75" spans="1:5">
      <c r="A397" s="63">
        <v>3045148.6737</v>
      </c>
      <c r="B397" s="63">
        <v>400730.5954</v>
      </c>
      <c r="C397" s="33">
        <v>671.68</v>
      </c>
      <c r="D397" s="11">
        <v>45321</v>
      </c>
      <c r="E397" s="60">
        <v>422.062</v>
      </c>
    </row>
    <row r="398" ht="15.75" spans="1:5">
      <c r="A398" s="63">
        <v>3045148.6737</v>
      </c>
      <c r="B398" s="63">
        <v>400730.5954</v>
      </c>
      <c r="C398" s="33">
        <v>671.68</v>
      </c>
      <c r="D398" s="11">
        <v>45322</v>
      </c>
      <c r="E398" s="60">
        <v>422.26</v>
      </c>
    </row>
    <row r="399" ht="15.75" spans="1:5">
      <c r="A399" s="63">
        <v>3045148.6737</v>
      </c>
      <c r="B399" s="63">
        <v>400730.5954</v>
      </c>
      <c r="C399" s="33">
        <v>671.68</v>
      </c>
      <c r="D399" s="11">
        <v>45323</v>
      </c>
      <c r="E399" s="60">
        <v>422.023</v>
      </c>
    </row>
    <row r="400" ht="15.75" spans="1:5">
      <c r="A400" s="63">
        <v>3045148.6737</v>
      </c>
      <c r="B400" s="63">
        <v>400730.5954</v>
      </c>
      <c r="C400" s="33">
        <v>671.68</v>
      </c>
      <c r="D400" s="11">
        <v>45324</v>
      </c>
      <c r="E400" s="60">
        <v>422.295</v>
      </c>
    </row>
    <row r="401" ht="15.75" spans="1:5">
      <c r="A401" s="63">
        <v>3045148.6737</v>
      </c>
      <c r="B401" s="63">
        <v>400730.5954</v>
      </c>
      <c r="C401" s="33">
        <v>671.68</v>
      </c>
      <c r="D401" s="11">
        <v>45325</v>
      </c>
      <c r="E401" s="60">
        <v>422.351</v>
      </c>
    </row>
    <row r="402" ht="15.75" spans="1:5">
      <c r="A402" s="63">
        <v>3045148.6737</v>
      </c>
      <c r="B402" s="63">
        <v>400730.5954</v>
      </c>
      <c r="C402" s="33">
        <v>671.68</v>
      </c>
      <c r="D402" s="11">
        <v>45326</v>
      </c>
      <c r="E402" s="60">
        <v>422.42</v>
      </c>
    </row>
    <row r="403" ht="15.75" spans="1:5">
      <c r="A403" s="63">
        <v>3045148.6737</v>
      </c>
      <c r="B403" s="63">
        <v>400730.5954</v>
      </c>
      <c r="C403" s="33">
        <v>671.68</v>
      </c>
      <c r="D403" s="11">
        <v>45327</v>
      </c>
      <c r="E403" s="60">
        <v>422.896</v>
      </c>
    </row>
    <row r="404" ht="15.75" spans="1:5">
      <c r="A404" s="63">
        <v>3045148.6737</v>
      </c>
      <c r="B404" s="63">
        <v>400730.5954</v>
      </c>
      <c r="C404" s="33">
        <v>671.68</v>
      </c>
      <c r="D404" s="11">
        <v>45328</v>
      </c>
      <c r="E404" s="60">
        <v>422.712</v>
      </c>
    </row>
    <row r="405" ht="15.75" spans="1:5">
      <c r="A405" s="63">
        <v>3045148.6737</v>
      </c>
      <c r="B405" s="63">
        <v>400730.5954</v>
      </c>
      <c r="C405" s="33">
        <v>671.68</v>
      </c>
      <c r="D405" s="11">
        <v>45329</v>
      </c>
      <c r="E405" s="60">
        <v>422.445</v>
      </c>
    </row>
    <row r="406" ht="15.75" spans="1:5">
      <c r="A406" s="63">
        <v>3045148.6737</v>
      </c>
      <c r="B406" s="63">
        <v>400730.5954</v>
      </c>
      <c r="C406" s="33">
        <v>671.68</v>
      </c>
      <c r="D406" s="11">
        <v>45330</v>
      </c>
      <c r="E406" s="60">
        <v>422.426</v>
      </c>
    </row>
    <row r="407" ht="15.75" spans="1:5">
      <c r="A407" s="63">
        <v>3045148.6737</v>
      </c>
      <c r="B407" s="63">
        <v>400730.5954</v>
      </c>
      <c r="C407" s="33">
        <v>671.68</v>
      </c>
      <c r="D407" s="11">
        <v>45331</v>
      </c>
      <c r="E407" s="60">
        <v>422.49</v>
      </c>
    </row>
    <row r="408" ht="15.75" spans="1:5">
      <c r="A408" s="63">
        <v>3045148.6737</v>
      </c>
      <c r="B408" s="63">
        <v>400730.5954</v>
      </c>
      <c r="C408" s="33">
        <v>671.68</v>
      </c>
      <c r="D408" s="11">
        <v>45332</v>
      </c>
      <c r="E408" s="60">
        <v>422.486</v>
      </c>
    </row>
    <row r="409" ht="15.75" spans="1:5">
      <c r="A409" s="63">
        <v>3045148.6737</v>
      </c>
      <c r="B409" s="63">
        <v>400730.5954</v>
      </c>
      <c r="C409" s="33">
        <v>671.68</v>
      </c>
      <c r="D409" s="11">
        <v>45333</v>
      </c>
      <c r="E409" s="60">
        <v>422.56</v>
      </c>
    </row>
    <row r="410" ht="15.75" spans="1:5">
      <c r="A410" s="63">
        <v>3045148.6737</v>
      </c>
      <c r="B410" s="63">
        <v>400730.5954</v>
      </c>
      <c r="C410" s="33">
        <v>671.68</v>
      </c>
      <c r="D410" s="11">
        <v>45334</v>
      </c>
      <c r="E410" s="60">
        <v>422.689</v>
      </c>
    </row>
    <row r="411" ht="15.75" spans="1:5">
      <c r="A411" s="63">
        <v>3045148.6737</v>
      </c>
      <c r="B411" s="63">
        <v>400730.5954</v>
      </c>
      <c r="C411" s="33">
        <v>671.68</v>
      </c>
      <c r="D411" s="11">
        <v>45335</v>
      </c>
      <c r="E411" s="60">
        <v>422.74</v>
      </c>
    </row>
    <row r="412" ht="15.75" spans="1:5">
      <c r="A412" s="63">
        <v>3045148.6737</v>
      </c>
      <c r="B412" s="63">
        <v>400730.5954</v>
      </c>
      <c r="C412" s="33">
        <v>671.68</v>
      </c>
      <c r="D412" s="11">
        <v>45336</v>
      </c>
      <c r="E412" s="61">
        <v>422.883</v>
      </c>
    </row>
    <row r="413" ht="15.75" spans="1:5">
      <c r="A413" s="63">
        <v>3045148.6737</v>
      </c>
      <c r="B413" s="63">
        <v>400730.5954</v>
      </c>
      <c r="C413" s="33">
        <v>671.68</v>
      </c>
      <c r="D413" s="11">
        <v>45337</v>
      </c>
      <c r="E413" s="54"/>
    </row>
    <row r="414" ht="15.75" spans="1:5">
      <c r="A414" s="63">
        <v>3045148.6737</v>
      </c>
      <c r="B414" s="63">
        <v>400730.5954</v>
      </c>
      <c r="C414" s="33">
        <v>671.68</v>
      </c>
      <c r="D414" s="11">
        <v>45338</v>
      </c>
      <c r="E414" s="54"/>
    </row>
    <row r="415" ht="15.75" spans="1:5">
      <c r="A415" s="63">
        <v>3045148.6737</v>
      </c>
      <c r="B415" s="63">
        <v>400730.5954</v>
      </c>
      <c r="C415" s="33">
        <v>671.68</v>
      </c>
      <c r="D415" s="11">
        <v>45339</v>
      </c>
      <c r="E415" s="54"/>
    </row>
    <row r="416" ht="15.75" spans="1:5">
      <c r="A416" s="63">
        <v>3045148.6737</v>
      </c>
      <c r="B416" s="63">
        <v>400730.5954</v>
      </c>
      <c r="C416" s="33">
        <v>671.68</v>
      </c>
      <c r="D416" s="11">
        <v>45340</v>
      </c>
      <c r="E416" s="54"/>
    </row>
    <row r="417" ht="15.75" spans="1:5">
      <c r="A417" s="63">
        <v>3045148.6737</v>
      </c>
      <c r="B417" s="63">
        <v>400730.5954</v>
      </c>
      <c r="C417" s="33">
        <v>671.68</v>
      </c>
      <c r="D417" s="11">
        <v>45341</v>
      </c>
      <c r="E417" s="60">
        <v>417.874</v>
      </c>
    </row>
    <row r="418" ht="15.75" spans="1:5">
      <c r="A418" s="63">
        <v>3045148.6737</v>
      </c>
      <c r="B418" s="63">
        <v>400730.5954</v>
      </c>
      <c r="C418" s="33">
        <v>671.68</v>
      </c>
      <c r="D418" s="11">
        <v>45342</v>
      </c>
      <c r="E418" s="60">
        <v>416.158</v>
      </c>
    </row>
    <row r="419" ht="15.75" spans="1:5">
      <c r="A419" s="63">
        <v>3045148.6737</v>
      </c>
      <c r="B419" s="63">
        <v>400730.5954</v>
      </c>
      <c r="C419" s="33">
        <v>671.68</v>
      </c>
      <c r="D419" s="11">
        <v>45343</v>
      </c>
      <c r="E419" s="60">
        <v>415.411</v>
      </c>
    </row>
    <row r="420" ht="15.75" spans="1:5">
      <c r="A420" s="63">
        <v>3045148.6737</v>
      </c>
      <c r="B420" s="63">
        <v>400730.5954</v>
      </c>
      <c r="C420" s="33">
        <v>671.68</v>
      </c>
      <c r="D420" s="11">
        <v>45344</v>
      </c>
      <c r="E420" s="60">
        <v>415.279</v>
      </c>
    </row>
    <row r="421" ht="15.75" spans="1:5">
      <c r="A421" s="63">
        <v>3045148.6737</v>
      </c>
      <c r="B421" s="63">
        <v>400730.5954</v>
      </c>
      <c r="C421" s="33">
        <v>671.68</v>
      </c>
      <c r="D421" s="11">
        <v>45345</v>
      </c>
      <c r="E421" s="60">
        <v>415.24</v>
      </c>
    </row>
    <row r="422" ht="15.75" spans="1:5">
      <c r="A422" s="63">
        <v>3045148.6737</v>
      </c>
      <c r="B422" s="63">
        <v>400730.5954</v>
      </c>
      <c r="C422" s="33">
        <v>671.68</v>
      </c>
      <c r="D422" s="11">
        <v>45346</v>
      </c>
      <c r="E422" s="60">
        <v>415.293</v>
      </c>
    </row>
    <row r="423" ht="15.75" spans="1:5">
      <c r="A423" s="63">
        <v>3045148.6737</v>
      </c>
      <c r="B423" s="63">
        <v>400730.5954</v>
      </c>
      <c r="C423" s="33">
        <v>671.68</v>
      </c>
      <c r="D423" s="11">
        <v>45347</v>
      </c>
      <c r="E423" s="60">
        <v>415.506</v>
      </c>
    </row>
    <row r="424" ht="15.75" spans="1:5">
      <c r="A424" s="63">
        <v>3045148.6737</v>
      </c>
      <c r="B424" s="63">
        <v>400730.5954</v>
      </c>
      <c r="C424" s="33">
        <v>671.68</v>
      </c>
      <c r="D424" s="11">
        <v>45348</v>
      </c>
      <c r="E424" s="60">
        <v>415.487</v>
      </c>
    </row>
    <row r="425" ht="15.75" spans="1:5">
      <c r="A425" s="63">
        <v>3045148.6737</v>
      </c>
      <c r="B425" s="63">
        <v>400730.5954</v>
      </c>
      <c r="C425" s="33">
        <v>671.68</v>
      </c>
      <c r="D425" s="11">
        <v>45349</v>
      </c>
      <c r="E425" s="60">
        <v>415.278</v>
      </c>
    </row>
    <row r="426" ht="15.75" spans="1:5">
      <c r="A426" s="63">
        <v>3045148.6737</v>
      </c>
      <c r="B426" s="63">
        <v>400730.5954</v>
      </c>
      <c r="C426" s="33">
        <v>671.68</v>
      </c>
      <c r="D426" s="11">
        <v>45350</v>
      </c>
      <c r="E426" s="60">
        <v>415.259</v>
      </c>
    </row>
    <row r="427" ht="15.75" spans="1:5">
      <c r="A427" s="63">
        <v>3045148.6737</v>
      </c>
      <c r="B427" s="63">
        <v>400730.5954</v>
      </c>
      <c r="C427" s="33">
        <v>671.68</v>
      </c>
      <c r="D427" s="11">
        <v>45351</v>
      </c>
      <c r="E427" s="60">
        <v>415.43</v>
      </c>
    </row>
    <row r="428" ht="15.75" spans="1:5">
      <c r="A428" s="63">
        <v>3045148.6737</v>
      </c>
      <c r="B428" s="63">
        <v>400730.5954</v>
      </c>
      <c r="C428" s="33">
        <v>671.68</v>
      </c>
      <c r="D428" s="11">
        <v>45352</v>
      </c>
      <c r="E428" s="60">
        <v>415.521</v>
      </c>
    </row>
    <row r="429" ht="15.75" spans="1:5">
      <c r="A429" s="63">
        <v>3045148.6737</v>
      </c>
      <c r="B429" s="63">
        <v>400730.5954</v>
      </c>
      <c r="C429" s="33">
        <v>671.68</v>
      </c>
      <c r="D429" s="11">
        <v>45353</v>
      </c>
      <c r="E429" s="60">
        <v>415.43</v>
      </c>
    </row>
    <row r="430" ht="15.75" spans="1:5">
      <c r="A430" s="63">
        <v>3045148.6737</v>
      </c>
      <c r="B430" s="63">
        <v>400730.5954</v>
      </c>
      <c r="C430" s="33">
        <v>671.68</v>
      </c>
      <c r="D430" s="11">
        <v>45354</v>
      </c>
      <c r="E430" s="60">
        <v>415.521</v>
      </c>
    </row>
    <row r="431" ht="15.75" spans="1:5">
      <c r="A431" s="63">
        <v>3045148.6737</v>
      </c>
      <c r="B431" s="63">
        <v>400730.5954</v>
      </c>
      <c r="C431" s="33">
        <v>671.68</v>
      </c>
      <c r="D431" s="11">
        <v>45355</v>
      </c>
      <c r="E431" s="60">
        <v>415.435</v>
      </c>
    </row>
    <row r="432" ht="15.75" spans="1:5">
      <c r="A432" s="63">
        <v>3045148.6737</v>
      </c>
      <c r="B432" s="63">
        <v>400730.5954</v>
      </c>
      <c r="C432" s="33">
        <v>671.68</v>
      </c>
      <c r="D432" s="11">
        <v>45356</v>
      </c>
      <c r="E432" s="60">
        <v>415.453</v>
      </c>
    </row>
    <row r="433" ht="15.75" spans="1:5">
      <c r="A433" s="63">
        <v>3045148.6737</v>
      </c>
      <c r="B433" s="63">
        <v>400730.5954</v>
      </c>
      <c r="C433" s="33">
        <v>671.68</v>
      </c>
      <c r="D433" s="11">
        <v>45357</v>
      </c>
      <c r="E433" s="60">
        <v>415.355</v>
      </c>
    </row>
    <row r="434" ht="15.75" spans="1:5">
      <c r="A434" s="63">
        <v>3045148.6737</v>
      </c>
      <c r="B434" s="63">
        <v>400730.5954</v>
      </c>
      <c r="C434" s="33">
        <v>671.68</v>
      </c>
      <c r="D434" s="11">
        <v>45358</v>
      </c>
      <c r="E434" s="60">
        <v>415.422</v>
      </c>
    </row>
    <row r="435" ht="15.75" spans="1:5">
      <c r="A435" s="63">
        <v>3045148.6737</v>
      </c>
      <c r="B435" s="63">
        <v>400730.5954</v>
      </c>
      <c r="C435" s="33">
        <v>671.68</v>
      </c>
      <c r="D435" s="11">
        <v>45359</v>
      </c>
      <c r="E435" s="60">
        <v>415.358</v>
      </c>
    </row>
    <row r="436" ht="15.75" spans="1:5">
      <c r="A436" s="63">
        <v>3045148.6737</v>
      </c>
      <c r="B436" s="63">
        <v>400730.5954</v>
      </c>
      <c r="C436" s="33">
        <v>671.68</v>
      </c>
      <c r="D436" s="11">
        <v>45360</v>
      </c>
      <c r="E436" s="60">
        <v>415.395</v>
      </c>
    </row>
    <row r="437" ht="15.75" spans="1:5">
      <c r="A437" s="63">
        <v>3045148.6737</v>
      </c>
      <c r="B437" s="63">
        <v>400730.5954</v>
      </c>
      <c r="C437" s="33">
        <v>671.68</v>
      </c>
      <c r="D437" s="11">
        <v>45361</v>
      </c>
      <c r="E437" s="60">
        <v>415.298</v>
      </c>
    </row>
    <row r="438" ht="15.75" spans="1:5">
      <c r="A438" s="63">
        <v>3045148.6737</v>
      </c>
      <c r="B438" s="63">
        <v>400730.5954</v>
      </c>
      <c r="C438" s="33">
        <v>671.68</v>
      </c>
      <c r="D438" s="11">
        <v>45362</v>
      </c>
      <c r="E438" s="60">
        <v>415.303</v>
      </c>
    </row>
    <row r="439" ht="15.75" spans="1:5">
      <c r="A439" s="63">
        <v>3045148.6737</v>
      </c>
      <c r="B439" s="63">
        <v>400730.5954</v>
      </c>
      <c r="C439" s="33">
        <v>671.68</v>
      </c>
      <c r="D439" s="11">
        <v>45363</v>
      </c>
      <c r="E439" s="60">
        <v>415.107</v>
      </c>
    </row>
    <row r="440" ht="15.75" spans="1:5">
      <c r="A440" s="63">
        <v>3045148.6737</v>
      </c>
      <c r="B440" s="63">
        <v>400730.5954</v>
      </c>
      <c r="C440" s="33">
        <v>671.68</v>
      </c>
      <c r="D440" s="11">
        <v>45364</v>
      </c>
      <c r="E440" s="60"/>
    </row>
    <row r="441" ht="15.75" spans="1:5">
      <c r="A441" s="63">
        <v>3045148.6737</v>
      </c>
      <c r="B441" s="63">
        <v>400730.5954</v>
      </c>
      <c r="C441" s="33">
        <v>671.68</v>
      </c>
      <c r="D441" s="11">
        <v>45365</v>
      </c>
      <c r="E441" s="60"/>
    </row>
    <row r="442" ht="15.75" spans="1:5">
      <c r="A442" s="63">
        <v>3045148.6737</v>
      </c>
      <c r="B442" s="63">
        <v>400730.5954</v>
      </c>
      <c r="C442" s="33">
        <v>671.68</v>
      </c>
      <c r="D442" s="11">
        <v>45366</v>
      </c>
      <c r="E442" s="60"/>
    </row>
    <row r="443" ht="15.75" spans="1:5">
      <c r="A443" s="63">
        <v>3045148.6737</v>
      </c>
      <c r="B443" s="63">
        <v>400730.5954</v>
      </c>
      <c r="C443" s="33">
        <v>671.68</v>
      </c>
      <c r="D443" s="11">
        <v>45367</v>
      </c>
      <c r="E443" s="60"/>
    </row>
    <row r="444" ht="15.75" spans="1:5">
      <c r="A444" s="63">
        <v>3045148.6737</v>
      </c>
      <c r="B444" s="63">
        <v>400730.5954</v>
      </c>
      <c r="C444" s="33">
        <v>671.68</v>
      </c>
      <c r="D444" s="11">
        <v>45368</v>
      </c>
      <c r="E444" s="60"/>
    </row>
    <row r="445" ht="15.75" spans="1:5">
      <c r="A445" s="63">
        <v>3045148.6737</v>
      </c>
      <c r="B445" s="63">
        <v>400730.5954</v>
      </c>
      <c r="C445" s="33">
        <v>671.68</v>
      </c>
      <c r="D445" s="11">
        <v>45369</v>
      </c>
      <c r="E445" s="60"/>
    </row>
    <row r="446" ht="15.75" spans="1:5">
      <c r="A446" s="63">
        <v>3045148.6737</v>
      </c>
      <c r="B446" s="63">
        <v>400730.5954</v>
      </c>
      <c r="C446" s="33">
        <v>671.68</v>
      </c>
      <c r="D446" s="11">
        <v>45370</v>
      </c>
      <c r="E446" s="60"/>
    </row>
    <row r="447" ht="15.75" spans="1:5">
      <c r="A447" s="63">
        <v>3045148.6737</v>
      </c>
      <c r="B447" s="63">
        <v>400730.5954</v>
      </c>
      <c r="C447" s="33">
        <v>671.68</v>
      </c>
      <c r="D447" s="11">
        <v>45371</v>
      </c>
      <c r="E447" s="60"/>
    </row>
    <row r="448" ht="15.75" spans="1:5">
      <c r="A448" s="63">
        <v>3045148.6737</v>
      </c>
      <c r="B448" s="63">
        <v>400730.5954</v>
      </c>
      <c r="C448" s="33">
        <v>671.68</v>
      </c>
      <c r="D448" s="11">
        <v>45372</v>
      </c>
      <c r="E448" s="60"/>
    </row>
    <row r="449" ht="15.75" spans="1:5">
      <c r="A449" s="63">
        <v>3045148.6737</v>
      </c>
      <c r="B449" s="63">
        <v>400730.5954</v>
      </c>
      <c r="C449" s="33">
        <v>671.68</v>
      </c>
      <c r="D449" s="11">
        <v>45373</v>
      </c>
      <c r="E449" s="60"/>
    </row>
    <row r="450" ht="15.75" spans="1:5">
      <c r="A450" s="63">
        <v>3045148.6737</v>
      </c>
      <c r="B450" s="63">
        <v>400730.5954</v>
      </c>
      <c r="C450" s="33">
        <v>671.68</v>
      </c>
      <c r="D450" s="11">
        <v>45374</v>
      </c>
      <c r="E450" s="60"/>
    </row>
    <row r="451" ht="15.75" spans="1:5">
      <c r="A451" s="63">
        <v>3045148.6737</v>
      </c>
      <c r="B451" s="63">
        <v>400730.5954</v>
      </c>
      <c r="C451" s="33">
        <v>671.68</v>
      </c>
      <c r="D451" s="11">
        <v>45375</v>
      </c>
      <c r="E451" s="60"/>
    </row>
    <row r="452" ht="15.75" spans="1:5">
      <c r="A452" s="63">
        <v>3045148.6737</v>
      </c>
      <c r="B452" s="63">
        <v>400730.5954</v>
      </c>
      <c r="C452" s="33">
        <v>671.68</v>
      </c>
      <c r="D452" s="11">
        <v>45376</v>
      </c>
      <c r="E452" s="60"/>
    </row>
    <row r="453" ht="15.75" spans="1:5">
      <c r="A453" s="63">
        <v>3045148.6737</v>
      </c>
      <c r="B453" s="63">
        <v>400730.5954</v>
      </c>
      <c r="C453" s="33">
        <v>671.68</v>
      </c>
      <c r="D453" s="11">
        <v>45377</v>
      </c>
      <c r="E453" s="60"/>
    </row>
    <row r="454" ht="15.75" spans="1:5">
      <c r="A454" s="63">
        <v>3045148.6737</v>
      </c>
      <c r="B454" s="63">
        <v>400730.5954</v>
      </c>
      <c r="C454" s="33">
        <v>671.68</v>
      </c>
      <c r="D454" s="11">
        <v>45378</v>
      </c>
      <c r="E454" s="60"/>
    </row>
    <row r="455" ht="15.75" spans="1:5">
      <c r="A455" s="63">
        <v>3045148.6737</v>
      </c>
      <c r="B455" s="63">
        <v>400730.5954</v>
      </c>
      <c r="C455" s="33">
        <v>671.68</v>
      </c>
      <c r="D455" s="11">
        <v>45379</v>
      </c>
      <c r="E455" s="60"/>
    </row>
    <row r="456" ht="15.75" spans="1:5">
      <c r="A456" s="63">
        <v>3045148.6737</v>
      </c>
      <c r="B456" s="63">
        <v>400730.5954</v>
      </c>
      <c r="C456" s="33">
        <v>671.68</v>
      </c>
      <c r="D456" s="11">
        <v>45380</v>
      </c>
      <c r="E456" s="60"/>
    </row>
    <row r="457" ht="15.75" spans="1:5">
      <c r="A457" s="63">
        <v>3045148.6737</v>
      </c>
      <c r="B457" s="63">
        <v>400730.5954</v>
      </c>
      <c r="C457" s="33">
        <v>671.68</v>
      </c>
      <c r="D457" s="11">
        <v>45381</v>
      </c>
      <c r="E457" s="60"/>
    </row>
    <row r="458" ht="15.75" spans="1:5">
      <c r="A458" s="63">
        <v>3045148.6737</v>
      </c>
      <c r="B458" s="63">
        <v>400730.5954</v>
      </c>
      <c r="C458" s="33">
        <v>671.68</v>
      </c>
      <c r="D458" s="11">
        <v>45382</v>
      </c>
      <c r="E458" s="60"/>
    </row>
    <row r="459" ht="15.75" spans="1:5">
      <c r="A459" s="63">
        <v>3045148.6737</v>
      </c>
      <c r="B459" s="63">
        <v>400730.5954</v>
      </c>
      <c r="C459" s="33">
        <v>671.68</v>
      </c>
      <c r="D459" s="11">
        <v>45383</v>
      </c>
      <c r="E459" s="60"/>
    </row>
    <row r="460" ht="15.75" spans="1:5">
      <c r="A460" s="63">
        <v>3045148.6737</v>
      </c>
      <c r="B460" s="63">
        <v>400730.5954</v>
      </c>
      <c r="C460" s="33">
        <v>671.68</v>
      </c>
      <c r="D460" s="11">
        <v>45384</v>
      </c>
      <c r="E460" s="60">
        <v>408.413</v>
      </c>
    </row>
    <row r="461" ht="15.75" spans="1:5">
      <c r="A461" s="63">
        <v>3045148.6737</v>
      </c>
      <c r="B461" s="63">
        <v>400730.5954</v>
      </c>
      <c r="C461" s="33">
        <v>671.68</v>
      </c>
      <c r="D461" s="11">
        <v>45385</v>
      </c>
      <c r="E461" s="60">
        <v>407.742</v>
      </c>
    </row>
    <row r="462" ht="15.75" spans="1:5">
      <c r="A462" s="63">
        <v>3045148.6737</v>
      </c>
      <c r="B462" s="63">
        <v>400730.5954</v>
      </c>
      <c r="C462" s="33">
        <v>671.68</v>
      </c>
      <c r="D462" s="11">
        <v>45386</v>
      </c>
      <c r="E462" s="60">
        <v>407.337</v>
      </c>
    </row>
    <row r="463" ht="15.75" spans="1:5">
      <c r="A463" s="63">
        <v>3045148.6737</v>
      </c>
      <c r="B463" s="63">
        <v>400730.5954</v>
      </c>
      <c r="C463" s="33">
        <v>671.68</v>
      </c>
      <c r="D463" s="11">
        <v>45387</v>
      </c>
      <c r="E463" s="60">
        <v>407.153</v>
      </c>
    </row>
    <row r="464" ht="15.75" spans="1:5">
      <c r="A464" s="63">
        <v>3045148.6737</v>
      </c>
      <c r="B464" s="63">
        <v>400730.5954</v>
      </c>
      <c r="C464" s="33">
        <v>671.68</v>
      </c>
      <c r="D464" s="11">
        <v>45388</v>
      </c>
      <c r="E464" s="60">
        <v>406.972</v>
      </c>
    </row>
    <row r="465" ht="15.75" spans="1:5">
      <c r="A465" s="63">
        <v>3045148.6737</v>
      </c>
      <c r="B465" s="63">
        <v>400730.5954</v>
      </c>
      <c r="C465" s="33">
        <v>671.68</v>
      </c>
      <c r="D465" s="11">
        <v>45389</v>
      </c>
      <c r="E465" s="60">
        <v>406.909</v>
      </c>
    </row>
    <row r="466" ht="15.75" spans="1:5">
      <c r="A466" s="63">
        <v>3045148.6737</v>
      </c>
      <c r="B466" s="63">
        <v>400730.5954</v>
      </c>
      <c r="C466" s="33">
        <v>671.68</v>
      </c>
      <c r="D466" s="11">
        <v>45390</v>
      </c>
      <c r="E466" s="60">
        <v>406.832</v>
      </c>
    </row>
    <row r="467" ht="15.75" spans="1:5">
      <c r="A467" s="63">
        <v>3045148.6737</v>
      </c>
      <c r="B467" s="63">
        <v>400730.5954</v>
      </c>
      <c r="C467" s="33">
        <v>671.68</v>
      </c>
      <c r="D467" s="11">
        <v>45391</v>
      </c>
      <c r="E467" s="60">
        <v>406.688</v>
      </c>
    </row>
    <row r="468" ht="15.75" spans="1:5">
      <c r="A468" s="63">
        <v>3045148.6737</v>
      </c>
      <c r="B468" s="63">
        <v>400730.5954</v>
      </c>
      <c r="C468" s="33">
        <v>671.68</v>
      </c>
      <c r="D468" s="11">
        <v>45392</v>
      </c>
      <c r="E468" s="60">
        <v>406.723</v>
      </c>
    </row>
    <row r="469" ht="15.75" spans="1:5">
      <c r="A469" s="63">
        <v>3045148.6737</v>
      </c>
      <c r="B469" s="63">
        <v>400730.5954</v>
      </c>
      <c r="C469" s="33">
        <v>671.68</v>
      </c>
      <c r="D469" s="11">
        <v>45393</v>
      </c>
      <c r="E469" s="60">
        <v>406.659</v>
      </c>
    </row>
    <row r="470" ht="15.75" spans="1:5">
      <c r="A470" s="63">
        <v>3045148.6737</v>
      </c>
      <c r="B470" s="63">
        <v>400730.5954</v>
      </c>
      <c r="C470" s="33">
        <v>671.68</v>
      </c>
      <c r="D470" s="11">
        <v>45394</v>
      </c>
      <c r="E470" s="60">
        <v>406.272</v>
      </c>
    </row>
    <row r="471" ht="15.75" spans="1:5">
      <c r="A471" s="63">
        <v>3045148.6737</v>
      </c>
      <c r="B471" s="63">
        <v>400730.5954</v>
      </c>
      <c r="C471" s="33">
        <v>671.68</v>
      </c>
      <c r="D471" s="11">
        <v>45395</v>
      </c>
      <c r="E471" s="60">
        <v>405.762</v>
      </c>
    </row>
    <row r="472" ht="15.75" spans="1:5">
      <c r="A472" s="63">
        <v>3045148.6737</v>
      </c>
      <c r="B472" s="63">
        <v>400730.5954</v>
      </c>
      <c r="C472" s="33">
        <v>671.68</v>
      </c>
      <c r="D472" s="11">
        <v>45396</v>
      </c>
      <c r="E472" s="60"/>
    </row>
    <row r="473" ht="15.75" spans="1:5">
      <c r="A473" s="63">
        <v>3045148.6737</v>
      </c>
      <c r="B473" s="63">
        <v>400730.5954</v>
      </c>
      <c r="C473" s="33">
        <v>671.68</v>
      </c>
      <c r="D473" s="11">
        <v>45397</v>
      </c>
      <c r="E473" s="60"/>
    </row>
    <row r="474" ht="15.75" spans="1:5">
      <c r="A474" s="63">
        <v>3045148.6737</v>
      </c>
      <c r="B474" s="63">
        <v>400730.5954</v>
      </c>
      <c r="C474" s="33">
        <v>671.68</v>
      </c>
      <c r="D474" s="11">
        <v>45398</v>
      </c>
      <c r="E474" s="60"/>
    </row>
    <row r="475" ht="15.75" spans="1:5">
      <c r="A475" s="63">
        <v>3045148.6737</v>
      </c>
      <c r="B475" s="63">
        <v>400730.5954</v>
      </c>
      <c r="C475" s="33">
        <v>671.68</v>
      </c>
      <c r="D475" s="11">
        <v>45399</v>
      </c>
      <c r="E475" s="60"/>
    </row>
    <row r="476" ht="15.75" spans="1:5">
      <c r="A476" s="63">
        <v>3045148.6737</v>
      </c>
      <c r="B476" s="63">
        <v>400730.5954</v>
      </c>
      <c r="C476" s="33">
        <v>671.68</v>
      </c>
      <c r="D476" s="11">
        <v>45400</v>
      </c>
      <c r="E476" s="60"/>
    </row>
    <row r="477" ht="15.75" spans="1:5">
      <c r="A477" s="63">
        <v>3045148.6737</v>
      </c>
      <c r="B477" s="63">
        <v>400730.5954</v>
      </c>
      <c r="C477" s="33">
        <v>671.68</v>
      </c>
      <c r="D477" s="11">
        <v>45401</v>
      </c>
      <c r="E477" s="60">
        <v>405.551</v>
      </c>
    </row>
    <row r="478" ht="15.75" spans="1:5">
      <c r="A478" s="63">
        <v>3045148.6737</v>
      </c>
      <c r="B478" s="63">
        <v>400730.5954</v>
      </c>
      <c r="C478" s="33">
        <v>671.68</v>
      </c>
      <c r="D478" s="11">
        <v>45402</v>
      </c>
      <c r="E478" s="60"/>
    </row>
    <row r="479" ht="15.75" spans="1:5">
      <c r="A479" s="63">
        <v>3045148.6737</v>
      </c>
      <c r="B479" s="63">
        <v>400730.5954</v>
      </c>
      <c r="C479" s="33">
        <v>671.68</v>
      </c>
      <c r="D479" s="11">
        <v>45403</v>
      </c>
      <c r="E479" s="60"/>
    </row>
    <row r="480" ht="15.75" spans="1:5">
      <c r="A480" s="63">
        <v>3045148.6737</v>
      </c>
      <c r="B480" s="63">
        <v>400730.5954</v>
      </c>
      <c r="C480" s="33">
        <v>671.68</v>
      </c>
      <c r="D480" s="11">
        <v>45404</v>
      </c>
      <c r="E480" s="60"/>
    </row>
    <row r="481" ht="15.75" spans="1:5">
      <c r="A481" s="63">
        <v>3045148.6737</v>
      </c>
      <c r="B481" s="63">
        <v>400730.5954</v>
      </c>
      <c r="C481" s="33">
        <v>671.68</v>
      </c>
      <c r="D481" s="11">
        <v>45405</v>
      </c>
      <c r="E481" s="60"/>
    </row>
    <row r="482" ht="15.75" spans="1:5">
      <c r="A482" s="63">
        <v>3045148.6737</v>
      </c>
      <c r="B482" s="63">
        <v>400730.5954</v>
      </c>
      <c r="C482" s="33">
        <v>671.68</v>
      </c>
      <c r="D482" s="11">
        <v>45406</v>
      </c>
      <c r="E482" s="60"/>
    </row>
    <row r="483" ht="15.75" spans="1:5">
      <c r="A483" s="63">
        <v>3045148.6737</v>
      </c>
      <c r="B483" s="63">
        <v>400730.5954</v>
      </c>
      <c r="C483" s="33">
        <v>671.68</v>
      </c>
      <c r="D483" s="11">
        <v>45407</v>
      </c>
      <c r="E483" s="60"/>
    </row>
    <row r="484" ht="15.75" spans="1:5">
      <c r="A484" s="63">
        <v>3045148.6737</v>
      </c>
      <c r="B484" s="63">
        <v>400730.5954</v>
      </c>
      <c r="C484" s="33">
        <v>671.68</v>
      </c>
      <c r="D484" s="11">
        <v>45408</v>
      </c>
      <c r="E484" s="60"/>
    </row>
    <row r="485" ht="15.75" spans="1:5">
      <c r="A485" s="63">
        <v>3045148.6737</v>
      </c>
      <c r="B485" s="63">
        <v>400730.5954</v>
      </c>
      <c r="C485" s="33">
        <v>671.68</v>
      </c>
      <c r="D485" s="11">
        <v>45409</v>
      </c>
      <c r="E485" s="60">
        <v>404.551</v>
      </c>
    </row>
    <row r="486" ht="15.75" spans="1:5">
      <c r="A486" s="63">
        <v>3045148.6737</v>
      </c>
      <c r="B486" s="63">
        <v>400730.5954</v>
      </c>
      <c r="C486" s="33">
        <v>671.68</v>
      </c>
      <c r="D486" s="11">
        <v>45410</v>
      </c>
      <c r="E486" s="60">
        <v>437.928</v>
      </c>
    </row>
    <row r="487" ht="15.75" spans="1:5">
      <c r="A487" s="63">
        <v>3045148.6737</v>
      </c>
      <c r="B487" s="63">
        <v>400730.5954</v>
      </c>
      <c r="C487" s="33">
        <v>671.68</v>
      </c>
      <c r="D487" s="11">
        <v>45411</v>
      </c>
      <c r="E487" s="60">
        <v>437.858</v>
      </c>
    </row>
    <row r="488" ht="15.75" spans="1:5">
      <c r="A488" s="63">
        <v>3045148.6737</v>
      </c>
      <c r="B488" s="63">
        <v>400730.5954</v>
      </c>
      <c r="C488" s="33">
        <v>671.68</v>
      </c>
      <c r="D488" s="11">
        <v>45412</v>
      </c>
      <c r="E488" s="60">
        <v>437.427</v>
      </c>
    </row>
    <row r="489" ht="15.75" spans="1:5">
      <c r="A489" s="63">
        <v>3045148.6737</v>
      </c>
      <c r="B489" s="63">
        <v>400730.5954</v>
      </c>
      <c r="C489" s="33">
        <v>671.68</v>
      </c>
      <c r="D489" s="11">
        <v>45413</v>
      </c>
      <c r="E489" s="60">
        <v>436.768</v>
      </c>
    </row>
    <row r="490" ht="15.75" spans="1:5">
      <c r="A490" s="63">
        <v>3045148.6737</v>
      </c>
      <c r="B490" s="63">
        <v>400730.5954</v>
      </c>
      <c r="C490" s="33">
        <v>671.68</v>
      </c>
      <c r="D490" s="11">
        <v>45414</v>
      </c>
      <c r="E490" s="60">
        <v>436.359</v>
      </c>
    </row>
    <row r="491" ht="15.75" spans="1:5">
      <c r="A491" s="63">
        <v>3045148.6737</v>
      </c>
      <c r="B491" s="63">
        <v>400730.5954</v>
      </c>
      <c r="C491" s="33">
        <v>671.68</v>
      </c>
      <c r="D491" s="11">
        <v>45415</v>
      </c>
      <c r="E491" s="60">
        <v>425.46</v>
      </c>
    </row>
    <row r="492" ht="15.75" spans="1:5">
      <c r="A492" s="63">
        <v>3045148.6737</v>
      </c>
      <c r="B492" s="63">
        <v>400730.5954</v>
      </c>
      <c r="C492" s="33">
        <v>671.68</v>
      </c>
      <c r="D492" s="11">
        <v>45416</v>
      </c>
      <c r="E492" s="60">
        <v>424.803</v>
      </c>
    </row>
    <row r="493" ht="15.75" spans="1:5">
      <c r="A493" s="63">
        <v>3045148.6737</v>
      </c>
      <c r="B493" s="63">
        <v>400730.5954</v>
      </c>
      <c r="C493" s="33">
        <v>671.68</v>
      </c>
      <c r="D493" s="11">
        <v>45417</v>
      </c>
      <c r="E493" s="60">
        <v>424.502</v>
      </c>
    </row>
    <row r="494" ht="15.75" spans="1:5">
      <c r="A494" s="63">
        <v>3045148.6737</v>
      </c>
      <c r="B494" s="63">
        <v>400730.5954</v>
      </c>
      <c r="C494" s="33">
        <v>671.68</v>
      </c>
      <c r="D494" s="11">
        <v>45418</v>
      </c>
      <c r="E494" s="60">
        <v>424.082</v>
      </c>
    </row>
    <row r="495" ht="15.75" spans="1:5">
      <c r="A495" s="63">
        <v>3045148.6737</v>
      </c>
      <c r="B495" s="63">
        <v>400730.5954</v>
      </c>
      <c r="C495" s="33">
        <v>671.68</v>
      </c>
      <c r="D495" s="11">
        <v>45419</v>
      </c>
      <c r="E495" s="60">
        <v>423.858</v>
      </c>
    </row>
    <row r="496" ht="15.75" spans="1:5">
      <c r="A496" s="63">
        <v>3045148.6737</v>
      </c>
      <c r="B496" s="63">
        <v>400730.5954</v>
      </c>
      <c r="C496" s="33">
        <v>671.68</v>
      </c>
      <c r="D496" s="11">
        <v>45420</v>
      </c>
      <c r="E496" s="60">
        <v>423.737</v>
      </c>
    </row>
    <row r="497" ht="15.75" spans="1:5">
      <c r="A497" s="63">
        <v>3045148.6737</v>
      </c>
      <c r="B497" s="63">
        <v>400730.5954</v>
      </c>
      <c r="C497" s="33">
        <v>671.68</v>
      </c>
      <c r="D497" s="11">
        <v>45421</v>
      </c>
      <c r="E497" s="60">
        <v>423.886</v>
      </c>
    </row>
    <row r="498" ht="15.75" spans="1:5">
      <c r="A498" s="63">
        <v>3045148.6737</v>
      </c>
      <c r="B498" s="63">
        <v>400730.5954</v>
      </c>
      <c r="C498" s="33">
        <v>671.68</v>
      </c>
      <c r="D498" s="11">
        <v>45422</v>
      </c>
      <c r="E498" s="60">
        <v>423.98</v>
      </c>
    </row>
    <row r="499" ht="15.75" spans="1:5">
      <c r="A499" s="63">
        <v>3045148.6737</v>
      </c>
      <c r="B499" s="63">
        <v>400730.5954</v>
      </c>
      <c r="C499" s="33">
        <v>671.68</v>
      </c>
      <c r="D499" s="11">
        <v>45423</v>
      </c>
      <c r="E499" s="60">
        <v>424.026</v>
      </c>
    </row>
  </sheetData>
  <mergeCells count="1">
    <mergeCell ref="A1:C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F3" sqref="F3"/>
    </sheetView>
  </sheetViews>
  <sheetFormatPr defaultColWidth="9" defaultRowHeight="15" outlineLevelCol="5"/>
  <cols>
    <col min="1" max="1" width="17.375" style="48" customWidth="1"/>
    <col min="2" max="2" width="11.375" style="48" customWidth="1"/>
    <col min="3" max="3" width="19.25" customWidth="1"/>
    <col min="4" max="4" width="17.25" style="1" customWidth="1"/>
    <col min="6" max="6" width="24.87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ht="15.75" spans="1:5">
      <c r="A2" s="49" t="s">
        <v>492</v>
      </c>
      <c r="B2" s="50" t="s">
        <v>3</v>
      </c>
      <c r="C2" s="1" t="s">
        <v>4</v>
      </c>
      <c r="D2" s="1" t="s">
        <v>5</v>
      </c>
      <c r="E2" s="4" t="s">
        <v>6</v>
      </c>
    </row>
    <row r="3" ht="16.5" spans="1:6">
      <c r="A3" s="51">
        <v>3045510.2985</v>
      </c>
      <c r="B3" s="52">
        <v>401065.2865</v>
      </c>
      <c r="C3" s="33">
        <v>670.12</v>
      </c>
      <c r="D3" s="34">
        <v>44927</v>
      </c>
      <c r="E3" s="53"/>
      <c r="F3" s="35" t="s">
        <v>3062</v>
      </c>
    </row>
    <row r="4" ht="16.5" spans="1:5">
      <c r="A4" s="51">
        <v>3045510.2985</v>
      </c>
      <c r="B4" s="52">
        <v>401065.2865</v>
      </c>
      <c r="C4" s="33">
        <v>670.12</v>
      </c>
      <c r="D4" s="11">
        <v>44928</v>
      </c>
      <c r="E4" s="53"/>
    </row>
    <row r="5" ht="16.5" spans="1:5">
      <c r="A5" s="51">
        <v>3045510.2985</v>
      </c>
      <c r="B5" s="52">
        <v>401065.2865</v>
      </c>
      <c r="C5" s="33">
        <v>670.12</v>
      </c>
      <c r="D5" s="11">
        <v>44929</v>
      </c>
      <c r="E5" s="53"/>
    </row>
    <row r="6" ht="16.5" spans="1:5">
      <c r="A6" s="51">
        <v>3045510.2985</v>
      </c>
      <c r="B6" s="52">
        <v>401065.2865</v>
      </c>
      <c r="C6" s="33">
        <v>670.12</v>
      </c>
      <c r="D6" s="11">
        <v>44930</v>
      </c>
      <c r="E6" s="53"/>
    </row>
    <row r="7" ht="16.5" spans="1:5">
      <c r="A7" s="51">
        <v>3045510.2985</v>
      </c>
      <c r="B7" s="52">
        <v>401065.2865</v>
      </c>
      <c r="C7" s="33">
        <v>670.12</v>
      </c>
      <c r="D7" s="11">
        <v>44931</v>
      </c>
      <c r="E7" s="53"/>
    </row>
    <row r="8" ht="16.5" spans="1:5">
      <c r="A8" s="51">
        <v>3045510.2985</v>
      </c>
      <c r="B8" s="52">
        <v>401065.2865</v>
      </c>
      <c r="C8" s="33">
        <v>670.12</v>
      </c>
      <c r="D8" s="11">
        <v>44932</v>
      </c>
      <c r="E8" s="54"/>
    </row>
    <row r="9" ht="16.5" spans="1:5">
      <c r="A9" s="51">
        <v>3045510.2985</v>
      </c>
      <c r="B9" s="52">
        <v>401065.2865</v>
      </c>
      <c r="C9" s="33">
        <v>670.12</v>
      </c>
      <c r="D9" s="11">
        <v>44933</v>
      </c>
      <c r="E9" s="54"/>
    </row>
    <row r="10" ht="16.5" spans="1:5">
      <c r="A10" s="51">
        <v>3045510.2985</v>
      </c>
      <c r="B10" s="52">
        <v>401065.2865</v>
      </c>
      <c r="C10" s="33">
        <v>670.12</v>
      </c>
      <c r="D10" s="11">
        <v>44934</v>
      </c>
      <c r="E10" s="54"/>
    </row>
    <row r="11" ht="16.5" spans="1:5">
      <c r="A11" s="51">
        <v>3045510.2985</v>
      </c>
      <c r="B11" s="52">
        <v>401065.2865</v>
      </c>
      <c r="C11" s="33">
        <v>670.12</v>
      </c>
      <c r="D11" s="11">
        <v>44935</v>
      </c>
      <c r="E11" s="54"/>
    </row>
    <row r="12" ht="16.5" spans="1:5">
      <c r="A12" s="51">
        <v>3045510.2985</v>
      </c>
      <c r="B12" s="52">
        <v>401065.2865</v>
      </c>
      <c r="C12" s="33">
        <v>670.12</v>
      </c>
      <c r="D12" s="11">
        <v>44936</v>
      </c>
      <c r="E12" s="54"/>
    </row>
    <row r="13" ht="16.5" spans="1:5">
      <c r="A13" s="51">
        <v>3045510.2985</v>
      </c>
      <c r="B13" s="52">
        <v>401065.2865</v>
      </c>
      <c r="C13" s="33">
        <v>670.12</v>
      </c>
      <c r="D13" s="11">
        <v>44937</v>
      </c>
      <c r="E13" s="54"/>
    </row>
    <row r="14" ht="16.5" spans="1:5">
      <c r="A14" s="51">
        <v>3045510.2985</v>
      </c>
      <c r="B14" s="52">
        <v>401065.2865</v>
      </c>
      <c r="C14" s="33">
        <v>670.12</v>
      </c>
      <c r="D14" s="11">
        <v>44938</v>
      </c>
      <c r="E14" s="55"/>
    </row>
    <row r="15" ht="16.5" spans="1:5">
      <c r="A15" s="51">
        <v>3045510.2985</v>
      </c>
      <c r="B15" s="52">
        <v>401065.2865</v>
      </c>
      <c r="C15" s="33">
        <v>670.12</v>
      </c>
      <c r="D15" s="11">
        <v>44939</v>
      </c>
      <c r="E15" s="55"/>
    </row>
    <row r="16" ht="16.5" spans="1:5">
      <c r="A16" s="51">
        <v>3045510.2985</v>
      </c>
      <c r="B16" s="52">
        <v>401065.2865</v>
      </c>
      <c r="C16" s="33">
        <v>670.12</v>
      </c>
      <c r="D16" s="11">
        <v>44940</v>
      </c>
      <c r="E16" s="55"/>
    </row>
    <row r="17" ht="16.5" spans="1:5">
      <c r="A17" s="51">
        <v>3045510.2985</v>
      </c>
      <c r="B17" s="52">
        <v>401065.2865</v>
      </c>
      <c r="C17" s="33">
        <v>670.12</v>
      </c>
      <c r="D17" s="11">
        <v>44941</v>
      </c>
      <c r="E17" s="55"/>
    </row>
    <row r="18" ht="16.5" spans="1:5">
      <c r="A18" s="51">
        <v>3045510.2985</v>
      </c>
      <c r="B18" s="52">
        <v>401065.2865</v>
      </c>
      <c r="C18" s="33">
        <v>670.12</v>
      </c>
      <c r="D18" s="11">
        <v>44942</v>
      </c>
      <c r="E18" s="54"/>
    </row>
    <row r="19" ht="16.5" spans="1:5">
      <c r="A19" s="51">
        <v>3045510.2985</v>
      </c>
      <c r="B19" s="52">
        <v>401065.2865</v>
      </c>
      <c r="C19" s="33">
        <v>670.12</v>
      </c>
      <c r="D19" s="11">
        <v>44943</v>
      </c>
      <c r="E19" s="54"/>
    </row>
    <row r="20" ht="16.5" spans="1:5">
      <c r="A20" s="51">
        <v>3045510.2985</v>
      </c>
      <c r="B20" s="52">
        <v>401065.2865</v>
      </c>
      <c r="C20" s="33">
        <v>670.12</v>
      </c>
      <c r="D20" s="11">
        <v>44944</v>
      </c>
      <c r="E20" s="54"/>
    </row>
    <row r="21" ht="16.5" spans="1:5">
      <c r="A21" s="51">
        <v>3045510.2985</v>
      </c>
      <c r="B21" s="52">
        <v>401065.2865</v>
      </c>
      <c r="C21" s="33">
        <v>670.12</v>
      </c>
      <c r="D21" s="11">
        <v>44945</v>
      </c>
      <c r="E21" s="54"/>
    </row>
    <row r="22" ht="16.5" spans="1:5">
      <c r="A22" s="51">
        <v>3045510.2985</v>
      </c>
      <c r="B22" s="52">
        <v>401065.2865</v>
      </c>
      <c r="C22" s="33">
        <v>670.12</v>
      </c>
      <c r="D22" s="11">
        <v>44946</v>
      </c>
      <c r="E22" s="54"/>
    </row>
    <row r="23" ht="16.5" spans="1:5">
      <c r="A23" s="51">
        <v>3045510.2985</v>
      </c>
      <c r="B23" s="52">
        <v>401065.2865</v>
      </c>
      <c r="C23" s="33">
        <v>670.12</v>
      </c>
      <c r="D23" s="11">
        <v>44947</v>
      </c>
      <c r="E23" s="54"/>
    </row>
    <row r="24" ht="16.5" spans="1:5">
      <c r="A24" s="51">
        <v>3045510.2985</v>
      </c>
      <c r="B24" s="52">
        <v>401065.2865</v>
      </c>
      <c r="C24" s="33">
        <v>670.12</v>
      </c>
      <c r="D24" s="11">
        <v>44948</v>
      </c>
      <c r="E24" s="54"/>
    </row>
    <row r="25" ht="16.5" spans="1:5">
      <c r="A25" s="51">
        <v>3045510.2985</v>
      </c>
      <c r="B25" s="52">
        <v>401065.2865</v>
      </c>
      <c r="C25" s="33">
        <v>670.12</v>
      </c>
      <c r="D25" s="11">
        <v>44949</v>
      </c>
      <c r="E25" s="54"/>
    </row>
    <row r="26" ht="16.5" spans="1:5">
      <c r="A26" s="51">
        <v>3045510.2985</v>
      </c>
      <c r="B26" s="52">
        <v>401065.2865</v>
      </c>
      <c r="C26" s="33">
        <v>670.12</v>
      </c>
      <c r="D26" s="11">
        <v>44950</v>
      </c>
      <c r="E26" s="54"/>
    </row>
    <row r="27" ht="16.5" spans="1:5">
      <c r="A27" s="51">
        <v>3045510.2985</v>
      </c>
      <c r="B27" s="52">
        <v>401065.2865</v>
      </c>
      <c r="C27" s="33">
        <v>670.12</v>
      </c>
      <c r="D27" s="11">
        <v>44951</v>
      </c>
      <c r="E27" s="54"/>
    </row>
    <row r="28" ht="16.5" spans="1:5">
      <c r="A28" s="51">
        <v>3045510.2985</v>
      </c>
      <c r="B28" s="52">
        <v>401065.2865</v>
      </c>
      <c r="C28" s="33">
        <v>670.12</v>
      </c>
      <c r="D28" s="11">
        <v>44952</v>
      </c>
      <c r="E28" s="54"/>
    </row>
    <row r="29" ht="16.5" spans="1:5">
      <c r="A29" s="51">
        <v>3045510.2985</v>
      </c>
      <c r="B29" s="52">
        <v>401065.2865</v>
      </c>
      <c r="C29" s="33">
        <v>670.12</v>
      </c>
      <c r="D29" s="11">
        <v>44953</v>
      </c>
      <c r="E29" s="54"/>
    </row>
    <row r="30" ht="16.5" spans="1:5">
      <c r="A30" s="51">
        <v>3045510.2985</v>
      </c>
      <c r="B30" s="52">
        <v>401065.2865</v>
      </c>
      <c r="C30" s="33">
        <v>670.12</v>
      </c>
      <c r="D30" s="11">
        <v>44954</v>
      </c>
      <c r="E30" s="54"/>
    </row>
    <row r="31" ht="16.5" spans="1:5">
      <c r="A31" s="51">
        <v>3045510.2985</v>
      </c>
      <c r="B31" s="52">
        <v>401065.2865</v>
      </c>
      <c r="C31" s="33">
        <v>670.12</v>
      </c>
      <c r="D31" s="11">
        <v>44955</v>
      </c>
      <c r="E31" s="54"/>
    </row>
    <row r="32" ht="16.5" spans="1:5">
      <c r="A32" s="51">
        <v>3045510.2985</v>
      </c>
      <c r="B32" s="52">
        <v>401065.2865</v>
      </c>
      <c r="C32" s="33">
        <v>670.12</v>
      </c>
      <c r="D32" s="11">
        <v>44956</v>
      </c>
      <c r="E32" s="54"/>
    </row>
    <row r="33" ht="16.5" spans="1:5">
      <c r="A33" s="51">
        <v>3045510.2985</v>
      </c>
      <c r="B33" s="52">
        <v>401065.2865</v>
      </c>
      <c r="C33" s="33">
        <v>670.12</v>
      </c>
      <c r="D33" s="11">
        <v>44957</v>
      </c>
      <c r="E33" s="54"/>
    </row>
    <row r="34" ht="16.5" spans="1:5">
      <c r="A34" s="51">
        <v>3045510.2985</v>
      </c>
      <c r="B34" s="52">
        <v>401065.2865</v>
      </c>
      <c r="C34" s="33">
        <v>670.12</v>
      </c>
      <c r="D34" s="11">
        <v>44958</v>
      </c>
      <c r="E34" s="54"/>
    </row>
    <row r="35" ht="16.5" spans="1:5">
      <c r="A35" s="51">
        <v>3045510.2985</v>
      </c>
      <c r="B35" s="52">
        <v>401065.2865</v>
      </c>
      <c r="C35" s="33">
        <v>670.12</v>
      </c>
      <c r="D35" s="11">
        <v>44959</v>
      </c>
      <c r="E35" s="56"/>
    </row>
    <row r="36" ht="16.5" spans="1:5">
      <c r="A36" s="51">
        <v>3045510.2985</v>
      </c>
      <c r="B36" s="52">
        <v>401065.2865</v>
      </c>
      <c r="C36" s="33">
        <v>670.12</v>
      </c>
      <c r="D36" s="11">
        <v>44960</v>
      </c>
      <c r="E36" s="54"/>
    </row>
    <row r="37" ht="16.5" spans="1:5">
      <c r="A37" s="51">
        <v>3045510.2985</v>
      </c>
      <c r="B37" s="52">
        <v>401065.2865</v>
      </c>
      <c r="C37" s="33">
        <v>670.12</v>
      </c>
      <c r="D37" s="11">
        <v>44961</v>
      </c>
      <c r="E37" s="54"/>
    </row>
    <row r="38" ht="16.5" spans="1:5">
      <c r="A38" s="51">
        <v>3045510.2985</v>
      </c>
      <c r="B38" s="52">
        <v>401065.2865</v>
      </c>
      <c r="C38" s="33">
        <v>670.12</v>
      </c>
      <c r="D38" s="11">
        <v>44962</v>
      </c>
      <c r="E38" s="54"/>
    </row>
    <row r="39" ht="16.5" spans="1:5">
      <c r="A39" s="51">
        <v>3045510.2985</v>
      </c>
      <c r="B39" s="52">
        <v>401065.2865</v>
      </c>
      <c r="C39" s="33">
        <v>670.12</v>
      </c>
      <c r="D39" s="11">
        <v>44963</v>
      </c>
      <c r="E39" s="54"/>
    </row>
    <row r="40" ht="16.5" spans="1:5">
      <c r="A40" s="51">
        <v>3045510.2985</v>
      </c>
      <c r="B40" s="52">
        <v>401065.2865</v>
      </c>
      <c r="C40" s="33">
        <v>670.12</v>
      </c>
      <c r="D40" s="11">
        <v>44964</v>
      </c>
      <c r="E40" s="54"/>
    </row>
    <row r="41" ht="16.5" spans="1:5">
      <c r="A41" s="51">
        <v>3045510.2985</v>
      </c>
      <c r="B41" s="52">
        <v>401065.2865</v>
      </c>
      <c r="C41" s="33">
        <v>670.12</v>
      </c>
      <c r="D41" s="11">
        <v>44965</v>
      </c>
      <c r="E41" s="54"/>
    </row>
    <row r="42" ht="16.5" spans="1:5">
      <c r="A42" s="51">
        <v>3045510.2985</v>
      </c>
      <c r="B42" s="52">
        <v>401065.2865</v>
      </c>
      <c r="C42" s="33">
        <v>670.12</v>
      </c>
      <c r="D42" s="11">
        <v>44966</v>
      </c>
      <c r="E42" s="54"/>
    </row>
    <row r="43" ht="16.5" spans="1:5">
      <c r="A43" s="51">
        <v>3045510.2985</v>
      </c>
      <c r="B43" s="52">
        <v>401065.2865</v>
      </c>
      <c r="C43" s="33">
        <v>670.12</v>
      </c>
      <c r="D43" s="11">
        <v>44967</v>
      </c>
      <c r="E43" s="54"/>
    </row>
    <row r="44" ht="16.5" spans="1:5">
      <c r="A44" s="51">
        <v>3045510.2985</v>
      </c>
      <c r="B44" s="52">
        <v>401065.2865</v>
      </c>
      <c r="C44" s="33">
        <v>670.12</v>
      </c>
      <c r="D44" s="11">
        <v>44968</v>
      </c>
      <c r="E44" s="54"/>
    </row>
    <row r="45" ht="16.5" spans="1:5">
      <c r="A45" s="51">
        <v>3045510.2985</v>
      </c>
      <c r="B45" s="52">
        <v>401065.2865</v>
      </c>
      <c r="C45" s="33">
        <v>670.12</v>
      </c>
      <c r="D45" s="11">
        <v>44969</v>
      </c>
      <c r="E45" s="54"/>
    </row>
    <row r="46" ht="16.5" spans="1:5">
      <c r="A46" s="51">
        <v>3045510.2985</v>
      </c>
      <c r="B46" s="52">
        <v>401065.2865</v>
      </c>
      <c r="C46" s="33">
        <v>670.12</v>
      </c>
      <c r="D46" s="11">
        <v>44970</v>
      </c>
      <c r="E46" s="56"/>
    </row>
    <row r="47" ht="16.5" spans="1:5">
      <c r="A47" s="51">
        <v>3045510.2985</v>
      </c>
      <c r="B47" s="52">
        <v>401065.2865</v>
      </c>
      <c r="C47" s="33">
        <v>670.12</v>
      </c>
      <c r="D47" s="11">
        <v>44971</v>
      </c>
      <c r="E47" s="54"/>
    </row>
    <row r="48" ht="16.5" spans="1:5">
      <c r="A48" s="51">
        <v>3045510.2985</v>
      </c>
      <c r="B48" s="52">
        <v>401065.2865</v>
      </c>
      <c r="C48" s="33">
        <v>670.12</v>
      </c>
      <c r="D48" s="11">
        <v>44972</v>
      </c>
      <c r="E48" s="54"/>
    </row>
    <row r="49" ht="16.5" spans="1:5">
      <c r="A49" s="51">
        <v>3045510.2985</v>
      </c>
      <c r="B49" s="52">
        <v>401065.2865</v>
      </c>
      <c r="C49" s="33">
        <v>670.12</v>
      </c>
      <c r="D49" s="11">
        <v>44973</v>
      </c>
      <c r="E49" s="54"/>
    </row>
    <row r="50" ht="16.5" spans="1:5">
      <c r="A50" s="51">
        <v>3045510.2985</v>
      </c>
      <c r="B50" s="52">
        <v>401065.2865</v>
      </c>
      <c r="C50" s="33">
        <v>670.12</v>
      </c>
      <c r="D50" s="11">
        <v>44974</v>
      </c>
      <c r="E50" s="54"/>
    </row>
    <row r="51" ht="16.5" spans="1:5">
      <c r="A51" s="51">
        <v>3045510.2985</v>
      </c>
      <c r="B51" s="52">
        <v>401065.2865</v>
      </c>
      <c r="C51" s="33">
        <v>670.12</v>
      </c>
      <c r="D51" s="11">
        <v>44975</v>
      </c>
      <c r="E51" s="54"/>
    </row>
    <row r="52" ht="16.5" spans="1:5">
      <c r="A52" s="51">
        <v>3045510.2985</v>
      </c>
      <c r="B52" s="52">
        <v>401065.2865</v>
      </c>
      <c r="C52" s="33">
        <v>670.12</v>
      </c>
      <c r="D52" s="11">
        <v>44976</v>
      </c>
      <c r="E52" s="54"/>
    </row>
    <row r="53" ht="16.5" spans="1:5">
      <c r="A53" s="51">
        <v>3045510.2985</v>
      </c>
      <c r="B53" s="52">
        <v>401065.2865</v>
      </c>
      <c r="C53" s="33">
        <v>670.12</v>
      </c>
      <c r="D53" s="11">
        <v>44977</v>
      </c>
      <c r="E53" s="54"/>
    </row>
    <row r="54" ht="16.5" spans="1:5">
      <c r="A54" s="51">
        <v>3045510.2985</v>
      </c>
      <c r="B54" s="52">
        <v>401065.2865</v>
      </c>
      <c r="C54" s="33">
        <v>670.12</v>
      </c>
      <c r="D54" s="11">
        <v>44978</v>
      </c>
      <c r="E54" s="54"/>
    </row>
    <row r="55" ht="16.5" spans="1:5">
      <c r="A55" s="51">
        <v>3045510.2985</v>
      </c>
      <c r="B55" s="52">
        <v>401065.2865</v>
      </c>
      <c r="C55" s="33">
        <v>670.12</v>
      </c>
      <c r="D55" s="11">
        <v>44979</v>
      </c>
      <c r="E55" s="54"/>
    </row>
    <row r="56" ht="16.5" spans="1:5">
      <c r="A56" s="51">
        <v>3045510.2985</v>
      </c>
      <c r="B56" s="52">
        <v>401065.2865</v>
      </c>
      <c r="C56" s="33">
        <v>670.12</v>
      </c>
      <c r="D56" s="11">
        <v>44980</v>
      </c>
      <c r="E56" s="54"/>
    </row>
    <row r="57" ht="16.5" spans="1:5">
      <c r="A57" s="51">
        <v>3045510.2985</v>
      </c>
      <c r="B57" s="52">
        <v>401065.2865</v>
      </c>
      <c r="C57" s="33">
        <v>670.12</v>
      </c>
      <c r="D57" s="11">
        <v>44981</v>
      </c>
      <c r="E57" s="54"/>
    </row>
    <row r="58" ht="16.5" spans="1:5">
      <c r="A58" s="51">
        <v>3045510.2985</v>
      </c>
      <c r="B58" s="52">
        <v>401065.2865</v>
      </c>
      <c r="C58" s="33">
        <v>670.12</v>
      </c>
      <c r="D58" s="11">
        <v>44982</v>
      </c>
      <c r="E58" s="54"/>
    </row>
    <row r="59" ht="16.5" spans="1:5">
      <c r="A59" s="51">
        <v>3045510.2985</v>
      </c>
      <c r="B59" s="52">
        <v>401065.2865</v>
      </c>
      <c r="C59" s="33">
        <v>670.12</v>
      </c>
      <c r="D59" s="11">
        <v>44983</v>
      </c>
      <c r="E59" s="54"/>
    </row>
    <row r="60" ht="16.5" spans="1:5">
      <c r="A60" s="51">
        <v>3045510.2985</v>
      </c>
      <c r="B60" s="52">
        <v>401065.2865</v>
      </c>
      <c r="C60" s="33">
        <v>670.12</v>
      </c>
      <c r="D60" s="11">
        <v>44984</v>
      </c>
      <c r="E60" s="54"/>
    </row>
    <row r="61" ht="16.5" spans="1:5">
      <c r="A61" s="51">
        <v>3045510.2985</v>
      </c>
      <c r="B61" s="52">
        <v>401065.2865</v>
      </c>
      <c r="C61" s="33">
        <v>670.12</v>
      </c>
      <c r="D61" s="11">
        <v>44985</v>
      </c>
      <c r="E61" s="57"/>
    </row>
    <row r="62" ht="16.5" spans="1:5">
      <c r="A62" s="51">
        <v>3045510.2985</v>
      </c>
      <c r="B62" s="52">
        <v>401065.2865</v>
      </c>
      <c r="C62" s="33">
        <v>670.12</v>
      </c>
      <c r="D62" s="11">
        <v>44986</v>
      </c>
      <c r="E62" s="57"/>
    </row>
    <row r="63" ht="16.5" spans="1:5">
      <c r="A63" s="51">
        <v>3045510.2985</v>
      </c>
      <c r="B63" s="52">
        <v>401065.2865</v>
      </c>
      <c r="C63" s="33">
        <v>670.12</v>
      </c>
      <c r="D63" s="11">
        <v>44987</v>
      </c>
      <c r="E63" s="57"/>
    </row>
    <row r="64" ht="16.5" spans="1:5">
      <c r="A64" s="51">
        <v>3045510.2985</v>
      </c>
      <c r="B64" s="52">
        <v>401065.2865</v>
      </c>
      <c r="C64" s="33">
        <v>670.12</v>
      </c>
      <c r="D64" s="11">
        <v>44988</v>
      </c>
      <c r="E64" s="57"/>
    </row>
    <row r="65" ht="16.5" spans="1:5">
      <c r="A65" s="51">
        <v>3045510.2985</v>
      </c>
      <c r="B65" s="52">
        <v>401065.2865</v>
      </c>
      <c r="C65" s="33">
        <v>670.12</v>
      </c>
      <c r="D65" s="11">
        <v>44989</v>
      </c>
      <c r="E65" s="54"/>
    </row>
    <row r="66" ht="16.5" spans="1:5">
      <c r="A66" s="51">
        <v>3045510.2985</v>
      </c>
      <c r="B66" s="52">
        <v>401065.2865</v>
      </c>
      <c r="C66" s="33">
        <v>670.12</v>
      </c>
      <c r="D66" s="11">
        <v>44990</v>
      </c>
      <c r="E66" s="57"/>
    </row>
    <row r="67" ht="16.5" spans="1:5">
      <c r="A67" s="51">
        <v>3045510.2985</v>
      </c>
      <c r="B67" s="52">
        <v>401065.2865</v>
      </c>
      <c r="C67" s="33">
        <v>670.12</v>
      </c>
      <c r="D67" s="11">
        <v>44991</v>
      </c>
      <c r="E67" s="57"/>
    </row>
    <row r="68" ht="16.5" spans="1:5">
      <c r="A68" s="51">
        <v>3045510.2985</v>
      </c>
      <c r="B68" s="52">
        <v>401065.2865</v>
      </c>
      <c r="C68" s="33">
        <v>670.12</v>
      </c>
      <c r="D68" s="11">
        <v>44992</v>
      </c>
      <c r="E68" s="57"/>
    </row>
    <row r="69" ht="16.5" spans="1:5">
      <c r="A69" s="51">
        <v>3045510.2985</v>
      </c>
      <c r="B69" s="52">
        <v>401065.2865</v>
      </c>
      <c r="C69" s="33">
        <v>670.12</v>
      </c>
      <c r="D69" s="11">
        <v>44993</v>
      </c>
      <c r="E69" s="57"/>
    </row>
    <row r="70" ht="16.5" spans="1:5">
      <c r="A70" s="51">
        <v>3045510.2985</v>
      </c>
      <c r="B70" s="52">
        <v>401065.2865</v>
      </c>
      <c r="C70" s="33">
        <v>670.12</v>
      </c>
      <c r="D70" s="11">
        <v>44994</v>
      </c>
      <c r="E70" s="54"/>
    </row>
    <row r="71" ht="16.5" spans="1:5">
      <c r="A71" s="51">
        <v>3045510.2985</v>
      </c>
      <c r="B71" s="52">
        <v>401065.2865</v>
      </c>
      <c r="C71" s="33">
        <v>670.12</v>
      </c>
      <c r="D71" s="11">
        <v>44995</v>
      </c>
      <c r="E71" s="54"/>
    </row>
    <row r="72" ht="16.5" spans="1:5">
      <c r="A72" s="51">
        <v>3045510.2985</v>
      </c>
      <c r="B72" s="52">
        <v>401065.2865</v>
      </c>
      <c r="C72" s="33">
        <v>670.12</v>
      </c>
      <c r="D72" s="11">
        <v>44996</v>
      </c>
      <c r="E72" s="54"/>
    </row>
    <row r="73" ht="16.5" spans="1:5">
      <c r="A73" s="51">
        <v>3045510.2985</v>
      </c>
      <c r="B73" s="52">
        <v>401065.2865</v>
      </c>
      <c r="C73" s="33">
        <v>670.12</v>
      </c>
      <c r="D73" s="11">
        <v>44997</v>
      </c>
      <c r="E73" s="54"/>
    </row>
    <row r="74" ht="16.5" spans="1:5">
      <c r="A74" s="51">
        <v>3045510.2985</v>
      </c>
      <c r="B74" s="52">
        <v>401065.2865</v>
      </c>
      <c r="C74" s="33">
        <v>670.12</v>
      </c>
      <c r="D74" s="11">
        <v>44998</v>
      </c>
      <c r="E74" s="54"/>
    </row>
    <row r="75" ht="16.5" spans="1:5">
      <c r="A75" s="51">
        <v>3045510.2985</v>
      </c>
      <c r="B75" s="52">
        <v>401065.2865</v>
      </c>
      <c r="C75" s="33">
        <v>670.12</v>
      </c>
      <c r="D75" s="11">
        <v>44999</v>
      </c>
      <c r="E75" s="54"/>
    </row>
    <row r="76" ht="16.5" spans="1:5">
      <c r="A76" s="51">
        <v>3045510.2985</v>
      </c>
      <c r="B76" s="52">
        <v>401065.2865</v>
      </c>
      <c r="C76" s="33">
        <v>670.12</v>
      </c>
      <c r="D76" s="11">
        <v>45000</v>
      </c>
      <c r="E76" s="54"/>
    </row>
    <row r="77" ht="16.5" spans="1:5">
      <c r="A77" s="51">
        <v>3045510.2985</v>
      </c>
      <c r="B77" s="52">
        <v>401065.2865</v>
      </c>
      <c r="C77" s="33">
        <v>670.12</v>
      </c>
      <c r="D77" s="11">
        <v>45001</v>
      </c>
      <c r="E77" s="54"/>
    </row>
    <row r="78" ht="16.5" spans="1:5">
      <c r="A78" s="51">
        <v>3045510.2985</v>
      </c>
      <c r="B78" s="52">
        <v>401065.2865</v>
      </c>
      <c r="C78" s="33">
        <v>670.12</v>
      </c>
      <c r="D78" s="11">
        <v>45002</v>
      </c>
      <c r="E78" s="53"/>
    </row>
    <row r="79" ht="16.5" spans="1:5">
      <c r="A79" s="51">
        <v>3045510.2985</v>
      </c>
      <c r="B79" s="52">
        <v>401065.2865</v>
      </c>
      <c r="C79" s="33">
        <v>670.12</v>
      </c>
      <c r="D79" s="11">
        <v>45003</v>
      </c>
      <c r="E79" s="54"/>
    </row>
    <row r="80" ht="16.5" spans="1:5">
      <c r="A80" s="51">
        <v>3045510.2985</v>
      </c>
      <c r="B80" s="52">
        <v>401065.2865</v>
      </c>
      <c r="C80" s="33">
        <v>670.12</v>
      </c>
      <c r="D80" s="11">
        <v>45004</v>
      </c>
      <c r="E80" s="54"/>
    </row>
    <row r="81" ht="16.5" spans="1:5">
      <c r="A81" s="51">
        <v>3045510.2985</v>
      </c>
      <c r="B81" s="52">
        <v>401065.2865</v>
      </c>
      <c r="C81" s="33">
        <v>670.12</v>
      </c>
      <c r="D81" s="11">
        <v>45005</v>
      </c>
      <c r="E81" s="54"/>
    </row>
    <row r="82" ht="16.5" spans="1:5">
      <c r="A82" s="51">
        <v>3045510.2985</v>
      </c>
      <c r="B82" s="52">
        <v>401065.2865</v>
      </c>
      <c r="C82" s="33">
        <v>670.12</v>
      </c>
      <c r="D82" s="11">
        <v>45006</v>
      </c>
      <c r="E82" s="54"/>
    </row>
    <row r="83" ht="16.5" spans="1:5">
      <c r="A83" s="51">
        <v>3045510.2985</v>
      </c>
      <c r="B83" s="52">
        <v>401065.2865</v>
      </c>
      <c r="C83" s="33">
        <v>670.12</v>
      </c>
      <c r="D83" s="11">
        <v>45007</v>
      </c>
      <c r="E83" s="54"/>
    </row>
    <row r="84" ht="16.5" spans="1:5">
      <c r="A84" s="51">
        <v>3045510.2985</v>
      </c>
      <c r="B84" s="52">
        <v>401065.2865</v>
      </c>
      <c r="C84" s="33">
        <v>670.12</v>
      </c>
      <c r="D84" s="11">
        <v>45008</v>
      </c>
      <c r="E84" s="54"/>
    </row>
    <row r="85" ht="16.5" spans="1:5">
      <c r="A85" s="51">
        <v>3045510.2985</v>
      </c>
      <c r="B85" s="52">
        <v>401065.2865</v>
      </c>
      <c r="C85" s="33">
        <v>670.12</v>
      </c>
      <c r="D85" s="11">
        <v>45009</v>
      </c>
      <c r="E85" s="54"/>
    </row>
    <row r="86" ht="16.5" spans="1:5">
      <c r="A86" s="51">
        <v>3045510.2985</v>
      </c>
      <c r="B86" s="52">
        <v>401065.2865</v>
      </c>
      <c r="C86" s="33">
        <v>670.12</v>
      </c>
      <c r="D86" s="11">
        <v>45010</v>
      </c>
      <c r="E86" s="54"/>
    </row>
    <row r="87" ht="16.5" spans="1:5">
      <c r="A87" s="51">
        <v>3045510.2985</v>
      </c>
      <c r="B87" s="52">
        <v>401065.2865</v>
      </c>
      <c r="C87" s="33">
        <v>670.12</v>
      </c>
      <c r="D87" s="11">
        <v>45011</v>
      </c>
      <c r="E87" s="54"/>
    </row>
    <row r="88" ht="16.5" spans="1:5">
      <c r="A88" s="51">
        <v>3045510.2985</v>
      </c>
      <c r="B88" s="52">
        <v>401065.2865</v>
      </c>
      <c r="C88" s="33">
        <v>670.12</v>
      </c>
      <c r="D88" s="11">
        <v>45012</v>
      </c>
      <c r="E88" s="54"/>
    </row>
    <row r="89" ht="16.5" spans="1:5">
      <c r="A89" s="51">
        <v>3045510.2985</v>
      </c>
      <c r="B89" s="52">
        <v>401065.2865</v>
      </c>
      <c r="C89" s="33">
        <v>670.12</v>
      </c>
      <c r="D89" s="11">
        <v>45013</v>
      </c>
      <c r="E89" s="55"/>
    </row>
    <row r="90" ht="16.5" spans="1:5">
      <c r="A90" s="51">
        <v>3045510.2985</v>
      </c>
      <c r="B90" s="52">
        <v>401065.2865</v>
      </c>
      <c r="C90" s="33">
        <v>670.12</v>
      </c>
      <c r="D90" s="11">
        <v>45014</v>
      </c>
      <c r="E90" s="55"/>
    </row>
    <row r="91" ht="16.5" spans="1:5">
      <c r="A91" s="51">
        <v>3045510.2985</v>
      </c>
      <c r="B91" s="52">
        <v>401065.2865</v>
      </c>
      <c r="C91" s="33">
        <v>670.12</v>
      </c>
      <c r="D91" s="11">
        <v>45015</v>
      </c>
      <c r="E91" s="58"/>
    </row>
    <row r="92" ht="16.5" spans="1:5">
      <c r="A92" s="51">
        <v>3045510.2985</v>
      </c>
      <c r="B92" s="52">
        <v>401065.2865</v>
      </c>
      <c r="C92" s="33">
        <v>670.12</v>
      </c>
      <c r="D92" s="11">
        <v>45016</v>
      </c>
      <c r="E92" s="55"/>
    </row>
    <row r="93" ht="16.5" spans="1:5">
      <c r="A93" s="51">
        <v>3045510.2985</v>
      </c>
      <c r="B93" s="52">
        <v>401065.2865</v>
      </c>
      <c r="C93" s="33">
        <v>670.12</v>
      </c>
      <c r="D93" s="11">
        <v>45017</v>
      </c>
      <c r="E93" s="54"/>
    </row>
    <row r="94" ht="16.5" spans="1:5">
      <c r="A94" s="51">
        <v>3045510.2985</v>
      </c>
      <c r="B94" s="52">
        <v>401065.2865</v>
      </c>
      <c r="C94" s="33">
        <v>670.12</v>
      </c>
      <c r="D94" s="11">
        <v>45018</v>
      </c>
      <c r="E94" s="54"/>
    </row>
    <row r="95" ht="16.5" spans="1:5">
      <c r="A95" s="51">
        <v>3045510.2985</v>
      </c>
      <c r="B95" s="52">
        <v>401065.2865</v>
      </c>
      <c r="C95" s="33">
        <v>670.12</v>
      </c>
      <c r="D95" s="11">
        <v>45019</v>
      </c>
      <c r="E95" s="54"/>
    </row>
    <row r="96" ht="16.5" spans="1:5">
      <c r="A96" s="51">
        <v>3045510.2985</v>
      </c>
      <c r="B96" s="52">
        <v>401065.2865</v>
      </c>
      <c r="C96" s="33">
        <v>670.12</v>
      </c>
      <c r="D96" s="11">
        <v>45020</v>
      </c>
      <c r="E96" s="59"/>
    </row>
    <row r="97" ht="16.5" spans="1:5">
      <c r="A97" s="51">
        <v>3045510.2985</v>
      </c>
      <c r="B97" s="52">
        <v>401065.2865</v>
      </c>
      <c r="C97" s="33">
        <v>670.12</v>
      </c>
      <c r="D97" s="11">
        <v>45021</v>
      </c>
      <c r="E97" s="54"/>
    </row>
    <row r="98" ht="16.5" spans="1:5">
      <c r="A98" s="51">
        <v>3045510.2985</v>
      </c>
      <c r="B98" s="52">
        <v>401065.2865</v>
      </c>
      <c r="C98" s="33">
        <v>670.12</v>
      </c>
      <c r="D98" s="11">
        <v>45022</v>
      </c>
      <c r="E98" s="54"/>
    </row>
    <row r="99" ht="16.5" spans="1:5">
      <c r="A99" s="51">
        <v>3045510.2985</v>
      </c>
      <c r="B99" s="52">
        <v>401065.2865</v>
      </c>
      <c r="C99" s="33">
        <v>670.12</v>
      </c>
      <c r="D99" s="11">
        <v>45023</v>
      </c>
      <c r="E99" s="54"/>
    </row>
    <row r="100" ht="16.5" spans="1:5">
      <c r="A100" s="51">
        <v>3045510.2985</v>
      </c>
      <c r="B100" s="52">
        <v>401065.2865</v>
      </c>
      <c r="C100" s="33">
        <v>670.12</v>
      </c>
      <c r="D100" s="11">
        <v>45024</v>
      </c>
      <c r="E100" s="54"/>
    </row>
    <row r="101" ht="16.5" spans="1:5">
      <c r="A101" s="51">
        <v>3045510.2985</v>
      </c>
      <c r="B101" s="52">
        <v>401065.2865</v>
      </c>
      <c r="C101" s="33">
        <v>670.12</v>
      </c>
      <c r="D101" s="11">
        <v>45025</v>
      </c>
      <c r="E101" s="54"/>
    </row>
    <row r="102" ht="16.5" spans="1:5">
      <c r="A102" s="51">
        <v>3045510.2985</v>
      </c>
      <c r="B102" s="52">
        <v>401065.2865</v>
      </c>
      <c r="C102" s="33">
        <v>670.12</v>
      </c>
      <c r="D102" s="11">
        <v>45026</v>
      </c>
      <c r="E102" s="54"/>
    </row>
    <row r="103" ht="16.5" spans="1:5">
      <c r="A103" s="51">
        <v>3045510.2985</v>
      </c>
      <c r="B103" s="52">
        <v>401065.2865</v>
      </c>
      <c r="C103" s="33">
        <v>670.12</v>
      </c>
      <c r="D103" s="11">
        <v>45027</v>
      </c>
      <c r="E103" s="54"/>
    </row>
    <row r="104" ht="16.5" spans="1:5">
      <c r="A104" s="51">
        <v>3045510.2985</v>
      </c>
      <c r="B104" s="52">
        <v>401065.2865</v>
      </c>
      <c r="C104" s="33">
        <v>670.12</v>
      </c>
      <c r="D104" s="11">
        <v>45028</v>
      </c>
      <c r="E104" s="54"/>
    </row>
    <row r="105" ht="16.5" spans="1:5">
      <c r="A105" s="51">
        <v>3045510.2985</v>
      </c>
      <c r="B105" s="52">
        <v>401065.2865</v>
      </c>
      <c r="C105" s="33">
        <v>670.12</v>
      </c>
      <c r="D105" s="11">
        <v>45029</v>
      </c>
      <c r="E105" s="54"/>
    </row>
    <row r="106" ht="16.5" spans="1:5">
      <c r="A106" s="51">
        <v>3045510.2985</v>
      </c>
      <c r="B106" s="52">
        <v>401065.2865</v>
      </c>
      <c r="C106" s="33">
        <v>670.12</v>
      </c>
      <c r="D106" s="11">
        <v>45030</v>
      </c>
      <c r="E106" s="54"/>
    </row>
    <row r="107" ht="16.5" spans="1:5">
      <c r="A107" s="51">
        <v>3045510.2985</v>
      </c>
      <c r="B107" s="52">
        <v>401065.2865</v>
      </c>
      <c r="C107" s="33">
        <v>670.12</v>
      </c>
      <c r="D107" s="11">
        <v>45031</v>
      </c>
      <c r="E107" s="54"/>
    </row>
    <row r="108" ht="16.5" spans="1:5">
      <c r="A108" s="51">
        <v>3045510.2985</v>
      </c>
      <c r="B108" s="52">
        <v>401065.2865</v>
      </c>
      <c r="C108" s="33">
        <v>670.12</v>
      </c>
      <c r="D108" s="11">
        <v>45032</v>
      </c>
      <c r="E108" s="54"/>
    </row>
    <row r="109" ht="16.5" spans="1:5">
      <c r="A109" s="51">
        <v>3045510.2985</v>
      </c>
      <c r="B109" s="52">
        <v>401065.2865</v>
      </c>
      <c r="C109" s="33">
        <v>670.12</v>
      </c>
      <c r="D109" s="11">
        <v>45033</v>
      </c>
      <c r="E109" s="54"/>
    </row>
    <row r="110" ht="16.5" spans="1:5">
      <c r="A110" s="51">
        <v>3045510.2985</v>
      </c>
      <c r="B110" s="52">
        <v>401065.2865</v>
      </c>
      <c r="C110" s="33">
        <v>670.12</v>
      </c>
      <c r="D110" s="11">
        <v>45034</v>
      </c>
      <c r="E110" s="54"/>
    </row>
    <row r="111" ht="16.5" spans="1:5">
      <c r="A111" s="51">
        <v>3045510.2985</v>
      </c>
      <c r="B111" s="52">
        <v>401065.2865</v>
      </c>
      <c r="C111" s="33">
        <v>670.12</v>
      </c>
      <c r="D111" s="11">
        <v>45035</v>
      </c>
      <c r="E111" s="54"/>
    </row>
    <row r="112" ht="16.5" spans="1:5">
      <c r="A112" s="51">
        <v>3045510.2985</v>
      </c>
      <c r="B112" s="52">
        <v>401065.2865</v>
      </c>
      <c r="C112" s="33">
        <v>670.12</v>
      </c>
      <c r="D112" s="11">
        <v>45036</v>
      </c>
      <c r="E112" s="54"/>
    </row>
    <row r="113" ht="16.5" spans="1:5">
      <c r="A113" s="51">
        <v>3045510.2985</v>
      </c>
      <c r="B113" s="52">
        <v>401065.2865</v>
      </c>
      <c r="C113" s="33">
        <v>670.12</v>
      </c>
      <c r="D113" s="11">
        <v>45037</v>
      </c>
      <c r="E113" s="54"/>
    </row>
    <row r="114" ht="16.5" spans="1:5">
      <c r="A114" s="51">
        <v>3045510.2985</v>
      </c>
      <c r="B114" s="52">
        <v>401065.2865</v>
      </c>
      <c r="C114" s="33">
        <v>670.12</v>
      </c>
      <c r="D114" s="11">
        <v>45038</v>
      </c>
      <c r="E114" s="54"/>
    </row>
    <row r="115" ht="16.5" spans="1:5">
      <c r="A115" s="51">
        <v>3045510.2985</v>
      </c>
      <c r="B115" s="52">
        <v>401065.2865</v>
      </c>
      <c r="C115" s="33">
        <v>670.12</v>
      </c>
      <c r="D115" s="11">
        <v>45039</v>
      </c>
      <c r="E115" s="54"/>
    </row>
    <row r="116" ht="16.5" spans="1:5">
      <c r="A116" s="51">
        <v>3045510.2985</v>
      </c>
      <c r="B116" s="52">
        <v>401065.2865</v>
      </c>
      <c r="C116" s="33">
        <v>670.12</v>
      </c>
      <c r="D116" s="11">
        <v>45040</v>
      </c>
      <c r="E116" s="54"/>
    </row>
    <row r="117" ht="16.5" spans="1:5">
      <c r="A117" s="51">
        <v>3045510.2985</v>
      </c>
      <c r="B117" s="52">
        <v>401065.2865</v>
      </c>
      <c r="C117" s="33">
        <v>670.12</v>
      </c>
      <c r="D117" s="11">
        <v>45041</v>
      </c>
      <c r="E117" s="54"/>
    </row>
    <row r="118" ht="16.5" spans="1:5">
      <c r="A118" s="51">
        <v>3045510.2985</v>
      </c>
      <c r="B118" s="52">
        <v>401065.2865</v>
      </c>
      <c r="C118" s="33">
        <v>670.12</v>
      </c>
      <c r="D118" s="11">
        <v>45042</v>
      </c>
      <c r="E118" s="54"/>
    </row>
    <row r="119" ht="16.5" spans="1:5">
      <c r="A119" s="51">
        <v>3045510.2985</v>
      </c>
      <c r="B119" s="52">
        <v>401065.2865</v>
      </c>
      <c r="C119" s="33">
        <v>670.12</v>
      </c>
      <c r="D119" s="11">
        <v>45043</v>
      </c>
      <c r="E119" s="53"/>
    </row>
    <row r="120" ht="16.5" spans="1:5">
      <c r="A120" s="51">
        <v>3045510.2985</v>
      </c>
      <c r="B120" s="52">
        <v>401065.2865</v>
      </c>
      <c r="C120" s="33">
        <v>670.12</v>
      </c>
      <c r="D120" s="11">
        <v>45044</v>
      </c>
      <c r="E120" s="54"/>
    </row>
    <row r="121" ht="16.5" spans="1:5">
      <c r="A121" s="51">
        <v>3045510.2985</v>
      </c>
      <c r="B121" s="52">
        <v>401065.2865</v>
      </c>
      <c r="C121" s="33">
        <v>670.12</v>
      </c>
      <c r="D121" s="11">
        <v>45045</v>
      </c>
      <c r="E121" s="54"/>
    </row>
    <row r="122" ht="16.5" spans="1:5">
      <c r="A122" s="51">
        <v>3045510.2985</v>
      </c>
      <c r="B122" s="52">
        <v>401065.2865</v>
      </c>
      <c r="C122" s="33">
        <v>670.12</v>
      </c>
      <c r="D122" s="11">
        <v>45046</v>
      </c>
      <c r="E122" s="54"/>
    </row>
    <row r="123" ht="16.5" spans="1:5">
      <c r="A123" s="51">
        <v>3045510.2985</v>
      </c>
      <c r="B123" s="52">
        <v>401065.2865</v>
      </c>
      <c r="C123" s="33">
        <v>670.12</v>
      </c>
      <c r="D123" s="11">
        <v>45047</v>
      </c>
      <c r="E123" s="54"/>
    </row>
    <row r="124" ht="16.5" spans="1:5">
      <c r="A124" s="51">
        <v>3045510.2985</v>
      </c>
      <c r="B124" s="52">
        <v>401065.2865</v>
      </c>
      <c r="C124" s="33">
        <v>670.12</v>
      </c>
      <c r="D124" s="11">
        <v>45048</v>
      </c>
      <c r="E124" s="54"/>
    </row>
    <row r="125" ht="16.5" spans="1:5">
      <c r="A125" s="51">
        <v>3045510.2985</v>
      </c>
      <c r="B125" s="52">
        <v>401065.2865</v>
      </c>
      <c r="C125" s="33">
        <v>670.12</v>
      </c>
      <c r="D125" s="11">
        <v>45049</v>
      </c>
      <c r="E125" s="54"/>
    </row>
    <row r="126" ht="16.5" spans="1:5">
      <c r="A126" s="51">
        <v>3045510.2985</v>
      </c>
      <c r="B126" s="52">
        <v>401065.2865</v>
      </c>
      <c r="C126" s="33">
        <v>670.12</v>
      </c>
      <c r="D126" s="11">
        <v>45050</v>
      </c>
      <c r="E126" s="54"/>
    </row>
    <row r="127" ht="16.5" spans="1:5">
      <c r="A127" s="51">
        <v>3045510.2985</v>
      </c>
      <c r="B127" s="52">
        <v>401065.2865</v>
      </c>
      <c r="C127" s="33">
        <v>670.12</v>
      </c>
      <c r="D127" s="11">
        <v>45051</v>
      </c>
      <c r="E127" s="54"/>
    </row>
    <row r="128" ht="16.5" spans="1:5">
      <c r="A128" s="51">
        <v>3045510.2985</v>
      </c>
      <c r="B128" s="52">
        <v>401065.2865</v>
      </c>
      <c r="C128" s="33">
        <v>670.12</v>
      </c>
      <c r="D128" s="11">
        <v>45052</v>
      </c>
      <c r="E128" s="54"/>
    </row>
    <row r="129" ht="16.5" spans="1:5">
      <c r="A129" s="51">
        <v>3045510.2985</v>
      </c>
      <c r="B129" s="52">
        <v>401065.2865</v>
      </c>
      <c r="C129" s="33">
        <v>670.12</v>
      </c>
      <c r="D129" s="11">
        <v>45053</v>
      </c>
      <c r="E129" s="54"/>
    </row>
    <row r="130" ht="16.5" spans="1:5">
      <c r="A130" s="51">
        <v>3045510.2985</v>
      </c>
      <c r="B130" s="52">
        <v>401065.2865</v>
      </c>
      <c r="C130" s="33">
        <v>670.12</v>
      </c>
      <c r="D130" s="11">
        <v>45054</v>
      </c>
      <c r="E130" s="54"/>
    </row>
    <row r="131" ht="16.5" spans="1:5">
      <c r="A131" s="51">
        <v>3045510.2985</v>
      </c>
      <c r="B131" s="52">
        <v>401065.2865</v>
      </c>
      <c r="C131" s="33">
        <v>670.12</v>
      </c>
      <c r="D131" s="11">
        <v>45055</v>
      </c>
      <c r="E131" s="54"/>
    </row>
    <row r="132" ht="16.5" spans="1:5">
      <c r="A132" s="51">
        <v>3045510.2985</v>
      </c>
      <c r="B132" s="52">
        <v>401065.2865</v>
      </c>
      <c r="C132" s="33">
        <v>670.12</v>
      </c>
      <c r="D132" s="11">
        <v>45056</v>
      </c>
      <c r="E132" s="54"/>
    </row>
    <row r="133" ht="16.5" spans="1:5">
      <c r="A133" s="51">
        <v>3045510.2985</v>
      </c>
      <c r="B133" s="52">
        <v>401065.2865</v>
      </c>
      <c r="C133" s="33">
        <v>670.12</v>
      </c>
      <c r="D133" s="11">
        <v>45057</v>
      </c>
      <c r="E133" s="54"/>
    </row>
    <row r="134" ht="16.5" spans="1:5">
      <c r="A134" s="51">
        <v>3045510.2985</v>
      </c>
      <c r="B134" s="52">
        <v>401065.2865</v>
      </c>
      <c r="C134" s="33">
        <v>670.12</v>
      </c>
      <c r="D134" s="11">
        <v>45058</v>
      </c>
      <c r="E134" s="54"/>
    </row>
    <row r="135" ht="16.5" spans="1:5">
      <c r="A135" s="51">
        <v>3045510.2985</v>
      </c>
      <c r="B135" s="52">
        <v>401065.2865</v>
      </c>
      <c r="C135" s="33">
        <v>670.12</v>
      </c>
      <c r="D135" s="11">
        <v>45059</v>
      </c>
      <c r="E135" s="54"/>
    </row>
    <row r="136" ht="16.5" spans="1:5">
      <c r="A136" s="51">
        <v>3045510.2985</v>
      </c>
      <c r="B136" s="52">
        <v>401065.2865</v>
      </c>
      <c r="C136" s="33">
        <v>670.12</v>
      </c>
      <c r="D136" s="11">
        <v>45060</v>
      </c>
      <c r="E136" s="54"/>
    </row>
    <row r="137" ht="16.5" spans="1:5">
      <c r="A137" s="51">
        <v>3045510.2985</v>
      </c>
      <c r="B137" s="52">
        <v>401065.2865</v>
      </c>
      <c r="C137" s="33">
        <v>670.12</v>
      </c>
      <c r="D137" s="11">
        <v>45061</v>
      </c>
      <c r="E137" s="54"/>
    </row>
    <row r="138" ht="16.5" spans="1:5">
      <c r="A138" s="51">
        <v>3045510.2985</v>
      </c>
      <c r="B138" s="52">
        <v>401065.2865</v>
      </c>
      <c r="C138" s="33">
        <v>670.12</v>
      </c>
      <c r="D138" s="11">
        <v>45062</v>
      </c>
      <c r="E138" s="54"/>
    </row>
    <row r="139" ht="16.5" spans="1:5">
      <c r="A139" s="51">
        <v>3045510.2985</v>
      </c>
      <c r="B139" s="52">
        <v>401065.2865</v>
      </c>
      <c r="C139" s="33">
        <v>670.12</v>
      </c>
      <c r="D139" s="11">
        <v>45063</v>
      </c>
      <c r="E139" s="54"/>
    </row>
    <row r="140" ht="16.5" spans="1:5">
      <c r="A140" s="51">
        <v>3045510.2985</v>
      </c>
      <c r="B140" s="52">
        <v>401065.2865</v>
      </c>
      <c r="C140" s="33">
        <v>670.12</v>
      </c>
      <c r="D140" s="11">
        <v>45064</v>
      </c>
      <c r="E140" s="54"/>
    </row>
    <row r="141" ht="16.5" spans="1:5">
      <c r="A141" s="51">
        <v>3045510.2985</v>
      </c>
      <c r="B141" s="52">
        <v>401065.2865</v>
      </c>
      <c r="C141" s="33">
        <v>670.12</v>
      </c>
      <c r="D141" s="11">
        <v>45065</v>
      </c>
      <c r="E141" s="54"/>
    </row>
    <row r="142" ht="16.5" spans="1:5">
      <c r="A142" s="51">
        <v>3045510.2985</v>
      </c>
      <c r="B142" s="52">
        <v>401065.2865</v>
      </c>
      <c r="C142" s="33">
        <v>670.12</v>
      </c>
      <c r="D142" s="11">
        <v>45066</v>
      </c>
      <c r="E142" s="54"/>
    </row>
    <row r="143" ht="16.5" spans="1:5">
      <c r="A143" s="51">
        <v>3045510.2985</v>
      </c>
      <c r="B143" s="52">
        <v>401065.2865</v>
      </c>
      <c r="C143" s="33">
        <v>670.12</v>
      </c>
      <c r="D143" s="11">
        <v>45067</v>
      </c>
      <c r="E143" s="54"/>
    </row>
    <row r="144" ht="16.5" spans="1:5">
      <c r="A144" s="51">
        <v>3045510.2985</v>
      </c>
      <c r="B144" s="52">
        <v>401065.2865</v>
      </c>
      <c r="C144" s="33">
        <v>670.12</v>
      </c>
      <c r="D144" s="11">
        <v>45068</v>
      </c>
      <c r="E144" s="54"/>
    </row>
    <row r="145" ht="16.5" spans="1:5">
      <c r="A145" s="51">
        <v>3045510.2985</v>
      </c>
      <c r="B145" s="52">
        <v>401065.2865</v>
      </c>
      <c r="C145" s="33">
        <v>670.12</v>
      </c>
      <c r="D145" s="11">
        <v>45069</v>
      </c>
      <c r="E145" s="54"/>
    </row>
    <row r="146" ht="16.5" spans="1:5">
      <c r="A146" s="51">
        <v>3045510.2985</v>
      </c>
      <c r="B146" s="52">
        <v>401065.2865</v>
      </c>
      <c r="C146" s="33">
        <v>670.12</v>
      </c>
      <c r="D146" s="11">
        <v>45070</v>
      </c>
      <c r="E146" s="54"/>
    </row>
    <row r="147" ht="16.5" spans="1:5">
      <c r="A147" s="51">
        <v>3045510.2985</v>
      </c>
      <c r="B147" s="52">
        <v>401065.2865</v>
      </c>
      <c r="C147" s="33">
        <v>670.12</v>
      </c>
      <c r="D147" s="11">
        <v>45071</v>
      </c>
      <c r="E147" s="54"/>
    </row>
    <row r="148" ht="16.5" spans="1:5">
      <c r="A148" s="51">
        <v>3045510.2985</v>
      </c>
      <c r="B148" s="52">
        <v>401065.2865</v>
      </c>
      <c r="C148" s="33">
        <v>670.12</v>
      </c>
      <c r="D148" s="11">
        <v>45072</v>
      </c>
      <c r="E148" s="54"/>
    </row>
    <row r="149" ht="16.5" spans="1:5">
      <c r="A149" s="51">
        <v>3045510.2985</v>
      </c>
      <c r="B149" s="52">
        <v>401065.2865</v>
      </c>
      <c r="C149" s="33">
        <v>670.12</v>
      </c>
      <c r="D149" s="11">
        <v>45073</v>
      </c>
      <c r="E149" s="54"/>
    </row>
    <row r="150" ht="16.5" spans="1:5">
      <c r="A150" s="51">
        <v>3045510.2985</v>
      </c>
      <c r="B150" s="52">
        <v>401065.2865</v>
      </c>
      <c r="C150" s="33">
        <v>670.12</v>
      </c>
      <c r="D150" s="11">
        <v>45074</v>
      </c>
      <c r="E150" s="54"/>
    </row>
    <row r="151" ht="16.5" spans="1:5">
      <c r="A151" s="51">
        <v>3045510.2985</v>
      </c>
      <c r="B151" s="52">
        <v>401065.2865</v>
      </c>
      <c r="C151" s="33">
        <v>670.12</v>
      </c>
      <c r="D151" s="11">
        <v>45075</v>
      </c>
      <c r="E151" s="54"/>
    </row>
    <row r="152" ht="16.5" spans="1:5">
      <c r="A152" s="51">
        <v>3045510.2985</v>
      </c>
      <c r="B152" s="52">
        <v>401065.2865</v>
      </c>
      <c r="C152" s="33">
        <v>670.12</v>
      </c>
      <c r="D152" s="11">
        <v>45076</v>
      </c>
      <c r="E152" s="54"/>
    </row>
    <row r="153" ht="16.5" spans="1:5">
      <c r="A153" s="51">
        <v>3045510.2985</v>
      </c>
      <c r="B153" s="52">
        <v>401065.2865</v>
      </c>
      <c r="C153" s="33">
        <v>670.12</v>
      </c>
      <c r="D153" s="11">
        <v>45077</v>
      </c>
      <c r="E153" s="54"/>
    </row>
    <row r="154" ht="16.5" spans="1:5">
      <c r="A154" s="51">
        <v>3045510.2985</v>
      </c>
      <c r="B154" s="52">
        <v>401065.2865</v>
      </c>
      <c r="C154" s="33">
        <v>670.12</v>
      </c>
      <c r="D154" s="11">
        <v>45078</v>
      </c>
      <c r="E154" s="54"/>
    </row>
    <row r="155" ht="16.5" spans="1:5">
      <c r="A155" s="51">
        <v>3045510.2985</v>
      </c>
      <c r="B155" s="52">
        <v>401065.2865</v>
      </c>
      <c r="C155" s="33">
        <v>670.12</v>
      </c>
      <c r="D155" s="11">
        <v>45079</v>
      </c>
      <c r="E155" s="59"/>
    </row>
    <row r="156" ht="16.5" spans="1:5">
      <c r="A156" s="51">
        <v>3045510.2985</v>
      </c>
      <c r="B156" s="52">
        <v>401065.2865</v>
      </c>
      <c r="C156" s="33">
        <v>670.12</v>
      </c>
      <c r="D156" s="11">
        <v>45080</v>
      </c>
      <c r="E156" s="59"/>
    </row>
    <row r="157" ht="16.5" spans="1:5">
      <c r="A157" s="51">
        <v>3045510.2985</v>
      </c>
      <c r="B157" s="52">
        <v>401065.2865</v>
      </c>
      <c r="C157" s="33">
        <v>670.12</v>
      </c>
      <c r="D157" s="11">
        <v>45081</v>
      </c>
      <c r="E157" s="59"/>
    </row>
    <row r="158" ht="16.5" spans="1:5">
      <c r="A158" s="51">
        <v>3045510.2985</v>
      </c>
      <c r="B158" s="52">
        <v>401065.2865</v>
      </c>
      <c r="C158" s="33">
        <v>670.12</v>
      </c>
      <c r="D158" s="11">
        <v>45082</v>
      </c>
      <c r="E158" s="59"/>
    </row>
    <row r="159" ht="16.5" spans="1:5">
      <c r="A159" s="51">
        <v>3045510.2985</v>
      </c>
      <c r="B159" s="52">
        <v>401065.2865</v>
      </c>
      <c r="C159" s="33">
        <v>670.12</v>
      </c>
      <c r="D159" s="11">
        <v>45083</v>
      </c>
      <c r="E159" s="59"/>
    </row>
    <row r="160" ht="16.5" spans="1:5">
      <c r="A160" s="51">
        <v>3045510.2985</v>
      </c>
      <c r="B160" s="52">
        <v>401065.2865</v>
      </c>
      <c r="C160" s="33">
        <v>670.12</v>
      </c>
      <c r="D160" s="11">
        <v>45084</v>
      </c>
      <c r="E160" s="59"/>
    </row>
    <row r="161" ht="16.5" spans="1:5">
      <c r="A161" s="51">
        <v>3045510.2985</v>
      </c>
      <c r="B161" s="52">
        <v>401065.2865</v>
      </c>
      <c r="C161" s="33">
        <v>670.12</v>
      </c>
      <c r="D161" s="11">
        <v>45085</v>
      </c>
      <c r="E161" s="54"/>
    </row>
    <row r="162" ht="16.5" spans="1:5">
      <c r="A162" s="51">
        <v>3045510.2985</v>
      </c>
      <c r="B162" s="52">
        <v>401065.2865</v>
      </c>
      <c r="C162" s="33">
        <v>670.12</v>
      </c>
      <c r="D162" s="11">
        <v>45086</v>
      </c>
      <c r="E162" s="54"/>
    </row>
    <row r="163" ht="16.5" spans="1:5">
      <c r="A163" s="51">
        <v>3045510.2985</v>
      </c>
      <c r="B163" s="52">
        <v>401065.2865</v>
      </c>
      <c r="C163" s="33">
        <v>670.12</v>
      </c>
      <c r="D163" s="11">
        <v>45087</v>
      </c>
      <c r="E163" s="54"/>
    </row>
    <row r="164" ht="16.5" spans="1:5">
      <c r="A164" s="51">
        <v>3045510.2985</v>
      </c>
      <c r="B164" s="52">
        <v>401065.2865</v>
      </c>
      <c r="C164" s="33">
        <v>670.12</v>
      </c>
      <c r="D164" s="11">
        <v>45088</v>
      </c>
      <c r="E164" s="54"/>
    </row>
    <row r="165" ht="16.5" spans="1:5">
      <c r="A165" s="51">
        <v>3045510.2985</v>
      </c>
      <c r="B165" s="52">
        <v>401065.2865</v>
      </c>
      <c r="C165" s="33">
        <v>670.12</v>
      </c>
      <c r="D165" s="11">
        <v>45089</v>
      </c>
      <c r="E165" s="54"/>
    </row>
    <row r="166" ht="16.5" spans="1:5">
      <c r="A166" s="51">
        <v>3045510.2985</v>
      </c>
      <c r="B166" s="52">
        <v>401065.2865</v>
      </c>
      <c r="C166" s="33">
        <v>670.12</v>
      </c>
      <c r="D166" s="11">
        <v>45090</v>
      </c>
      <c r="E166" s="54"/>
    </row>
    <row r="167" ht="16.5" spans="1:5">
      <c r="A167" s="51">
        <v>3045510.2985</v>
      </c>
      <c r="B167" s="52">
        <v>401065.2865</v>
      </c>
      <c r="C167" s="33">
        <v>670.12</v>
      </c>
      <c r="D167" s="11">
        <v>45091</v>
      </c>
      <c r="E167" s="54"/>
    </row>
    <row r="168" ht="16.5" spans="1:5">
      <c r="A168" s="51">
        <v>3045510.2985</v>
      </c>
      <c r="B168" s="52">
        <v>401065.2865</v>
      </c>
      <c r="C168" s="33">
        <v>670.12</v>
      </c>
      <c r="D168" s="11">
        <v>45092</v>
      </c>
      <c r="E168" s="54"/>
    </row>
    <row r="169" ht="16.5" spans="1:5">
      <c r="A169" s="51">
        <v>3045510.2985</v>
      </c>
      <c r="B169" s="52">
        <v>401065.2865</v>
      </c>
      <c r="C169" s="33">
        <v>670.12</v>
      </c>
      <c r="D169" s="11">
        <v>45093</v>
      </c>
      <c r="E169" s="54"/>
    </row>
    <row r="170" ht="16.5" spans="1:5">
      <c r="A170" s="51">
        <v>3045510.2985</v>
      </c>
      <c r="B170" s="52">
        <v>401065.2865</v>
      </c>
      <c r="C170" s="33">
        <v>670.12</v>
      </c>
      <c r="D170" s="11">
        <v>45094</v>
      </c>
      <c r="E170" s="54"/>
    </row>
    <row r="171" ht="16.5" spans="1:5">
      <c r="A171" s="51">
        <v>3045510.2985</v>
      </c>
      <c r="B171" s="52">
        <v>401065.2865</v>
      </c>
      <c r="C171" s="33">
        <v>670.12</v>
      </c>
      <c r="D171" s="11">
        <v>45095</v>
      </c>
      <c r="E171" s="54"/>
    </row>
    <row r="172" ht="16.5" spans="1:5">
      <c r="A172" s="51">
        <v>3045510.2985</v>
      </c>
      <c r="B172" s="52">
        <v>401065.2865</v>
      </c>
      <c r="C172" s="33">
        <v>670.12</v>
      </c>
      <c r="D172" s="11">
        <v>45096</v>
      </c>
      <c r="E172" s="54"/>
    </row>
    <row r="173" ht="16.5" spans="1:5">
      <c r="A173" s="51">
        <v>3045510.2985</v>
      </c>
      <c r="B173" s="52">
        <v>401065.2865</v>
      </c>
      <c r="C173" s="33">
        <v>670.12</v>
      </c>
      <c r="D173" s="11">
        <v>45097</v>
      </c>
      <c r="E173" s="55"/>
    </row>
    <row r="174" ht="16.5" spans="1:5">
      <c r="A174" s="51">
        <v>3045510.2985</v>
      </c>
      <c r="B174" s="52">
        <v>401065.2865</v>
      </c>
      <c r="C174" s="33">
        <v>670.12</v>
      </c>
      <c r="D174" s="11">
        <v>45098</v>
      </c>
      <c r="E174" s="54"/>
    </row>
    <row r="175" ht="16.5" spans="1:5">
      <c r="A175" s="51">
        <v>3045510.2985</v>
      </c>
      <c r="B175" s="52">
        <v>401065.2865</v>
      </c>
      <c r="C175" s="33">
        <v>670.12</v>
      </c>
      <c r="D175" s="11">
        <v>45099</v>
      </c>
      <c r="E175" s="54"/>
    </row>
    <row r="176" ht="16.5" spans="1:5">
      <c r="A176" s="51">
        <v>3045510.2985</v>
      </c>
      <c r="B176" s="52">
        <v>401065.2865</v>
      </c>
      <c r="C176" s="33">
        <v>670.12</v>
      </c>
      <c r="D176" s="11">
        <v>45100</v>
      </c>
      <c r="E176" s="54"/>
    </row>
    <row r="177" ht="16.5" spans="1:5">
      <c r="A177" s="51">
        <v>3045510.2985</v>
      </c>
      <c r="B177" s="52">
        <v>401065.2865</v>
      </c>
      <c r="C177" s="33">
        <v>670.12</v>
      </c>
      <c r="D177" s="11">
        <v>45101</v>
      </c>
      <c r="E177" s="54"/>
    </row>
    <row r="178" ht="16.5" spans="1:5">
      <c r="A178" s="51">
        <v>3045510.2985</v>
      </c>
      <c r="B178" s="52">
        <v>401065.2865</v>
      </c>
      <c r="C178" s="33">
        <v>670.12</v>
      </c>
      <c r="D178" s="11">
        <v>45102</v>
      </c>
      <c r="E178" s="54"/>
    </row>
    <row r="179" ht="16.5" spans="1:5">
      <c r="A179" s="51">
        <v>3045510.2985</v>
      </c>
      <c r="B179" s="52">
        <v>401065.2865</v>
      </c>
      <c r="C179" s="33">
        <v>670.12</v>
      </c>
      <c r="D179" s="11">
        <v>45103</v>
      </c>
      <c r="E179" s="54"/>
    </row>
    <row r="180" ht="16.5" spans="1:5">
      <c r="A180" s="51">
        <v>3045510.2985</v>
      </c>
      <c r="B180" s="52">
        <v>401065.2865</v>
      </c>
      <c r="C180" s="33">
        <v>670.12</v>
      </c>
      <c r="D180" s="11">
        <v>45104</v>
      </c>
      <c r="E180" s="54"/>
    </row>
    <row r="181" ht="16.5" spans="1:5">
      <c r="A181" s="51">
        <v>3045510.2985</v>
      </c>
      <c r="B181" s="52">
        <v>401065.2865</v>
      </c>
      <c r="C181" s="33">
        <v>670.12</v>
      </c>
      <c r="D181" s="11">
        <v>45105</v>
      </c>
      <c r="E181" s="54">
        <f>670-105</f>
        <v>565</v>
      </c>
    </row>
    <row r="182" ht="16.5" spans="1:5">
      <c r="A182" s="51">
        <v>3045510.2985</v>
      </c>
      <c r="B182" s="52">
        <v>401065.2865</v>
      </c>
      <c r="C182" s="33">
        <v>670.12</v>
      </c>
      <c r="D182" s="11">
        <v>45106</v>
      </c>
      <c r="E182" s="53"/>
    </row>
    <row r="183" ht="16.5" spans="1:5">
      <c r="A183" s="51">
        <v>3045510.2985</v>
      </c>
      <c r="B183" s="52">
        <v>401065.2865</v>
      </c>
      <c r="C183" s="33">
        <v>670.12</v>
      </c>
      <c r="D183" s="11">
        <v>45107</v>
      </c>
      <c r="E183" s="53"/>
    </row>
    <row r="184" ht="16.5" spans="1:5">
      <c r="A184" s="51">
        <v>3045510.2985</v>
      </c>
      <c r="B184" s="52">
        <v>401065.2865</v>
      </c>
      <c r="C184" s="33">
        <v>670.12</v>
      </c>
      <c r="D184" s="11">
        <v>45108</v>
      </c>
      <c r="E184" s="53"/>
    </row>
    <row r="185" ht="16.5" spans="1:5">
      <c r="A185" s="51">
        <v>3045510.2985</v>
      </c>
      <c r="B185" s="52">
        <v>401065.2865</v>
      </c>
      <c r="C185" s="33">
        <v>670.12</v>
      </c>
      <c r="D185" s="11">
        <v>45109</v>
      </c>
      <c r="E185" s="53"/>
    </row>
    <row r="186" ht="16.5" spans="1:5">
      <c r="A186" s="51">
        <v>3045510.2985</v>
      </c>
      <c r="B186" s="52">
        <v>401065.2865</v>
      </c>
      <c r="C186" s="33">
        <v>670.12</v>
      </c>
      <c r="D186" s="11">
        <v>45110</v>
      </c>
      <c r="E186" s="53"/>
    </row>
    <row r="187" ht="16.5" spans="1:5">
      <c r="A187" s="51">
        <v>3045510.2985</v>
      </c>
      <c r="B187" s="52">
        <v>401065.2865</v>
      </c>
      <c r="C187" s="33">
        <v>670.12</v>
      </c>
      <c r="D187" s="11">
        <v>45111</v>
      </c>
      <c r="E187" s="53"/>
    </row>
    <row r="188" ht="16.5" spans="1:5">
      <c r="A188" s="51">
        <v>3045510.2985</v>
      </c>
      <c r="B188" s="52">
        <v>401065.2865</v>
      </c>
      <c r="C188" s="33">
        <v>670.12</v>
      </c>
      <c r="D188" s="11">
        <v>45112</v>
      </c>
      <c r="E188" s="54">
        <v>566.25</v>
      </c>
    </row>
    <row r="189" ht="16.5" spans="1:5">
      <c r="A189" s="51">
        <v>3045510.2985</v>
      </c>
      <c r="B189" s="52">
        <v>401065.2865</v>
      </c>
      <c r="C189" s="33">
        <v>670.12</v>
      </c>
      <c r="D189" s="11">
        <v>45113</v>
      </c>
      <c r="E189" s="53"/>
    </row>
    <row r="190" ht="16.5" spans="1:5">
      <c r="A190" s="51">
        <v>3045510.2985</v>
      </c>
      <c r="B190" s="52">
        <v>401065.2865</v>
      </c>
      <c r="C190" s="33">
        <v>670.12</v>
      </c>
      <c r="D190" s="11">
        <v>45114</v>
      </c>
      <c r="E190" s="53"/>
    </row>
    <row r="191" ht="16.5" spans="1:5">
      <c r="A191" s="51">
        <v>3045510.2985</v>
      </c>
      <c r="B191" s="52">
        <v>401065.2865</v>
      </c>
      <c r="C191" s="33">
        <v>670.12</v>
      </c>
      <c r="D191" s="11">
        <v>45115</v>
      </c>
      <c r="E191" s="53"/>
    </row>
    <row r="192" ht="16.5" spans="1:5">
      <c r="A192" s="51">
        <v>3045510.2985</v>
      </c>
      <c r="B192" s="52">
        <v>401065.2865</v>
      </c>
      <c r="C192" s="33">
        <v>670.12</v>
      </c>
      <c r="D192" s="11">
        <v>45116</v>
      </c>
      <c r="E192" s="53"/>
    </row>
    <row r="193" ht="16.5" spans="1:5">
      <c r="A193" s="51">
        <v>3045510.2985</v>
      </c>
      <c r="B193" s="52">
        <v>401065.2865</v>
      </c>
      <c r="C193" s="33">
        <v>670.12</v>
      </c>
      <c r="D193" s="11">
        <v>45117</v>
      </c>
      <c r="E193" s="54">
        <f>670-103</f>
        <v>567</v>
      </c>
    </row>
    <row r="194" ht="16.5" spans="1:5">
      <c r="A194" s="51">
        <v>3045510.2985</v>
      </c>
      <c r="B194" s="52">
        <v>401065.2865</v>
      </c>
      <c r="C194" s="33">
        <v>670.12</v>
      </c>
      <c r="D194" s="11">
        <v>45118</v>
      </c>
      <c r="E194" s="53"/>
    </row>
    <row r="195" ht="16.5" spans="1:5">
      <c r="A195" s="51">
        <v>3045510.2985</v>
      </c>
      <c r="B195" s="52">
        <v>401065.2865</v>
      </c>
      <c r="C195" s="33">
        <v>670.12</v>
      </c>
      <c r="D195" s="11">
        <v>45119</v>
      </c>
      <c r="E195" s="53"/>
    </row>
    <row r="196" ht="16.5" spans="1:5">
      <c r="A196" s="51">
        <v>3045510.2985</v>
      </c>
      <c r="B196" s="52">
        <v>401065.2865</v>
      </c>
      <c r="C196" s="33">
        <v>670.12</v>
      </c>
      <c r="D196" s="11">
        <v>45120</v>
      </c>
      <c r="E196" s="53"/>
    </row>
    <row r="197" ht="16.5" spans="1:5">
      <c r="A197" s="51">
        <v>3045510.2985</v>
      </c>
      <c r="B197" s="52">
        <v>401065.2865</v>
      </c>
      <c r="C197" s="33">
        <v>670.12</v>
      </c>
      <c r="D197" s="11">
        <v>45121</v>
      </c>
      <c r="E197" s="53"/>
    </row>
    <row r="198" ht="16.5" spans="1:5">
      <c r="A198" s="51">
        <v>3045510.2985</v>
      </c>
      <c r="B198" s="52">
        <v>401065.2865</v>
      </c>
      <c r="C198" s="33">
        <v>670.12</v>
      </c>
      <c r="D198" s="11">
        <v>45122</v>
      </c>
      <c r="E198" s="54">
        <f>670-105.45</f>
        <v>564.55</v>
      </c>
    </row>
    <row r="199" ht="16.5" spans="1:5">
      <c r="A199" s="51">
        <v>3045510.2985</v>
      </c>
      <c r="B199" s="52">
        <v>401065.2865</v>
      </c>
      <c r="C199" s="33">
        <v>670.12</v>
      </c>
      <c r="D199" s="11">
        <v>45123</v>
      </c>
      <c r="E199" s="53"/>
    </row>
    <row r="200" ht="16.5" spans="1:5">
      <c r="A200" s="51">
        <v>3045510.2985</v>
      </c>
      <c r="B200" s="52">
        <v>401065.2865</v>
      </c>
      <c r="C200" s="33">
        <v>670.12</v>
      </c>
      <c r="D200" s="11">
        <v>45124</v>
      </c>
      <c r="E200" s="53"/>
    </row>
    <row r="201" ht="16.5" spans="1:5">
      <c r="A201" s="51">
        <v>3045510.2985</v>
      </c>
      <c r="B201" s="52">
        <v>401065.2865</v>
      </c>
      <c r="C201" s="33">
        <v>670.12</v>
      </c>
      <c r="D201" s="11">
        <v>45125</v>
      </c>
      <c r="E201" s="53"/>
    </row>
    <row r="202" ht="16.5" spans="1:5">
      <c r="A202" s="51">
        <v>3045510.2985</v>
      </c>
      <c r="B202" s="52">
        <v>401065.2865</v>
      </c>
      <c r="C202" s="33">
        <v>670.12</v>
      </c>
      <c r="D202" s="11">
        <v>45126</v>
      </c>
      <c r="E202" s="53"/>
    </row>
    <row r="203" ht="16.5" spans="1:5">
      <c r="A203" s="51">
        <v>3045510.2985</v>
      </c>
      <c r="B203" s="52">
        <v>401065.2865</v>
      </c>
      <c r="C203" s="33">
        <v>670.12</v>
      </c>
      <c r="D203" s="11">
        <v>45127</v>
      </c>
      <c r="E203" s="54">
        <f>670-106.59</f>
        <v>563.41</v>
      </c>
    </row>
    <row r="204" ht="16.5" spans="1:5">
      <c r="A204" s="51">
        <v>3045510.2985</v>
      </c>
      <c r="B204" s="52">
        <v>401065.2865</v>
      </c>
      <c r="C204" s="33">
        <v>670.12</v>
      </c>
      <c r="D204" s="11">
        <v>45128</v>
      </c>
      <c r="E204" s="53"/>
    </row>
    <row r="205" ht="16.5" spans="1:5">
      <c r="A205" s="51">
        <v>3045510.2985</v>
      </c>
      <c r="B205" s="52">
        <v>401065.2865</v>
      </c>
      <c r="C205" s="33">
        <v>670.12</v>
      </c>
      <c r="D205" s="11">
        <v>45129</v>
      </c>
      <c r="E205" s="53"/>
    </row>
    <row r="206" ht="16.5" spans="1:5">
      <c r="A206" s="51">
        <v>3045510.2985</v>
      </c>
      <c r="B206" s="52">
        <v>401065.2865</v>
      </c>
      <c r="C206" s="33">
        <v>670.12</v>
      </c>
      <c r="D206" s="11">
        <v>45130</v>
      </c>
      <c r="E206" s="53"/>
    </row>
    <row r="207" ht="16.5" spans="1:5">
      <c r="A207" s="51">
        <v>3045510.2985</v>
      </c>
      <c r="B207" s="52">
        <v>401065.2865</v>
      </c>
      <c r="C207" s="33">
        <v>670.12</v>
      </c>
      <c r="D207" s="11">
        <v>45131</v>
      </c>
      <c r="E207" s="53"/>
    </row>
    <row r="208" ht="16.5" spans="1:5">
      <c r="A208" s="51">
        <v>3045510.2985</v>
      </c>
      <c r="B208" s="52">
        <v>401065.2865</v>
      </c>
      <c r="C208" s="33">
        <v>670.12</v>
      </c>
      <c r="D208" s="11">
        <v>45132</v>
      </c>
      <c r="E208" s="54">
        <f>670-107.11</f>
        <v>562.89</v>
      </c>
    </row>
    <row r="209" ht="16.5" spans="1:5">
      <c r="A209" s="51">
        <v>3045510.2985</v>
      </c>
      <c r="B209" s="52">
        <v>401065.2865</v>
      </c>
      <c r="C209" s="33">
        <v>670.12</v>
      </c>
      <c r="D209" s="11">
        <v>45133</v>
      </c>
      <c r="E209" s="53"/>
    </row>
    <row r="210" ht="16.5" spans="1:5">
      <c r="A210" s="51">
        <v>3045510.2985</v>
      </c>
      <c r="B210" s="52">
        <v>401065.2865</v>
      </c>
      <c r="C210" s="33">
        <v>670.12</v>
      </c>
      <c r="D210" s="11">
        <v>45134</v>
      </c>
      <c r="E210" s="53"/>
    </row>
    <row r="211" ht="16.5" spans="1:5">
      <c r="A211" s="51">
        <v>3045510.2985</v>
      </c>
      <c r="B211" s="52">
        <v>401065.2865</v>
      </c>
      <c r="C211" s="33">
        <v>670.12</v>
      </c>
      <c r="D211" s="11">
        <v>45135</v>
      </c>
      <c r="E211" s="53"/>
    </row>
    <row r="212" ht="16.5" spans="1:5">
      <c r="A212" s="51">
        <v>3045510.2985</v>
      </c>
      <c r="B212" s="52">
        <v>401065.2865</v>
      </c>
      <c r="C212" s="33">
        <v>670.12</v>
      </c>
      <c r="D212" s="11">
        <v>45136</v>
      </c>
      <c r="E212" s="53"/>
    </row>
    <row r="213" ht="16.5" spans="1:5">
      <c r="A213" s="51">
        <v>3045510.2985</v>
      </c>
      <c r="B213" s="52">
        <v>401065.2865</v>
      </c>
      <c r="C213" s="33">
        <v>670.12</v>
      </c>
      <c r="D213" s="11">
        <v>45137</v>
      </c>
      <c r="E213" s="54">
        <v>557.82</v>
      </c>
    </row>
    <row r="214" ht="16.5" spans="1:5">
      <c r="A214" s="51">
        <v>3045510.2985</v>
      </c>
      <c r="B214" s="52">
        <v>401065.2865</v>
      </c>
      <c r="C214" s="33">
        <v>670.12</v>
      </c>
      <c r="D214" s="11">
        <v>45138</v>
      </c>
      <c r="E214" s="53"/>
    </row>
    <row r="215" ht="16.5" spans="1:5">
      <c r="A215" s="51">
        <v>3045510.2985</v>
      </c>
      <c r="B215" s="52">
        <v>401065.2865</v>
      </c>
      <c r="C215" s="33">
        <v>670.12</v>
      </c>
      <c r="D215" s="11">
        <v>45139</v>
      </c>
      <c r="E215" s="53"/>
    </row>
    <row r="216" ht="16.5" spans="1:5">
      <c r="A216" s="51">
        <v>3045510.2985</v>
      </c>
      <c r="B216" s="52">
        <v>401065.2865</v>
      </c>
      <c r="C216" s="33">
        <v>670.12</v>
      </c>
      <c r="D216" s="11">
        <v>45140</v>
      </c>
      <c r="E216" s="53"/>
    </row>
    <row r="217" ht="16.5" spans="1:5">
      <c r="A217" s="51">
        <v>3045510.2985</v>
      </c>
      <c r="B217" s="52">
        <v>401065.2865</v>
      </c>
      <c r="C217" s="33">
        <v>670.12</v>
      </c>
      <c r="D217" s="11">
        <v>45141</v>
      </c>
      <c r="E217" s="53"/>
    </row>
    <row r="218" ht="16.5" spans="1:5">
      <c r="A218" s="51">
        <v>3045510.2985</v>
      </c>
      <c r="B218" s="52">
        <v>401065.2865</v>
      </c>
      <c r="C218" s="33">
        <v>670.12</v>
      </c>
      <c r="D218" s="11">
        <v>45142</v>
      </c>
      <c r="E218" s="55"/>
    </row>
    <row r="219" ht="16.5" spans="1:5">
      <c r="A219" s="51">
        <v>3045510.2985</v>
      </c>
      <c r="B219" s="52">
        <v>401065.2865</v>
      </c>
      <c r="C219" s="33">
        <v>670.12</v>
      </c>
      <c r="D219" s="11">
        <v>45143</v>
      </c>
      <c r="E219" s="54">
        <f>670-108.94</f>
        <v>561.06</v>
      </c>
    </row>
    <row r="220" ht="16.5" spans="1:5">
      <c r="A220" s="51">
        <v>3045510.2985</v>
      </c>
      <c r="B220" s="52">
        <v>401065.2865</v>
      </c>
      <c r="C220" s="33">
        <v>670.12</v>
      </c>
      <c r="D220" s="11">
        <v>45144</v>
      </c>
      <c r="E220" s="55"/>
    </row>
    <row r="221" ht="16.5" spans="1:5">
      <c r="A221" s="51">
        <v>3045510.2985</v>
      </c>
      <c r="B221" s="52">
        <v>401065.2865</v>
      </c>
      <c r="C221" s="33">
        <v>670.12</v>
      </c>
      <c r="D221" s="11">
        <v>45145</v>
      </c>
      <c r="E221" s="55"/>
    </row>
    <row r="222" ht="16.5" spans="1:5">
      <c r="A222" s="51">
        <v>3045510.2985</v>
      </c>
      <c r="B222" s="52">
        <v>401065.2865</v>
      </c>
      <c r="C222" s="33">
        <v>670.12</v>
      </c>
      <c r="D222" s="11">
        <v>45146</v>
      </c>
      <c r="E222" s="55"/>
    </row>
    <row r="223" ht="16.5" spans="1:5">
      <c r="A223" s="51">
        <v>3045510.2985</v>
      </c>
      <c r="B223" s="52">
        <v>401065.2865</v>
      </c>
      <c r="C223" s="33">
        <v>670.12</v>
      </c>
      <c r="D223" s="11">
        <v>45147</v>
      </c>
      <c r="E223" s="55"/>
    </row>
    <row r="224" ht="16.5" spans="1:5">
      <c r="A224" s="51">
        <v>3045510.2985</v>
      </c>
      <c r="B224" s="52">
        <v>401065.2865</v>
      </c>
      <c r="C224" s="33">
        <v>670.12</v>
      </c>
      <c r="D224" s="11">
        <v>45148</v>
      </c>
      <c r="E224" s="55"/>
    </row>
    <row r="225" ht="16.5" spans="1:5">
      <c r="A225" s="51">
        <v>3045510.2985</v>
      </c>
      <c r="B225" s="52">
        <v>401065.2865</v>
      </c>
      <c r="C225" s="33">
        <v>670.12</v>
      </c>
      <c r="D225" s="11">
        <v>45149</v>
      </c>
      <c r="E225" s="54">
        <f>670-108.97</f>
        <v>561.03</v>
      </c>
    </row>
    <row r="226" ht="16.5" spans="1:5">
      <c r="A226" s="51">
        <v>3045510.2985</v>
      </c>
      <c r="B226" s="52">
        <v>401065.2865</v>
      </c>
      <c r="C226" s="33">
        <v>670.12</v>
      </c>
      <c r="D226" s="11">
        <v>45150</v>
      </c>
      <c r="E226" s="55"/>
    </row>
    <row r="227" ht="16.5" spans="1:5">
      <c r="A227" s="51">
        <v>3045510.2985</v>
      </c>
      <c r="B227" s="52">
        <v>401065.2865</v>
      </c>
      <c r="C227" s="33">
        <v>670.12</v>
      </c>
      <c r="D227" s="11">
        <v>45151</v>
      </c>
      <c r="E227" s="55"/>
    </row>
    <row r="228" ht="16.5" spans="1:5">
      <c r="A228" s="51">
        <v>3045510.2985</v>
      </c>
      <c r="B228" s="52">
        <v>401065.2865</v>
      </c>
      <c r="C228" s="33">
        <v>670.12</v>
      </c>
      <c r="D228" s="11">
        <v>45152</v>
      </c>
      <c r="E228" s="55"/>
    </row>
    <row r="229" ht="16.5" spans="1:5">
      <c r="A229" s="51">
        <v>3045510.2985</v>
      </c>
      <c r="B229" s="52">
        <v>401065.2865</v>
      </c>
      <c r="C229" s="33">
        <v>670.12</v>
      </c>
      <c r="D229" s="11">
        <v>45153</v>
      </c>
      <c r="E229" s="53"/>
    </row>
    <row r="230" ht="16.5" spans="1:5">
      <c r="A230" s="51">
        <v>3045510.2985</v>
      </c>
      <c r="B230" s="52">
        <v>401065.2865</v>
      </c>
      <c r="C230" s="33">
        <v>670.12</v>
      </c>
      <c r="D230" s="11">
        <v>45154</v>
      </c>
      <c r="E230" s="54">
        <f>670-108.96</f>
        <v>561.04</v>
      </c>
    </row>
    <row r="231" ht="16.5" spans="1:5">
      <c r="A231" s="51">
        <v>3045510.2985</v>
      </c>
      <c r="B231" s="52">
        <v>401065.2865</v>
      </c>
      <c r="C231" s="33">
        <v>670.12</v>
      </c>
      <c r="D231" s="11">
        <v>45155</v>
      </c>
      <c r="E231" s="53"/>
    </row>
    <row r="232" ht="16.5" spans="1:5">
      <c r="A232" s="51">
        <v>3045510.2985</v>
      </c>
      <c r="B232" s="52">
        <v>401065.2865</v>
      </c>
      <c r="C232" s="33">
        <v>670.12</v>
      </c>
      <c r="D232" s="11">
        <v>45156</v>
      </c>
      <c r="E232" s="54"/>
    </row>
    <row r="233" ht="16.5" spans="1:5">
      <c r="A233" s="51">
        <v>3045510.2985</v>
      </c>
      <c r="B233" s="52">
        <v>401065.2865</v>
      </c>
      <c r="C233" s="33">
        <v>670.12</v>
      </c>
      <c r="D233" s="11">
        <v>45157</v>
      </c>
      <c r="E233" s="54"/>
    </row>
    <row r="234" ht="16.5" spans="1:5">
      <c r="A234" s="51">
        <v>3045510.2985</v>
      </c>
      <c r="B234" s="52">
        <v>401065.2865</v>
      </c>
      <c r="C234" s="33">
        <v>670.12</v>
      </c>
      <c r="D234" s="11">
        <v>45158</v>
      </c>
      <c r="E234" s="54"/>
    </row>
    <row r="235" ht="16.5" spans="1:5">
      <c r="A235" s="51">
        <v>3045510.2985</v>
      </c>
      <c r="B235" s="52">
        <v>401065.2865</v>
      </c>
      <c r="C235" s="33">
        <v>670.12</v>
      </c>
      <c r="D235" s="11">
        <v>45159</v>
      </c>
      <c r="E235" s="54">
        <f>670-108.99</f>
        <v>561.01</v>
      </c>
    </row>
    <row r="236" ht="16.5" spans="1:5">
      <c r="A236" s="51">
        <v>3045510.2985</v>
      </c>
      <c r="B236" s="52">
        <v>401065.2865</v>
      </c>
      <c r="C236" s="33">
        <v>670.12</v>
      </c>
      <c r="D236" s="11">
        <v>45160</v>
      </c>
      <c r="E236" s="54"/>
    </row>
    <row r="237" ht="16.5" spans="1:5">
      <c r="A237" s="51">
        <v>3045510.2985</v>
      </c>
      <c r="B237" s="52">
        <v>401065.2865</v>
      </c>
      <c r="C237" s="33">
        <v>670.12</v>
      </c>
      <c r="D237" s="11">
        <v>45161</v>
      </c>
      <c r="E237" s="54"/>
    </row>
    <row r="238" ht="16.5" spans="1:5">
      <c r="A238" s="51">
        <v>3045510.2985</v>
      </c>
      <c r="B238" s="52">
        <v>401065.2865</v>
      </c>
      <c r="C238" s="33">
        <v>670.12</v>
      </c>
      <c r="D238" s="11">
        <v>45162</v>
      </c>
      <c r="E238" s="54"/>
    </row>
    <row r="239" ht="16.5" spans="1:5">
      <c r="A239" s="51">
        <v>3045510.2985</v>
      </c>
      <c r="B239" s="52">
        <v>401065.2865</v>
      </c>
      <c r="C239" s="33">
        <v>670.12</v>
      </c>
      <c r="D239" s="11">
        <v>45163</v>
      </c>
      <c r="E239" s="54">
        <f>670-106.49</f>
        <v>563.51</v>
      </c>
    </row>
    <row r="240" ht="16.5" spans="1:5">
      <c r="A240" s="51">
        <v>3045510.2985</v>
      </c>
      <c r="B240" s="52">
        <v>401065.2865</v>
      </c>
      <c r="C240" s="33">
        <v>670.12</v>
      </c>
      <c r="D240" s="11">
        <v>45164</v>
      </c>
      <c r="E240" s="53"/>
    </row>
    <row r="241" ht="16.5" spans="1:5">
      <c r="A241" s="51">
        <v>3045510.2985</v>
      </c>
      <c r="B241" s="52">
        <v>401065.2865</v>
      </c>
      <c r="C241" s="33">
        <v>670.12</v>
      </c>
      <c r="D241" s="11">
        <v>45165</v>
      </c>
      <c r="E241" s="53"/>
    </row>
    <row r="242" ht="16.5" spans="1:5">
      <c r="A242" s="51">
        <v>3045510.2985</v>
      </c>
      <c r="B242" s="52">
        <v>401065.2865</v>
      </c>
      <c r="C242" s="33">
        <v>670.12</v>
      </c>
      <c r="D242" s="11">
        <v>45166</v>
      </c>
      <c r="E242" s="53"/>
    </row>
    <row r="243" ht="16.5" spans="1:5">
      <c r="A243" s="51">
        <v>3045510.2985</v>
      </c>
      <c r="B243" s="52">
        <v>401065.2865</v>
      </c>
      <c r="C243" s="33">
        <v>670.12</v>
      </c>
      <c r="D243" s="11">
        <v>45167</v>
      </c>
      <c r="E243" s="53"/>
    </row>
    <row r="244" ht="16.5" spans="1:5">
      <c r="A244" s="51">
        <v>3045510.2985</v>
      </c>
      <c r="B244" s="52">
        <v>401065.2865</v>
      </c>
      <c r="C244" s="33">
        <v>670.12</v>
      </c>
      <c r="D244" s="11">
        <v>45168</v>
      </c>
      <c r="E244" s="53"/>
    </row>
    <row r="245" ht="16.5" spans="1:5">
      <c r="A245" s="51">
        <v>3045510.2985</v>
      </c>
      <c r="B245" s="52">
        <v>401065.2865</v>
      </c>
      <c r="C245" s="33">
        <v>670.12</v>
      </c>
      <c r="D245" s="11">
        <v>45169</v>
      </c>
      <c r="E245" s="55"/>
    </row>
    <row r="246" ht="16.5" spans="1:5">
      <c r="A246" s="51">
        <v>3045510.2985</v>
      </c>
      <c r="B246" s="52">
        <v>401065.2865</v>
      </c>
      <c r="C246" s="33">
        <v>670.12</v>
      </c>
      <c r="D246" s="11">
        <v>45170</v>
      </c>
      <c r="E246" s="55"/>
    </row>
    <row r="247" ht="16.5" spans="1:5">
      <c r="A247" s="51">
        <v>3045510.2985</v>
      </c>
      <c r="B247" s="52">
        <v>401065.2865</v>
      </c>
      <c r="C247" s="33">
        <v>670.12</v>
      </c>
      <c r="D247" s="11">
        <v>45171</v>
      </c>
      <c r="E247" s="55"/>
    </row>
    <row r="248" ht="16.5" spans="1:5">
      <c r="A248" s="51">
        <v>3045510.2985</v>
      </c>
      <c r="B248" s="52">
        <v>401065.2865</v>
      </c>
      <c r="C248" s="33">
        <v>670.12</v>
      </c>
      <c r="D248" s="11">
        <v>45172</v>
      </c>
      <c r="E248" s="55"/>
    </row>
    <row r="249" ht="16.5" spans="1:5">
      <c r="A249" s="51">
        <v>3045510.2985</v>
      </c>
      <c r="B249" s="52">
        <v>401065.2865</v>
      </c>
      <c r="C249" s="33">
        <v>670.12</v>
      </c>
      <c r="D249" s="11">
        <v>45173</v>
      </c>
      <c r="E249" s="55"/>
    </row>
    <row r="250" ht="16.5" spans="1:5">
      <c r="A250" s="51">
        <v>3045510.2985</v>
      </c>
      <c r="B250" s="52">
        <v>401065.2865</v>
      </c>
      <c r="C250" s="33">
        <v>670.12</v>
      </c>
      <c r="D250" s="11">
        <v>45174</v>
      </c>
      <c r="E250" s="55"/>
    </row>
    <row r="251" ht="16.5" spans="1:5">
      <c r="A251" s="51">
        <v>3045510.2985</v>
      </c>
      <c r="B251" s="52">
        <v>401065.2865</v>
      </c>
      <c r="C251" s="33">
        <v>670.12</v>
      </c>
      <c r="D251" s="11">
        <v>45175</v>
      </c>
      <c r="E251" s="55"/>
    </row>
    <row r="252" ht="16.5" spans="1:5">
      <c r="A252" s="51">
        <v>3045510.2985</v>
      </c>
      <c r="B252" s="52">
        <v>401065.2865</v>
      </c>
      <c r="C252" s="33">
        <v>670.12</v>
      </c>
      <c r="D252" s="11">
        <v>45176</v>
      </c>
      <c r="E252" s="55"/>
    </row>
    <row r="253" ht="16.5" spans="1:5">
      <c r="A253" s="51">
        <v>3045510.2985</v>
      </c>
      <c r="B253" s="52">
        <v>401065.2865</v>
      </c>
      <c r="C253" s="33">
        <v>670.12</v>
      </c>
      <c r="D253" s="11">
        <v>45177</v>
      </c>
      <c r="E253" s="54"/>
    </row>
    <row r="254" ht="16.5" spans="1:5">
      <c r="A254" s="51">
        <v>3045510.2985</v>
      </c>
      <c r="B254" s="52">
        <v>401065.2865</v>
      </c>
      <c r="C254" s="33">
        <v>670.12</v>
      </c>
      <c r="D254" s="11">
        <v>45178</v>
      </c>
      <c r="E254" s="54"/>
    </row>
    <row r="255" ht="16.5" spans="1:5">
      <c r="A255" s="51">
        <v>3045510.2985</v>
      </c>
      <c r="B255" s="52">
        <v>401065.2865</v>
      </c>
      <c r="C255" s="33">
        <v>670.12</v>
      </c>
      <c r="D255" s="11">
        <v>45179</v>
      </c>
      <c r="E255" s="54"/>
    </row>
    <row r="256" ht="16.5" spans="1:5">
      <c r="A256" s="51">
        <v>3045510.2985</v>
      </c>
      <c r="B256" s="52">
        <v>401065.2865</v>
      </c>
      <c r="C256" s="33">
        <v>670.12</v>
      </c>
      <c r="D256" s="11">
        <v>45180</v>
      </c>
      <c r="E256" s="54"/>
    </row>
    <row r="257" ht="16.5" spans="1:5">
      <c r="A257" s="51">
        <v>3045510.2985</v>
      </c>
      <c r="B257" s="52">
        <v>401065.2865</v>
      </c>
      <c r="C257" s="33">
        <v>670.12</v>
      </c>
      <c r="D257" s="11">
        <v>45181</v>
      </c>
      <c r="E257" s="54"/>
    </row>
    <row r="258" ht="16.5" spans="1:5">
      <c r="A258" s="51">
        <v>3045510.2985</v>
      </c>
      <c r="B258" s="52">
        <v>401065.2865</v>
      </c>
      <c r="C258" s="33">
        <v>670.12</v>
      </c>
      <c r="D258" s="11">
        <v>45182</v>
      </c>
      <c r="E258" s="54"/>
    </row>
    <row r="259" ht="16.5" spans="1:5">
      <c r="A259" s="51">
        <v>3045510.2985</v>
      </c>
      <c r="B259" s="52">
        <v>401065.2865</v>
      </c>
      <c r="C259" s="33">
        <v>670.12</v>
      </c>
      <c r="D259" s="11">
        <v>45183</v>
      </c>
      <c r="E259" s="54">
        <f>670-98.21</f>
        <v>571.79</v>
      </c>
    </row>
    <row r="260" ht="16.5" spans="1:5">
      <c r="A260" s="51">
        <v>3045510.2985</v>
      </c>
      <c r="B260" s="52">
        <v>401065.2865</v>
      </c>
      <c r="C260" s="33">
        <v>670.12</v>
      </c>
      <c r="D260" s="11">
        <v>45184</v>
      </c>
      <c r="E260" s="55"/>
    </row>
    <row r="261" ht="16.5" spans="1:5">
      <c r="A261" s="51">
        <v>3045510.2985</v>
      </c>
      <c r="B261" s="52">
        <v>401065.2865</v>
      </c>
      <c r="C261" s="33">
        <v>670.12</v>
      </c>
      <c r="D261" s="11">
        <v>45185</v>
      </c>
      <c r="E261" s="55"/>
    </row>
    <row r="262" ht="16.5" spans="1:5">
      <c r="A262" s="51">
        <v>3045510.2985</v>
      </c>
      <c r="B262" s="52">
        <v>401065.2865</v>
      </c>
      <c r="C262" s="33">
        <v>670.12</v>
      </c>
      <c r="D262" s="11">
        <v>45186</v>
      </c>
      <c r="E262" s="55"/>
    </row>
    <row r="263" ht="16.5" spans="1:5">
      <c r="A263" s="51">
        <v>3045510.2985</v>
      </c>
      <c r="B263" s="52">
        <v>401065.2865</v>
      </c>
      <c r="C263" s="33">
        <v>670.12</v>
      </c>
      <c r="D263" s="11">
        <v>45187</v>
      </c>
      <c r="E263" s="55"/>
    </row>
    <row r="264" ht="16.5" spans="1:5">
      <c r="A264" s="51">
        <v>3045510.2985</v>
      </c>
      <c r="B264" s="52">
        <v>401065.2865</v>
      </c>
      <c r="C264" s="33">
        <v>670.12</v>
      </c>
      <c r="D264" s="11">
        <v>45188</v>
      </c>
      <c r="E264" s="55"/>
    </row>
    <row r="265" ht="16.5" spans="1:5">
      <c r="A265" s="51">
        <v>3045510.2985</v>
      </c>
      <c r="B265" s="52">
        <v>401065.2865</v>
      </c>
      <c r="C265" s="33">
        <v>670.12</v>
      </c>
      <c r="D265" s="11">
        <v>45189</v>
      </c>
      <c r="E265" s="54"/>
    </row>
    <row r="266" ht="16.5" spans="1:5">
      <c r="A266" s="51">
        <v>3045510.2985</v>
      </c>
      <c r="B266" s="52">
        <v>401065.2865</v>
      </c>
      <c r="C266" s="33">
        <v>670.12</v>
      </c>
      <c r="D266" s="11">
        <v>45190</v>
      </c>
      <c r="E266" s="54">
        <f>670-100.25</f>
        <v>569.75</v>
      </c>
    </row>
    <row r="267" ht="16.5" spans="1:5">
      <c r="A267" s="51">
        <v>3045510.2985</v>
      </c>
      <c r="B267" s="52">
        <v>401065.2865</v>
      </c>
      <c r="C267" s="33">
        <v>670.12</v>
      </c>
      <c r="D267" s="11">
        <v>45191</v>
      </c>
      <c r="E267" s="54"/>
    </row>
    <row r="268" ht="16.5" spans="1:5">
      <c r="A268" s="51">
        <v>3045510.2985</v>
      </c>
      <c r="B268" s="52">
        <v>401065.2865</v>
      </c>
      <c r="C268" s="33">
        <v>670.12</v>
      </c>
      <c r="D268" s="11">
        <v>45192</v>
      </c>
      <c r="E268" s="54"/>
    </row>
    <row r="269" ht="16.5" spans="1:5">
      <c r="A269" s="51">
        <v>3045510.2985</v>
      </c>
      <c r="B269" s="52">
        <v>401065.2865</v>
      </c>
      <c r="C269" s="33">
        <v>670.12</v>
      </c>
      <c r="D269" s="11">
        <v>45193</v>
      </c>
      <c r="E269" s="54"/>
    </row>
    <row r="270" ht="16.5" spans="1:5">
      <c r="A270" s="51">
        <v>3045510.2985</v>
      </c>
      <c r="B270" s="52">
        <v>401065.2865</v>
      </c>
      <c r="C270" s="33">
        <v>670.12</v>
      </c>
      <c r="D270" s="11">
        <v>45194</v>
      </c>
      <c r="E270" s="54"/>
    </row>
    <row r="271" ht="16.5" spans="1:5">
      <c r="A271" s="51">
        <v>3045510.2985</v>
      </c>
      <c r="B271" s="52">
        <v>401065.2865</v>
      </c>
      <c r="C271" s="33">
        <v>670.12</v>
      </c>
      <c r="D271" s="11">
        <v>45195</v>
      </c>
      <c r="E271" s="54"/>
    </row>
    <row r="272" ht="16.5" spans="1:5">
      <c r="A272" s="51">
        <v>3045510.2985</v>
      </c>
      <c r="B272" s="52">
        <v>401065.2865</v>
      </c>
      <c r="C272" s="33">
        <v>670.12</v>
      </c>
      <c r="D272" s="11">
        <v>45196</v>
      </c>
      <c r="E272" s="54"/>
    </row>
    <row r="273" ht="16.5" spans="1:5">
      <c r="A273" s="51">
        <v>3045510.2985</v>
      </c>
      <c r="B273" s="52">
        <v>401065.2865</v>
      </c>
      <c r="C273" s="33">
        <v>670.12</v>
      </c>
      <c r="D273" s="11">
        <v>45197</v>
      </c>
      <c r="E273" s="54">
        <f>670-101.35</f>
        <v>568.65</v>
      </c>
    </row>
    <row r="274" ht="16.5" spans="1:5">
      <c r="A274" s="51">
        <v>3045510.2985</v>
      </c>
      <c r="B274" s="52">
        <v>401065.2865</v>
      </c>
      <c r="C274" s="33">
        <v>670.12</v>
      </c>
      <c r="D274" s="11">
        <v>45198</v>
      </c>
      <c r="E274" s="54"/>
    </row>
    <row r="275" ht="16.5" spans="1:5">
      <c r="A275" s="51">
        <v>3045510.2985</v>
      </c>
      <c r="B275" s="52">
        <v>401065.2865</v>
      </c>
      <c r="C275" s="33">
        <v>670.12</v>
      </c>
      <c r="D275" s="11">
        <v>45199</v>
      </c>
      <c r="E275" s="54"/>
    </row>
    <row r="276" ht="16.5" spans="1:5">
      <c r="A276" s="51">
        <v>3045510.2985</v>
      </c>
      <c r="B276" s="52">
        <v>401065.2865</v>
      </c>
      <c r="C276" s="33">
        <v>670.12</v>
      </c>
      <c r="D276" s="11">
        <v>45200</v>
      </c>
      <c r="E276" s="54"/>
    </row>
    <row r="277" ht="16.5" spans="1:5">
      <c r="A277" s="51">
        <v>3045510.2985</v>
      </c>
      <c r="B277" s="52">
        <v>401065.2865</v>
      </c>
      <c r="C277" s="33">
        <v>670.12</v>
      </c>
      <c r="D277" s="11">
        <v>45201</v>
      </c>
      <c r="E277" s="54"/>
    </row>
    <row r="278" ht="16.5" spans="1:5">
      <c r="A278" s="51">
        <v>3045510.2985</v>
      </c>
      <c r="B278" s="52">
        <v>401065.2865</v>
      </c>
      <c r="C278" s="33">
        <v>670.12</v>
      </c>
      <c r="D278" s="11">
        <v>45202</v>
      </c>
      <c r="E278" s="54"/>
    </row>
    <row r="279" ht="16.5" spans="1:5">
      <c r="A279" s="51">
        <v>3045510.2985</v>
      </c>
      <c r="B279" s="52">
        <v>401065.2865</v>
      </c>
      <c r="C279" s="33">
        <v>670.12</v>
      </c>
      <c r="D279" s="11">
        <v>45203</v>
      </c>
      <c r="E279" s="54"/>
    </row>
    <row r="280" ht="16.5" spans="1:5">
      <c r="A280" s="51">
        <v>3045510.2985</v>
      </c>
      <c r="B280" s="52">
        <v>401065.2865</v>
      </c>
      <c r="C280" s="33">
        <v>670.12</v>
      </c>
      <c r="D280" s="11">
        <v>45204</v>
      </c>
      <c r="E280" s="54">
        <f>670-110.44</f>
        <v>559.56</v>
      </c>
    </row>
    <row r="281" ht="16.5" spans="1:5">
      <c r="A281" s="51">
        <v>3045510.2985</v>
      </c>
      <c r="B281" s="52">
        <v>401065.2865</v>
      </c>
      <c r="C281" s="33">
        <v>670.12</v>
      </c>
      <c r="D281" s="11">
        <v>45205</v>
      </c>
      <c r="E281" s="54"/>
    </row>
    <row r="282" ht="16.5" spans="1:5">
      <c r="A282" s="51">
        <v>3045510.2985</v>
      </c>
      <c r="B282" s="52">
        <v>401065.2865</v>
      </c>
      <c r="C282" s="33">
        <v>670.12</v>
      </c>
      <c r="D282" s="11">
        <v>45206</v>
      </c>
      <c r="E282" s="54"/>
    </row>
    <row r="283" ht="16.5" spans="1:5">
      <c r="A283" s="51">
        <v>3045510.2985</v>
      </c>
      <c r="B283" s="52">
        <v>401065.2865</v>
      </c>
      <c r="C283" s="33">
        <v>670.12</v>
      </c>
      <c r="D283" s="11">
        <v>45207</v>
      </c>
      <c r="E283" s="54"/>
    </row>
    <row r="284" ht="16.5" spans="1:5">
      <c r="A284" s="51">
        <v>3045510.2985</v>
      </c>
      <c r="B284" s="52">
        <v>401065.2865</v>
      </c>
      <c r="C284" s="33">
        <v>670.12</v>
      </c>
      <c r="D284" s="11">
        <v>45208</v>
      </c>
      <c r="E284" s="54"/>
    </row>
    <row r="285" ht="16.5" spans="1:5">
      <c r="A285" s="51">
        <v>3045510.2985</v>
      </c>
      <c r="B285" s="52">
        <v>401065.2865</v>
      </c>
      <c r="C285" s="33">
        <v>670.12</v>
      </c>
      <c r="D285" s="11">
        <v>45209</v>
      </c>
      <c r="E285" s="54"/>
    </row>
    <row r="286" ht="16.5" spans="1:5">
      <c r="A286" s="51">
        <v>3045510.2985</v>
      </c>
      <c r="B286" s="52">
        <v>401065.2865</v>
      </c>
      <c r="C286" s="33">
        <v>670.12</v>
      </c>
      <c r="D286" s="11">
        <v>45210</v>
      </c>
      <c r="E286" s="54"/>
    </row>
    <row r="287" ht="16.5" spans="1:5">
      <c r="A287" s="51">
        <v>3045510.2985</v>
      </c>
      <c r="B287" s="52">
        <v>401065.2865</v>
      </c>
      <c r="C287" s="33">
        <v>670.12</v>
      </c>
      <c r="D287" s="11">
        <v>45211</v>
      </c>
      <c r="E287" s="54">
        <f>670-151.31</f>
        <v>518.69</v>
      </c>
    </row>
    <row r="288" ht="16.5" spans="1:5">
      <c r="A288" s="51">
        <v>3045510.2985</v>
      </c>
      <c r="B288" s="52">
        <v>401065.2865</v>
      </c>
      <c r="C288" s="33">
        <v>670.12</v>
      </c>
      <c r="D288" s="11">
        <v>45212</v>
      </c>
      <c r="E288" s="54"/>
    </row>
    <row r="289" ht="16.5" spans="1:5">
      <c r="A289" s="51">
        <v>3045510.2985</v>
      </c>
      <c r="B289" s="52">
        <v>401065.2865</v>
      </c>
      <c r="C289" s="33">
        <v>670.12</v>
      </c>
      <c r="D289" s="11">
        <v>45213</v>
      </c>
      <c r="E289" s="54"/>
    </row>
    <row r="290" ht="16.5" spans="1:5">
      <c r="A290" s="51">
        <v>3045510.2985</v>
      </c>
      <c r="B290" s="52">
        <v>401065.2865</v>
      </c>
      <c r="C290" s="33">
        <v>670.12</v>
      </c>
      <c r="D290" s="11">
        <v>45214</v>
      </c>
      <c r="E290" s="54"/>
    </row>
    <row r="291" ht="16.5" spans="1:5">
      <c r="A291" s="51">
        <v>3045510.2985</v>
      </c>
      <c r="B291" s="52">
        <v>401065.2865</v>
      </c>
      <c r="C291" s="33">
        <v>670.12</v>
      </c>
      <c r="D291" s="11">
        <v>45215</v>
      </c>
      <c r="E291" s="54">
        <v>499.01</v>
      </c>
    </row>
    <row r="292" ht="16.5" spans="1:5">
      <c r="A292" s="51">
        <v>3045510.2985</v>
      </c>
      <c r="B292" s="52">
        <v>401065.2865</v>
      </c>
      <c r="C292" s="33">
        <v>670.12</v>
      </c>
      <c r="D292" s="11">
        <v>45216</v>
      </c>
      <c r="E292" s="54">
        <v>499.397</v>
      </c>
    </row>
    <row r="293" ht="16.5" spans="1:5">
      <c r="A293" s="51">
        <v>3045510.2985</v>
      </c>
      <c r="B293" s="52">
        <v>401065.2865</v>
      </c>
      <c r="C293" s="33">
        <v>670.12</v>
      </c>
      <c r="D293" s="11">
        <v>45217</v>
      </c>
      <c r="E293" s="54">
        <v>499.281</v>
      </c>
    </row>
    <row r="294" ht="16.5" spans="1:5">
      <c r="A294" s="51">
        <v>3045510.2985</v>
      </c>
      <c r="B294" s="52">
        <v>401065.2865</v>
      </c>
      <c r="C294" s="33">
        <v>670.12</v>
      </c>
      <c r="D294" s="11">
        <v>45218</v>
      </c>
      <c r="E294" s="54"/>
    </row>
    <row r="295" ht="16.5" spans="1:5">
      <c r="A295" s="51">
        <v>3045510.2985</v>
      </c>
      <c r="B295" s="52">
        <v>401065.2865</v>
      </c>
      <c r="C295" s="33">
        <v>670.12</v>
      </c>
      <c r="D295" s="11">
        <v>45219</v>
      </c>
      <c r="E295" s="54">
        <v>499.732</v>
      </c>
    </row>
    <row r="296" ht="16.5" spans="1:5">
      <c r="A296" s="51">
        <v>3045510.2985</v>
      </c>
      <c r="B296" s="52">
        <v>401065.2865</v>
      </c>
      <c r="C296" s="33">
        <v>670.12</v>
      </c>
      <c r="D296" s="11">
        <v>45220</v>
      </c>
      <c r="E296" s="54">
        <v>499.435</v>
      </c>
    </row>
    <row r="297" ht="16.5" spans="1:5">
      <c r="A297" s="51">
        <v>3045510.2985</v>
      </c>
      <c r="B297" s="52">
        <v>401065.2865</v>
      </c>
      <c r="C297" s="33">
        <v>670.12</v>
      </c>
      <c r="D297" s="11">
        <v>45221</v>
      </c>
      <c r="E297" s="54">
        <v>499.51</v>
      </c>
    </row>
    <row r="298" ht="16.5" spans="1:5">
      <c r="A298" s="51">
        <v>3045510.2985</v>
      </c>
      <c r="B298" s="52">
        <v>401065.2865</v>
      </c>
      <c r="C298" s="33">
        <v>670.12</v>
      </c>
      <c r="D298" s="11">
        <v>45222</v>
      </c>
      <c r="E298" s="54">
        <v>499.464</v>
      </c>
    </row>
    <row r="299" ht="16.5" spans="1:5">
      <c r="A299" s="51">
        <v>3045510.2985</v>
      </c>
      <c r="B299" s="52">
        <v>401065.2865</v>
      </c>
      <c r="C299" s="33">
        <v>670.12</v>
      </c>
      <c r="D299" s="11">
        <v>45223</v>
      </c>
      <c r="E299" s="54">
        <v>499.675</v>
      </c>
    </row>
    <row r="300" ht="16.5" spans="1:5">
      <c r="A300" s="51">
        <v>3045510.2985</v>
      </c>
      <c r="B300" s="52">
        <v>401065.2865</v>
      </c>
      <c r="C300" s="33">
        <v>670.12</v>
      </c>
      <c r="D300" s="11">
        <v>45224</v>
      </c>
      <c r="E300" s="54">
        <v>499.461</v>
      </c>
    </row>
    <row r="301" ht="16.5" spans="1:5">
      <c r="A301" s="51">
        <v>3045510.2985</v>
      </c>
      <c r="B301" s="52">
        <v>401065.2865</v>
      </c>
      <c r="C301" s="33">
        <v>670.12</v>
      </c>
      <c r="D301" s="11">
        <v>45225</v>
      </c>
      <c r="E301" s="54">
        <v>499.096</v>
      </c>
    </row>
    <row r="302" ht="16.5" spans="1:5">
      <c r="A302" s="51">
        <v>3045510.2985</v>
      </c>
      <c r="B302" s="52">
        <v>401065.2865</v>
      </c>
      <c r="C302" s="33">
        <v>670.12</v>
      </c>
      <c r="D302" s="11">
        <v>45226</v>
      </c>
      <c r="E302" s="54">
        <v>499</v>
      </c>
    </row>
    <row r="303" ht="16.5" spans="1:5">
      <c r="A303" s="51">
        <v>3045510.2985</v>
      </c>
      <c r="B303" s="52">
        <v>401065.2865</v>
      </c>
      <c r="C303" s="33">
        <v>670.12</v>
      </c>
      <c r="D303" s="11">
        <v>45227</v>
      </c>
      <c r="E303" s="54">
        <v>499.23</v>
      </c>
    </row>
    <row r="304" ht="16.5" spans="1:5">
      <c r="A304" s="51">
        <v>3045510.2985</v>
      </c>
      <c r="B304" s="52">
        <v>401065.2865</v>
      </c>
      <c r="C304" s="33">
        <v>670.12</v>
      </c>
      <c r="D304" s="11">
        <v>45228</v>
      </c>
      <c r="E304" s="54">
        <v>499.55</v>
      </c>
    </row>
    <row r="305" ht="16.5" spans="1:5">
      <c r="A305" s="51">
        <v>3045510.2985</v>
      </c>
      <c r="B305" s="52">
        <v>401065.2865</v>
      </c>
      <c r="C305" s="33">
        <v>670.12</v>
      </c>
      <c r="D305" s="11">
        <v>45229</v>
      </c>
      <c r="E305" s="54">
        <v>499.62</v>
      </c>
    </row>
    <row r="306" ht="16.5" spans="1:5">
      <c r="A306" s="51">
        <v>3045510.2985</v>
      </c>
      <c r="B306" s="52">
        <v>401065.2865</v>
      </c>
      <c r="C306" s="33">
        <v>670.12</v>
      </c>
      <c r="D306" s="11">
        <v>45230</v>
      </c>
      <c r="E306" s="54">
        <v>501.54</v>
      </c>
    </row>
    <row r="307" ht="16.5" spans="1:5">
      <c r="A307" s="51">
        <v>3045510.2985</v>
      </c>
      <c r="B307" s="52">
        <v>401065.2865</v>
      </c>
      <c r="C307" s="33">
        <v>670.12</v>
      </c>
      <c r="D307" s="11">
        <v>45231</v>
      </c>
      <c r="E307" s="54">
        <v>502.28</v>
      </c>
    </row>
    <row r="308" ht="16.5" spans="1:5">
      <c r="A308" s="51">
        <v>3045510.2985</v>
      </c>
      <c r="B308" s="52">
        <v>401065.2865</v>
      </c>
      <c r="C308" s="33">
        <v>670.12</v>
      </c>
      <c r="D308" s="11">
        <v>45232</v>
      </c>
      <c r="E308" s="54">
        <v>501.919</v>
      </c>
    </row>
    <row r="309" ht="16.5" spans="1:5">
      <c r="A309" s="51">
        <v>3045510.2985</v>
      </c>
      <c r="B309" s="52">
        <v>401065.2865</v>
      </c>
      <c r="C309" s="33">
        <v>670.12</v>
      </c>
      <c r="D309" s="11">
        <v>45233</v>
      </c>
      <c r="E309" s="54">
        <v>501.9</v>
      </c>
    </row>
    <row r="310" ht="16.5" spans="1:5">
      <c r="A310" s="51">
        <v>3045510.2985</v>
      </c>
      <c r="B310" s="52">
        <v>401065.2865</v>
      </c>
      <c r="C310" s="33">
        <v>670.12</v>
      </c>
      <c r="D310" s="11">
        <v>45234</v>
      </c>
      <c r="E310" s="54">
        <v>502.31</v>
      </c>
    </row>
    <row r="311" ht="16.5" spans="1:5">
      <c r="A311" s="51">
        <v>3045510.2985</v>
      </c>
      <c r="B311" s="52">
        <v>401065.2865</v>
      </c>
      <c r="C311" s="33">
        <v>670.12</v>
      </c>
      <c r="D311" s="11">
        <v>45235</v>
      </c>
      <c r="E311" s="54">
        <v>501.97</v>
      </c>
    </row>
    <row r="312" ht="16.5" spans="1:5">
      <c r="A312" s="51">
        <v>3045510.2985</v>
      </c>
      <c r="B312" s="52">
        <v>401065.2865</v>
      </c>
      <c r="C312" s="33">
        <v>670.12</v>
      </c>
      <c r="D312" s="11">
        <v>45236</v>
      </c>
      <c r="E312" s="54">
        <v>501.88</v>
      </c>
    </row>
    <row r="313" ht="16.5" spans="1:5">
      <c r="A313" s="51">
        <v>3045510.2985</v>
      </c>
      <c r="B313" s="52">
        <v>401065.2865</v>
      </c>
      <c r="C313" s="33">
        <v>670.12</v>
      </c>
      <c r="D313" s="11">
        <v>45237</v>
      </c>
      <c r="E313" s="54">
        <v>501.62</v>
      </c>
    </row>
    <row r="314" ht="16.5" spans="1:5">
      <c r="A314" s="51">
        <v>3045510.2985</v>
      </c>
      <c r="B314" s="52">
        <v>401065.2865</v>
      </c>
      <c r="C314" s="33">
        <v>670.12</v>
      </c>
      <c r="D314" s="11">
        <v>45238</v>
      </c>
      <c r="E314" s="54">
        <v>501.27</v>
      </c>
    </row>
    <row r="315" ht="16.5" spans="1:5">
      <c r="A315" s="51">
        <v>3045510.2985</v>
      </c>
      <c r="B315" s="52">
        <v>401065.2865</v>
      </c>
      <c r="C315" s="33">
        <v>670.12</v>
      </c>
      <c r="D315" s="11">
        <v>45239</v>
      </c>
      <c r="E315" s="54">
        <v>500.72</v>
      </c>
    </row>
    <row r="316" ht="16.5" spans="1:5">
      <c r="A316" s="51">
        <v>3045510.2985</v>
      </c>
      <c r="B316" s="52">
        <v>401065.2865</v>
      </c>
      <c r="C316" s="33">
        <v>670.12</v>
      </c>
      <c r="D316" s="11">
        <v>45240</v>
      </c>
      <c r="E316" s="54">
        <v>500.405</v>
      </c>
    </row>
    <row r="317" ht="16.5" spans="1:5">
      <c r="A317" s="51">
        <v>3045510.2985</v>
      </c>
      <c r="B317" s="52">
        <v>401065.2865</v>
      </c>
      <c r="C317" s="33">
        <v>670.12</v>
      </c>
      <c r="D317" s="11">
        <v>45241</v>
      </c>
      <c r="E317" s="54">
        <v>499.68</v>
      </c>
    </row>
    <row r="318" ht="16.5" spans="1:5">
      <c r="A318" s="51">
        <v>3045510.2985</v>
      </c>
      <c r="B318" s="52">
        <v>401065.2865</v>
      </c>
      <c r="C318" s="33">
        <v>670.12</v>
      </c>
      <c r="D318" s="11">
        <v>45242</v>
      </c>
      <c r="E318" s="54"/>
    </row>
    <row r="319" ht="16.5" spans="1:5">
      <c r="A319" s="51">
        <v>3045510.2985</v>
      </c>
      <c r="B319" s="52">
        <v>401065.2865</v>
      </c>
      <c r="C319" s="33">
        <v>670.12</v>
      </c>
      <c r="D319" s="11">
        <v>45243</v>
      </c>
      <c r="E319" s="54"/>
    </row>
    <row r="320" ht="16.5" spans="1:5">
      <c r="A320" s="51">
        <v>3045510.2985</v>
      </c>
      <c r="B320" s="52">
        <v>401065.2865</v>
      </c>
      <c r="C320" s="33">
        <v>670.12</v>
      </c>
      <c r="D320" s="11">
        <v>45244</v>
      </c>
      <c r="E320" s="54"/>
    </row>
    <row r="321" ht="16.5" spans="1:5">
      <c r="A321" s="51">
        <v>3045510.2985</v>
      </c>
      <c r="B321" s="52">
        <v>401065.2865</v>
      </c>
      <c r="C321" s="33">
        <v>670.12</v>
      </c>
      <c r="D321" s="11">
        <v>45245</v>
      </c>
      <c r="E321" s="54"/>
    </row>
    <row r="322" ht="16.5" spans="1:5">
      <c r="A322" s="51">
        <v>3045510.2985</v>
      </c>
      <c r="B322" s="52">
        <v>401065.2865</v>
      </c>
      <c r="C322" s="33">
        <v>670.12</v>
      </c>
      <c r="D322" s="11">
        <v>45246</v>
      </c>
      <c r="E322" s="54">
        <v>499.68</v>
      </c>
    </row>
    <row r="323" ht="16.5" spans="1:5">
      <c r="A323" s="51">
        <v>3045510.2985</v>
      </c>
      <c r="B323" s="52">
        <v>401065.2865</v>
      </c>
      <c r="C323" s="33">
        <v>670.12</v>
      </c>
      <c r="D323" s="11">
        <v>45247</v>
      </c>
      <c r="E323" s="54">
        <v>497.85</v>
      </c>
    </row>
    <row r="324" ht="16.5" spans="1:5">
      <c r="A324" s="51">
        <v>3045510.2985</v>
      </c>
      <c r="B324" s="52">
        <v>401065.2865</v>
      </c>
      <c r="C324" s="33">
        <v>670.12</v>
      </c>
      <c r="D324" s="11">
        <v>45248</v>
      </c>
      <c r="E324" s="54">
        <v>498.02</v>
      </c>
    </row>
    <row r="325" ht="16.5" spans="1:5">
      <c r="A325" s="51">
        <v>3045510.2985</v>
      </c>
      <c r="B325" s="52">
        <v>401065.2865</v>
      </c>
      <c r="C325" s="33">
        <v>670.12</v>
      </c>
      <c r="D325" s="11">
        <v>45249</v>
      </c>
      <c r="E325" s="54">
        <v>497.89</v>
      </c>
    </row>
    <row r="326" ht="16.5" spans="1:5">
      <c r="A326" s="51">
        <v>3045510.2985</v>
      </c>
      <c r="B326" s="52">
        <v>401065.2865</v>
      </c>
      <c r="C326" s="33">
        <v>670.12</v>
      </c>
      <c r="D326" s="11">
        <v>45250</v>
      </c>
      <c r="E326" s="54">
        <v>497.19</v>
      </c>
    </row>
    <row r="327" ht="16.5" spans="1:5">
      <c r="A327" s="51">
        <v>3045510.2985</v>
      </c>
      <c r="B327" s="52">
        <v>401065.2865</v>
      </c>
      <c r="C327" s="33">
        <v>670.12</v>
      </c>
      <c r="D327" s="11">
        <v>45251</v>
      </c>
      <c r="E327" s="54">
        <v>496.58</v>
      </c>
    </row>
    <row r="328" ht="16.5" spans="1:5">
      <c r="A328" s="51">
        <v>3045510.2985</v>
      </c>
      <c r="B328" s="52">
        <v>401065.2865</v>
      </c>
      <c r="C328" s="33">
        <v>670.12</v>
      </c>
      <c r="D328" s="11">
        <v>45252</v>
      </c>
      <c r="E328" s="54">
        <v>497.24</v>
      </c>
    </row>
    <row r="329" ht="16.5" spans="1:5">
      <c r="A329" s="51">
        <v>3045510.2985</v>
      </c>
      <c r="B329" s="52">
        <v>401065.2865</v>
      </c>
      <c r="C329" s="33">
        <v>670.12</v>
      </c>
      <c r="D329" s="11">
        <v>45253</v>
      </c>
      <c r="E329" s="54">
        <v>497.33</v>
      </c>
    </row>
    <row r="330" ht="16.5" spans="1:5">
      <c r="A330" s="51">
        <v>3045510.2985</v>
      </c>
      <c r="B330" s="52">
        <v>401065.2865</v>
      </c>
      <c r="C330" s="33">
        <v>670.12</v>
      </c>
      <c r="D330" s="11">
        <v>45254</v>
      </c>
      <c r="E330" s="54">
        <v>497.22</v>
      </c>
    </row>
    <row r="331" ht="16.5" spans="1:5">
      <c r="A331" s="51">
        <v>3045510.2985</v>
      </c>
      <c r="B331" s="52">
        <v>401065.2865</v>
      </c>
      <c r="C331" s="33">
        <v>670.12</v>
      </c>
      <c r="D331" s="11">
        <v>45255</v>
      </c>
      <c r="E331" s="54"/>
    </row>
    <row r="332" ht="16.5" spans="1:5">
      <c r="A332" s="51">
        <v>3045510.2985</v>
      </c>
      <c r="B332" s="52">
        <v>401065.2865</v>
      </c>
      <c r="C332" s="33">
        <v>670.12</v>
      </c>
      <c r="D332" s="11">
        <v>45256</v>
      </c>
      <c r="E332" s="54"/>
    </row>
    <row r="333" ht="16.5" spans="1:5">
      <c r="A333" s="51">
        <v>3045510.2985</v>
      </c>
      <c r="B333" s="52">
        <v>401065.2865</v>
      </c>
      <c r="C333" s="33">
        <v>670.12</v>
      </c>
      <c r="D333" s="11">
        <v>45257</v>
      </c>
      <c r="E333" s="54"/>
    </row>
    <row r="334" ht="16.5" spans="1:5">
      <c r="A334" s="51">
        <v>3045510.2985</v>
      </c>
      <c r="B334" s="52">
        <v>401065.2865</v>
      </c>
      <c r="C334" s="33">
        <v>670.12</v>
      </c>
      <c r="D334" s="11">
        <v>45258</v>
      </c>
      <c r="E334" s="54">
        <v>495.93</v>
      </c>
    </row>
    <row r="335" ht="16.5" spans="1:5">
      <c r="A335" s="51">
        <v>3045510.2985</v>
      </c>
      <c r="B335" s="52">
        <v>401065.2865</v>
      </c>
      <c r="C335" s="33">
        <v>670.12</v>
      </c>
      <c r="D335" s="11">
        <v>45259</v>
      </c>
      <c r="E335" s="54">
        <v>496.2</v>
      </c>
    </row>
    <row r="336" ht="16.5" spans="1:5">
      <c r="A336" s="51">
        <v>3045510.2985</v>
      </c>
      <c r="B336" s="52">
        <v>401065.2865</v>
      </c>
      <c r="C336" s="33">
        <v>670.12</v>
      </c>
      <c r="D336" s="11">
        <v>45260</v>
      </c>
      <c r="E336" s="54">
        <v>496.57</v>
      </c>
    </row>
    <row r="337" ht="16.5" spans="1:5">
      <c r="A337" s="51">
        <v>3045510.2985</v>
      </c>
      <c r="B337" s="52">
        <v>401065.2865</v>
      </c>
      <c r="C337" s="33">
        <v>670.12</v>
      </c>
      <c r="D337" s="11">
        <v>45261</v>
      </c>
      <c r="E337" s="54">
        <v>495.87</v>
      </c>
    </row>
    <row r="338" ht="16.5" spans="1:5">
      <c r="A338" s="51">
        <v>3045510.2985</v>
      </c>
      <c r="B338" s="52">
        <v>401065.2865</v>
      </c>
      <c r="C338" s="33">
        <v>670.12</v>
      </c>
      <c r="D338" s="11">
        <v>45262</v>
      </c>
      <c r="E338" s="54">
        <v>495.55</v>
      </c>
    </row>
    <row r="339" ht="16.5" spans="1:5">
      <c r="A339" s="51">
        <v>3045510.2985</v>
      </c>
      <c r="B339" s="52">
        <v>401065.2865</v>
      </c>
      <c r="C339" s="33">
        <v>670.12</v>
      </c>
      <c r="D339" s="11">
        <v>45263</v>
      </c>
      <c r="E339" s="54">
        <v>495.21</v>
      </c>
    </row>
    <row r="340" ht="16.5" spans="1:5">
      <c r="A340" s="51">
        <v>3045510.2985</v>
      </c>
      <c r="B340" s="52">
        <v>401065.2865</v>
      </c>
      <c r="C340" s="33">
        <v>670.12</v>
      </c>
      <c r="D340" s="11">
        <v>45264</v>
      </c>
      <c r="E340" s="54">
        <v>495.86</v>
      </c>
    </row>
    <row r="341" ht="16.5" spans="1:5">
      <c r="A341" s="51">
        <v>3045510.2985</v>
      </c>
      <c r="B341" s="52">
        <v>401065.2865</v>
      </c>
      <c r="C341" s="33">
        <v>670.12</v>
      </c>
      <c r="D341" s="11">
        <v>45265</v>
      </c>
      <c r="E341" s="54">
        <v>497.14</v>
      </c>
    </row>
    <row r="342" ht="16.5" spans="1:5">
      <c r="A342" s="51">
        <v>3045510.2985</v>
      </c>
      <c r="B342" s="52">
        <v>401065.2865</v>
      </c>
      <c r="C342" s="33">
        <v>670.12</v>
      </c>
      <c r="D342" s="11">
        <v>45266</v>
      </c>
      <c r="E342" s="54">
        <v>497.24</v>
      </c>
    </row>
    <row r="343" ht="16.5" spans="1:5">
      <c r="A343" s="51">
        <v>3045510.2985</v>
      </c>
      <c r="B343" s="52">
        <v>401065.2865</v>
      </c>
      <c r="C343" s="33">
        <v>670.12</v>
      </c>
      <c r="D343" s="11">
        <v>45267</v>
      </c>
      <c r="E343" s="54"/>
    </row>
    <row r="344" ht="16.5" spans="1:5">
      <c r="A344" s="51">
        <v>3045510.2985</v>
      </c>
      <c r="B344" s="52">
        <v>401065.2865</v>
      </c>
      <c r="C344" s="33">
        <v>670.12</v>
      </c>
      <c r="D344" s="11">
        <v>45268</v>
      </c>
      <c r="E344" s="54"/>
    </row>
    <row r="345" ht="16.5" spans="1:5">
      <c r="A345" s="51">
        <v>3045510.2985</v>
      </c>
      <c r="B345" s="52">
        <v>401065.2865</v>
      </c>
      <c r="C345" s="33">
        <v>670.12</v>
      </c>
      <c r="D345" s="11">
        <v>45269</v>
      </c>
      <c r="E345" s="54"/>
    </row>
    <row r="346" ht="16.5" spans="1:5">
      <c r="A346" s="51">
        <v>3045510.2985</v>
      </c>
      <c r="B346" s="52">
        <v>401065.2865</v>
      </c>
      <c r="C346" s="33">
        <v>670.12</v>
      </c>
      <c r="D346" s="11">
        <v>45270</v>
      </c>
      <c r="E346" s="54"/>
    </row>
    <row r="347" ht="16.5" spans="1:5">
      <c r="A347" s="51">
        <v>3045510.2985</v>
      </c>
      <c r="B347" s="52">
        <v>401065.2865</v>
      </c>
      <c r="C347" s="33">
        <v>670.12</v>
      </c>
      <c r="D347" s="11">
        <v>45271</v>
      </c>
      <c r="E347" s="54"/>
    </row>
    <row r="348" ht="16.5" spans="1:5">
      <c r="A348" s="51">
        <v>3045510.2985</v>
      </c>
      <c r="B348" s="52">
        <v>401065.2865</v>
      </c>
      <c r="C348" s="33">
        <v>670.12</v>
      </c>
      <c r="D348" s="11">
        <v>45272</v>
      </c>
      <c r="E348" s="54">
        <v>494.264</v>
      </c>
    </row>
    <row r="349" ht="16.5" spans="1:5">
      <c r="A349" s="51">
        <v>3045510.2985</v>
      </c>
      <c r="B349" s="52">
        <v>401065.2865</v>
      </c>
      <c r="C349" s="33">
        <v>670.12</v>
      </c>
      <c r="D349" s="11">
        <v>45273</v>
      </c>
      <c r="E349" s="54">
        <v>481.69</v>
      </c>
    </row>
    <row r="350" ht="16.5" spans="1:5">
      <c r="A350" s="51">
        <v>3045510.2985</v>
      </c>
      <c r="B350" s="52">
        <v>401065.2865</v>
      </c>
      <c r="C350" s="33">
        <v>670.12</v>
      </c>
      <c r="D350" s="11">
        <v>45274</v>
      </c>
      <c r="E350" s="54">
        <v>492.219</v>
      </c>
    </row>
    <row r="351" ht="16.5" spans="1:5">
      <c r="A351" s="51">
        <v>3045510.2985</v>
      </c>
      <c r="B351" s="52">
        <v>401065.2865</v>
      </c>
      <c r="C351" s="33">
        <v>670.12</v>
      </c>
      <c r="D351" s="11">
        <v>45275</v>
      </c>
      <c r="E351" s="54">
        <v>492.531</v>
      </c>
    </row>
    <row r="352" ht="16.5" spans="1:5">
      <c r="A352" s="51">
        <v>3045510.2985</v>
      </c>
      <c r="B352" s="52">
        <v>401065.2865</v>
      </c>
      <c r="C352" s="33">
        <v>670.12</v>
      </c>
      <c r="D352" s="11">
        <v>45276</v>
      </c>
      <c r="E352" s="54">
        <v>492.255</v>
      </c>
    </row>
    <row r="353" ht="16.5" spans="1:5">
      <c r="A353" s="51">
        <v>3045510.2985</v>
      </c>
      <c r="B353" s="52">
        <v>401065.2865</v>
      </c>
      <c r="C353" s="33">
        <v>670.12</v>
      </c>
      <c r="D353" s="11">
        <v>45277</v>
      </c>
      <c r="E353" s="54">
        <v>496.272</v>
      </c>
    </row>
    <row r="354" ht="16.5" spans="1:5">
      <c r="A354" s="51">
        <v>3045510.2985</v>
      </c>
      <c r="B354" s="52">
        <v>401065.2865</v>
      </c>
      <c r="C354" s="33">
        <v>670.12</v>
      </c>
      <c r="D354" s="11">
        <v>45278</v>
      </c>
      <c r="E354" s="54">
        <v>497.844</v>
      </c>
    </row>
    <row r="355" ht="16.5" spans="1:5">
      <c r="A355" s="51">
        <v>3045510.2985</v>
      </c>
      <c r="B355" s="52">
        <v>401065.2865</v>
      </c>
      <c r="C355" s="33">
        <v>670.12</v>
      </c>
      <c r="D355" s="11">
        <v>45279</v>
      </c>
      <c r="E355" s="54">
        <v>499.951</v>
      </c>
    </row>
    <row r="356" ht="16.5" spans="1:5">
      <c r="A356" s="51">
        <v>3045510.2985</v>
      </c>
      <c r="B356" s="52">
        <v>401065.2865</v>
      </c>
      <c r="C356" s="33">
        <v>670.12</v>
      </c>
      <c r="D356" s="11">
        <v>45280</v>
      </c>
      <c r="E356" s="54">
        <v>508.483</v>
      </c>
    </row>
    <row r="357" ht="16.5" spans="1:5">
      <c r="A357" s="51">
        <v>3045510.2985</v>
      </c>
      <c r="B357" s="52">
        <v>401065.2865</v>
      </c>
      <c r="C357" s="33">
        <v>670.12</v>
      </c>
      <c r="D357" s="11">
        <v>45281</v>
      </c>
      <c r="E357" s="54">
        <v>514.797</v>
      </c>
    </row>
    <row r="358" ht="16.5" spans="1:5">
      <c r="A358" s="51">
        <v>3045510.2985</v>
      </c>
      <c r="B358" s="52">
        <v>401065.2865</v>
      </c>
      <c r="C358" s="33">
        <v>670.12</v>
      </c>
      <c r="D358" s="11">
        <v>45282</v>
      </c>
      <c r="E358" s="54">
        <v>513.825</v>
      </c>
    </row>
    <row r="359" ht="16.5" spans="1:5">
      <c r="A359" s="51">
        <v>3045510.2985</v>
      </c>
      <c r="B359" s="52">
        <v>401065.2865</v>
      </c>
      <c r="C359" s="33">
        <v>670.12</v>
      </c>
      <c r="D359" s="11">
        <v>45283</v>
      </c>
      <c r="E359" s="54">
        <v>512.91</v>
      </c>
    </row>
    <row r="360" ht="16.5" spans="1:5">
      <c r="A360" s="51">
        <v>3045510.2985</v>
      </c>
      <c r="B360" s="52">
        <v>401065.2865</v>
      </c>
      <c r="C360" s="33">
        <v>670.12</v>
      </c>
      <c r="D360" s="11">
        <v>45284</v>
      </c>
      <c r="E360" s="54">
        <v>512.31</v>
      </c>
    </row>
    <row r="361" ht="16.5" spans="1:5">
      <c r="A361" s="51">
        <v>3045510.2985</v>
      </c>
      <c r="B361" s="52">
        <v>401065.2865</v>
      </c>
      <c r="C361" s="33">
        <v>670.12</v>
      </c>
      <c r="D361" s="11">
        <v>45285</v>
      </c>
      <c r="E361" s="54">
        <v>512.07</v>
      </c>
    </row>
    <row r="362" ht="16.5" spans="1:5">
      <c r="A362" s="51">
        <v>3045510.2985</v>
      </c>
      <c r="B362" s="52">
        <v>401065.2865</v>
      </c>
      <c r="C362" s="33">
        <v>670.12</v>
      </c>
      <c r="D362" s="11">
        <v>45286</v>
      </c>
      <c r="E362" s="54">
        <v>511.82</v>
      </c>
    </row>
    <row r="363" ht="16.5" spans="1:5">
      <c r="A363" s="51">
        <v>3045510.2985</v>
      </c>
      <c r="B363" s="52">
        <v>401065.2865</v>
      </c>
      <c r="C363" s="33">
        <v>670.12</v>
      </c>
      <c r="D363" s="11">
        <v>45287</v>
      </c>
      <c r="E363" s="54">
        <v>511.8</v>
      </c>
    </row>
    <row r="364" ht="16.5" spans="1:5">
      <c r="A364" s="51">
        <v>3045510.2985</v>
      </c>
      <c r="B364" s="52">
        <v>401065.2865</v>
      </c>
      <c r="C364" s="33">
        <v>670.12</v>
      </c>
      <c r="D364" s="11">
        <v>45288</v>
      </c>
      <c r="E364" s="54">
        <v>511.4</v>
      </c>
    </row>
    <row r="365" ht="16.5" spans="1:5">
      <c r="A365" s="51">
        <v>3045510.2985</v>
      </c>
      <c r="B365" s="52">
        <v>401065.2865</v>
      </c>
      <c r="C365" s="33">
        <v>670.12</v>
      </c>
      <c r="D365" s="11">
        <v>45289</v>
      </c>
      <c r="E365" s="54">
        <v>510.88</v>
      </c>
    </row>
    <row r="366" ht="16.5" spans="1:5">
      <c r="A366" s="51">
        <v>3045510.2985</v>
      </c>
      <c r="B366" s="52">
        <v>401065.2865</v>
      </c>
      <c r="C366" s="33">
        <v>670.12</v>
      </c>
      <c r="D366" s="11">
        <v>45290</v>
      </c>
      <c r="E366" s="54">
        <v>510.986</v>
      </c>
    </row>
    <row r="367" ht="16.5" spans="1:5">
      <c r="A367" s="51">
        <v>3045510.2985</v>
      </c>
      <c r="B367" s="52">
        <v>401065.2865</v>
      </c>
      <c r="C367" s="33">
        <v>670.12</v>
      </c>
      <c r="D367" s="11">
        <v>45291</v>
      </c>
      <c r="E367" s="54">
        <v>511.973</v>
      </c>
    </row>
    <row r="368" ht="16.5" spans="1:5">
      <c r="A368" s="51">
        <v>3045510.2985</v>
      </c>
      <c r="B368" s="52">
        <v>401065.2865</v>
      </c>
      <c r="C368" s="33">
        <v>670.12</v>
      </c>
      <c r="D368" s="11">
        <v>45292</v>
      </c>
      <c r="E368" s="54">
        <v>513.279</v>
      </c>
    </row>
    <row r="369" ht="16.5" spans="1:5">
      <c r="A369" s="51">
        <v>3045510.2985</v>
      </c>
      <c r="B369" s="52">
        <v>401065.2865</v>
      </c>
      <c r="C369" s="33">
        <v>670.12</v>
      </c>
      <c r="D369" s="11">
        <v>45293</v>
      </c>
      <c r="E369" s="54">
        <v>514.171</v>
      </c>
    </row>
    <row r="370" ht="16.5" spans="1:5">
      <c r="A370" s="51">
        <v>3045510.2985</v>
      </c>
      <c r="B370" s="52">
        <v>401065.2865</v>
      </c>
      <c r="C370" s="33">
        <v>670.12</v>
      </c>
      <c r="D370" s="11">
        <v>45294</v>
      </c>
      <c r="E370" s="54">
        <v>514.207</v>
      </c>
    </row>
    <row r="371" ht="16.5" spans="1:5">
      <c r="A371" s="51">
        <v>3045510.2985</v>
      </c>
      <c r="B371" s="52">
        <v>401065.2865</v>
      </c>
      <c r="C371" s="33">
        <v>670.12</v>
      </c>
      <c r="D371" s="11">
        <v>45295</v>
      </c>
      <c r="E371" s="60">
        <v>511.959</v>
      </c>
    </row>
    <row r="372" ht="16.5" spans="1:5">
      <c r="A372" s="51">
        <v>3045510.2985</v>
      </c>
      <c r="B372" s="52">
        <v>401065.2865</v>
      </c>
      <c r="C372" s="33">
        <v>670.12</v>
      </c>
      <c r="D372" s="11">
        <v>45296</v>
      </c>
      <c r="E372" s="60">
        <v>513.948</v>
      </c>
    </row>
    <row r="373" ht="16.5" spans="1:5">
      <c r="A373" s="51">
        <v>3045510.2985</v>
      </c>
      <c r="B373" s="52">
        <v>401065.2865</v>
      </c>
      <c r="C373" s="33">
        <v>670.12</v>
      </c>
      <c r="D373" s="11">
        <v>45297</v>
      </c>
      <c r="E373" s="57">
        <v>513.12</v>
      </c>
    </row>
    <row r="374" ht="16.5" spans="1:5">
      <c r="A374" s="51">
        <v>3045510.2985</v>
      </c>
      <c r="B374" s="52">
        <v>401065.2865</v>
      </c>
      <c r="C374" s="33">
        <v>670.12</v>
      </c>
      <c r="D374" s="11">
        <v>45298</v>
      </c>
      <c r="E374" s="57">
        <v>508.63</v>
      </c>
    </row>
    <row r="375" ht="16.5" spans="1:5">
      <c r="A375" s="51">
        <v>3045510.2985</v>
      </c>
      <c r="B375" s="52">
        <v>401065.2865</v>
      </c>
      <c r="C375" s="33">
        <v>670.12</v>
      </c>
      <c r="D375" s="11">
        <v>45299</v>
      </c>
      <c r="E375" s="57">
        <v>493.504</v>
      </c>
    </row>
    <row r="376" ht="16.5" spans="1:5">
      <c r="A376" s="51">
        <v>3045510.2985</v>
      </c>
      <c r="B376" s="52">
        <v>401065.2865</v>
      </c>
      <c r="C376" s="33">
        <v>670.12</v>
      </c>
      <c r="D376" s="11">
        <v>45300</v>
      </c>
      <c r="E376" s="57">
        <v>493.226</v>
      </c>
    </row>
    <row r="377" ht="16.5" spans="1:5">
      <c r="A377" s="51">
        <v>3045510.2985</v>
      </c>
      <c r="B377" s="52">
        <v>401065.2865</v>
      </c>
      <c r="C377" s="33">
        <v>670.12</v>
      </c>
      <c r="D377" s="11">
        <v>45301</v>
      </c>
      <c r="E377" s="60">
        <v>503.154</v>
      </c>
    </row>
    <row r="378" ht="16.5" spans="1:5">
      <c r="A378" s="51">
        <v>3045510.2985</v>
      </c>
      <c r="B378" s="52">
        <v>401065.2865</v>
      </c>
      <c r="C378" s="33">
        <v>670.12</v>
      </c>
      <c r="D378" s="11">
        <v>45302</v>
      </c>
      <c r="E378" s="60">
        <v>494.748</v>
      </c>
    </row>
    <row r="379" ht="16.5" spans="1:5">
      <c r="A379" s="51">
        <v>3045510.2985</v>
      </c>
      <c r="B379" s="52">
        <v>401065.2865</v>
      </c>
      <c r="C379" s="33">
        <v>670.12</v>
      </c>
      <c r="D379" s="11">
        <v>45303</v>
      </c>
      <c r="E379" s="60">
        <v>494.356</v>
      </c>
    </row>
    <row r="380" ht="16.5" spans="1:5">
      <c r="A380" s="51">
        <v>3045510.2985</v>
      </c>
      <c r="B380" s="52">
        <v>401065.2865</v>
      </c>
      <c r="C380" s="33">
        <v>670.12</v>
      </c>
      <c r="D380" s="11">
        <v>45304</v>
      </c>
      <c r="E380" s="60">
        <v>494.25</v>
      </c>
    </row>
    <row r="381" ht="16.5" spans="1:5">
      <c r="A381" s="51">
        <v>3045510.2985</v>
      </c>
      <c r="B381" s="52">
        <v>401065.2865</v>
      </c>
      <c r="C381" s="33">
        <v>670.12</v>
      </c>
      <c r="D381" s="11">
        <v>45305</v>
      </c>
      <c r="E381" s="57">
        <v>494.347</v>
      </c>
    </row>
    <row r="382" ht="16.5" spans="1:5">
      <c r="A382" s="51">
        <v>3045510.2985</v>
      </c>
      <c r="B382" s="52">
        <v>401065.2865</v>
      </c>
      <c r="C382" s="33">
        <v>670.12</v>
      </c>
      <c r="D382" s="11">
        <v>45306</v>
      </c>
      <c r="E382" s="57">
        <v>487.999</v>
      </c>
    </row>
    <row r="383" ht="16.5" spans="1:5">
      <c r="A383" s="51">
        <v>3045510.2985</v>
      </c>
      <c r="B383" s="52">
        <v>401065.2865</v>
      </c>
      <c r="C383" s="33">
        <v>670.12</v>
      </c>
      <c r="D383" s="11">
        <v>45307</v>
      </c>
      <c r="E383" s="57">
        <v>484.748</v>
      </c>
    </row>
    <row r="384" ht="16.5" spans="1:5">
      <c r="A384" s="51">
        <v>3045510.2985</v>
      </c>
      <c r="B384" s="52">
        <v>401065.2865</v>
      </c>
      <c r="C384" s="33">
        <v>670.12</v>
      </c>
      <c r="D384" s="11">
        <v>45308</v>
      </c>
      <c r="E384" s="57">
        <v>481.099</v>
      </c>
    </row>
    <row r="385" ht="16.5" spans="1:5">
      <c r="A385" s="51">
        <v>3045510.2985</v>
      </c>
      <c r="B385" s="52">
        <v>401065.2865</v>
      </c>
      <c r="C385" s="33">
        <v>670.12</v>
      </c>
      <c r="D385" s="11">
        <v>45309</v>
      </c>
      <c r="E385" s="60">
        <v>486.291</v>
      </c>
    </row>
    <row r="386" ht="16.5" spans="1:5">
      <c r="A386" s="51">
        <v>3045510.2985</v>
      </c>
      <c r="B386" s="52">
        <v>401065.2865</v>
      </c>
      <c r="C386" s="33">
        <v>670.12</v>
      </c>
      <c r="D386" s="11">
        <v>45310</v>
      </c>
      <c r="E386" s="60">
        <v>482.332</v>
      </c>
    </row>
    <row r="387" ht="16.5" spans="1:5">
      <c r="A387" s="51">
        <v>3045510.2985</v>
      </c>
      <c r="B387" s="52">
        <v>401065.2865</v>
      </c>
      <c r="C387" s="33">
        <v>670.12</v>
      </c>
      <c r="D387" s="11">
        <v>45311</v>
      </c>
      <c r="E387" s="60">
        <v>480.084</v>
      </c>
    </row>
    <row r="388" ht="16.5" spans="1:5">
      <c r="A388" s="51">
        <v>3045510.2985</v>
      </c>
      <c r="B388" s="52">
        <v>401065.2865</v>
      </c>
      <c r="C388" s="33">
        <v>670.12</v>
      </c>
      <c r="D388" s="11">
        <v>45312</v>
      </c>
      <c r="E388" s="60">
        <v>479.891</v>
      </c>
    </row>
    <row r="389" ht="16.5" spans="1:5">
      <c r="A389" s="51">
        <v>3045510.2985</v>
      </c>
      <c r="B389" s="52">
        <v>401065.2865</v>
      </c>
      <c r="C389" s="33">
        <v>670.12</v>
      </c>
      <c r="D389" s="11">
        <v>45313</v>
      </c>
      <c r="E389" s="60">
        <v>478.406</v>
      </c>
    </row>
    <row r="390" ht="16.5" spans="1:5">
      <c r="A390" s="51">
        <v>3045510.2985</v>
      </c>
      <c r="B390" s="52">
        <v>401065.2865</v>
      </c>
      <c r="C390" s="33">
        <v>670.12</v>
      </c>
      <c r="D390" s="11">
        <v>45314</v>
      </c>
      <c r="E390" s="60">
        <v>479.12</v>
      </c>
    </row>
    <row r="391" ht="16.5" spans="1:5">
      <c r="A391" s="51">
        <v>3045510.2985</v>
      </c>
      <c r="B391" s="52">
        <v>401065.2865</v>
      </c>
      <c r="C391" s="33">
        <v>670.12</v>
      </c>
      <c r="D391" s="11">
        <v>45315</v>
      </c>
      <c r="E391" s="60">
        <v>480.782</v>
      </c>
    </row>
    <row r="392" ht="16.5" spans="1:5">
      <c r="A392" s="51">
        <v>3045510.2985</v>
      </c>
      <c r="B392" s="52">
        <v>401065.2865</v>
      </c>
      <c r="C392" s="33">
        <v>670.12</v>
      </c>
      <c r="D392" s="11">
        <v>45316</v>
      </c>
      <c r="E392" s="60">
        <v>484.355</v>
      </c>
    </row>
    <row r="393" ht="16.5" spans="1:5">
      <c r="A393" s="51">
        <v>3045510.2985</v>
      </c>
      <c r="B393" s="52">
        <v>401065.2865</v>
      </c>
      <c r="C393" s="33">
        <v>670.12</v>
      </c>
      <c r="D393" s="11">
        <v>45317</v>
      </c>
      <c r="E393" s="60">
        <v>491.993</v>
      </c>
    </row>
    <row r="394" ht="16.5" spans="1:5">
      <c r="A394" s="51">
        <v>3045510.2985</v>
      </c>
      <c r="B394" s="52">
        <v>401065.2865</v>
      </c>
      <c r="C394" s="33">
        <v>670.12</v>
      </c>
      <c r="D394" s="11">
        <v>45318</v>
      </c>
      <c r="E394" s="60">
        <v>490.269</v>
      </c>
    </row>
    <row r="395" ht="16.5" spans="1:5">
      <c r="A395" s="51">
        <v>3045510.2985</v>
      </c>
      <c r="B395" s="52">
        <v>401065.2865</v>
      </c>
      <c r="C395" s="33">
        <v>670.12</v>
      </c>
      <c r="D395" s="11">
        <v>45319</v>
      </c>
      <c r="E395" s="60">
        <v>498.709</v>
      </c>
    </row>
    <row r="396" ht="16.5" spans="1:5">
      <c r="A396" s="51">
        <v>3045510.2985</v>
      </c>
      <c r="B396" s="52">
        <v>401065.2865</v>
      </c>
      <c r="C396" s="33">
        <v>670.12</v>
      </c>
      <c r="D396" s="11">
        <v>45320</v>
      </c>
      <c r="E396" s="60">
        <v>501.997</v>
      </c>
    </row>
    <row r="397" ht="16.5" spans="1:5">
      <c r="A397" s="51">
        <v>3045510.2985</v>
      </c>
      <c r="B397" s="52">
        <v>401065.2865</v>
      </c>
      <c r="C397" s="33">
        <v>670.12</v>
      </c>
      <c r="D397" s="11">
        <v>45321</v>
      </c>
      <c r="E397" s="60">
        <v>504.775</v>
      </c>
    </row>
    <row r="398" ht="16.5" spans="1:5">
      <c r="A398" s="51">
        <v>3045510.2985</v>
      </c>
      <c r="B398" s="52">
        <v>401065.2865</v>
      </c>
      <c r="C398" s="33">
        <v>670.12</v>
      </c>
      <c r="D398" s="11">
        <v>45322</v>
      </c>
      <c r="E398" s="60">
        <v>507.211</v>
      </c>
    </row>
    <row r="399" ht="16.5" spans="1:5">
      <c r="A399" s="51">
        <v>3045510.2985</v>
      </c>
      <c r="B399" s="52">
        <v>401065.2865</v>
      </c>
      <c r="C399" s="33">
        <v>670.12</v>
      </c>
      <c r="D399" s="11">
        <v>45323</v>
      </c>
      <c r="E399" s="60">
        <v>513.289</v>
      </c>
    </row>
    <row r="400" ht="16.5" spans="1:5">
      <c r="A400" s="51">
        <v>3045510.2985</v>
      </c>
      <c r="B400" s="52">
        <v>401065.2865</v>
      </c>
      <c r="C400" s="33">
        <v>670.12</v>
      </c>
      <c r="D400" s="11">
        <v>45324</v>
      </c>
      <c r="E400" s="60">
        <v>513.63</v>
      </c>
    </row>
    <row r="401" ht="16.5" spans="1:5">
      <c r="A401" s="51">
        <v>3045510.2985</v>
      </c>
      <c r="B401" s="52">
        <v>401065.2865</v>
      </c>
      <c r="C401" s="33">
        <v>670.12</v>
      </c>
      <c r="D401" s="11">
        <v>45325</v>
      </c>
      <c r="E401" s="60">
        <v>508.547</v>
      </c>
    </row>
    <row r="402" ht="16.5" spans="1:5">
      <c r="A402" s="51">
        <v>3045510.2985</v>
      </c>
      <c r="B402" s="52">
        <v>401065.2865</v>
      </c>
      <c r="C402" s="33">
        <v>670.12</v>
      </c>
      <c r="D402" s="11">
        <v>45326</v>
      </c>
      <c r="E402" s="60">
        <v>505.164</v>
      </c>
    </row>
    <row r="403" ht="16.5" spans="1:5">
      <c r="A403" s="51">
        <v>3045510.2985</v>
      </c>
      <c r="B403" s="52">
        <v>401065.2865</v>
      </c>
      <c r="C403" s="33">
        <v>670.12</v>
      </c>
      <c r="D403" s="11">
        <v>45327</v>
      </c>
      <c r="E403" s="60">
        <v>501.593</v>
      </c>
    </row>
    <row r="404" ht="16.5" spans="1:5">
      <c r="A404" s="51">
        <v>3045510.2985</v>
      </c>
      <c r="B404" s="52">
        <v>401065.2865</v>
      </c>
      <c r="C404" s="33">
        <v>670.12</v>
      </c>
      <c r="D404" s="11">
        <v>45328</v>
      </c>
      <c r="E404" s="60">
        <v>501.3</v>
      </c>
    </row>
    <row r="405" ht="16.5" spans="1:5">
      <c r="A405" s="51">
        <v>3045510.2985</v>
      </c>
      <c r="B405" s="52">
        <v>401065.2865</v>
      </c>
      <c r="C405" s="33">
        <v>670.12</v>
      </c>
      <c r="D405" s="11">
        <v>45329</v>
      </c>
      <c r="E405" s="60">
        <v>501.625</v>
      </c>
    </row>
    <row r="406" ht="16.5" spans="1:5">
      <c r="A406" s="51">
        <v>3045510.2985</v>
      </c>
      <c r="B406" s="52">
        <v>401065.2865</v>
      </c>
      <c r="C406" s="33">
        <v>670.12</v>
      </c>
      <c r="D406" s="11">
        <v>45330</v>
      </c>
      <c r="E406" s="60">
        <v>501.961</v>
      </c>
    </row>
    <row r="407" ht="16.5" spans="1:5">
      <c r="A407" s="51">
        <v>3045510.2985</v>
      </c>
      <c r="B407" s="52">
        <v>401065.2865</v>
      </c>
      <c r="C407" s="33">
        <v>670.12</v>
      </c>
      <c r="D407" s="11">
        <v>45331</v>
      </c>
      <c r="E407" s="60">
        <v>501.735</v>
      </c>
    </row>
    <row r="408" ht="16.5" spans="1:5">
      <c r="A408" s="51">
        <v>3045510.2985</v>
      </c>
      <c r="B408" s="52">
        <v>401065.2865</v>
      </c>
      <c r="C408" s="33">
        <v>670.12</v>
      </c>
      <c r="D408" s="11">
        <v>45332</v>
      </c>
      <c r="E408" s="60">
        <v>501.834</v>
      </c>
    </row>
    <row r="409" ht="16.5" spans="1:5">
      <c r="A409" s="51">
        <v>3045510.2985</v>
      </c>
      <c r="B409" s="52">
        <v>401065.2865</v>
      </c>
      <c r="C409" s="33">
        <v>670.12</v>
      </c>
      <c r="D409" s="11">
        <v>45333</v>
      </c>
      <c r="E409" s="60">
        <v>505.71</v>
      </c>
    </row>
    <row r="410" ht="16.5" spans="1:5">
      <c r="A410" s="51">
        <v>3045510.2985</v>
      </c>
      <c r="B410" s="52">
        <v>401065.2865</v>
      </c>
      <c r="C410" s="33">
        <v>670.12</v>
      </c>
      <c r="D410" s="11">
        <v>45334</v>
      </c>
      <c r="E410" s="60">
        <v>507.812</v>
      </c>
    </row>
    <row r="411" ht="16.5" spans="1:5">
      <c r="A411" s="51">
        <v>3045510.2985</v>
      </c>
      <c r="B411" s="52">
        <v>401065.2865</v>
      </c>
      <c r="C411" s="33">
        <v>670.12</v>
      </c>
      <c r="D411" s="11">
        <v>45335</v>
      </c>
      <c r="E411" s="60">
        <v>508.336</v>
      </c>
    </row>
    <row r="412" ht="16.5" spans="1:5">
      <c r="A412" s="51">
        <v>3045510.2985</v>
      </c>
      <c r="B412" s="52">
        <v>401065.2865</v>
      </c>
      <c r="C412" s="33">
        <v>670.12</v>
      </c>
      <c r="D412" s="11">
        <v>45336</v>
      </c>
      <c r="E412" s="61">
        <v>508.519</v>
      </c>
    </row>
    <row r="413" ht="16.5" spans="1:5">
      <c r="A413" s="51">
        <v>3045510.2985</v>
      </c>
      <c r="B413" s="52">
        <v>401065.2865</v>
      </c>
      <c r="C413" s="33">
        <v>670.12</v>
      </c>
      <c r="D413" s="11">
        <v>45337</v>
      </c>
      <c r="E413" s="55"/>
    </row>
    <row r="414" ht="16.5" spans="1:5">
      <c r="A414" s="51">
        <v>3045510.2985</v>
      </c>
      <c r="B414" s="52">
        <v>401065.2865</v>
      </c>
      <c r="C414" s="33">
        <v>670.12</v>
      </c>
      <c r="D414" s="11">
        <v>45338</v>
      </c>
      <c r="E414" s="55"/>
    </row>
    <row r="415" ht="16.5" spans="1:5">
      <c r="A415" s="51">
        <v>3045510.2985</v>
      </c>
      <c r="B415" s="52">
        <v>401065.2865</v>
      </c>
      <c r="C415" s="33">
        <v>670.12</v>
      </c>
      <c r="D415" s="11">
        <v>45339</v>
      </c>
      <c r="E415" s="55"/>
    </row>
    <row r="416" ht="16.5" spans="1:5">
      <c r="A416" s="51">
        <v>3045510.2985</v>
      </c>
      <c r="B416" s="52">
        <v>401065.2865</v>
      </c>
      <c r="C416" s="33">
        <v>670.12</v>
      </c>
      <c r="D416" s="11">
        <v>45340</v>
      </c>
      <c r="E416" s="55"/>
    </row>
    <row r="417" ht="16.5" spans="1:5">
      <c r="A417" s="51">
        <v>3045510.2985</v>
      </c>
      <c r="B417" s="52">
        <v>401065.2865</v>
      </c>
      <c r="C417" s="33">
        <v>670.12</v>
      </c>
      <c r="D417" s="11">
        <v>45341</v>
      </c>
      <c r="E417" s="60">
        <v>504.156</v>
      </c>
    </row>
    <row r="418" ht="16.5" spans="1:5">
      <c r="A418" s="51">
        <v>3045510.2985</v>
      </c>
      <c r="B418" s="52">
        <v>401065.2865</v>
      </c>
      <c r="C418" s="33">
        <v>670.12</v>
      </c>
      <c r="D418" s="11">
        <v>45342</v>
      </c>
      <c r="E418" s="60">
        <v>503.282</v>
      </c>
    </row>
    <row r="419" ht="16.5" spans="1:5">
      <c r="A419" s="51">
        <v>3045510.2985</v>
      </c>
      <c r="B419" s="52">
        <v>401065.2865</v>
      </c>
      <c r="C419" s="33">
        <v>670.12</v>
      </c>
      <c r="D419" s="11">
        <v>45343</v>
      </c>
      <c r="E419" s="60">
        <v>497.524</v>
      </c>
    </row>
    <row r="420" ht="16.5" spans="1:5">
      <c r="A420" s="51">
        <v>3045510.2985</v>
      </c>
      <c r="B420" s="52">
        <v>401065.2865</v>
      </c>
      <c r="C420" s="33">
        <v>670.12</v>
      </c>
      <c r="D420" s="11">
        <v>45344</v>
      </c>
      <c r="E420" s="60">
        <v>494.799</v>
      </c>
    </row>
    <row r="421" ht="16.5" spans="1:5">
      <c r="A421" s="51">
        <v>3045510.2985</v>
      </c>
      <c r="B421" s="52">
        <v>401065.2865</v>
      </c>
      <c r="C421" s="33">
        <v>670.12</v>
      </c>
      <c r="D421" s="11">
        <v>45345</v>
      </c>
      <c r="E421" s="60">
        <v>497.442</v>
      </c>
    </row>
    <row r="422" ht="16.5" spans="1:5">
      <c r="A422" s="51">
        <v>3045510.2985</v>
      </c>
      <c r="B422" s="52">
        <v>401065.2865</v>
      </c>
      <c r="C422" s="33">
        <v>670.12</v>
      </c>
      <c r="D422" s="11">
        <v>45346</v>
      </c>
      <c r="E422" s="60">
        <v>499.837</v>
      </c>
    </row>
    <row r="423" ht="16.5" spans="1:5">
      <c r="A423" s="51">
        <v>3045510.2985</v>
      </c>
      <c r="B423" s="52">
        <v>401065.2865</v>
      </c>
      <c r="C423" s="33">
        <v>670.12</v>
      </c>
      <c r="D423" s="11">
        <v>45347</v>
      </c>
      <c r="E423" s="60">
        <v>500.398</v>
      </c>
    </row>
    <row r="424" ht="16.5" spans="1:5">
      <c r="A424" s="51">
        <v>3045510.2985</v>
      </c>
      <c r="B424" s="52">
        <v>401065.2865</v>
      </c>
      <c r="C424" s="33">
        <v>670.12</v>
      </c>
      <c r="D424" s="11">
        <v>45348</v>
      </c>
      <c r="E424" s="60">
        <v>497.657</v>
      </c>
    </row>
    <row r="425" ht="16.5" spans="1:5">
      <c r="A425" s="51">
        <v>3045510.2985</v>
      </c>
      <c r="B425" s="52">
        <v>401065.2865</v>
      </c>
      <c r="C425" s="33">
        <v>670.12</v>
      </c>
      <c r="D425" s="11">
        <v>45349</v>
      </c>
      <c r="E425" s="60">
        <v>496.446</v>
      </c>
    </row>
    <row r="426" ht="16.5" spans="1:5">
      <c r="A426" s="51">
        <v>3045510.2985</v>
      </c>
      <c r="B426" s="52">
        <v>401065.2865</v>
      </c>
      <c r="C426" s="33">
        <v>670.12</v>
      </c>
      <c r="D426" s="11">
        <v>45350</v>
      </c>
      <c r="E426" s="60">
        <v>497.944</v>
      </c>
    </row>
    <row r="427" ht="16.5" spans="1:5">
      <c r="A427" s="51">
        <v>3045510.2985</v>
      </c>
      <c r="B427" s="52">
        <v>401065.2865</v>
      </c>
      <c r="C427" s="33">
        <v>670.12</v>
      </c>
      <c r="D427" s="11">
        <v>45351</v>
      </c>
      <c r="E427" s="60">
        <v>498.577</v>
      </c>
    </row>
    <row r="428" ht="16.5" spans="1:5">
      <c r="A428" s="51">
        <v>3045510.2985</v>
      </c>
      <c r="B428" s="52">
        <v>401065.2865</v>
      </c>
      <c r="C428" s="33">
        <v>670.12</v>
      </c>
      <c r="D428" s="11">
        <v>45352</v>
      </c>
      <c r="E428" s="60">
        <v>498.892</v>
      </c>
    </row>
    <row r="429" ht="16.5" spans="1:5">
      <c r="A429" s="51">
        <v>3045510.2985</v>
      </c>
      <c r="B429" s="52">
        <v>401065.2865</v>
      </c>
      <c r="C429" s="33">
        <v>670.12</v>
      </c>
      <c r="D429" s="11">
        <v>45353</v>
      </c>
      <c r="E429" s="60">
        <v>498.577</v>
      </c>
    </row>
    <row r="430" ht="16.5" spans="1:5">
      <c r="A430" s="51">
        <v>3045510.2985</v>
      </c>
      <c r="B430" s="52">
        <v>401065.2865</v>
      </c>
      <c r="C430" s="33">
        <v>670.12</v>
      </c>
      <c r="D430" s="11">
        <v>45354</v>
      </c>
      <c r="E430" s="60">
        <v>498.892</v>
      </c>
    </row>
    <row r="431" ht="16.5" spans="1:5">
      <c r="A431" s="51">
        <v>3045510.2985</v>
      </c>
      <c r="B431" s="52">
        <v>401065.2865</v>
      </c>
      <c r="C431" s="33">
        <v>670.12</v>
      </c>
      <c r="D431" s="11">
        <v>45355</v>
      </c>
      <c r="E431" s="60">
        <v>498.901</v>
      </c>
    </row>
    <row r="432" ht="16.5" spans="1:5">
      <c r="A432" s="51">
        <v>3045510.2985</v>
      </c>
      <c r="B432" s="52">
        <v>401065.2865</v>
      </c>
      <c r="C432" s="33">
        <v>670.12</v>
      </c>
      <c r="D432" s="11">
        <v>45356</v>
      </c>
      <c r="E432" s="60">
        <v>498.719</v>
      </c>
    </row>
    <row r="433" ht="16.5" spans="1:5">
      <c r="A433" s="51">
        <v>3045510.2985</v>
      </c>
      <c r="B433" s="52">
        <v>401065.2865</v>
      </c>
      <c r="C433" s="33">
        <v>670.12</v>
      </c>
      <c r="D433" s="11">
        <v>45357</v>
      </c>
      <c r="E433" s="60">
        <v>498.226</v>
      </c>
    </row>
    <row r="434" ht="16.5" spans="1:5">
      <c r="A434" s="51">
        <v>3045510.2985</v>
      </c>
      <c r="B434" s="52">
        <v>401065.2865</v>
      </c>
      <c r="C434" s="33">
        <v>670.12</v>
      </c>
      <c r="D434" s="11">
        <v>45358</v>
      </c>
      <c r="E434" s="60">
        <v>497.987</v>
      </c>
    </row>
    <row r="435" ht="16.5" spans="1:5">
      <c r="A435" s="51">
        <v>3045510.2985</v>
      </c>
      <c r="B435" s="52">
        <v>401065.2865</v>
      </c>
      <c r="C435" s="33">
        <v>670.12</v>
      </c>
      <c r="D435" s="11">
        <v>45359</v>
      </c>
      <c r="E435" s="60">
        <v>497.092</v>
      </c>
    </row>
    <row r="436" ht="16.5" spans="1:5">
      <c r="A436" s="51">
        <v>3045510.2985</v>
      </c>
      <c r="B436" s="52">
        <v>401065.2865</v>
      </c>
      <c r="C436" s="33">
        <v>670.12</v>
      </c>
      <c r="D436" s="11">
        <v>45360</v>
      </c>
      <c r="E436" s="60">
        <v>497.054</v>
      </c>
    </row>
    <row r="437" ht="16.5" spans="1:5">
      <c r="A437" s="51">
        <v>3045510.2985</v>
      </c>
      <c r="B437" s="52">
        <v>401065.2865</v>
      </c>
      <c r="C437" s="33">
        <v>670.12</v>
      </c>
      <c r="D437" s="11">
        <v>45361</v>
      </c>
      <c r="E437" s="60"/>
    </row>
    <row r="438" ht="16.5" spans="1:5">
      <c r="A438" s="51">
        <v>3045510.2985</v>
      </c>
      <c r="B438" s="52">
        <v>401065.2865</v>
      </c>
      <c r="C438" s="33">
        <v>670.12</v>
      </c>
      <c r="D438" s="11">
        <v>45362</v>
      </c>
      <c r="E438" s="60"/>
    </row>
    <row r="439" ht="16.5" spans="1:5">
      <c r="A439" s="51">
        <v>3045510.2985</v>
      </c>
      <c r="B439" s="52">
        <v>401065.2865</v>
      </c>
      <c r="C439" s="33">
        <v>670.12</v>
      </c>
      <c r="D439" s="11">
        <v>45363</v>
      </c>
      <c r="E439" s="60"/>
    </row>
    <row r="440" ht="16.5" spans="1:5">
      <c r="A440" s="51">
        <v>3045510.2985</v>
      </c>
      <c r="B440" s="52">
        <v>401065.2865</v>
      </c>
      <c r="C440" s="33">
        <v>670.12</v>
      </c>
      <c r="D440" s="11">
        <v>45364</v>
      </c>
      <c r="E440" s="60"/>
    </row>
    <row r="441" ht="16.5" spans="1:5">
      <c r="A441" s="51">
        <v>3045510.2985</v>
      </c>
      <c r="B441" s="52">
        <v>401065.2865</v>
      </c>
      <c r="C441" s="33">
        <v>670.12</v>
      </c>
      <c r="D441" s="11">
        <v>45365</v>
      </c>
      <c r="E441" s="60"/>
    </row>
    <row r="442" ht="16.5" spans="1:5">
      <c r="A442" s="51">
        <v>3045510.2985</v>
      </c>
      <c r="B442" s="52">
        <v>401065.2865</v>
      </c>
      <c r="C442" s="33">
        <v>670.12</v>
      </c>
      <c r="D442" s="11">
        <v>45366</v>
      </c>
      <c r="E442" s="60"/>
    </row>
    <row r="443" ht="16.5" spans="1:5">
      <c r="A443" s="51">
        <v>3045510.2985</v>
      </c>
      <c r="B443" s="52">
        <v>401065.2865</v>
      </c>
      <c r="C443" s="33">
        <v>670.12</v>
      </c>
      <c r="D443" s="11">
        <v>45367</v>
      </c>
      <c r="E443" s="60"/>
    </row>
    <row r="444" ht="16.5" spans="1:5">
      <c r="A444" s="51">
        <v>3045510.2985</v>
      </c>
      <c r="B444" s="52">
        <v>401065.2865</v>
      </c>
      <c r="C444" s="33">
        <v>670.12</v>
      </c>
      <c r="D444" s="11">
        <v>45368</v>
      </c>
      <c r="E444" s="60"/>
    </row>
    <row r="445" ht="16.5" spans="1:5">
      <c r="A445" s="51">
        <v>3045510.2985</v>
      </c>
      <c r="B445" s="52">
        <v>401065.2865</v>
      </c>
      <c r="C445" s="33">
        <v>670.12</v>
      </c>
      <c r="D445" s="11">
        <v>45369</v>
      </c>
      <c r="E445" s="60"/>
    </row>
    <row r="446" ht="16.5" spans="1:5">
      <c r="A446" s="51">
        <v>3045510.2985</v>
      </c>
      <c r="B446" s="52">
        <v>401065.2865</v>
      </c>
      <c r="C446" s="33">
        <v>670.12</v>
      </c>
      <c r="D446" s="11">
        <v>45370</v>
      </c>
      <c r="E446" s="60"/>
    </row>
    <row r="447" ht="16.5" spans="1:5">
      <c r="A447" s="51">
        <v>3045510.2985</v>
      </c>
      <c r="B447" s="52">
        <v>401065.2865</v>
      </c>
      <c r="C447" s="33">
        <v>670.12</v>
      </c>
      <c r="D447" s="11">
        <v>45371</v>
      </c>
      <c r="E447" s="60"/>
    </row>
    <row r="448" ht="16.5" spans="1:5">
      <c r="A448" s="51">
        <v>3045510.2985</v>
      </c>
      <c r="B448" s="52">
        <v>401065.2865</v>
      </c>
      <c r="C448" s="33">
        <v>670.12</v>
      </c>
      <c r="D448" s="11">
        <v>45372</v>
      </c>
      <c r="E448" s="60"/>
    </row>
    <row r="449" ht="16.5" spans="1:5">
      <c r="A449" s="51">
        <v>3045510.2985</v>
      </c>
      <c r="B449" s="52">
        <v>401065.2865</v>
      </c>
      <c r="C449" s="33">
        <v>670.12</v>
      </c>
      <c r="D449" s="11">
        <v>45373</v>
      </c>
      <c r="E449" s="60"/>
    </row>
    <row r="450" ht="16.5" spans="1:5">
      <c r="A450" s="51">
        <v>3045510.2985</v>
      </c>
      <c r="B450" s="52">
        <v>401065.2865</v>
      </c>
      <c r="C450" s="33">
        <v>670.12</v>
      </c>
      <c r="D450" s="11">
        <v>45374</v>
      </c>
      <c r="E450" s="60"/>
    </row>
    <row r="451" ht="16.5" spans="1:5">
      <c r="A451" s="51">
        <v>3045510.2985</v>
      </c>
      <c r="B451" s="52">
        <v>401065.2865</v>
      </c>
      <c r="C451" s="33">
        <v>670.12</v>
      </c>
      <c r="D451" s="11">
        <v>45375</v>
      </c>
      <c r="E451" s="60"/>
    </row>
    <row r="452" ht="16.5" spans="1:5">
      <c r="A452" s="51">
        <v>3045510.2985</v>
      </c>
      <c r="B452" s="52">
        <v>401065.2865</v>
      </c>
      <c r="C452" s="33">
        <v>670.12</v>
      </c>
      <c r="D452" s="11">
        <v>45376</v>
      </c>
      <c r="E452" s="60"/>
    </row>
    <row r="453" ht="16.5" spans="1:5">
      <c r="A453" s="51">
        <v>3045510.2985</v>
      </c>
      <c r="B453" s="52">
        <v>401065.2865</v>
      </c>
      <c r="C453" s="33">
        <v>670.12</v>
      </c>
      <c r="D453" s="11">
        <v>45377</v>
      </c>
      <c r="E453" s="60"/>
    </row>
    <row r="454" ht="16.5" spans="1:5">
      <c r="A454" s="51">
        <v>3045510.2985</v>
      </c>
      <c r="B454" s="52">
        <v>401065.2865</v>
      </c>
      <c r="C454" s="33">
        <v>670.12</v>
      </c>
      <c r="D454" s="11">
        <v>45378</v>
      </c>
      <c r="E454" s="60"/>
    </row>
    <row r="455" ht="16.5" spans="1:5">
      <c r="A455" s="51">
        <v>3045510.2985</v>
      </c>
      <c r="B455" s="52">
        <v>401065.2865</v>
      </c>
      <c r="C455" s="33">
        <v>670.12</v>
      </c>
      <c r="D455" s="11">
        <v>45379</v>
      </c>
      <c r="E455" s="60"/>
    </row>
    <row r="456" ht="16.5" spans="1:5">
      <c r="A456" s="51">
        <v>3045510.2985</v>
      </c>
      <c r="B456" s="52">
        <v>401065.2865</v>
      </c>
      <c r="C456" s="33">
        <v>670.12</v>
      </c>
      <c r="D456" s="11">
        <v>45380</v>
      </c>
      <c r="E456" s="60"/>
    </row>
    <row r="457" ht="16.5" spans="1:5">
      <c r="A457" s="51">
        <v>3045510.2985</v>
      </c>
      <c r="B457" s="52">
        <v>401065.2865</v>
      </c>
      <c r="C457" s="33">
        <v>670.12</v>
      </c>
      <c r="D457" s="11">
        <v>45381</v>
      </c>
      <c r="E457" s="60"/>
    </row>
    <row r="458" ht="16.5" spans="1:5">
      <c r="A458" s="51">
        <v>3045510.2985</v>
      </c>
      <c r="B458" s="52">
        <v>401065.2865</v>
      </c>
      <c r="C458" s="33">
        <v>670.12</v>
      </c>
      <c r="D458" s="11">
        <v>45382</v>
      </c>
      <c r="E458" s="60"/>
    </row>
    <row r="459" ht="16.5" spans="1:5">
      <c r="A459" s="51">
        <v>3045510.2985</v>
      </c>
      <c r="B459" s="52">
        <v>401065.2865</v>
      </c>
      <c r="C459" s="33">
        <v>670.12</v>
      </c>
      <c r="D459" s="11">
        <v>45383</v>
      </c>
      <c r="E459" s="60"/>
    </row>
    <row r="460" ht="16.5" spans="1:5">
      <c r="A460" s="51">
        <v>3045510.2985</v>
      </c>
      <c r="B460" s="52">
        <v>401065.2865</v>
      </c>
      <c r="C460" s="33">
        <v>670.12</v>
      </c>
      <c r="D460" s="11">
        <v>45384</v>
      </c>
      <c r="E460" s="60"/>
    </row>
    <row r="461" ht="16.5" spans="1:5">
      <c r="A461" s="51">
        <v>3045510.2985</v>
      </c>
      <c r="B461" s="52">
        <v>401065.2865</v>
      </c>
      <c r="C461" s="33">
        <v>670.12</v>
      </c>
      <c r="D461" s="11">
        <v>45385</v>
      </c>
      <c r="E461" s="60">
        <v>475.267</v>
      </c>
    </row>
    <row r="462" ht="16.5" spans="1:5">
      <c r="A462" s="51">
        <v>3045510.2985</v>
      </c>
      <c r="B462" s="52">
        <v>401065.2865</v>
      </c>
      <c r="C462" s="33">
        <v>670.12</v>
      </c>
      <c r="D462" s="11">
        <v>45386</v>
      </c>
      <c r="E462" s="60">
        <v>474.4</v>
      </c>
    </row>
    <row r="463" ht="16.5" spans="1:5">
      <c r="A463" s="51">
        <v>3045510.2985</v>
      </c>
      <c r="B463" s="52">
        <v>401065.2865</v>
      </c>
      <c r="C463" s="33">
        <v>670.12</v>
      </c>
      <c r="D463" s="11">
        <v>45387</v>
      </c>
      <c r="E463" s="60">
        <v>473.965</v>
      </c>
    </row>
    <row r="464" ht="16.5" spans="1:5">
      <c r="A464" s="51">
        <v>3045510.2985</v>
      </c>
      <c r="B464" s="52">
        <v>401065.2865</v>
      </c>
      <c r="C464" s="33">
        <v>670.12</v>
      </c>
      <c r="D464" s="11">
        <v>45388</v>
      </c>
      <c r="E464" s="60">
        <v>473.613</v>
      </c>
    </row>
    <row r="465" ht="16.5" spans="1:5">
      <c r="A465" s="51">
        <v>3045510.2985</v>
      </c>
      <c r="B465" s="52">
        <v>401065.2865</v>
      </c>
      <c r="C465" s="33">
        <v>670.12</v>
      </c>
      <c r="D465" s="11">
        <v>45389</v>
      </c>
      <c r="E465" s="60">
        <v>473.168</v>
      </c>
    </row>
    <row r="466" ht="16.5" spans="1:5">
      <c r="A466" s="51">
        <v>3045510.2985</v>
      </c>
      <c r="B466" s="52">
        <v>401065.2865</v>
      </c>
      <c r="C466" s="33">
        <v>670.12</v>
      </c>
      <c r="D466" s="11">
        <v>45390</v>
      </c>
      <c r="E466" s="60">
        <v>472.87</v>
      </c>
    </row>
    <row r="467" ht="16.5" spans="1:5">
      <c r="A467" s="51">
        <v>3045510.2985</v>
      </c>
      <c r="B467" s="52">
        <v>401065.2865</v>
      </c>
      <c r="C467" s="33">
        <v>670.12</v>
      </c>
      <c r="D467" s="11">
        <v>45391</v>
      </c>
      <c r="E467" s="60">
        <v>472.87</v>
      </c>
    </row>
    <row r="468" ht="16.5" spans="1:5">
      <c r="A468" s="51">
        <v>3045510.2985</v>
      </c>
      <c r="B468" s="52">
        <v>401065.2865</v>
      </c>
      <c r="C468" s="33">
        <v>670.12</v>
      </c>
      <c r="D468" s="11">
        <v>45392</v>
      </c>
      <c r="E468" s="60">
        <v>472.87</v>
      </c>
    </row>
    <row r="469" ht="16.5" spans="1:5">
      <c r="A469" s="51">
        <v>3045510.2985</v>
      </c>
      <c r="B469" s="52">
        <v>401065.2865</v>
      </c>
      <c r="C469" s="33">
        <v>670.12</v>
      </c>
      <c r="D469" s="11">
        <v>45393</v>
      </c>
      <c r="E469" s="60">
        <v>472.87</v>
      </c>
    </row>
    <row r="470" ht="16.5" spans="1:5">
      <c r="A470" s="51">
        <v>3045510.2985</v>
      </c>
      <c r="B470" s="52">
        <v>401065.2865</v>
      </c>
      <c r="C470" s="33">
        <v>670.12</v>
      </c>
      <c r="D470" s="11">
        <v>45394</v>
      </c>
      <c r="E470" s="60">
        <v>472.87</v>
      </c>
    </row>
    <row r="471" ht="16.5" spans="1:5">
      <c r="A471" s="51">
        <v>3045510.2985</v>
      </c>
      <c r="B471" s="52">
        <v>401065.2865</v>
      </c>
      <c r="C471" s="33">
        <v>670.12</v>
      </c>
      <c r="D471" s="11">
        <v>45395</v>
      </c>
      <c r="E471" s="60">
        <v>472.87</v>
      </c>
    </row>
    <row r="472" ht="16.5" spans="1:5">
      <c r="A472" s="51">
        <v>3045510.2985</v>
      </c>
      <c r="B472" s="52">
        <v>401065.2865</v>
      </c>
      <c r="C472" s="33">
        <v>670.12</v>
      </c>
      <c r="D472" s="11">
        <v>45396</v>
      </c>
      <c r="E472" s="60"/>
    </row>
    <row r="473" ht="16.5" spans="1:5">
      <c r="A473" s="51">
        <v>3045510.2985</v>
      </c>
      <c r="B473" s="52">
        <v>401065.2865</v>
      </c>
      <c r="C473" s="33">
        <v>670.12</v>
      </c>
      <c r="D473" s="11">
        <v>45397</v>
      </c>
      <c r="E473" s="60"/>
    </row>
    <row r="474" ht="16.5" spans="1:5">
      <c r="A474" s="51">
        <v>3045510.2985</v>
      </c>
      <c r="B474" s="52">
        <v>401065.2865</v>
      </c>
      <c r="C474" s="33">
        <v>670.12</v>
      </c>
      <c r="D474" s="11">
        <v>45398</v>
      </c>
      <c r="E474" s="60"/>
    </row>
    <row r="475" ht="16.5" spans="1:5">
      <c r="A475" s="51">
        <v>3045510.2985</v>
      </c>
      <c r="B475" s="52">
        <v>401065.2865</v>
      </c>
      <c r="C475" s="33">
        <v>670.12</v>
      </c>
      <c r="D475" s="11">
        <v>45399</v>
      </c>
      <c r="E475" s="60"/>
    </row>
    <row r="476" ht="16.5" spans="1:5">
      <c r="A476" s="51">
        <v>3045510.2985</v>
      </c>
      <c r="B476" s="52">
        <v>401065.2865</v>
      </c>
      <c r="C476" s="33">
        <v>670.12</v>
      </c>
      <c r="D476" s="11">
        <v>45400</v>
      </c>
      <c r="E476" s="60"/>
    </row>
    <row r="477" ht="16.5" spans="1:5">
      <c r="A477" s="51">
        <v>3045510.2985</v>
      </c>
      <c r="B477" s="52">
        <v>401065.2865</v>
      </c>
      <c r="C477" s="33">
        <v>670.12</v>
      </c>
      <c r="D477" s="11">
        <v>45401</v>
      </c>
      <c r="E477" s="60">
        <v>472.87</v>
      </c>
    </row>
    <row r="478" ht="16.5" spans="1:5">
      <c r="A478" s="51">
        <v>3045510.2985</v>
      </c>
      <c r="B478" s="52">
        <v>401065.2865</v>
      </c>
      <c r="C478" s="33">
        <v>670.12</v>
      </c>
      <c r="D478" s="11">
        <v>45402</v>
      </c>
      <c r="E478" s="60"/>
    </row>
    <row r="479" ht="16.5" spans="1:5">
      <c r="A479" s="51">
        <v>3045510.2985</v>
      </c>
      <c r="B479" s="52">
        <v>401065.2865</v>
      </c>
      <c r="C479" s="33">
        <v>670.12</v>
      </c>
      <c r="D479" s="11">
        <v>45403</v>
      </c>
      <c r="E479" s="60"/>
    </row>
    <row r="480" ht="16.5" spans="1:5">
      <c r="A480" s="51">
        <v>3045510.2985</v>
      </c>
      <c r="B480" s="52">
        <v>401065.2865</v>
      </c>
      <c r="C480" s="33">
        <v>670.12</v>
      </c>
      <c r="D480" s="11">
        <v>45404</v>
      </c>
      <c r="E480" s="60"/>
    </row>
    <row r="481" ht="16.5" spans="1:5">
      <c r="A481" s="51">
        <v>3045510.2985</v>
      </c>
      <c r="B481" s="52">
        <v>401065.2865</v>
      </c>
      <c r="C481" s="33">
        <v>670.12</v>
      </c>
      <c r="D481" s="11">
        <v>45405</v>
      </c>
      <c r="E481" s="60"/>
    </row>
    <row r="482" ht="16.5" spans="1:5">
      <c r="A482" s="51">
        <v>3045510.2985</v>
      </c>
      <c r="B482" s="52">
        <v>401065.2865</v>
      </c>
      <c r="C482" s="33">
        <v>670.12</v>
      </c>
      <c r="D482" s="11">
        <v>45406</v>
      </c>
      <c r="E482" s="60"/>
    </row>
    <row r="483" ht="16.5" spans="1:5">
      <c r="A483" s="51">
        <v>3045510.2985</v>
      </c>
      <c r="B483" s="52">
        <v>401065.2865</v>
      </c>
      <c r="C483" s="33">
        <v>670.12</v>
      </c>
      <c r="D483" s="11">
        <v>45407</v>
      </c>
      <c r="E483" s="60"/>
    </row>
    <row r="484" ht="16.5" spans="1:5">
      <c r="A484" s="51">
        <v>3045510.2985</v>
      </c>
      <c r="B484" s="52">
        <v>401065.2865</v>
      </c>
      <c r="C484" s="33">
        <v>670.12</v>
      </c>
      <c r="D484" s="11">
        <v>45408</v>
      </c>
      <c r="E484" s="60"/>
    </row>
    <row r="485" ht="16.5" spans="1:5">
      <c r="A485" s="51">
        <v>3045510.2985</v>
      </c>
      <c r="B485" s="52">
        <v>401065.2865</v>
      </c>
      <c r="C485" s="33">
        <v>670.12</v>
      </c>
      <c r="D485" s="11">
        <v>45409</v>
      </c>
      <c r="E485" s="60">
        <v>472.87</v>
      </c>
    </row>
    <row r="486" ht="16.5" spans="1:5">
      <c r="A486" s="51">
        <v>3045510.2985</v>
      </c>
      <c r="B486" s="52">
        <v>401065.2865</v>
      </c>
      <c r="C486" s="33">
        <v>670.12</v>
      </c>
      <c r="D486" s="11">
        <v>45410</v>
      </c>
      <c r="E486" s="60"/>
    </row>
    <row r="487" ht="16.5" spans="1:5">
      <c r="A487" s="51">
        <v>3045510.2985</v>
      </c>
      <c r="B487" s="52">
        <v>401065.2865</v>
      </c>
      <c r="C487" s="33">
        <v>670.12</v>
      </c>
      <c r="D487" s="11">
        <v>45411</v>
      </c>
      <c r="E487" s="60"/>
    </row>
    <row r="488" ht="16.5" spans="1:5">
      <c r="A488" s="51">
        <v>3045510.2985</v>
      </c>
      <c r="B488" s="52">
        <v>401065.2865</v>
      </c>
      <c r="C488" s="33">
        <v>670.12</v>
      </c>
      <c r="D488" s="11">
        <v>45412</v>
      </c>
      <c r="E488" s="60"/>
    </row>
    <row r="489" ht="16.5" spans="1:5">
      <c r="A489" s="51">
        <v>3045510.2985</v>
      </c>
      <c r="B489" s="52">
        <v>401065.2865</v>
      </c>
      <c r="C489" s="33">
        <v>670.12</v>
      </c>
      <c r="D489" s="11">
        <v>45413</v>
      </c>
      <c r="E489" s="60"/>
    </row>
    <row r="490" ht="16.5" spans="1:5">
      <c r="A490" s="51">
        <v>3045510.2985</v>
      </c>
      <c r="B490" s="52">
        <v>401065.2865</v>
      </c>
      <c r="C490" s="33">
        <v>670.12</v>
      </c>
      <c r="D490" s="11">
        <v>45414</v>
      </c>
      <c r="E490" s="60"/>
    </row>
    <row r="491" ht="16.5" spans="1:5">
      <c r="A491" s="51">
        <v>3045510.2985</v>
      </c>
      <c r="B491" s="52">
        <v>401065.2865</v>
      </c>
      <c r="C491" s="33">
        <v>670.12</v>
      </c>
      <c r="D491" s="11">
        <v>45415</v>
      </c>
      <c r="E491" s="60"/>
    </row>
    <row r="492" ht="16.5" spans="1:5">
      <c r="A492" s="51">
        <v>3045510.2985</v>
      </c>
      <c r="B492" s="52">
        <v>401065.2865</v>
      </c>
      <c r="C492" s="33">
        <v>670.12</v>
      </c>
      <c r="D492" s="11">
        <v>45416</v>
      </c>
      <c r="E492" s="60"/>
    </row>
    <row r="493" ht="16.5" spans="1:5">
      <c r="A493" s="51">
        <v>3045510.2985</v>
      </c>
      <c r="B493" s="52">
        <v>401065.2865</v>
      </c>
      <c r="C493" s="33">
        <v>670.12</v>
      </c>
      <c r="D493" s="11">
        <v>45417</v>
      </c>
      <c r="E493" s="60"/>
    </row>
    <row r="494" ht="16.5" spans="1:5">
      <c r="A494" s="51">
        <v>3045510.2985</v>
      </c>
      <c r="B494" s="52">
        <v>401065.2865</v>
      </c>
      <c r="C494" s="33">
        <v>670.12</v>
      </c>
      <c r="D494" s="11">
        <v>45418</v>
      </c>
      <c r="E494" s="60">
        <v>472.87</v>
      </c>
    </row>
    <row r="495" ht="16.5" spans="1:5">
      <c r="A495" s="51">
        <v>3045510.2985</v>
      </c>
      <c r="B495" s="52">
        <v>401065.2865</v>
      </c>
      <c r="C495" s="33">
        <v>670.12</v>
      </c>
      <c r="D495" s="11">
        <v>45419</v>
      </c>
      <c r="E495" s="60">
        <v>513.852</v>
      </c>
    </row>
    <row r="496" ht="16.5" spans="1:5">
      <c r="A496" s="51">
        <v>3045510.2985</v>
      </c>
      <c r="B496" s="52">
        <v>401065.2865</v>
      </c>
      <c r="C496" s="33">
        <v>670.12</v>
      </c>
      <c r="D496" s="11">
        <v>45420</v>
      </c>
      <c r="E496" s="60">
        <v>508.411</v>
      </c>
    </row>
    <row r="497" ht="16.5" spans="1:5">
      <c r="A497" s="51">
        <v>3045510.2985</v>
      </c>
      <c r="B497" s="52">
        <v>401065.2865</v>
      </c>
      <c r="C497" s="33">
        <v>670.12</v>
      </c>
      <c r="D497" s="11">
        <v>45421</v>
      </c>
      <c r="E497" s="60">
        <v>506.234</v>
      </c>
    </row>
    <row r="498" ht="16.5" spans="1:5">
      <c r="A498" s="51">
        <v>3045510.2985</v>
      </c>
      <c r="B498" s="52">
        <v>401065.2865</v>
      </c>
      <c r="C498" s="33">
        <v>670.12</v>
      </c>
      <c r="D498" s="11">
        <v>45422</v>
      </c>
      <c r="E498" s="60">
        <v>506.055</v>
      </c>
    </row>
    <row r="499" ht="16.5" spans="1:5">
      <c r="A499" s="51">
        <v>3045510.2985</v>
      </c>
      <c r="B499" s="52">
        <v>401065.2865</v>
      </c>
      <c r="C499" s="33">
        <v>670.12</v>
      </c>
      <c r="D499" s="11">
        <v>45423</v>
      </c>
      <c r="E499" s="60">
        <v>506.605</v>
      </c>
    </row>
  </sheetData>
  <mergeCells count="1">
    <mergeCell ref="A1:C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F3" sqref="F3"/>
    </sheetView>
  </sheetViews>
  <sheetFormatPr defaultColWidth="9" defaultRowHeight="15" outlineLevelCol="5"/>
  <cols>
    <col min="1" max="1" width="17.375" style="2" customWidth="1"/>
    <col min="2" max="2" width="13.5" style="2" customWidth="1"/>
    <col min="3" max="3" width="19.25" customWidth="1"/>
    <col min="4" max="4" width="17.25" style="1" customWidth="1"/>
    <col min="6" max="6" width="26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5.75" spans="1:6">
      <c r="A3" s="46">
        <v>3045230.932</v>
      </c>
      <c r="B3" s="46">
        <v>35401066.05</v>
      </c>
      <c r="C3" s="47">
        <v>907.026</v>
      </c>
      <c r="D3" s="34">
        <v>44927</v>
      </c>
      <c r="E3" s="37"/>
      <c r="F3" s="35" t="s">
        <v>3066</v>
      </c>
    </row>
    <row r="4" ht="15.75" spans="1:5">
      <c r="A4" s="46">
        <v>3045230.932</v>
      </c>
      <c r="B4" s="46">
        <v>35401066.05</v>
      </c>
      <c r="C4" s="47">
        <v>907.026</v>
      </c>
      <c r="D4" s="11">
        <v>44928</v>
      </c>
      <c r="E4" s="37"/>
    </row>
    <row r="5" ht="15.75" spans="1:5">
      <c r="A5" s="46">
        <v>3045230.932</v>
      </c>
      <c r="B5" s="46">
        <v>35401066.05</v>
      </c>
      <c r="C5" s="47">
        <v>907.026</v>
      </c>
      <c r="D5" s="11">
        <v>44929</v>
      </c>
      <c r="E5" s="37"/>
    </row>
    <row r="6" ht="15.75" spans="1:5">
      <c r="A6" s="46">
        <v>3045230.932</v>
      </c>
      <c r="B6" s="46">
        <v>35401066.05</v>
      </c>
      <c r="C6" s="47">
        <v>907.026</v>
      </c>
      <c r="D6" s="11">
        <v>44930</v>
      </c>
      <c r="E6" s="37"/>
    </row>
    <row r="7" ht="15.75" spans="1:5">
      <c r="A7" s="46">
        <v>3045230.932</v>
      </c>
      <c r="B7" s="46">
        <v>35401066.05</v>
      </c>
      <c r="C7" s="47">
        <v>907.026</v>
      </c>
      <c r="D7" s="11">
        <v>44931</v>
      </c>
      <c r="E7" s="38"/>
    </row>
    <row r="8" ht="15.75" spans="1:5">
      <c r="A8" s="46">
        <v>3045230.932</v>
      </c>
      <c r="B8" s="46">
        <v>35401066.05</v>
      </c>
      <c r="C8" s="47">
        <v>907.026</v>
      </c>
      <c r="D8" s="11">
        <v>44932</v>
      </c>
      <c r="E8" s="39"/>
    </row>
    <row r="9" ht="15.75" spans="1:5">
      <c r="A9" s="46">
        <v>3045230.932</v>
      </c>
      <c r="B9" s="46">
        <v>35401066.05</v>
      </c>
      <c r="C9" s="47">
        <v>907.026</v>
      </c>
      <c r="D9" s="11">
        <v>44933</v>
      </c>
      <c r="E9" s="39"/>
    </row>
    <row r="10" ht="15.75" spans="1:5">
      <c r="A10" s="46">
        <v>3045230.932</v>
      </c>
      <c r="B10" s="46">
        <v>35401066.05</v>
      </c>
      <c r="C10" s="47">
        <v>907.026</v>
      </c>
      <c r="D10" s="11">
        <v>44934</v>
      </c>
      <c r="E10" s="39"/>
    </row>
    <row r="11" ht="15.75" spans="1:5">
      <c r="A11" s="46">
        <v>3045230.932</v>
      </c>
      <c r="B11" s="46">
        <v>35401066.05</v>
      </c>
      <c r="C11" s="47">
        <v>907.026</v>
      </c>
      <c r="D11" s="11">
        <v>44935</v>
      </c>
      <c r="E11" s="39"/>
    </row>
    <row r="12" ht="15.75" spans="1:5">
      <c r="A12" s="46">
        <v>3045230.932</v>
      </c>
      <c r="B12" s="46">
        <v>35401066.05</v>
      </c>
      <c r="C12" s="47">
        <v>907.026</v>
      </c>
      <c r="D12" s="11">
        <v>44936</v>
      </c>
      <c r="E12" s="39"/>
    </row>
    <row r="13" ht="15.75" spans="1:5">
      <c r="A13" s="46">
        <v>3045230.932</v>
      </c>
      <c r="B13" s="46">
        <v>35401066.05</v>
      </c>
      <c r="C13" s="47">
        <v>907.026</v>
      </c>
      <c r="D13" s="11">
        <v>44937</v>
      </c>
      <c r="E13" s="39"/>
    </row>
    <row r="14" ht="15.75" spans="1:5">
      <c r="A14" s="46">
        <v>3045230.932</v>
      </c>
      <c r="B14" s="46">
        <v>35401066.05</v>
      </c>
      <c r="C14" s="47">
        <v>907.026</v>
      </c>
      <c r="D14" s="11">
        <v>44938</v>
      </c>
      <c r="E14" s="37"/>
    </row>
    <row r="15" ht="15.75" spans="1:5">
      <c r="A15" s="46">
        <v>3045230.932</v>
      </c>
      <c r="B15" s="46">
        <v>35401066.05</v>
      </c>
      <c r="C15" s="47">
        <v>907.026</v>
      </c>
      <c r="D15" s="11">
        <v>44939</v>
      </c>
      <c r="E15" s="37"/>
    </row>
    <row r="16" ht="15.75" spans="1:5">
      <c r="A16" s="46">
        <v>3045230.932</v>
      </c>
      <c r="B16" s="46">
        <v>35401066.05</v>
      </c>
      <c r="C16" s="47">
        <v>907.026</v>
      </c>
      <c r="D16" s="11">
        <v>44940</v>
      </c>
      <c r="E16" s="37"/>
    </row>
    <row r="17" ht="15.75" spans="1:5">
      <c r="A17" s="46">
        <v>3045230.932</v>
      </c>
      <c r="B17" s="46">
        <v>35401066.05</v>
      </c>
      <c r="C17" s="47">
        <v>907.026</v>
      </c>
      <c r="D17" s="11">
        <v>44941</v>
      </c>
      <c r="E17" s="37"/>
    </row>
    <row r="18" ht="15.75" spans="1:5">
      <c r="A18" s="46">
        <v>3045230.932</v>
      </c>
      <c r="B18" s="46">
        <v>35401066.05</v>
      </c>
      <c r="C18" s="47">
        <v>907.026</v>
      </c>
      <c r="D18" s="11">
        <v>44942</v>
      </c>
      <c r="E18" s="37"/>
    </row>
    <row r="19" ht="15.75" spans="1:5">
      <c r="A19" s="46">
        <v>3045230.932</v>
      </c>
      <c r="B19" s="46">
        <v>35401066.05</v>
      </c>
      <c r="C19" s="47">
        <v>907.026</v>
      </c>
      <c r="D19" s="11">
        <v>44943</v>
      </c>
      <c r="E19" s="37"/>
    </row>
    <row r="20" ht="15.75" spans="1:5">
      <c r="A20" s="46">
        <v>3045230.932</v>
      </c>
      <c r="B20" s="46">
        <v>35401066.05</v>
      </c>
      <c r="C20" s="47">
        <v>907.026</v>
      </c>
      <c r="D20" s="11">
        <v>44944</v>
      </c>
      <c r="E20" s="39"/>
    </row>
    <row r="21" ht="15.75" spans="1:5">
      <c r="A21" s="46">
        <v>3045230.932</v>
      </c>
      <c r="B21" s="46">
        <v>35401066.05</v>
      </c>
      <c r="C21" s="47">
        <v>907.026</v>
      </c>
      <c r="D21" s="11">
        <v>44945</v>
      </c>
      <c r="E21" s="40"/>
    </row>
    <row r="22" ht="15.75" spans="1:5">
      <c r="A22" s="46">
        <v>3045230.932</v>
      </c>
      <c r="B22" s="46">
        <v>35401066.05</v>
      </c>
      <c r="C22" s="47">
        <v>907.026</v>
      </c>
      <c r="D22" s="11">
        <v>44946</v>
      </c>
      <c r="E22" s="40"/>
    </row>
    <row r="23" ht="15.75" spans="1:5">
      <c r="A23" s="46">
        <v>3045230.932</v>
      </c>
      <c r="B23" s="46">
        <v>35401066.05</v>
      </c>
      <c r="C23" s="47">
        <v>907.026</v>
      </c>
      <c r="D23" s="11">
        <v>44947</v>
      </c>
      <c r="E23" s="40"/>
    </row>
    <row r="24" ht="15.75" spans="1:5">
      <c r="A24" s="46">
        <v>3045230.932</v>
      </c>
      <c r="B24" s="46">
        <v>35401066.05</v>
      </c>
      <c r="C24" s="47">
        <v>907.026</v>
      </c>
      <c r="D24" s="11">
        <v>44948</v>
      </c>
      <c r="E24" s="40"/>
    </row>
    <row r="25" ht="15.75" spans="1:5">
      <c r="A25" s="46">
        <v>3045230.932</v>
      </c>
      <c r="B25" s="46">
        <v>35401066.05</v>
      </c>
      <c r="C25" s="47">
        <v>907.026</v>
      </c>
      <c r="D25" s="11">
        <v>44949</v>
      </c>
      <c r="E25" s="40"/>
    </row>
    <row r="26" ht="15.75" spans="1:5">
      <c r="A26" s="46">
        <v>3045230.932</v>
      </c>
      <c r="B26" s="46">
        <v>35401066.05</v>
      </c>
      <c r="C26" s="47">
        <v>907.026</v>
      </c>
      <c r="D26" s="11">
        <v>44950</v>
      </c>
      <c r="E26" s="40"/>
    </row>
    <row r="27" ht="15.75" spans="1:5">
      <c r="A27" s="46">
        <v>3045230.932</v>
      </c>
      <c r="B27" s="46">
        <v>35401066.05</v>
      </c>
      <c r="C27" s="47">
        <v>907.026</v>
      </c>
      <c r="D27" s="11">
        <v>44951</v>
      </c>
      <c r="E27" s="40"/>
    </row>
    <row r="28" ht="15.75" spans="1:5">
      <c r="A28" s="46">
        <v>3045230.932</v>
      </c>
      <c r="B28" s="46">
        <v>35401066.05</v>
      </c>
      <c r="C28" s="47">
        <v>907.026</v>
      </c>
      <c r="D28" s="11">
        <v>44952</v>
      </c>
      <c r="E28" s="40"/>
    </row>
    <row r="29" ht="15.75" spans="1:5">
      <c r="A29" s="46">
        <v>3045230.932</v>
      </c>
      <c r="B29" s="46">
        <v>35401066.05</v>
      </c>
      <c r="C29" s="47">
        <v>907.026</v>
      </c>
      <c r="D29" s="11">
        <v>44953</v>
      </c>
      <c r="E29" s="40"/>
    </row>
    <row r="30" ht="15.75" spans="1:5">
      <c r="A30" s="46">
        <v>3045230.932</v>
      </c>
      <c r="B30" s="46">
        <v>35401066.05</v>
      </c>
      <c r="C30" s="47">
        <v>907.026</v>
      </c>
      <c r="D30" s="11">
        <v>44954</v>
      </c>
      <c r="E30" s="41"/>
    </row>
    <row r="31" ht="15.75" spans="1:5">
      <c r="A31" s="46">
        <v>3045230.932</v>
      </c>
      <c r="B31" s="46">
        <v>35401066.05</v>
      </c>
      <c r="C31" s="47">
        <v>907.026</v>
      </c>
      <c r="D31" s="11">
        <v>44955</v>
      </c>
      <c r="E31" s="40"/>
    </row>
    <row r="32" ht="15.75" spans="1:5">
      <c r="A32" s="46">
        <v>3045230.932</v>
      </c>
      <c r="B32" s="46">
        <v>35401066.05</v>
      </c>
      <c r="C32" s="47">
        <v>907.026</v>
      </c>
      <c r="D32" s="11">
        <v>44956</v>
      </c>
      <c r="E32" s="40"/>
    </row>
    <row r="33" ht="15.75" spans="1:5">
      <c r="A33" s="46">
        <v>3045230.932</v>
      </c>
      <c r="B33" s="46">
        <v>35401066.05</v>
      </c>
      <c r="C33" s="47">
        <v>907.026</v>
      </c>
      <c r="D33" s="11">
        <v>44957</v>
      </c>
      <c r="E33" s="40"/>
    </row>
    <row r="34" ht="15.75" spans="1:5">
      <c r="A34" s="46">
        <v>3045230.932</v>
      </c>
      <c r="B34" s="46">
        <v>35401066.05</v>
      </c>
      <c r="C34" s="47">
        <v>907.026</v>
      </c>
      <c r="D34" s="11">
        <v>44958</v>
      </c>
      <c r="E34" s="40"/>
    </row>
    <row r="35" ht="15.75" spans="1:5">
      <c r="A35" s="46">
        <v>3045230.932</v>
      </c>
      <c r="B35" s="46">
        <v>35401066.05</v>
      </c>
      <c r="C35" s="47">
        <v>907.026</v>
      </c>
      <c r="D35" s="11">
        <v>44959</v>
      </c>
      <c r="E35" s="41"/>
    </row>
    <row r="36" ht="15.75" spans="1:5">
      <c r="A36" s="46">
        <v>3045230.932</v>
      </c>
      <c r="B36" s="46">
        <v>35401066.05</v>
      </c>
      <c r="C36" s="47">
        <v>907.026</v>
      </c>
      <c r="D36" s="11">
        <v>44960</v>
      </c>
      <c r="E36" s="37"/>
    </row>
    <row r="37" ht="15.75" spans="1:5">
      <c r="A37" s="46">
        <v>3045230.932</v>
      </c>
      <c r="B37" s="46">
        <v>35401066.05</v>
      </c>
      <c r="C37" s="47">
        <v>907.026</v>
      </c>
      <c r="D37" s="11">
        <v>44961</v>
      </c>
      <c r="E37" s="37"/>
    </row>
    <row r="38" ht="15.75" spans="1:5">
      <c r="A38" s="46">
        <v>3045230.932</v>
      </c>
      <c r="B38" s="46">
        <v>35401066.05</v>
      </c>
      <c r="C38" s="47">
        <v>907.026</v>
      </c>
      <c r="D38" s="11">
        <v>44962</v>
      </c>
      <c r="E38" s="37"/>
    </row>
    <row r="39" ht="15.75" spans="1:5">
      <c r="A39" s="46">
        <v>3045230.932</v>
      </c>
      <c r="B39" s="46">
        <v>35401066.05</v>
      </c>
      <c r="C39" s="47">
        <v>907.026</v>
      </c>
      <c r="D39" s="11">
        <v>44963</v>
      </c>
      <c r="E39" s="37"/>
    </row>
    <row r="40" ht="15.75" spans="1:5">
      <c r="A40" s="46">
        <v>3045230.932</v>
      </c>
      <c r="B40" s="46">
        <v>35401066.05</v>
      </c>
      <c r="C40" s="47">
        <v>907.026</v>
      </c>
      <c r="D40" s="11">
        <v>44964</v>
      </c>
      <c r="E40" s="37"/>
    </row>
    <row r="41" ht="15.75" spans="1:5">
      <c r="A41" s="46">
        <v>3045230.932</v>
      </c>
      <c r="B41" s="46">
        <v>35401066.05</v>
      </c>
      <c r="C41" s="47">
        <v>907.026</v>
      </c>
      <c r="D41" s="11">
        <v>44965</v>
      </c>
      <c r="E41" s="39"/>
    </row>
    <row r="42" ht="15.75" spans="1:5">
      <c r="A42" s="46">
        <v>3045230.932</v>
      </c>
      <c r="B42" s="46">
        <v>35401066.05</v>
      </c>
      <c r="C42" s="47">
        <v>907.026</v>
      </c>
      <c r="D42" s="11">
        <v>44966</v>
      </c>
      <c r="E42" s="40"/>
    </row>
    <row r="43" ht="15.75" spans="1:5">
      <c r="A43" s="46">
        <v>3045230.932</v>
      </c>
      <c r="B43" s="46">
        <v>35401066.05</v>
      </c>
      <c r="C43" s="47">
        <v>907.026</v>
      </c>
      <c r="D43" s="11">
        <v>44967</v>
      </c>
      <c r="E43" s="40"/>
    </row>
    <row r="44" ht="15.75" spans="1:5">
      <c r="A44" s="46">
        <v>3045230.932</v>
      </c>
      <c r="B44" s="46">
        <v>35401066.05</v>
      </c>
      <c r="C44" s="47">
        <v>907.026</v>
      </c>
      <c r="D44" s="11">
        <v>44968</v>
      </c>
      <c r="E44" s="40"/>
    </row>
    <row r="45" ht="15.75" spans="1:5">
      <c r="A45" s="46">
        <v>3045230.932</v>
      </c>
      <c r="B45" s="46">
        <v>35401066.05</v>
      </c>
      <c r="C45" s="47">
        <v>907.026</v>
      </c>
      <c r="D45" s="11">
        <v>44969</v>
      </c>
      <c r="E45" s="40"/>
    </row>
    <row r="46" ht="15.75" spans="1:5">
      <c r="A46" s="46">
        <v>3045230.932</v>
      </c>
      <c r="B46" s="46">
        <v>35401066.05</v>
      </c>
      <c r="C46" s="47">
        <v>907.026</v>
      </c>
      <c r="D46" s="11">
        <v>44970</v>
      </c>
      <c r="E46" s="40"/>
    </row>
    <row r="47" ht="15.75" spans="1:5">
      <c r="A47" s="46">
        <v>3045230.932</v>
      </c>
      <c r="B47" s="46">
        <v>35401066.05</v>
      </c>
      <c r="C47" s="47">
        <v>907.026</v>
      </c>
      <c r="D47" s="11">
        <v>44971</v>
      </c>
      <c r="E47" s="37"/>
    </row>
    <row r="48" ht="15.75" spans="1:5">
      <c r="A48" s="46">
        <v>3045230.932</v>
      </c>
      <c r="B48" s="46">
        <v>35401066.05</v>
      </c>
      <c r="C48" s="47">
        <v>907.026</v>
      </c>
      <c r="D48" s="11">
        <v>44972</v>
      </c>
      <c r="E48" s="39"/>
    </row>
    <row r="49" ht="15.75" spans="1:5">
      <c r="A49" s="46">
        <v>3045230.932</v>
      </c>
      <c r="B49" s="46">
        <v>35401066.05</v>
      </c>
      <c r="C49" s="47">
        <v>907.026</v>
      </c>
      <c r="D49" s="11">
        <v>44973</v>
      </c>
      <c r="E49" s="39"/>
    </row>
    <row r="50" ht="15.75" spans="1:5">
      <c r="A50" s="46">
        <v>3045230.932</v>
      </c>
      <c r="B50" s="46">
        <v>35401066.05</v>
      </c>
      <c r="C50" s="47">
        <v>907.026</v>
      </c>
      <c r="D50" s="11">
        <v>44974</v>
      </c>
      <c r="E50" s="39"/>
    </row>
    <row r="51" ht="15.75" spans="1:5">
      <c r="A51" s="46">
        <v>3045230.932</v>
      </c>
      <c r="B51" s="46">
        <v>35401066.05</v>
      </c>
      <c r="C51" s="47">
        <v>907.026</v>
      </c>
      <c r="D51" s="11">
        <v>44975</v>
      </c>
      <c r="E51" s="39"/>
    </row>
    <row r="52" ht="15.75" spans="1:5">
      <c r="A52" s="46">
        <v>3045230.932</v>
      </c>
      <c r="B52" s="46">
        <v>35401066.05</v>
      </c>
      <c r="C52" s="47">
        <v>907.026</v>
      </c>
      <c r="D52" s="11">
        <v>44976</v>
      </c>
      <c r="E52" s="39"/>
    </row>
    <row r="53" ht="15.75" spans="1:5">
      <c r="A53" s="46">
        <v>3045230.932</v>
      </c>
      <c r="B53" s="46">
        <v>35401066.05</v>
      </c>
      <c r="C53" s="47">
        <v>907.026</v>
      </c>
      <c r="D53" s="11">
        <v>44977</v>
      </c>
      <c r="E53" s="39"/>
    </row>
    <row r="54" ht="15.75" spans="1:5">
      <c r="A54" s="46">
        <v>3045230.932</v>
      </c>
      <c r="B54" s="46">
        <v>35401066.05</v>
      </c>
      <c r="C54" s="47">
        <v>907.026</v>
      </c>
      <c r="D54" s="11">
        <v>44978</v>
      </c>
      <c r="E54" s="39"/>
    </row>
    <row r="55" ht="15.75" spans="1:5">
      <c r="A55" s="46">
        <v>3045230.932</v>
      </c>
      <c r="B55" s="46">
        <v>35401066.05</v>
      </c>
      <c r="C55" s="47">
        <v>907.026</v>
      </c>
      <c r="D55" s="11">
        <v>44979</v>
      </c>
      <c r="E55" s="39"/>
    </row>
    <row r="56" ht="15.75" spans="1:5">
      <c r="A56" s="46">
        <v>3045230.932</v>
      </c>
      <c r="B56" s="46">
        <v>35401066.05</v>
      </c>
      <c r="C56" s="47">
        <v>907.026</v>
      </c>
      <c r="D56" s="11">
        <v>44980</v>
      </c>
      <c r="E56" s="39"/>
    </row>
    <row r="57" ht="15.75" spans="1:5">
      <c r="A57" s="46">
        <v>3045230.932</v>
      </c>
      <c r="B57" s="46">
        <v>35401066.05</v>
      </c>
      <c r="C57" s="47">
        <v>907.026</v>
      </c>
      <c r="D57" s="11">
        <v>44981</v>
      </c>
      <c r="E57" s="39"/>
    </row>
    <row r="58" ht="15.75" spans="1:5">
      <c r="A58" s="46">
        <v>3045230.932</v>
      </c>
      <c r="B58" s="46">
        <v>35401066.05</v>
      </c>
      <c r="C58" s="47">
        <v>907.026</v>
      </c>
      <c r="D58" s="11">
        <v>44982</v>
      </c>
      <c r="E58" s="39"/>
    </row>
    <row r="59" ht="15.75" spans="1:5">
      <c r="A59" s="46">
        <v>3045230.932</v>
      </c>
      <c r="B59" s="46">
        <v>35401066.05</v>
      </c>
      <c r="C59" s="47">
        <v>907.026</v>
      </c>
      <c r="D59" s="11">
        <v>44983</v>
      </c>
      <c r="E59" s="39"/>
    </row>
    <row r="60" ht="15.75" spans="1:5">
      <c r="A60" s="46">
        <v>3045230.932</v>
      </c>
      <c r="B60" s="46">
        <v>35401066.05</v>
      </c>
      <c r="C60" s="47">
        <v>907.026</v>
      </c>
      <c r="D60" s="11">
        <v>44984</v>
      </c>
      <c r="E60" s="39"/>
    </row>
    <row r="61" ht="15.75" spans="1:5">
      <c r="A61" s="46">
        <v>3045230.932</v>
      </c>
      <c r="B61" s="46">
        <v>35401066.05</v>
      </c>
      <c r="C61" s="47">
        <v>907.026</v>
      </c>
      <c r="D61" s="11">
        <v>44985</v>
      </c>
      <c r="E61" s="37"/>
    </row>
    <row r="62" ht="15.75" spans="1:5">
      <c r="A62" s="46">
        <v>3045230.932</v>
      </c>
      <c r="B62" s="46">
        <v>35401066.05</v>
      </c>
      <c r="C62" s="47">
        <v>907.026</v>
      </c>
      <c r="D62" s="11">
        <v>44986</v>
      </c>
      <c r="E62" s="37"/>
    </row>
    <row r="63" ht="15.75" spans="1:5">
      <c r="A63" s="46">
        <v>3045230.932</v>
      </c>
      <c r="B63" s="46">
        <v>35401066.05</v>
      </c>
      <c r="C63" s="47">
        <v>907.026</v>
      </c>
      <c r="D63" s="11">
        <v>44987</v>
      </c>
      <c r="E63" s="37"/>
    </row>
    <row r="64" ht="15.75" spans="1:5">
      <c r="A64" s="46">
        <v>3045230.932</v>
      </c>
      <c r="B64" s="46">
        <v>35401066.05</v>
      </c>
      <c r="C64" s="47">
        <v>907.026</v>
      </c>
      <c r="D64" s="11">
        <v>44988</v>
      </c>
      <c r="E64" s="37"/>
    </row>
    <row r="65" ht="15.75" spans="1:5">
      <c r="A65" s="46">
        <v>3045230.932</v>
      </c>
      <c r="B65" s="46">
        <v>35401066.05</v>
      </c>
      <c r="C65" s="47">
        <v>907.026</v>
      </c>
      <c r="D65" s="11">
        <v>44989</v>
      </c>
      <c r="E65" s="37"/>
    </row>
    <row r="66" ht="15.75" spans="1:5">
      <c r="A66" s="46">
        <v>3045230.932</v>
      </c>
      <c r="B66" s="46">
        <v>35401066.05</v>
      </c>
      <c r="C66" s="47">
        <v>907.026</v>
      </c>
      <c r="D66" s="11">
        <v>44990</v>
      </c>
      <c r="E66" s="37"/>
    </row>
    <row r="67" ht="15.75" spans="1:5">
      <c r="A67" s="46">
        <v>3045230.932</v>
      </c>
      <c r="B67" s="46">
        <v>35401066.05</v>
      </c>
      <c r="C67" s="47">
        <v>907.026</v>
      </c>
      <c r="D67" s="11">
        <v>44991</v>
      </c>
      <c r="E67" s="37"/>
    </row>
    <row r="68" ht="15.75" spans="1:5">
      <c r="A68" s="46">
        <v>3045230.932</v>
      </c>
      <c r="B68" s="46">
        <v>35401066.05</v>
      </c>
      <c r="C68" s="47">
        <v>907.026</v>
      </c>
      <c r="D68" s="11">
        <v>44992</v>
      </c>
      <c r="E68" s="37"/>
    </row>
    <row r="69" ht="15.75" spans="1:5">
      <c r="A69" s="46">
        <v>3045230.932</v>
      </c>
      <c r="B69" s="46">
        <v>35401066.05</v>
      </c>
      <c r="C69" s="47">
        <v>907.026</v>
      </c>
      <c r="D69" s="11">
        <v>44993</v>
      </c>
      <c r="E69" s="39"/>
    </row>
    <row r="70" ht="15.75" spans="1:5">
      <c r="A70" s="46">
        <v>3045230.932</v>
      </c>
      <c r="B70" s="46">
        <v>35401066.05</v>
      </c>
      <c r="C70" s="47">
        <v>907.026</v>
      </c>
      <c r="D70" s="11">
        <v>44994</v>
      </c>
      <c r="E70" s="37"/>
    </row>
    <row r="71" ht="15.75" spans="1:5">
      <c r="A71" s="46">
        <v>3045230.932</v>
      </c>
      <c r="B71" s="46">
        <v>35401066.05</v>
      </c>
      <c r="C71" s="47">
        <v>907.026</v>
      </c>
      <c r="D71" s="11">
        <v>44995</v>
      </c>
      <c r="E71" s="37"/>
    </row>
    <row r="72" ht="15.75" spans="1:5">
      <c r="A72" s="46">
        <v>3045230.932</v>
      </c>
      <c r="B72" s="46">
        <v>35401066.05</v>
      </c>
      <c r="C72" s="47">
        <v>907.026</v>
      </c>
      <c r="D72" s="11">
        <v>44996</v>
      </c>
      <c r="E72" s="37"/>
    </row>
    <row r="73" ht="15.75" spans="1:5">
      <c r="A73" s="46">
        <v>3045230.932</v>
      </c>
      <c r="B73" s="46">
        <v>35401066.05</v>
      </c>
      <c r="C73" s="47">
        <v>907.026</v>
      </c>
      <c r="D73" s="11">
        <v>44997</v>
      </c>
      <c r="E73" s="37"/>
    </row>
    <row r="74" ht="15.75" spans="1:5">
      <c r="A74" s="46">
        <v>3045230.932</v>
      </c>
      <c r="B74" s="46">
        <v>35401066.05</v>
      </c>
      <c r="C74" s="47">
        <v>907.026</v>
      </c>
      <c r="D74" s="11">
        <v>44998</v>
      </c>
      <c r="E74" s="37"/>
    </row>
    <row r="75" ht="15.75" spans="1:5">
      <c r="A75" s="46">
        <v>3045230.932</v>
      </c>
      <c r="B75" s="46">
        <v>35401066.05</v>
      </c>
      <c r="C75" s="47">
        <v>907.026</v>
      </c>
      <c r="D75" s="11">
        <v>44999</v>
      </c>
      <c r="E75" s="37"/>
    </row>
    <row r="76" ht="15.75" spans="1:5">
      <c r="A76" s="46">
        <v>3045230.932</v>
      </c>
      <c r="B76" s="46">
        <v>35401066.05</v>
      </c>
      <c r="C76" s="47">
        <v>907.026</v>
      </c>
      <c r="D76" s="11">
        <v>45000</v>
      </c>
      <c r="E76" s="39"/>
    </row>
    <row r="77" ht="15.75" spans="1:5">
      <c r="A77" s="46">
        <v>3045230.932</v>
      </c>
      <c r="B77" s="46">
        <v>35401066.05</v>
      </c>
      <c r="C77" s="47">
        <v>907.026</v>
      </c>
      <c r="D77" s="11">
        <v>45001</v>
      </c>
      <c r="E77" s="37"/>
    </row>
    <row r="78" ht="15.75" spans="1:5">
      <c r="A78" s="46">
        <v>3045230.932</v>
      </c>
      <c r="B78" s="46">
        <v>35401066.05</v>
      </c>
      <c r="C78" s="47">
        <v>907.026</v>
      </c>
      <c r="D78" s="11">
        <v>45002</v>
      </c>
      <c r="E78" s="40"/>
    </row>
    <row r="79" ht="15.75" spans="1:5">
      <c r="A79" s="46">
        <v>3045230.932</v>
      </c>
      <c r="B79" s="46">
        <v>35401066.05</v>
      </c>
      <c r="C79" s="47">
        <v>907.026</v>
      </c>
      <c r="D79" s="11">
        <v>45003</v>
      </c>
      <c r="E79" s="39"/>
    </row>
    <row r="80" ht="15.75" spans="1:5">
      <c r="A80" s="46">
        <v>3045230.932</v>
      </c>
      <c r="B80" s="46">
        <v>35401066.05</v>
      </c>
      <c r="C80" s="47">
        <v>907.026</v>
      </c>
      <c r="D80" s="11">
        <v>45004</v>
      </c>
      <c r="E80" s="39"/>
    </row>
    <row r="81" ht="15.75" spans="1:5">
      <c r="A81" s="46">
        <v>3045230.932</v>
      </c>
      <c r="B81" s="46">
        <v>35401066.05</v>
      </c>
      <c r="C81" s="47">
        <v>907.026</v>
      </c>
      <c r="D81" s="11">
        <v>45005</v>
      </c>
      <c r="E81" s="39"/>
    </row>
    <row r="82" ht="15.75" spans="1:5">
      <c r="A82" s="46">
        <v>3045230.932</v>
      </c>
      <c r="B82" s="46">
        <v>35401066.05</v>
      </c>
      <c r="C82" s="47">
        <v>907.026</v>
      </c>
      <c r="D82" s="11">
        <v>45006</v>
      </c>
      <c r="E82" s="39"/>
    </row>
    <row r="83" ht="15.75" spans="1:5">
      <c r="A83" s="46">
        <v>3045230.932</v>
      </c>
      <c r="B83" s="46">
        <v>35401066.05</v>
      </c>
      <c r="C83" s="47">
        <v>907.026</v>
      </c>
      <c r="D83" s="11">
        <v>45007</v>
      </c>
      <c r="E83" s="39"/>
    </row>
    <row r="84" ht="15.75" spans="1:5">
      <c r="A84" s="46">
        <v>3045230.932</v>
      </c>
      <c r="B84" s="46">
        <v>35401066.05</v>
      </c>
      <c r="C84" s="47">
        <v>907.026</v>
      </c>
      <c r="D84" s="11">
        <v>45008</v>
      </c>
      <c r="E84" s="39"/>
    </row>
    <row r="85" ht="15.75" spans="1:5">
      <c r="A85" s="46">
        <v>3045230.932</v>
      </c>
      <c r="B85" s="46">
        <v>35401066.05</v>
      </c>
      <c r="C85" s="47">
        <v>907.026</v>
      </c>
      <c r="D85" s="11">
        <v>45009</v>
      </c>
      <c r="E85" s="37"/>
    </row>
    <row r="86" ht="15.75" spans="1:5">
      <c r="A86" s="46">
        <v>3045230.932</v>
      </c>
      <c r="B86" s="46">
        <v>35401066.05</v>
      </c>
      <c r="C86" s="47">
        <v>907.026</v>
      </c>
      <c r="D86" s="11">
        <v>45010</v>
      </c>
      <c r="E86" s="37"/>
    </row>
    <row r="87" ht="15.75" spans="1:5">
      <c r="A87" s="46">
        <v>3045230.932</v>
      </c>
      <c r="B87" s="46">
        <v>35401066.05</v>
      </c>
      <c r="C87" s="47">
        <v>907.026</v>
      </c>
      <c r="D87" s="11">
        <v>45011</v>
      </c>
      <c r="E87" s="37"/>
    </row>
    <row r="88" ht="15.75" spans="1:5">
      <c r="A88" s="46">
        <v>3045230.932</v>
      </c>
      <c r="B88" s="46">
        <v>35401066.05</v>
      </c>
      <c r="C88" s="47">
        <v>907.026</v>
      </c>
      <c r="D88" s="11">
        <v>45012</v>
      </c>
      <c r="E88" s="37"/>
    </row>
    <row r="89" ht="15.75" spans="1:5">
      <c r="A89" s="46">
        <v>3045230.932</v>
      </c>
      <c r="B89" s="46">
        <v>35401066.05</v>
      </c>
      <c r="C89" s="47">
        <v>907.026</v>
      </c>
      <c r="D89" s="11">
        <v>45013</v>
      </c>
      <c r="E89" s="37"/>
    </row>
    <row r="90" ht="15.75" spans="1:5">
      <c r="A90" s="46">
        <v>3045230.932</v>
      </c>
      <c r="B90" s="46">
        <v>35401066.05</v>
      </c>
      <c r="C90" s="47">
        <v>907.026</v>
      </c>
      <c r="D90" s="11">
        <v>45014</v>
      </c>
      <c r="E90" s="37"/>
    </row>
    <row r="91" ht="15.75" spans="1:5">
      <c r="A91" s="46">
        <v>3045230.932</v>
      </c>
      <c r="B91" s="46">
        <v>35401066.05</v>
      </c>
      <c r="C91" s="47">
        <v>907.026</v>
      </c>
      <c r="D91" s="11">
        <v>45015</v>
      </c>
      <c r="E91" s="42"/>
    </row>
    <row r="92" ht="15.75" spans="1:5">
      <c r="A92" s="46">
        <v>3045230.932</v>
      </c>
      <c r="B92" s="46">
        <v>35401066.05</v>
      </c>
      <c r="C92" s="47">
        <v>907.026</v>
      </c>
      <c r="D92" s="11">
        <v>45016</v>
      </c>
      <c r="E92" s="37"/>
    </row>
    <row r="93" ht="15.75" spans="1:5">
      <c r="A93" s="46">
        <v>3045230.932</v>
      </c>
      <c r="B93" s="46">
        <v>35401066.05</v>
      </c>
      <c r="C93" s="47">
        <v>907.026</v>
      </c>
      <c r="D93" s="11">
        <v>45017</v>
      </c>
      <c r="E93" s="37"/>
    </row>
    <row r="94" ht="15.75" spans="1:5">
      <c r="A94" s="46">
        <v>3045230.932</v>
      </c>
      <c r="B94" s="46">
        <v>35401066.05</v>
      </c>
      <c r="C94" s="47">
        <v>907.026</v>
      </c>
      <c r="D94" s="11">
        <v>45018</v>
      </c>
      <c r="E94" s="37"/>
    </row>
    <row r="95" ht="15.75" spans="1:5">
      <c r="A95" s="46">
        <v>3045230.932</v>
      </c>
      <c r="B95" s="46">
        <v>35401066.05</v>
      </c>
      <c r="C95" s="47">
        <v>907.026</v>
      </c>
      <c r="D95" s="11">
        <v>45019</v>
      </c>
      <c r="E95" s="37"/>
    </row>
    <row r="96" ht="15.75" spans="1:5">
      <c r="A96" s="46">
        <v>3045230.932</v>
      </c>
      <c r="B96" s="46">
        <v>35401066.05</v>
      </c>
      <c r="C96" s="47">
        <v>907.026</v>
      </c>
      <c r="D96" s="11">
        <v>45020</v>
      </c>
      <c r="E96" s="37"/>
    </row>
    <row r="97" ht="15.75" spans="1:5">
      <c r="A97" s="46">
        <v>3045230.932</v>
      </c>
      <c r="B97" s="46">
        <v>35401066.05</v>
      </c>
      <c r="C97" s="47">
        <v>907.026</v>
      </c>
      <c r="D97" s="11">
        <v>45021</v>
      </c>
      <c r="E97" s="37"/>
    </row>
    <row r="98" ht="15.75" spans="1:5">
      <c r="A98" s="46">
        <v>3045230.932</v>
      </c>
      <c r="B98" s="46">
        <v>35401066.05</v>
      </c>
      <c r="C98" s="47">
        <v>907.026</v>
      </c>
      <c r="D98" s="11">
        <v>45022</v>
      </c>
      <c r="E98" s="39"/>
    </row>
    <row r="99" ht="15.75" spans="1:5">
      <c r="A99" s="46">
        <v>3045230.932</v>
      </c>
      <c r="B99" s="46">
        <v>35401066.05</v>
      </c>
      <c r="C99" s="47">
        <v>907.026</v>
      </c>
      <c r="D99" s="11">
        <v>45023</v>
      </c>
      <c r="E99" s="39"/>
    </row>
    <row r="100" ht="15.75" spans="1:5">
      <c r="A100" s="46">
        <v>3045230.932</v>
      </c>
      <c r="B100" s="46">
        <v>35401066.05</v>
      </c>
      <c r="C100" s="47">
        <v>907.026</v>
      </c>
      <c r="D100" s="11">
        <v>45024</v>
      </c>
      <c r="E100" s="39"/>
    </row>
    <row r="101" ht="15.75" spans="1:5">
      <c r="A101" s="46">
        <v>3045230.932</v>
      </c>
      <c r="B101" s="46">
        <v>35401066.05</v>
      </c>
      <c r="C101" s="47">
        <v>907.026</v>
      </c>
      <c r="D101" s="11">
        <v>45025</v>
      </c>
      <c r="E101" s="39"/>
    </row>
    <row r="102" ht="15.75" spans="1:5">
      <c r="A102" s="46">
        <v>3045230.932</v>
      </c>
      <c r="B102" s="46">
        <v>35401066.05</v>
      </c>
      <c r="C102" s="47">
        <v>907.026</v>
      </c>
      <c r="D102" s="11">
        <v>45026</v>
      </c>
      <c r="E102" s="39"/>
    </row>
    <row r="103" ht="15.75" spans="1:5">
      <c r="A103" s="46">
        <v>3045230.932</v>
      </c>
      <c r="B103" s="46">
        <v>35401066.05</v>
      </c>
      <c r="C103" s="47">
        <v>907.026</v>
      </c>
      <c r="D103" s="11">
        <v>45027</v>
      </c>
      <c r="E103" s="39"/>
    </row>
    <row r="104" ht="15.75" spans="1:5">
      <c r="A104" s="46">
        <v>3045230.932</v>
      </c>
      <c r="B104" s="46">
        <v>35401066.05</v>
      </c>
      <c r="C104" s="47">
        <v>907.026</v>
      </c>
      <c r="D104" s="11">
        <v>45028</v>
      </c>
      <c r="E104" s="39"/>
    </row>
    <row r="105" ht="15.75" spans="1:5">
      <c r="A105" s="46">
        <v>3045230.932</v>
      </c>
      <c r="B105" s="46">
        <v>35401066.05</v>
      </c>
      <c r="C105" s="47">
        <v>907.026</v>
      </c>
      <c r="D105" s="11">
        <v>45029</v>
      </c>
      <c r="E105" s="39"/>
    </row>
    <row r="106" ht="15.75" spans="1:5">
      <c r="A106" s="46">
        <v>3045230.932</v>
      </c>
      <c r="B106" s="46">
        <v>35401066.05</v>
      </c>
      <c r="C106" s="47">
        <v>907.026</v>
      </c>
      <c r="D106" s="11">
        <v>45030</v>
      </c>
      <c r="E106" s="39"/>
    </row>
    <row r="107" ht="15.75" spans="1:5">
      <c r="A107" s="46">
        <v>3045230.932</v>
      </c>
      <c r="B107" s="46">
        <v>35401066.05</v>
      </c>
      <c r="C107" s="47">
        <v>907.026</v>
      </c>
      <c r="D107" s="11">
        <v>45031</v>
      </c>
      <c r="E107" s="39"/>
    </row>
    <row r="108" ht="15.75" spans="1:5">
      <c r="A108" s="46">
        <v>3045230.932</v>
      </c>
      <c r="B108" s="46">
        <v>35401066.05</v>
      </c>
      <c r="C108" s="47">
        <v>907.026</v>
      </c>
      <c r="D108" s="11">
        <v>45032</v>
      </c>
      <c r="E108" s="39"/>
    </row>
    <row r="109" ht="15.75" spans="1:5">
      <c r="A109" s="46">
        <v>3045230.932</v>
      </c>
      <c r="B109" s="46">
        <v>35401066.05</v>
      </c>
      <c r="C109" s="47">
        <v>907.026</v>
      </c>
      <c r="D109" s="11">
        <v>45033</v>
      </c>
      <c r="E109" s="39"/>
    </row>
    <row r="110" ht="15.75" spans="1:5">
      <c r="A110" s="46">
        <v>3045230.932</v>
      </c>
      <c r="B110" s="46">
        <v>35401066.05</v>
      </c>
      <c r="C110" s="47">
        <v>907.026</v>
      </c>
      <c r="D110" s="11">
        <v>45034</v>
      </c>
      <c r="E110" s="39"/>
    </row>
    <row r="111" ht="15.75" spans="1:5">
      <c r="A111" s="46">
        <v>3045230.932</v>
      </c>
      <c r="B111" s="46">
        <v>35401066.05</v>
      </c>
      <c r="C111" s="47">
        <v>907.026</v>
      </c>
      <c r="D111" s="11">
        <v>45035</v>
      </c>
      <c r="E111" s="39"/>
    </row>
    <row r="112" ht="15.75" spans="1:5">
      <c r="A112" s="46">
        <v>3045230.932</v>
      </c>
      <c r="B112" s="46">
        <v>35401066.05</v>
      </c>
      <c r="C112" s="47">
        <v>907.026</v>
      </c>
      <c r="D112" s="11">
        <v>45036</v>
      </c>
      <c r="E112" s="39"/>
    </row>
    <row r="113" ht="15.75" spans="1:5">
      <c r="A113" s="46">
        <v>3045230.932</v>
      </c>
      <c r="B113" s="46">
        <v>35401066.05</v>
      </c>
      <c r="C113" s="47">
        <v>907.026</v>
      </c>
      <c r="D113" s="11">
        <v>45037</v>
      </c>
      <c r="E113" s="39"/>
    </row>
    <row r="114" ht="15.75" spans="1:5">
      <c r="A114" s="46">
        <v>3045230.932</v>
      </c>
      <c r="B114" s="46">
        <v>35401066.05</v>
      </c>
      <c r="C114" s="47">
        <v>907.026</v>
      </c>
      <c r="D114" s="11">
        <v>45038</v>
      </c>
      <c r="E114" s="39"/>
    </row>
    <row r="115" ht="15.75" spans="1:5">
      <c r="A115" s="46">
        <v>3045230.932</v>
      </c>
      <c r="B115" s="46">
        <v>35401066.05</v>
      </c>
      <c r="C115" s="47">
        <v>907.026</v>
      </c>
      <c r="D115" s="11">
        <v>45039</v>
      </c>
      <c r="E115" s="39"/>
    </row>
    <row r="116" ht="15.75" spans="1:5">
      <c r="A116" s="46">
        <v>3045230.932</v>
      </c>
      <c r="B116" s="46">
        <v>35401066.05</v>
      </c>
      <c r="C116" s="47">
        <v>907.026</v>
      </c>
      <c r="D116" s="11">
        <v>45040</v>
      </c>
      <c r="E116" s="39"/>
    </row>
    <row r="117" ht="15.75" spans="1:5">
      <c r="A117" s="46">
        <v>3045230.932</v>
      </c>
      <c r="B117" s="46">
        <v>35401066.05</v>
      </c>
      <c r="C117" s="47">
        <v>907.026</v>
      </c>
      <c r="D117" s="11">
        <v>45041</v>
      </c>
      <c r="E117" s="40"/>
    </row>
    <row r="118" ht="15.75" spans="1:5">
      <c r="A118" s="46">
        <v>3045230.932</v>
      </c>
      <c r="B118" s="46">
        <v>35401066.05</v>
      </c>
      <c r="C118" s="47">
        <v>907.026</v>
      </c>
      <c r="D118" s="11">
        <v>45042</v>
      </c>
      <c r="E118" s="40"/>
    </row>
    <row r="119" ht="15.75" spans="1:5">
      <c r="A119" s="46">
        <v>3045230.932</v>
      </c>
      <c r="B119" s="46">
        <v>35401066.05</v>
      </c>
      <c r="C119" s="47">
        <v>907.026</v>
      </c>
      <c r="D119" s="11">
        <v>45043</v>
      </c>
      <c r="E119" s="39"/>
    </row>
    <row r="120" ht="15.75" spans="1:5">
      <c r="A120" s="46">
        <v>3045230.932</v>
      </c>
      <c r="B120" s="46">
        <v>35401066.05</v>
      </c>
      <c r="C120" s="47">
        <v>907.026</v>
      </c>
      <c r="D120" s="11">
        <v>45044</v>
      </c>
      <c r="E120" s="37"/>
    </row>
    <row r="121" ht="15.75" spans="1:5">
      <c r="A121" s="46">
        <v>3045230.932</v>
      </c>
      <c r="B121" s="46">
        <v>35401066.05</v>
      </c>
      <c r="C121" s="47">
        <v>907.026</v>
      </c>
      <c r="D121" s="11">
        <v>45045</v>
      </c>
      <c r="E121" s="37"/>
    </row>
    <row r="122" ht="15.75" spans="1:5">
      <c r="A122" s="46">
        <v>3045230.932</v>
      </c>
      <c r="B122" s="46">
        <v>35401066.05</v>
      </c>
      <c r="C122" s="47">
        <v>907.026</v>
      </c>
      <c r="D122" s="11">
        <v>45046</v>
      </c>
      <c r="E122" s="37"/>
    </row>
    <row r="123" ht="15.75" spans="1:5">
      <c r="A123" s="46">
        <v>3045230.932</v>
      </c>
      <c r="B123" s="46">
        <v>35401066.05</v>
      </c>
      <c r="C123" s="47">
        <v>907.026</v>
      </c>
      <c r="D123" s="11">
        <v>45047</v>
      </c>
      <c r="E123" s="37"/>
    </row>
    <row r="124" ht="15.75" spans="1:5">
      <c r="A124" s="46">
        <v>3045230.932</v>
      </c>
      <c r="B124" s="46">
        <v>35401066.05</v>
      </c>
      <c r="C124" s="47">
        <v>907.026</v>
      </c>
      <c r="D124" s="11">
        <v>45048</v>
      </c>
      <c r="E124" s="37"/>
    </row>
    <row r="125" ht="15.75" spans="1:5">
      <c r="A125" s="46">
        <v>3045230.932</v>
      </c>
      <c r="B125" s="46">
        <v>35401066.05</v>
      </c>
      <c r="C125" s="47">
        <v>907.026</v>
      </c>
      <c r="D125" s="11">
        <v>45049</v>
      </c>
      <c r="E125" s="37"/>
    </row>
    <row r="126" ht="15.75" spans="1:5">
      <c r="A126" s="46">
        <v>3045230.932</v>
      </c>
      <c r="B126" s="46">
        <v>35401066.05</v>
      </c>
      <c r="C126" s="47">
        <v>907.026</v>
      </c>
      <c r="D126" s="11">
        <v>45050</v>
      </c>
      <c r="E126" s="37"/>
    </row>
    <row r="127" ht="15.75" spans="1:5">
      <c r="A127" s="46">
        <v>3045230.932</v>
      </c>
      <c r="B127" s="46">
        <v>35401066.05</v>
      </c>
      <c r="C127" s="47">
        <v>907.026</v>
      </c>
      <c r="D127" s="11">
        <v>45051</v>
      </c>
      <c r="E127" s="37"/>
    </row>
    <row r="128" ht="15.75" spans="1:5">
      <c r="A128" s="46">
        <v>3045230.932</v>
      </c>
      <c r="B128" s="46">
        <v>35401066.05</v>
      </c>
      <c r="C128" s="47">
        <v>907.026</v>
      </c>
      <c r="D128" s="11">
        <v>45052</v>
      </c>
      <c r="E128" s="37"/>
    </row>
    <row r="129" ht="15.75" spans="1:5">
      <c r="A129" s="46">
        <v>3045230.932</v>
      </c>
      <c r="B129" s="46">
        <v>35401066.05</v>
      </c>
      <c r="C129" s="47">
        <v>907.026</v>
      </c>
      <c r="D129" s="11">
        <v>45053</v>
      </c>
      <c r="E129" s="37"/>
    </row>
    <row r="130" ht="15.75" spans="1:5">
      <c r="A130" s="46">
        <v>3045230.932</v>
      </c>
      <c r="B130" s="46">
        <v>35401066.05</v>
      </c>
      <c r="C130" s="47">
        <v>907.026</v>
      </c>
      <c r="D130" s="11">
        <v>45054</v>
      </c>
      <c r="E130" s="37"/>
    </row>
    <row r="131" ht="15.75" spans="1:5">
      <c r="A131" s="46">
        <v>3045230.932</v>
      </c>
      <c r="B131" s="46">
        <v>35401066.05</v>
      </c>
      <c r="C131" s="47">
        <v>907.026</v>
      </c>
      <c r="D131" s="11">
        <v>45055</v>
      </c>
      <c r="E131" s="37"/>
    </row>
    <row r="132" ht="15.75" spans="1:5">
      <c r="A132" s="46">
        <v>3045230.932</v>
      </c>
      <c r="B132" s="46">
        <v>35401066.05</v>
      </c>
      <c r="C132" s="47">
        <v>907.026</v>
      </c>
      <c r="D132" s="11">
        <v>45056</v>
      </c>
      <c r="E132" s="39"/>
    </row>
    <row r="133" ht="15.75" spans="1:5">
      <c r="A133" s="46">
        <v>3045230.932</v>
      </c>
      <c r="B133" s="46">
        <v>35401066.05</v>
      </c>
      <c r="C133" s="47">
        <v>907.026</v>
      </c>
      <c r="D133" s="11">
        <v>45057</v>
      </c>
      <c r="E133" s="39"/>
    </row>
    <row r="134" ht="15.75" spans="1:5">
      <c r="A134" s="46">
        <v>3045230.932</v>
      </c>
      <c r="B134" s="46">
        <v>35401066.05</v>
      </c>
      <c r="C134" s="47">
        <v>907.026</v>
      </c>
      <c r="D134" s="11">
        <v>45058</v>
      </c>
      <c r="E134" s="39"/>
    </row>
    <row r="135" ht="15.75" spans="1:5">
      <c r="A135" s="46">
        <v>3045230.932</v>
      </c>
      <c r="B135" s="46">
        <v>35401066.05</v>
      </c>
      <c r="C135" s="47">
        <v>907.026</v>
      </c>
      <c r="D135" s="11">
        <v>45059</v>
      </c>
      <c r="E135" s="39"/>
    </row>
    <row r="136" ht="15.75" spans="1:5">
      <c r="A136" s="46">
        <v>3045230.932</v>
      </c>
      <c r="B136" s="46">
        <v>35401066.05</v>
      </c>
      <c r="C136" s="47">
        <v>907.026</v>
      </c>
      <c r="D136" s="11">
        <v>45060</v>
      </c>
      <c r="E136" s="39"/>
    </row>
    <row r="137" ht="15.75" spans="1:5">
      <c r="A137" s="46">
        <v>3045230.932</v>
      </c>
      <c r="B137" s="46">
        <v>35401066.05</v>
      </c>
      <c r="C137" s="47">
        <v>907.026</v>
      </c>
      <c r="D137" s="11">
        <v>45061</v>
      </c>
      <c r="E137" s="39"/>
    </row>
    <row r="138" ht="15.75" spans="1:5">
      <c r="A138" s="46">
        <v>3045230.932</v>
      </c>
      <c r="B138" s="46">
        <v>35401066.05</v>
      </c>
      <c r="C138" s="47">
        <v>907.026</v>
      </c>
      <c r="D138" s="11">
        <v>45062</v>
      </c>
      <c r="E138" s="39"/>
    </row>
    <row r="139" ht="15.75" spans="1:5">
      <c r="A139" s="46">
        <v>3045230.932</v>
      </c>
      <c r="B139" s="46">
        <v>35401066.05</v>
      </c>
      <c r="C139" s="47">
        <v>907.026</v>
      </c>
      <c r="D139" s="11">
        <v>45063</v>
      </c>
      <c r="E139" s="39"/>
    </row>
    <row r="140" ht="15.75" spans="1:5">
      <c r="A140" s="46">
        <v>3045230.932</v>
      </c>
      <c r="B140" s="46">
        <v>35401066.05</v>
      </c>
      <c r="C140" s="47">
        <v>907.026</v>
      </c>
      <c r="D140" s="11">
        <v>45064</v>
      </c>
      <c r="E140" s="39"/>
    </row>
    <row r="141" ht="15.75" spans="1:5">
      <c r="A141" s="46">
        <v>3045230.932</v>
      </c>
      <c r="B141" s="46">
        <v>35401066.05</v>
      </c>
      <c r="C141" s="47">
        <v>907.026</v>
      </c>
      <c r="D141" s="11">
        <v>45065</v>
      </c>
      <c r="E141" s="37"/>
    </row>
    <row r="142" ht="15.75" spans="1:5">
      <c r="A142" s="46">
        <v>3045230.932</v>
      </c>
      <c r="B142" s="46">
        <v>35401066.05</v>
      </c>
      <c r="C142" s="47">
        <v>907.026</v>
      </c>
      <c r="D142" s="11">
        <v>45066</v>
      </c>
      <c r="E142" s="37"/>
    </row>
    <row r="143" ht="15.75" spans="1:5">
      <c r="A143" s="46">
        <v>3045230.932</v>
      </c>
      <c r="B143" s="46">
        <v>35401066.05</v>
      </c>
      <c r="C143" s="47">
        <v>907.026</v>
      </c>
      <c r="D143" s="11">
        <v>45067</v>
      </c>
      <c r="E143" s="37"/>
    </row>
    <row r="144" ht="15.75" spans="1:5">
      <c r="A144" s="46">
        <v>3045230.932</v>
      </c>
      <c r="B144" s="46">
        <v>35401066.05</v>
      </c>
      <c r="C144" s="47">
        <v>907.026</v>
      </c>
      <c r="D144" s="11">
        <v>45068</v>
      </c>
      <c r="E144" s="37"/>
    </row>
    <row r="145" ht="15.75" spans="1:5">
      <c r="A145" s="46">
        <v>3045230.932</v>
      </c>
      <c r="B145" s="46">
        <v>35401066.05</v>
      </c>
      <c r="C145" s="47">
        <v>907.026</v>
      </c>
      <c r="D145" s="11">
        <v>45069</v>
      </c>
      <c r="E145" s="37"/>
    </row>
    <row r="146" ht="15.75" spans="1:5">
      <c r="A146" s="46">
        <v>3045230.932</v>
      </c>
      <c r="B146" s="46">
        <v>35401066.05</v>
      </c>
      <c r="C146" s="47">
        <v>907.026</v>
      </c>
      <c r="D146" s="11">
        <v>45070</v>
      </c>
      <c r="E146" s="37"/>
    </row>
    <row r="147" ht="15.75" spans="1:5">
      <c r="A147" s="46">
        <v>3045230.932</v>
      </c>
      <c r="B147" s="46">
        <v>35401066.05</v>
      </c>
      <c r="C147" s="47">
        <v>907.026</v>
      </c>
      <c r="D147" s="11">
        <v>45071</v>
      </c>
      <c r="E147" s="39"/>
    </row>
    <row r="148" ht="15.75" spans="1:5">
      <c r="A148" s="46">
        <v>3045230.932</v>
      </c>
      <c r="B148" s="46">
        <v>35401066.05</v>
      </c>
      <c r="C148" s="47">
        <v>907.026</v>
      </c>
      <c r="D148" s="11">
        <v>45072</v>
      </c>
      <c r="E148" s="39"/>
    </row>
    <row r="149" ht="15.75" spans="1:5">
      <c r="A149" s="46">
        <v>3045230.932</v>
      </c>
      <c r="B149" s="46">
        <v>35401066.05</v>
      </c>
      <c r="C149" s="47">
        <v>907.026</v>
      </c>
      <c r="D149" s="11">
        <v>45073</v>
      </c>
      <c r="E149" s="39"/>
    </row>
    <row r="150" ht="15.75" spans="1:5">
      <c r="A150" s="46">
        <v>3045230.932</v>
      </c>
      <c r="B150" s="46">
        <v>35401066.05</v>
      </c>
      <c r="C150" s="47">
        <v>907.026</v>
      </c>
      <c r="D150" s="11">
        <v>45074</v>
      </c>
      <c r="E150" s="39"/>
    </row>
    <row r="151" ht="15.75" spans="1:5">
      <c r="A151" s="46">
        <v>3045230.932</v>
      </c>
      <c r="B151" s="46">
        <v>35401066.05</v>
      </c>
      <c r="C151" s="47">
        <v>907.026</v>
      </c>
      <c r="D151" s="11">
        <v>45075</v>
      </c>
      <c r="E151" s="39"/>
    </row>
    <row r="152" ht="15.75" spans="1:5">
      <c r="A152" s="46">
        <v>3045230.932</v>
      </c>
      <c r="B152" s="46">
        <v>35401066.05</v>
      </c>
      <c r="C152" s="47">
        <v>907.026</v>
      </c>
      <c r="D152" s="11">
        <v>45076</v>
      </c>
      <c r="E152" s="39"/>
    </row>
    <row r="153" ht="15.75" spans="1:5">
      <c r="A153" s="46">
        <v>3045230.932</v>
      </c>
      <c r="B153" s="46">
        <v>35401066.05</v>
      </c>
      <c r="C153" s="47">
        <v>907.026</v>
      </c>
      <c r="D153" s="11">
        <v>45077</v>
      </c>
      <c r="E153" s="39"/>
    </row>
    <row r="154" ht="15.75" spans="1:5">
      <c r="A154" s="46">
        <v>3045230.932</v>
      </c>
      <c r="B154" s="46">
        <v>35401066.05</v>
      </c>
      <c r="C154" s="47">
        <v>907.026</v>
      </c>
      <c r="D154" s="11">
        <v>45078</v>
      </c>
      <c r="E154" s="39"/>
    </row>
    <row r="155" ht="15.75" spans="1:5">
      <c r="A155" s="46">
        <v>3045230.932</v>
      </c>
      <c r="B155" s="46">
        <v>35401066.05</v>
      </c>
      <c r="C155" s="47">
        <v>907.026</v>
      </c>
      <c r="D155" s="11">
        <v>45079</v>
      </c>
      <c r="E155" s="37"/>
    </row>
    <row r="156" ht="15.75" spans="1:5">
      <c r="A156" s="46">
        <v>3045230.932</v>
      </c>
      <c r="B156" s="46">
        <v>35401066.05</v>
      </c>
      <c r="C156" s="47">
        <v>907.026</v>
      </c>
      <c r="D156" s="11">
        <v>45080</v>
      </c>
      <c r="E156" s="37"/>
    </row>
    <row r="157" ht="15.75" spans="1:5">
      <c r="A157" s="46">
        <v>3045230.932</v>
      </c>
      <c r="B157" s="46">
        <v>35401066.05</v>
      </c>
      <c r="C157" s="47">
        <v>907.026</v>
      </c>
      <c r="D157" s="11">
        <v>45081</v>
      </c>
      <c r="E157" s="37"/>
    </row>
    <row r="158" ht="15.75" spans="1:5">
      <c r="A158" s="46">
        <v>3045230.932</v>
      </c>
      <c r="B158" s="46">
        <v>35401066.05</v>
      </c>
      <c r="C158" s="47">
        <v>907.026</v>
      </c>
      <c r="D158" s="11">
        <v>45082</v>
      </c>
      <c r="E158" s="37"/>
    </row>
    <row r="159" ht="15.75" spans="1:5">
      <c r="A159" s="46">
        <v>3045230.932</v>
      </c>
      <c r="B159" s="46">
        <v>35401066.05</v>
      </c>
      <c r="C159" s="47">
        <v>907.026</v>
      </c>
      <c r="D159" s="11">
        <v>45083</v>
      </c>
      <c r="E159" s="37"/>
    </row>
    <row r="160" ht="15.75" spans="1:5">
      <c r="A160" s="46">
        <v>3045230.932</v>
      </c>
      <c r="B160" s="46">
        <v>35401066.05</v>
      </c>
      <c r="C160" s="47">
        <v>907.026</v>
      </c>
      <c r="D160" s="11">
        <v>45084</v>
      </c>
      <c r="E160" s="37"/>
    </row>
    <row r="161" ht="15.75" spans="1:5">
      <c r="A161" s="46">
        <v>3045230.932</v>
      </c>
      <c r="B161" s="46">
        <v>35401066.05</v>
      </c>
      <c r="C161" s="47">
        <v>907.026</v>
      </c>
      <c r="D161" s="11">
        <v>45085</v>
      </c>
      <c r="E161" s="39"/>
    </row>
    <row r="162" ht="15.75" spans="1:5">
      <c r="A162" s="46">
        <v>3045230.932</v>
      </c>
      <c r="B162" s="46">
        <v>35401066.05</v>
      </c>
      <c r="C162" s="47">
        <v>907.026</v>
      </c>
      <c r="D162" s="11">
        <v>45086</v>
      </c>
      <c r="E162" s="37"/>
    </row>
    <row r="163" ht="15.75" spans="1:5">
      <c r="A163" s="46">
        <v>3045230.932</v>
      </c>
      <c r="B163" s="46">
        <v>35401066.05</v>
      </c>
      <c r="C163" s="47">
        <v>907.026</v>
      </c>
      <c r="D163" s="11">
        <v>45087</v>
      </c>
      <c r="E163" s="37"/>
    </row>
    <row r="164" ht="15.75" spans="1:5">
      <c r="A164" s="46">
        <v>3045230.932</v>
      </c>
      <c r="B164" s="46">
        <v>35401066.05</v>
      </c>
      <c r="C164" s="47">
        <v>907.026</v>
      </c>
      <c r="D164" s="11">
        <v>45088</v>
      </c>
      <c r="E164" s="37"/>
    </row>
    <row r="165" ht="15.75" spans="1:5">
      <c r="A165" s="46">
        <v>3045230.932</v>
      </c>
      <c r="B165" s="46">
        <v>35401066.05</v>
      </c>
      <c r="C165" s="47">
        <v>907.026</v>
      </c>
      <c r="D165" s="11">
        <v>45089</v>
      </c>
      <c r="E165" s="37"/>
    </row>
    <row r="166" ht="15.75" spans="1:5">
      <c r="A166" s="46">
        <v>3045230.932</v>
      </c>
      <c r="B166" s="46">
        <v>35401066.05</v>
      </c>
      <c r="C166" s="47">
        <v>907.026</v>
      </c>
      <c r="D166" s="11">
        <v>45090</v>
      </c>
      <c r="E166" s="37"/>
    </row>
    <row r="167" ht="15.75" spans="1:5">
      <c r="A167" s="46">
        <v>3045230.932</v>
      </c>
      <c r="B167" s="46">
        <v>35401066.05</v>
      </c>
      <c r="C167" s="47">
        <v>907.026</v>
      </c>
      <c r="D167" s="11">
        <v>45091</v>
      </c>
      <c r="E167" s="37"/>
    </row>
    <row r="168" ht="15.75" spans="1:5">
      <c r="A168" s="46">
        <v>3045230.932</v>
      </c>
      <c r="B168" s="46">
        <v>35401066.05</v>
      </c>
      <c r="C168" s="47">
        <v>907.026</v>
      </c>
      <c r="D168" s="11">
        <v>45092</v>
      </c>
      <c r="E168" s="39"/>
    </row>
    <row r="169" ht="15.75" spans="1:5">
      <c r="A169" s="46">
        <v>3045230.932</v>
      </c>
      <c r="B169" s="46">
        <v>35401066.05</v>
      </c>
      <c r="C169" s="47">
        <v>907.026</v>
      </c>
      <c r="D169" s="11">
        <v>45093</v>
      </c>
      <c r="E169" s="37"/>
    </row>
    <row r="170" ht="15.75" spans="1:5">
      <c r="A170" s="46">
        <v>3045230.932</v>
      </c>
      <c r="B170" s="46">
        <v>35401066.05</v>
      </c>
      <c r="C170" s="47">
        <v>907.026</v>
      </c>
      <c r="D170" s="11">
        <v>45094</v>
      </c>
      <c r="E170" s="37"/>
    </row>
    <row r="171" ht="15.75" spans="1:5">
      <c r="A171" s="46">
        <v>3045230.932</v>
      </c>
      <c r="B171" s="46">
        <v>35401066.05</v>
      </c>
      <c r="C171" s="47">
        <v>907.026</v>
      </c>
      <c r="D171" s="11">
        <v>45095</v>
      </c>
      <c r="E171" s="37"/>
    </row>
    <row r="172" ht="15.75" spans="1:5">
      <c r="A172" s="46">
        <v>3045230.932</v>
      </c>
      <c r="B172" s="46">
        <v>35401066.05</v>
      </c>
      <c r="C172" s="47">
        <v>907.026</v>
      </c>
      <c r="D172" s="11">
        <v>45096</v>
      </c>
      <c r="E172" s="37"/>
    </row>
    <row r="173" ht="15.75" spans="1:5">
      <c r="A173" s="46">
        <v>3045230.932</v>
      </c>
      <c r="B173" s="46">
        <v>35401066.05</v>
      </c>
      <c r="C173" s="47">
        <v>907.026</v>
      </c>
      <c r="D173" s="11">
        <v>45097</v>
      </c>
      <c r="E173" s="37"/>
    </row>
    <row r="174" ht="15.75" spans="1:5">
      <c r="A174" s="46">
        <v>3045230.932</v>
      </c>
      <c r="B174" s="46">
        <v>35401066.05</v>
      </c>
      <c r="C174" s="47">
        <v>907.026</v>
      </c>
      <c r="D174" s="11">
        <v>45098</v>
      </c>
      <c r="E174" s="40"/>
    </row>
    <row r="175" ht="15.75" spans="1:5">
      <c r="A175" s="46">
        <v>3045230.932</v>
      </c>
      <c r="B175" s="46">
        <v>35401066.05</v>
      </c>
      <c r="C175" s="47">
        <v>907.026</v>
      </c>
      <c r="D175" s="11">
        <v>45099</v>
      </c>
      <c r="E175" s="40"/>
    </row>
    <row r="176" ht="15.75" spans="1:5">
      <c r="A176" s="46">
        <v>3045230.932</v>
      </c>
      <c r="B176" s="46">
        <v>35401066.05</v>
      </c>
      <c r="C176" s="47">
        <v>907.026</v>
      </c>
      <c r="D176" s="11">
        <v>45100</v>
      </c>
      <c r="E176" s="40"/>
    </row>
    <row r="177" ht="15.75" spans="1:5">
      <c r="A177" s="46">
        <v>3045230.932</v>
      </c>
      <c r="B177" s="46">
        <v>35401066.05</v>
      </c>
      <c r="C177" s="47">
        <v>907.026</v>
      </c>
      <c r="D177" s="11">
        <v>45101</v>
      </c>
      <c r="E177" s="40"/>
    </row>
    <row r="178" ht="15.75" spans="1:5">
      <c r="A178" s="46">
        <v>3045230.932</v>
      </c>
      <c r="B178" s="46">
        <v>35401066.05</v>
      </c>
      <c r="C178" s="47">
        <v>907.026</v>
      </c>
      <c r="D178" s="11">
        <v>45102</v>
      </c>
      <c r="E178" s="40"/>
    </row>
    <row r="179" ht="15.75" spans="1:5">
      <c r="A179" s="46">
        <v>3045230.932</v>
      </c>
      <c r="B179" s="46">
        <v>35401066.05</v>
      </c>
      <c r="C179" s="47">
        <v>907.026</v>
      </c>
      <c r="D179" s="11">
        <v>45103</v>
      </c>
      <c r="E179" s="40"/>
    </row>
    <row r="180" ht="15.75" spans="1:5">
      <c r="A180" s="46">
        <v>3045230.932</v>
      </c>
      <c r="B180" s="46">
        <v>35401066.05</v>
      </c>
      <c r="C180" s="47">
        <v>907.026</v>
      </c>
      <c r="D180" s="11">
        <v>45104</v>
      </c>
      <c r="E180" s="40"/>
    </row>
    <row r="181" ht="15.75" spans="1:5">
      <c r="A181" s="46">
        <v>3045230.932</v>
      </c>
      <c r="B181" s="46">
        <v>35401066.05</v>
      </c>
      <c r="C181" s="47">
        <v>907.026</v>
      </c>
      <c r="D181" s="11">
        <v>45105</v>
      </c>
      <c r="E181" s="39"/>
    </row>
    <row r="182" ht="15.75" spans="1:5">
      <c r="A182" s="46">
        <v>3045230.932</v>
      </c>
      <c r="B182" s="46">
        <v>35401066.05</v>
      </c>
      <c r="C182" s="47">
        <v>907.026</v>
      </c>
      <c r="D182" s="11">
        <v>45106</v>
      </c>
      <c r="E182" s="40"/>
    </row>
    <row r="183" ht="15.75" spans="1:5">
      <c r="A183" s="46">
        <v>3045230.932</v>
      </c>
      <c r="B183" s="46">
        <v>35401066.05</v>
      </c>
      <c r="C183" s="47">
        <v>907.026</v>
      </c>
      <c r="D183" s="11">
        <v>45107</v>
      </c>
      <c r="E183" s="40"/>
    </row>
    <row r="184" ht="15.75" spans="1:5">
      <c r="A184" s="46">
        <v>3045230.932</v>
      </c>
      <c r="B184" s="46">
        <v>35401066.05</v>
      </c>
      <c r="C184" s="47">
        <v>907.026</v>
      </c>
      <c r="D184" s="11">
        <v>45108</v>
      </c>
      <c r="E184" s="40"/>
    </row>
    <row r="185" ht="15.75" spans="1:5">
      <c r="A185" s="46">
        <v>3045230.932</v>
      </c>
      <c r="B185" s="46">
        <v>35401066.05</v>
      </c>
      <c r="C185" s="47">
        <v>907.026</v>
      </c>
      <c r="D185" s="11">
        <v>45109</v>
      </c>
      <c r="E185" s="40"/>
    </row>
    <row r="186" ht="15.75" spans="1:5">
      <c r="A186" s="46">
        <v>3045230.932</v>
      </c>
      <c r="B186" s="46">
        <v>35401066.05</v>
      </c>
      <c r="C186" s="47">
        <v>907.026</v>
      </c>
      <c r="D186" s="11">
        <v>45110</v>
      </c>
      <c r="E186" s="40"/>
    </row>
    <row r="187" ht="15.75" spans="1:5">
      <c r="A187" s="46">
        <v>3045230.932</v>
      </c>
      <c r="B187" s="46">
        <v>35401066.05</v>
      </c>
      <c r="C187" s="47">
        <v>907.026</v>
      </c>
      <c r="D187" s="11">
        <v>45111</v>
      </c>
      <c r="E187" s="39"/>
    </row>
    <row r="188" ht="15.75" spans="1:5">
      <c r="A188" s="46">
        <v>3045230.932</v>
      </c>
      <c r="B188" s="46">
        <v>35401066.05</v>
      </c>
      <c r="C188" s="47">
        <v>907.026</v>
      </c>
      <c r="D188" s="11">
        <v>45112</v>
      </c>
      <c r="E188" s="39"/>
    </row>
    <row r="189" ht="15.75" spans="1:5">
      <c r="A189" s="46">
        <v>3045230.932</v>
      </c>
      <c r="B189" s="46">
        <v>35401066.05</v>
      </c>
      <c r="C189" s="47">
        <v>907.026</v>
      </c>
      <c r="D189" s="11">
        <v>45113</v>
      </c>
      <c r="E189" s="37"/>
    </row>
    <row r="190" ht="15.75" spans="1:5">
      <c r="A190" s="46">
        <v>3045230.932</v>
      </c>
      <c r="B190" s="46">
        <v>35401066.05</v>
      </c>
      <c r="C190" s="47">
        <v>907.026</v>
      </c>
      <c r="D190" s="11">
        <v>45114</v>
      </c>
      <c r="E190" s="37"/>
    </row>
    <row r="191" ht="15.75" spans="1:5">
      <c r="A191" s="46">
        <v>3045230.932</v>
      </c>
      <c r="B191" s="46">
        <v>35401066.05</v>
      </c>
      <c r="C191" s="47">
        <v>907.026</v>
      </c>
      <c r="D191" s="11">
        <v>45115</v>
      </c>
      <c r="E191" s="37"/>
    </row>
    <row r="192" ht="15.75" spans="1:5">
      <c r="A192" s="46">
        <v>3045230.932</v>
      </c>
      <c r="B192" s="46">
        <v>35401066.05</v>
      </c>
      <c r="C192" s="47">
        <v>907.026</v>
      </c>
      <c r="D192" s="11">
        <v>45116</v>
      </c>
      <c r="E192" s="37"/>
    </row>
    <row r="193" ht="15.75" spans="1:5">
      <c r="A193" s="46">
        <v>3045230.932</v>
      </c>
      <c r="B193" s="46">
        <v>35401066.05</v>
      </c>
      <c r="C193" s="47">
        <v>907.026</v>
      </c>
      <c r="D193" s="11">
        <v>45117</v>
      </c>
      <c r="E193" s="37"/>
    </row>
    <row r="194" ht="15.75" spans="1:5">
      <c r="A194" s="46">
        <v>3045230.932</v>
      </c>
      <c r="B194" s="46">
        <v>35401066.05</v>
      </c>
      <c r="C194" s="47">
        <v>907.026</v>
      </c>
      <c r="D194" s="11">
        <v>45118</v>
      </c>
      <c r="E194" s="37"/>
    </row>
    <row r="195" ht="15.75" spans="1:5">
      <c r="A195" s="46">
        <v>3045230.932</v>
      </c>
      <c r="B195" s="46">
        <v>35401066.05</v>
      </c>
      <c r="C195" s="47">
        <v>907.026</v>
      </c>
      <c r="D195" s="11">
        <v>45119</v>
      </c>
      <c r="E195" s="39"/>
    </row>
    <row r="196" ht="15.75" spans="1:5">
      <c r="A196" s="46">
        <v>3045230.932</v>
      </c>
      <c r="B196" s="46">
        <v>35401066.05</v>
      </c>
      <c r="C196" s="47">
        <v>907.026</v>
      </c>
      <c r="D196" s="11">
        <v>45120</v>
      </c>
      <c r="E196" s="37"/>
    </row>
    <row r="197" ht="15.75" spans="1:5">
      <c r="A197" s="46">
        <v>3045230.932</v>
      </c>
      <c r="B197" s="46">
        <v>35401066.05</v>
      </c>
      <c r="C197" s="47">
        <v>907.026</v>
      </c>
      <c r="D197" s="11">
        <v>45121</v>
      </c>
      <c r="E197" s="37"/>
    </row>
    <row r="198" ht="15.75" spans="1:5">
      <c r="A198" s="46">
        <v>3045230.932</v>
      </c>
      <c r="B198" s="46">
        <v>35401066.05</v>
      </c>
      <c r="C198" s="47">
        <v>907.026</v>
      </c>
      <c r="D198" s="11">
        <v>45122</v>
      </c>
      <c r="E198" s="37"/>
    </row>
    <row r="199" ht="15.75" spans="1:5">
      <c r="A199" s="46">
        <v>3045230.932</v>
      </c>
      <c r="B199" s="46">
        <v>35401066.05</v>
      </c>
      <c r="C199" s="47">
        <v>907.026</v>
      </c>
      <c r="D199" s="11">
        <v>45123</v>
      </c>
      <c r="E199" s="37"/>
    </row>
    <row r="200" ht="15.75" spans="1:5">
      <c r="A200" s="46">
        <v>3045230.932</v>
      </c>
      <c r="B200" s="46">
        <v>35401066.05</v>
      </c>
      <c r="C200" s="47">
        <v>907.026</v>
      </c>
      <c r="D200" s="11">
        <v>45124</v>
      </c>
      <c r="E200" s="37"/>
    </row>
    <row r="201" ht="15.75" spans="1:5">
      <c r="A201" s="46">
        <v>3045230.932</v>
      </c>
      <c r="B201" s="46">
        <v>35401066.05</v>
      </c>
      <c r="C201" s="47">
        <v>907.026</v>
      </c>
      <c r="D201" s="11">
        <v>45125</v>
      </c>
      <c r="E201" s="37"/>
    </row>
    <row r="202" ht="15.75" spans="1:5">
      <c r="A202" s="46">
        <v>3045230.932</v>
      </c>
      <c r="B202" s="46">
        <v>35401066.05</v>
      </c>
      <c r="C202" s="47">
        <v>907.026</v>
      </c>
      <c r="D202" s="11">
        <v>45126</v>
      </c>
      <c r="E202" s="39"/>
    </row>
    <row r="203" ht="15.75" spans="1:5">
      <c r="A203" s="46">
        <v>3045230.932</v>
      </c>
      <c r="B203" s="46">
        <v>35401066.05</v>
      </c>
      <c r="C203" s="47">
        <v>907.026</v>
      </c>
      <c r="D203" s="11">
        <v>45127</v>
      </c>
      <c r="E203" s="40"/>
    </row>
    <row r="204" ht="15.75" spans="1:5">
      <c r="A204" s="46">
        <v>3045230.932</v>
      </c>
      <c r="B204" s="46">
        <v>35401066.05</v>
      </c>
      <c r="C204" s="47">
        <v>907.026</v>
      </c>
      <c r="D204" s="11">
        <v>45128</v>
      </c>
      <c r="E204" s="40"/>
    </row>
    <row r="205" ht="15.75" spans="1:5">
      <c r="A205" s="46">
        <v>3045230.932</v>
      </c>
      <c r="B205" s="46">
        <v>35401066.05</v>
      </c>
      <c r="C205" s="47">
        <v>907.026</v>
      </c>
      <c r="D205" s="11">
        <v>45129</v>
      </c>
      <c r="E205" s="40"/>
    </row>
    <row r="206" ht="15.75" spans="1:5">
      <c r="A206" s="46">
        <v>3045230.932</v>
      </c>
      <c r="B206" s="46">
        <v>35401066.05</v>
      </c>
      <c r="C206" s="47">
        <v>907.026</v>
      </c>
      <c r="D206" s="11">
        <v>45130</v>
      </c>
      <c r="E206" s="40"/>
    </row>
    <row r="207" ht="15.75" spans="1:5">
      <c r="A207" s="46">
        <v>3045230.932</v>
      </c>
      <c r="B207" s="46">
        <v>35401066.05</v>
      </c>
      <c r="C207" s="47">
        <v>907.026</v>
      </c>
      <c r="D207" s="11">
        <v>45131</v>
      </c>
      <c r="E207" s="40"/>
    </row>
    <row r="208" ht="15.75" spans="1:5">
      <c r="A208" s="46">
        <v>3045230.932</v>
      </c>
      <c r="B208" s="46">
        <v>35401066.05</v>
      </c>
      <c r="C208" s="47">
        <v>907.026</v>
      </c>
      <c r="D208" s="11">
        <v>45132</v>
      </c>
      <c r="E208" s="40"/>
    </row>
    <row r="209" ht="15.75" spans="1:5">
      <c r="A209" s="46">
        <v>3045230.932</v>
      </c>
      <c r="B209" s="46">
        <v>35401066.05</v>
      </c>
      <c r="C209" s="47">
        <v>907.026</v>
      </c>
      <c r="D209" s="11">
        <v>45133</v>
      </c>
      <c r="E209" s="39"/>
    </row>
    <row r="210" ht="15.75" spans="1:5">
      <c r="A210" s="46">
        <v>3045230.932</v>
      </c>
      <c r="B210" s="46">
        <v>35401066.05</v>
      </c>
      <c r="C210" s="47">
        <v>907.026</v>
      </c>
      <c r="D210" s="11">
        <v>45134</v>
      </c>
      <c r="E210" s="40"/>
    </row>
    <row r="211" ht="15.75" spans="1:5">
      <c r="A211" s="46">
        <v>3045230.932</v>
      </c>
      <c r="B211" s="46">
        <v>35401066.05</v>
      </c>
      <c r="C211" s="47">
        <v>907.026</v>
      </c>
      <c r="D211" s="11">
        <v>45135</v>
      </c>
      <c r="E211" s="40"/>
    </row>
    <row r="212" ht="15.75" spans="1:5">
      <c r="A212" s="46">
        <v>3045230.932</v>
      </c>
      <c r="B212" s="46">
        <v>35401066.05</v>
      </c>
      <c r="C212" s="47">
        <v>907.026</v>
      </c>
      <c r="D212" s="11">
        <v>45136</v>
      </c>
      <c r="E212" s="40"/>
    </row>
    <row r="213" ht="15.75" spans="1:5">
      <c r="A213" s="46">
        <v>3045230.932</v>
      </c>
      <c r="B213" s="46">
        <v>35401066.05</v>
      </c>
      <c r="C213" s="47">
        <v>907.026</v>
      </c>
      <c r="D213" s="11">
        <v>45137</v>
      </c>
      <c r="E213" s="40"/>
    </row>
    <row r="214" ht="15.75" spans="1:5">
      <c r="A214" s="46">
        <v>3045230.932</v>
      </c>
      <c r="B214" s="46">
        <v>35401066.05</v>
      </c>
      <c r="C214" s="47">
        <v>907.026</v>
      </c>
      <c r="D214" s="11">
        <v>45138</v>
      </c>
      <c r="E214" s="40"/>
    </row>
    <row r="215" ht="15.75" spans="1:5">
      <c r="A215" s="46">
        <v>3045230.932</v>
      </c>
      <c r="B215" s="46">
        <v>35401066.05</v>
      </c>
      <c r="C215" s="47">
        <v>907.026</v>
      </c>
      <c r="D215" s="11">
        <v>45139</v>
      </c>
      <c r="E215" s="40"/>
    </row>
    <row r="216" ht="15.75" spans="1:5">
      <c r="A216" s="46">
        <v>3045230.932</v>
      </c>
      <c r="B216" s="46">
        <v>35401066.05</v>
      </c>
      <c r="C216" s="47">
        <v>907.026</v>
      </c>
      <c r="D216" s="11">
        <v>45140</v>
      </c>
      <c r="E216" s="39"/>
    </row>
    <row r="217" ht="15.75" spans="1:5">
      <c r="A217" s="46">
        <v>3045230.932</v>
      </c>
      <c r="B217" s="46">
        <v>35401066.05</v>
      </c>
      <c r="C217" s="47">
        <v>907.026</v>
      </c>
      <c r="D217" s="11">
        <v>45141</v>
      </c>
      <c r="E217" s="40"/>
    </row>
    <row r="218" ht="15.75" spans="1:5">
      <c r="A218" s="46">
        <v>3045230.932</v>
      </c>
      <c r="B218" s="46">
        <v>35401066.05</v>
      </c>
      <c r="C218" s="47">
        <v>907.026</v>
      </c>
      <c r="D218" s="11">
        <v>45142</v>
      </c>
      <c r="E218" s="40"/>
    </row>
    <row r="219" ht="15.75" spans="1:5">
      <c r="A219" s="46">
        <v>3045230.932</v>
      </c>
      <c r="B219" s="46">
        <v>35401066.05</v>
      </c>
      <c r="C219" s="47">
        <v>907.026</v>
      </c>
      <c r="D219" s="11">
        <v>45143</v>
      </c>
      <c r="E219" s="40"/>
    </row>
    <row r="220" ht="15.75" spans="1:5">
      <c r="A220" s="46">
        <v>3045230.932</v>
      </c>
      <c r="B220" s="46">
        <v>35401066.05</v>
      </c>
      <c r="C220" s="47">
        <v>907.026</v>
      </c>
      <c r="D220" s="11">
        <v>45144</v>
      </c>
      <c r="E220" s="40"/>
    </row>
    <row r="221" ht="15.75" spans="1:5">
      <c r="A221" s="46">
        <v>3045230.932</v>
      </c>
      <c r="B221" s="46">
        <v>35401066.05</v>
      </c>
      <c r="C221" s="47">
        <v>907.026</v>
      </c>
      <c r="D221" s="11">
        <v>45145</v>
      </c>
      <c r="E221" s="40"/>
    </row>
    <row r="222" ht="15.75" spans="1:5">
      <c r="A222" s="46">
        <v>3045230.932</v>
      </c>
      <c r="B222" s="46">
        <v>35401066.05</v>
      </c>
      <c r="C222" s="47">
        <v>907.026</v>
      </c>
      <c r="D222" s="11">
        <v>45146</v>
      </c>
      <c r="E222" s="40"/>
    </row>
    <row r="223" ht="15.75" spans="1:5">
      <c r="A223" s="46">
        <v>3045230.932</v>
      </c>
      <c r="B223" s="46">
        <v>35401066.05</v>
      </c>
      <c r="C223" s="47">
        <v>907.026</v>
      </c>
      <c r="D223" s="11">
        <v>45147</v>
      </c>
      <c r="E223" s="39"/>
    </row>
    <row r="224" ht="15.75" spans="1:5">
      <c r="A224" s="46">
        <v>3045230.932</v>
      </c>
      <c r="B224" s="46">
        <v>35401066.05</v>
      </c>
      <c r="C224" s="47">
        <v>907.026</v>
      </c>
      <c r="D224" s="11">
        <v>45148</v>
      </c>
      <c r="E224" s="37"/>
    </row>
    <row r="225" ht="15.75" spans="1:5">
      <c r="A225" s="46">
        <v>3045230.932</v>
      </c>
      <c r="B225" s="46">
        <v>35401066.05</v>
      </c>
      <c r="C225" s="47">
        <v>907.026</v>
      </c>
      <c r="D225" s="11">
        <v>45149</v>
      </c>
      <c r="E225" s="37"/>
    </row>
    <row r="226" ht="15.75" spans="1:5">
      <c r="A226" s="46">
        <v>3045230.932</v>
      </c>
      <c r="B226" s="46">
        <v>35401066.05</v>
      </c>
      <c r="C226" s="47">
        <v>907.026</v>
      </c>
      <c r="D226" s="11">
        <v>45150</v>
      </c>
      <c r="E226" s="37"/>
    </row>
    <row r="227" ht="15.75" spans="1:5">
      <c r="A227" s="46">
        <v>3045230.932</v>
      </c>
      <c r="B227" s="46">
        <v>35401066.05</v>
      </c>
      <c r="C227" s="47">
        <v>907.026</v>
      </c>
      <c r="D227" s="11">
        <v>45151</v>
      </c>
      <c r="E227" s="37"/>
    </row>
    <row r="228" ht="15.75" spans="1:5">
      <c r="A228" s="46">
        <v>3045230.932</v>
      </c>
      <c r="B228" s="46">
        <v>35401066.05</v>
      </c>
      <c r="C228" s="47">
        <v>907.026</v>
      </c>
      <c r="D228" s="11">
        <v>45152</v>
      </c>
      <c r="E228" s="37"/>
    </row>
    <row r="229" ht="15.75" spans="1:5">
      <c r="A229" s="46">
        <v>3045230.932</v>
      </c>
      <c r="B229" s="46">
        <v>35401066.05</v>
      </c>
      <c r="C229" s="47">
        <v>907.026</v>
      </c>
      <c r="D229" s="11">
        <v>45153</v>
      </c>
      <c r="E229" s="40"/>
    </row>
    <row r="230" ht="15.75" spans="1:5">
      <c r="A230" s="46">
        <v>3045230.932</v>
      </c>
      <c r="B230" s="46">
        <v>35401066.05</v>
      </c>
      <c r="C230" s="47">
        <v>907.026</v>
      </c>
      <c r="D230" s="11">
        <v>45154</v>
      </c>
      <c r="E230" s="40"/>
    </row>
    <row r="231" ht="15.75" spans="1:5">
      <c r="A231" s="46">
        <v>3045230.932</v>
      </c>
      <c r="B231" s="46">
        <v>35401066.05</v>
      </c>
      <c r="C231" s="47">
        <v>907.026</v>
      </c>
      <c r="D231" s="11">
        <v>45155</v>
      </c>
      <c r="E231" s="39"/>
    </row>
    <row r="232" ht="15.75" spans="1:5">
      <c r="A232" s="46">
        <v>3045230.932</v>
      </c>
      <c r="B232" s="46">
        <v>35401066.05</v>
      </c>
      <c r="C232" s="47">
        <v>907.026</v>
      </c>
      <c r="D232" s="11">
        <v>45156</v>
      </c>
      <c r="E232" s="40"/>
    </row>
    <row r="233" ht="15.75" spans="1:5">
      <c r="A233" s="46">
        <v>3045230.932</v>
      </c>
      <c r="B233" s="46">
        <v>35401066.05</v>
      </c>
      <c r="C233" s="47">
        <v>907.026</v>
      </c>
      <c r="D233" s="11">
        <v>45157</v>
      </c>
      <c r="E233" s="40"/>
    </row>
    <row r="234" ht="15.75" spans="1:5">
      <c r="A234" s="46">
        <v>3045230.932</v>
      </c>
      <c r="B234" s="46">
        <v>35401066.05</v>
      </c>
      <c r="C234" s="47">
        <v>907.026</v>
      </c>
      <c r="D234" s="11">
        <v>45158</v>
      </c>
      <c r="E234" s="40"/>
    </row>
    <row r="235" ht="15.75" spans="1:5">
      <c r="A235" s="46">
        <v>3045230.932</v>
      </c>
      <c r="B235" s="46">
        <v>35401066.05</v>
      </c>
      <c r="C235" s="47">
        <v>907.026</v>
      </c>
      <c r="D235" s="11">
        <v>45159</v>
      </c>
      <c r="E235" s="40"/>
    </row>
    <row r="236" ht="15.75" spans="1:5">
      <c r="A236" s="46">
        <v>3045230.932</v>
      </c>
      <c r="B236" s="46">
        <v>35401066.05</v>
      </c>
      <c r="C236" s="47">
        <v>907.026</v>
      </c>
      <c r="D236" s="11">
        <v>45160</v>
      </c>
      <c r="E236" s="40"/>
    </row>
    <row r="237" ht="15.75" spans="1:5">
      <c r="A237" s="46">
        <v>3045230.932</v>
      </c>
      <c r="B237" s="46">
        <v>35401066.05</v>
      </c>
      <c r="C237" s="47">
        <v>907.026</v>
      </c>
      <c r="D237" s="11">
        <v>45161</v>
      </c>
      <c r="E237" s="40"/>
    </row>
    <row r="238" ht="15.75" spans="1:5">
      <c r="A238" s="46">
        <v>3045230.932</v>
      </c>
      <c r="B238" s="46">
        <v>35401066.05</v>
      </c>
      <c r="C238" s="47">
        <v>907.026</v>
      </c>
      <c r="D238" s="11">
        <v>45162</v>
      </c>
      <c r="E238" s="40"/>
    </row>
    <row r="239" ht="15.75" spans="1:5">
      <c r="A239" s="46">
        <v>3045230.932</v>
      </c>
      <c r="B239" s="46">
        <v>35401066.05</v>
      </c>
      <c r="C239" s="47">
        <v>907.026</v>
      </c>
      <c r="D239" s="11">
        <v>45163</v>
      </c>
      <c r="E239" s="40"/>
    </row>
    <row r="240" ht="15.75" spans="1:5">
      <c r="A240" s="46">
        <v>3045230.932</v>
      </c>
      <c r="B240" s="46">
        <v>35401066.05</v>
      </c>
      <c r="C240" s="47">
        <v>907.026</v>
      </c>
      <c r="D240" s="11">
        <v>45164</v>
      </c>
      <c r="E240" s="40"/>
    </row>
    <row r="241" ht="15.75" spans="1:5">
      <c r="A241" s="46">
        <v>3045230.932</v>
      </c>
      <c r="B241" s="46">
        <v>35401066.05</v>
      </c>
      <c r="C241" s="47">
        <v>907.026</v>
      </c>
      <c r="D241" s="11">
        <v>45165</v>
      </c>
      <c r="E241" s="40"/>
    </row>
    <row r="242" ht="15.75" spans="1:5">
      <c r="A242" s="46">
        <v>3045230.932</v>
      </c>
      <c r="B242" s="46">
        <v>35401066.05</v>
      </c>
      <c r="C242" s="47">
        <v>907.026</v>
      </c>
      <c r="D242" s="11">
        <v>45166</v>
      </c>
      <c r="E242" s="39"/>
    </row>
    <row r="243" ht="15.75" spans="1:5">
      <c r="A243" s="46">
        <v>3045230.932</v>
      </c>
      <c r="B243" s="46">
        <v>35401066.05</v>
      </c>
      <c r="C243" s="47">
        <v>907.026</v>
      </c>
      <c r="D243" s="11">
        <v>45167</v>
      </c>
      <c r="E243" s="40"/>
    </row>
    <row r="244" ht="15.75" spans="1:5">
      <c r="A244" s="46">
        <v>3045230.932</v>
      </c>
      <c r="B244" s="46">
        <v>35401066.05</v>
      </c>
      <c r="C244" s="47">
        <v>907.026</v>
      </c>
      <c r="D244" s="11">
        <v>45168</v>
      </c>
      <c r="E244" s="40"/>
    </row>
    <row r="245" ht="15.75" spans="1:5">
      <c r="A245" s="46">
        <v>3045230.932</v>
      </c>
      <c r="B245" s="46">
        <v>35401066.05</v>
      </c>
      <c r="C245" s="47">
        <v>907.026</v>
      </c>
      <c r="D245" s="11">
        <v>45169</v>
      </c>
      <c r="E245" s="37"/>
    </row>
    <row r="246" ht="15.75" spans="1:5">
      <c r="A246" s="46">
        <v>3045230.932</v>
      </c>
      <c r="B246" s="46">
        <v>35401066.05</v>
      </c>
      <c r="C246" s="47">
        <v>907.026</v>
      </c>
      <c r="D246" s="11">
        <v>45170</v>
      </c>
      <c r="E246" s="37"/>
    </row>
    <row r="247" ht="15.75" spans="1:5">
      <c r="A247" s="46">
        <v>3045230.932</v>
      </c>
      <c r="B247" s="46">
        <v>35401066.05</v>
      </c>
      <c r="C247" s="47">
        <v>907.026</v>
      </c>
      <c r="D247" s="11">
        <v>45171</v>
      </c>
      <c r="E247" s="37"/>
    </row>
    <row r="248" ht="15.75" spans="1:5">
      <c r="A248" s="46">
        <v>3045230.932</v>
      </c>
      <c r="B248" s="46">
        <v>35401066.05</v>
      </c>
      <c r="C248" s="47">
        <v>907.026</v>
      </c>
      <c r="D248" s="11">
        <v>45172</v>
      </c>
      <c r="E248" s="37"/>
    </row>
    <row r="249" ht="15.75" spans="1:5">
      <c r="A249" s="46">
        <v>3045230.932</v>
      </c>
      <c r="B249" s="46">
        <v>35401066.05</v>
      </c>
      <c r="C249" s="47">
        <v>907.026</v>
      </c>
      <c r="D249" s="11">
        <v>45173</v>
      </c>
      <c r="E249" s="37"/>
    </row>
    <row r="250" ht="15.75" spans="1:5">
      <c r="A250" s="46">
        <v>3045230.932</v>
      </c>
      <c r="B250" s="46">
        <v>35401066.05</v>
      </c>
      <c r="C250" s="47">
        <v>907.026</v>
      </c>
      <c r="D250" s="11">
        <v>45174</v>
      </c>
      <c r="E250" s="37"/>
    </row>
    <row r="251" ht="15.75" spans="1:5">
      <c r="A251" s="46">
        <v>3045230.932</v>
      </c>
      <c r="B251" s="46">
        <v>35401066.05</v>
      </c>
      <c r="C251" s="47">
        <v>907.026</v>
      </c>
      <c r="D251" s="11">
        <v>45175</v>
      </c>
      <c r="E251" s="37"/>
    </row>
    <row r="252" ht="15.75" spans="1:5">
      <c r="A252" s="46">
        <v>3045230.932</v>
      </c>
      <c r="B252" s="46">
        <v>35401066.05</v>
      </c>
      <c r="C252" s="47">
        <v>907.026</v>
      </c>
      <c r="D252" s="11">
        <v>45176</v>
      </c>
      <c r="E252" s="37"/>
    </row>
    <row r="253" ht="15.75" spans="1:5">
      <c r="A253" s="46">
        <v>3045230.932</v>
      </c>
      <c r="B253" s="46">
        <v>35401066.05</v>
      </c>
      <c r="C253" s="47">
        <v>907.026</v>
      </c>
      <c r="D253" s="11">
        <v>45177</v>
      </c>
      <c r="E253" s="39"/>
    </row>
    <row r="254" ht="15.75" spans="1:5">
      <c r="A254" s="46">
        <v>3045230.932</v>
      </c>
      <c r="B254" s="46">
        <v>35401066.05</v>
      </c>
      <c r="C254" s="47">
        <v>907.026</v>
      </c>
      <c r="D254" s="11">
        <v>45178</v>
      </c>
      <c r="E254" s="39"/>
    </row>
    <row r="255" ht="15.75" spans="1:5">
      <c r="A255" s="46">
        <v>3045230.932</v>
      </c>
      <c r="B255" s="46">
        <v>35401066.05</v>
      </c>
      <c r="C255" s="47">
        <v>907.026</v>
      </c>
      <c r="D255" s="11">
        <v>45179</v>
      </c>
      <c r="E255" s="39"/>
    </row>
    <row r="256" ht="15.75" spans="1:5">
      <c r="A256" s="46">
        <v>3045230.932</v>
      </c>
      <c r="B256" s="46">
        <v>35401066.05</v>
      </c>
      <c r="C256" s="47">
        <v>907.026</v>
      </c>
      <c r="D256" s="11">
        <v>45180</v>
      </c>
      <c r="E256" s="39"/>
    </row>
    <row r="257" ht="15.75" spans="1:5">
      <c r="A257" s="46">
        <v>3045230.932</v>
      </c>
      <c r="B257" s="46">
        <v>35401066.05</v>
      </c>
      <c r="C257" s="47">
        <v>907.026</v>
      </c>
      <c r="D257" s="11">
        <v>45181</v>
      </c>
      <c r="E257" s="39"/>
    </row>
    <row r="258" ht="15.75" spans="1:5">
      <c r="A258" s="46">
        <v>3045230.932</v>
      </c>
      <c r="B258" s="46">
        <v>35401066.05</v>
      </c>
      <c r="C258" s="47">
        <v>907.026</v>
      </c>
      <c r="D258" s="11">
        <v>45182</v>
      </c>
      <c r="E258" s="39"/>
    </row>
    <row r="259" ht="15.75" spans="1:5">
      <c r="A259" s="46">
        <v>3045230.932</v>
      </c>
      <c r="B259" s="46">
        <v>35401066.05</v>
      </c>
      <c r="C259" s="47">
        <v>907.026</v>
      </c>
      <c r="D259" s="11">
        <v>45183</v>
      </c>
      <c r="E259" s="39"/>
    </row>
    <row r="260" ht="15.75" spans="1:5">
      <c r="A260" s="46">
        <v>3045230.932</v>
      </c>
      <c r="B260" s="46">
        <v>35401066.05</v>
      </c>
      <c r="C260" s="47">
        <v>907.026</v>
      </c>
      <c r="D260" s="11">
        <v>45184</v>
      </c>
      <c r="E260" s="37"/>
    </row>
    <row r="261" ht="15.75" spans="1:5">
      <c r="A261" s="46">
        <v>3045230.932</v>
      </c>
      <c r="B261" s="46">
        <v>35401066.05</v>
      </c>
      <c r="C261" s="47">
        <v>907.026</v>
      </c>
      <c r="D261" s="11">
        <v>45185</v>
      </c>
      <c r="E261" s="37"/>
    </row>
    <row r="262" ht="15.75" spans="1:5">
      <c r="A262" s="46">
        <v>3045230.932</v>
      </c>
      <c r="B262" s="46">
        <v>35401066.05</v>
      </c>
      <c r="C262" s="47">
        <v>907.026</v>
      </c>
      <c r="D262" s="11">
        <v>45186</v>
      </c>
      <c r="E262" s="37"/>
    </row>
    <row r="263" ht="15.75" spans="1:5">
      <c r="A263" s="46">
        <v>3045230.932</v>
      </c>
      <c r="B263" s="46">
        <v>35401066.05</v>
      </c>
      <c r="C263" s="47">
        <v>907.026</v>
      </c>
      <c r="D263" s="11">
        <v>45187</v>
      </c>
      <c r="E263" s="37"/>
    </row>
    <row r="264" ht="15.75" spans="1:5">
      <c r="A264" s="46">
        <v>3045230.932</v>
      </c>
      <c r="B264" s="46">
        <v>35401066.05</v>
      </c>
      <c r="C264" s="47">
        <v>907.026</v>
      </c>
      <c r="D264" s="11">
        <v>45188</v>
      </c>
      <c r="E264" s="37"/>
    </row>
    <row r="265" ht="15.75" spans="1:5">
      <c r="A265" s="46">
        <v>3045230.932</v>
      </c>
      <c r="B265" s="46">
        <v>35401066.05</v>
      </c>
      <c r="C265" s="47">
        <v>907.026</v>
      </c>
      <c r="D265" s="11">
        <v>45189</v>
      </c>
      <c r="E265" s="39"/>
    </row>
    <row r="266" ht="15.75" spans="1:5">
      <c r="A266" s="46">
        <v>3045230.932</v>
      </c>
      <c r="B266" s="46">
        <v>35401066.05</v>
      </c>
      <c r="C266" s="47">
        <v>907.026</v>
      </c>
      <c r="D266" s="11">
        <v>45190</v>
      </c>
      <c r="E266" s="39"/>
    </row>
    <row r="267" ht="15.75" spans="1:5">
      <c r="A267" s="46">
        <v>3045230.932</v>
      </c>
      <c r="B267" s="46">
        <v>35401066.05</v>
      </c>
      <c r="C267" s="47">
        <v>907.026</v>
      </c>
      <c r="D267" s="11">
        <v>45191</v>
      </c>
      <c r="E267" s="39"/>
    </row>
    <row r="268" ht="15.75" spans="1:5">
      <c r="A268" s="46">
        <v>3045230.932</v>
      </c>
      <c r="B268" s="46">
        <v>35401066.05</v>
      </c>
      <c r="C268" s="47">
        <v>907.026</v>
      </c>
      <c r="D268" s="11">
        <v>45192</v>
      </c>
      <c r="E268" s="39"/>
    </row>
    <row r="269" ht="15.75" spans="1:5">
      <c r="A269" s="46">
        <v>3045230.932</v>
      </c>
      <c r="B269" s="46">
        <v>35401066.05</v>
      </c>
      <c r="C269" s="47">
        <v>907.026</v>
      </c>
      <c r="D269" s="11">
        <v>45193</v>
      </c>
      <c r="E269" s="39"/>
    </row>
    <row r="270" ht="15.75" spans="1:5">
      <c r="A270" s="46">
        <v>3045230.932</v>
      </c>
      <c r="B270" s="46">
        <v>35401066.05</v>
      </c>
      <c r="C270" s="47">
        <v>907.026</v>
      </c>
      <c r="D270" s="11">
        <v>45194</v>
      </c>
      <c r="E270" s="39"/>
    </row>
    <row r="271" ht="15.75" spans="1:5">
      <c r="A271" s="46">
        <v>3045230.932</v>
      </c>
      <c r="B271" s="46">
        <v>35401066.05</v>
      </c>
      <c r="C271" s="47">
        <v>907.026</v>
      </c>
      <c r="D271" s="11">
        <v>45195</v>
      </c>
      <c r="E271" s="39"/>
    </row>
    <row r="272" ht="15.75" spans="1:5">
      <c r="A272" s="46">
        <v>3045230.932</v>
      </c>
      <c r="B272" s="46">
        <v>35401066.05</v>
      </c>
      <c r="C272" s="47">
        <v>907.026</v>
      </c>
      <c r="D272" s="11">
        <v>45196</v>
      </c>
      <c r="E272" s="39"/>
    </row>
    <row r="273" ht="15.75" spans="1:5">
      <c r="A273" s="46">
        <v>3045230.932</v>
      </c>
      <c r="B273" s="46">
        <v>35401066.05</v>
      </c>
      <c r="C273" s="47">
        <v>907.026</v>
      </c>
      <c r="D273" s="11">
        <v>45197</v>
      </c>
      <c r="E273" s="39"/>
    </row>
    <row r="274" ht="15.75" spans="1:5">
      <c r="A274" s="46">
        <v>3045230.932</v>
      </c>
      <c r="B274" s="46">
        <v>35401066.05</v>
      </c>
      <c r="C274" s="47">
        <v>907.026</v>
      </c>
      <c r="D274" s="11">
        <v>45198</v>
      </c>
      <c r="E274" s="39"/>
    </row>
    <row r="275" ht="15.75" spans="1:5">
      <c r="A275" s="46">
        <v>3045230.932</v>
      </c>
      <c r="B275" s="46">
        <v>35401066.05</v>
      </c>
      <c r="C275" s="47">
        <v>907.026</v>
      </c>
      <c r="D275" s="11">
        <v>45199</v>
      </c>
      <c r="E275" s="39"/>
    </row>
    <row r="276" ht="15.75" spans="1:5">
      <c r="A276" s="46">
        <v>3045230.932</v>
      </c>
      <c r="B276" s="46">
        <v>35401066.05</v>
      </c>
      <c r="C276" s="47">
        <v>907.026</v>
      </c>
      <c r="D276" s="11">
        <v>45200</v>
      </c>
      <c r="E276" s="39"/>
    </row>
    <row r="277" ht="15.75" spans="1:5">
      <c r="A277" s="46">
        <v>3045230.932</v>
      </c>
      <c r="B277" s="46">
        <v>35401066.05</v>
      </c>
      <c r="C277" s="47">
        <v>907.026</v>
      </c>
      <c r="D277" s="11">
        <v>45201</v>
      </c>
      <c r="E277" s="39"/>
    </row>
    <row r="278" ht="15.75" spans="1:5">
      <c r="A278" s="46">
        <v>3045230.932</v>
      </c>
      <c r="B278" s="46">
        <v>35401066.05</v>
      </c>
      <c r="C278" s="47">
        <v>907.026</v>
      </c>
      <c r="D278" s="11">
        <v>45202</v>
      </c>
      <c r="E278" s="39"/>
    </row>
    <row r="279" ht="15.75" spans="1:5">
      <c r="A279" s="46">
        <v>3045230.932</v>
      </c>
      <c r="B279" s="46">
        <v>35401066.05</v>
      </c>
      <c r="C279" s="47">
        <v>907.026</v>
      </c>
      <c r="D279" s="11">
        <v>45203</v>
      </c>
      <c r="E279" s="39"/>
    </row>
    <row r="280" ht="15.75" spans="1:5">
      <c r="A280" s="46">
        <v>3045230.932</v>
      </c>
      <c r="B280" s="46">
        <v>35401066.05</v>
      </c>
      <c r="C280" s="47">
        <v>907.026</v>
      </c>
      <c r="D280" s="11">
        <v>45204</v>
      </c>
      <c r="E280" s="39"/>
    </row>
    <row r="281" ht="15.75" spans="1:5">
      <c r="A281" s="46">
        <v>3045230.932</v>
      </c>
      <c r="B281" s="46">
        <v>35401066.05</v>
      </c>
      <c r="C281" s="47">
        <v>907.026</v>
      </c>
      <c r="D281" s="11">
        <v>45205</v>
      </c>
      <c r="E281" s="39"/>
    </row>
    <row r="282" ht="15.75" spans="1:5">
      <c r="A282" s="46">
        <v>3045230.932</v>
      </c>
      <c r="B282" s="46">
        <v>35401066.05</v>
      </c>
      <c r="C282" s="47">
        <v>907.026</v>
      </c>
      <c r="D282" s="11">
        <v>45206</v>
      </c>
      <c r="E282" s="39"/>
    </row>
    <row r="283" ht="15.75" spans="1:5">
      <c r="A283" s="46">
        <v>3045230.932</v>
      </c>
      <c r="B283" s="46">
        <v>35401066.05</v>
      </c>
      <c r="C283" s="47">
        <v>907.026</v>
      </c>
      <c r="D283" s="11">
        <v>45207</v>
      </c>
      <c r="E283" s="39"/>
    </row>
    <row r="284" ht="15.75" spans="1:5">
      <c r="A284" s="46">
        <v>3045230.932</v>
      </c>
      <c r="B284" s="46">
        <v>35401066.05</v>
      </c>
      <c r="C284" s="47">
        <v>907.026</v>
      </c>
      <c r="D284" s="11">
        <v>45208</v>
      </c>
      <c r="E284" s="39"/>
    </row>
    <row r="285" ht="15.75" spans="1:5">
      <c r="A285" s="46">
        <v>3045230.932</v>
      </c>
      <c r="B285" s="46">
        <v>35401066.05</v>
      </c>
      <c r="C285" s="47">
        <v>907.026</v>
      </c>
      <c r="D285" s="11">
        <v>45209</v>
      </c>
      <c r="E285" s="39"/>
    </row>
    <row r="286" ht="15.75" spans="1:5">
      <c r="A286" s="46">
        <v>3045230.932</v>
      </c>
      <c r="B286" s="46">
        <v>35401066.05</v>
      </c>
      <c r="C286" s="47">
        <v>907.026</v>
      </c>
      <c r="D286" s="11">
        <v>45210</v>
      </c>
      <c r="E286" s="39"/>
    </row>
    <row r="287" ht="15.75" spans="1:5">
      <c r="A287" s="46">
        <v>3045230.932</v>
      </c>
      <c r="B287" s="46">
        <v>35401066.05</v>
      </c>
      <c r="C287" s="47">
        <v>907.026</v>
      </c>
      <c r="D287" s="11">
        <v>45211</v>
      </c>
      <c r="E287" s="39"/>
    </row>
    <row r="288" ht="15.75" spans="1:5">
      <c r="A288" s="46">
        <v>3045230.932</v>
      </c>
      <c r="B288" s="46">
        <v>35401066.05</v>
      </c>
      <c r="C288" s="47">
        <v>907.026</v>
      </c>
      <c r="D288" s="11">
        <v>45212</v>
      </c>
      <c r="E288" s="39"/>
    </row>
    <row r="289" ht="15.75" spans="1:5">
      <c r="A289" s="46">
        <v>3045230.932</v>
      </c>
      <c r="B289" s="46">
        <v>35401066.05</v>
      </c>
      <c r="C289" s="47">
        <v>907.026</v>
      </c>
      <c r="D289" s="11">
        <v>45213</v>
      </c>
      <c r="E289" s="39"/>
    </row>
    <row r="290" ht="15.75" spans="1:5">
      <c r="A290" s="46">
        <v>3045230.932</v>
      </c>
      <c r="B290" s="46">
        <v>35401066.05</v>
      </c>
      <c r="C290" s="47">
        <v>907.026</v>
      </c>
      <c r="D290" s="11">
        <v>45214</v>
      </c>
      <c r="E290" s="39"/>
    </row>
    <row r="291" ht="15.75" spans="1:5">
      <c r="A291" s="46">
        <v>3045230.932</v>
      </c>
      <c r="B291" s="46">
        <v>35401066.05</v>
      </c>
      <c r="C291" s="47">
        <v>907.026</v>
      </c>
      <c r="D291" s="11">
        <v>45215</v>
      </c>
      <c r="E291" s="39"/>
    </row>
    <row r="292" ht="15.75" spans="1:5">
      <c r="A292" s="46">
        <v>3045230.932</v>
      </c>
      <c r="B292" s="46">
        <v>35401066.05</v>
      </c>
      <c r="C292" s="47">
        <v>907.026</v>
      </c>
      <c r="D292" s="11">
        <v>45216</v>
      </c>
      <c r="E292" s="39">
        <v>625.699</v>
      </c>
    </row>
    <row r="293" ht="15.75" spans="1:5">
      <c r="A293" s="46">
        <v>3045230.932</v>
      </c>
      <c r="B293" s="46">
        <v>35401066.05</v>
      </c>
      <c r="C293" s="47">
        <v>907.026</v>
      </c>
      <c r="D293" s="11">
        <v>45217</v>
      </c>
      <c r="E293" s="39">
        <v>627.668</v>
      </c>
    </row>
    <row r="294" ht="15.75" spans="1:5">
      <c r="A294" s="46">
        <v>3045230.932</v>
      </c>
      <c r="B294" s="46">
        <v>35401066.05</v>
      </c>
      <c r="C294" s="47">
        <v>907.026</v>
      </c>
      <c r="D294" s="11">
        <v>45218</v>
      </c>
      <c r="E294" s="39"/>
    </row>
    <row r="295" ht="15.75" spans="1:5">
      <c r="A295" s="46">
        <v>3045230.932</v>
      </c>
      <c r="B295" s="46">
        <v>35401066.05</v>
      </c>
      <c r="C295" s="47">
        <v>907.026</v>
      </c>
      <c r="D295" s="11">
        <v>45219</v>
      </c>
      <c r="E295" s="39">
        <v>629.445</v>
      </c>
    </row>
    <row r="296" ht="15.75" spans="1:5">
      <c r="A296" s="46">
        <v>3045230.932</v>
      </c>
      <c r="B296" s="46">
        <v>35401066.05</v>
      </c>
      <c r="C296" s="47">
        <v>907.026</v>
      </c>
      <c r="D296" s="11">
        <v>45220</v>
      </c>
      <c r="E296" s="39">
        <v>628.837</v>
      </c>
    </row>
    <row r="297" ht="15.75" spans="1:5">
      <c r="A297" s="46">
        <v>3045230.932</v>
      </c>
      <c r="B297" s="46">
        <v>35401066.05</v>
      </c>
      <c r="C297" s="47">
        <v>907.026</v>
      </c>
      <c r="D297" s="11">
        <v>45221</v>
      </c>
      <c r="E297" s="39">
        <v>628.676</v>
      </c>
    </row>
    <row r="298" ht="15.75" spans="1:5">
      <c r="A298" s="46">
        <v>3045230.932</v>
      </c>
      <c r="B298" s="46">
        <v>35401066.05</v>
      </c>
      <c r="C298" s="47">
        <v>907.026</v>
      </c>
      <c r="D298" s="11">
        <v>45222</v>
      </c>
      <c r="E298" s="39">
        <v>624.987</v>
      </c>
    </row>
    <row r="299" ht="15.75" spans="1:5">
      <c r="A299" s="46">
        <v>3045230.932</v>
      </c>
      <c r="B299" s="46">
        <v>35401066.05</v>
      </c>
      <c r="C299" s="47">
        <v>907.026</v>
      </c>
      <c r="D299" s="11">
        <v>45223</v>
      </c>
      <c r="E299" s="39">
        <v>626.489</v>
      </c>
    </row>
    <row r="300" ht="15.75" spans="1:5">
      <c r="A300" s="46">
        <v>3045230.932</v>
      </c>
      <c r="B300" s="46">
        <v>35401066.05</v>
      </c>
      <c r="C300" s="47">
        <v>907.026</v>
      </c>
      <c r="D300" s="11">
        <v>45224</v>
      </c>
      <c r="E300" s="39">
        <v>628.58</v>
      </c>
    </row>
    <row r="301" ht="15.75" spans="1:5">
      <c r="A301" s="46">
        <v>3045230.932</v>
      </c>
      <c r="B301" s="46">
        <v>35401066.05</v>
      </c>
      <c r="C301" s="47">
        <v>907.026</v>
      </c>
      <c r="D301" s="11">
        <v>45225</v>
      </c>
      <c r="E301" s="39">
        <v>628.059</v>
      </c>
    </row>
    <row r="302" ht="15.75" spans="1:5">
      <c r="A302" s="46">
        <v>3045230.932</v>
      </c>
      <c r="B302" s="46">
        <v>35401066.05</v>
      </c>
      <c r="C302" s="47">
        <v>907.026</v>
      </c>
      <c r="D302" s="11">
        <v>45226</v>
      </c>
      <c r="E302" s="39">
        <v>628.04</v>
      </c>
    </row>
    <row r="303" ht="15.75" spans="1:5">
      <c r="A303" s="46">
        <v>3045230.932</v>
      </c>
      <c r="B303" s="46">
        <v>35401066.05</v>
      </c>
      <c r="C303" s="47">
        <v>907.026</v>
      </c>
      <c r="D303" s="11">
        <v>45227</v>
      </c>
      <c r="E303" s="39">
        <v>628.08</v>
      </c>
    </row>
    <row r="304" ht="15.75" spans="1:5">
      <c r="A304" s="46">
        <v>3045230.932</v>
      </c>
      <c r="B304" s="46">
        <v>35401066.05</v>
      </c>
      <c r="C304" s="47">
        <v>907.026</v>
      </c>
      <c r="D304" s="11">
        <v>45228</v>
      </c>
      <c r="E304" s="39">
        <v>627.63</v>
      </c>
    </row>
    <row r="305" ht="15.75" spans="1:5">
      <c r="A305" s="46">
        <v>3045230.932</v>
      </c>
      <c r="B305" s="46">
        <v>35401066.05</v>
      </c>
      <c r="C305" s="47">
        <v>907.026</v>
      </c>
      <c r="D305" s="11">
        <v>45229</v>
      </c>
      <c r="E305" s="39">
        <v>627.21</v>
      </c>
    </row>
    <row r="306" ht="15.75" spans="1:5">
      <c r="A306" s="46">
        <v>3045230.932</v>
      </c>
      <c r="B306" s="46">
        <v>35401066.05</v>
      </c>
      <c r="C306" s="47">
        <v>907.026</v>
      </c>
      <c r="D306" s="11">
        <v>45230</v>
      </c>
      <c r="E306" s="39">
        <v>627.27</v>
      </c>
    </row>
    <row r="307" ht="15.75" spans="1:5">
      <c r="A307" s="46">
        <v>3045230.932</v>
      </c>
      <c r="B307" s="46">
        <v>35401066.05</v>
      </c>
      <c r="C307" s="47">
        <v>907.026</v>
      </c>
      <c r="D307" s="11">
        <v>45231</v>
      </c>
      <c r="E307" s="39">
        <v>627.43</v>
      </c>
    </row>
    <row r="308" ht="15.75" spans="1:5">
      <c r="A308" s="46">
        <v>3045230.932</v>
      </c>
      <c r="B308" s="46">
        <v>35401066.05</v>
      </c>
      <c r="C308" s="47">
        <v>907.026</v>
      </c>
      <c r="D308" s="11">
        <v>45232</v>
      </c>
      <c r="E308" s="39">
        <v>623.461</v>
      </c>
    </row>
    <row r="309" ht="15.75" spans="1:5">
      <c r="A309" s="46">
        <v>3045230.932</v>
      </c>
      <c r="B309" s="46">
        <v>35401066.05</v>
      </c>
      <c r="C309" s="47">
        <v>907.026</v>
      </c>
      <c r="D309" s="11">
        <v>45233</v>
      </c>
      <c r="E309" s="39">
        <v>623.13</v>
      </c>
    </row>
    <row r="310" ht="15.75" spans="1:5">
      <c r="A310" s="46">
        <v>3045230.932</v>
      </c>
      <c r="B310" s="46">
        <v>35401066.05</v>
      </c>
      <c r="C310" s="47">
        <v>907.026</v>
      </c>
      <c r="D310" s="11">
        <v>45234</v>
      </c>
      <c r="E310" s="39">
        <v>623.07</v>
      </c>
    </row>
    <row r="311" ht="15.75" spans="1:5">
      <c r="A311" s="46">
        <v>3045230.932</v>
      </c>
      <c r="B311" s="46">
        <v>35401066.05</v>
      </c>
      <c r="C311" s="47">
        <v>907.026</v>
      </c>
      <c r="D311" s="11">
        <v>45235</v>
      </c>
      <c r="E311" s="39">
        <v>622.63</v>
      </c>
    </row>
    <row r="312" ht="15.75" spans="1:5">
      <c r="A312" s="46">
        <v>3045230.932</v>
      </c>
      <c r="B312" s="46">
        <v>35401066.05</v>
      </c>
      <c r="C312" s="47">
        <v>907.026</v>
      </c>
      <c r="D312" s="11">
        <v>45236</v>
      </c>
      <c r="E312" s="39">
        <v>621.89</v>
      </c>
    </row>
    <row r="313" ht="15.75" spans="1:5">
      <c r="A313" s="46">
        <v>3045230.932</v>
      </c>
      <c r="B313" s="46">
        <v>35401066.05</v>
      </c>
      <c r="C313" s="47">
        <v>907.026</v>
      </c>
      <c r="D313" s="11">
        <v>45237</v>
      </c>
      <c r="E313" s="39">
        <v>621.921</v>
      </c>
    </row>
    <row r="314" ht="15.75" spans="1:5">
      <c r="A314" s="46">
        <v>3045230.932</v>
      </c>
      <c r="B314" s="46">
        <v>35401066.05</v>
      </c>
      <c r="C314" s="47">
        <v>907.026</v>
      </c>
      <c r="D314" s="11">
        <v>45238</v>
      </c>
      <c r="E314" s="39">
        <v>620.79</v>
      </c>
    </row>
    <row r="315" ht="15.75" spans="1:5">
      <c r="A315" s="46">
        <v>3045230.932</v>
      </c>
      <c r="B315" s="46">
        <v>35401066.05</v>
      </c>
      <c r="C315" s="47">
        <v>907.026</v>
      </c>
      <c r="D315" s="11">
        <v>45239</v>
      </c>
      <c r="E315" s="39">
        <v>619.6</v>
      </c>
    </row>
    <row r="316" ht="15.75" spans="1:5">
      <c r="A316" s="46">
        <v>3045230.932</v>
      </c>
      <c r="B316" s="46">
        <v>35401066.05</v>
      </c>
      <c r="C316" s="47">
        <v>907.026</v>
      </c>
      <c r="D316" s="11">
        <v>45240</v>
      </c>
      <c r="E316" s="39">
        <v>618.163</v>
      </c>
    </row>
    <row r="317" ht="15.75" spans="1:5">
      <c r="A317" s="46">
        <v>3045230.932</v>
      </c>
      <c r="B317" s="46">
        <v>35401066.05</v>
      </c>
      <c r="C317" s="47">
        <v>907.026</v>
      </c>
      <c r="D317" s="11">
        <v>45241</v>
      </c>
      <c r="E317" s="39"/>
    </row>
    <row r="318" ht="15.75" spans="1:5">
      <c r="A318" s="46">
        <v>3045230.932</v>
      </c>
      <c r="B318" s="46">
        <v>35401066.05</v>
      </c>
      <c r="C318" s="47">
        <v>907.026</v>
      </c>
      <c r="D318" s="11">
        <v>45242</v>
      </c>
      <c r="E318" s="39"/>
    </row>
    <row r="319" ht="15.75" spans="1:5">
      <c r="A319" s="46">
        <v>3045230.932</v>
      </c>
      <c r="B319" s="46">
        <v>35401066.05</v>
      </c>
      <c r="C319" s="47">
        <v>907.026</v>
      </c>
      <c r="D319" s="11">
        <v>45243</v>
      </c>
      <c r="E319" s="39"/>
    </row>
    <row r="320" ht="15.75" spans="1:5">
      <c r="A320" s="46">
        <v>3045230.932</v>
      </c>
      <c r="B320" s="46">
        <v>35401066.05</v>
      </c>
      <c r="C320" s="47">
        <v>907.026</v>
      </c>
      <c r="D320" s="11">
        <v>45244</v>
      </c>
      <c r="E320" s="39"/>
    </row>
    <row r="321" ht="15.75" spans="1:5">
      <c r="A321" s="46">
        <v>3045230.932</v>
      </c>
      <c r="B321" s="46">
        <v>35401066.05</v>
      </c>
      <c r="C321" s="47">
        <v>907.026</v>
      </c>
      <c r="D321" s="11">
        <v>45245</v>
      </c>
      <c r="E321" s="39"/>
    </row>
    <row r="322" ht="15.75" spans="1:5">
      <c r="A322" s="46">
        <v>3045230.932</v>
      </c>
      <c r="B322" s="46">
        <v>35401066.05</v>
      </c>
      <c r="C322" s="47">
        <v>907.026</v>
      </c>
      <c r="D322" s="11">
        <v>45246</v>
      </c>
      <c r="E322" s="39">
        <v>618.163</v>
      </c>
    </row>
    <row r="323" ht="15.75" spans="1:5">
      <c r="A323" s="46">
        <v>3045230.932</v>
      </c>
      <c r="B323" s="46">
        <v>35401066.05</v>
      </c>
      <c r="C323" s="47">
        <v>907.026</v>
      </c>
      <c r="D323" s="11">
        <v>45247</v>
      </c>
      <c r="E323" s="39"/>
    </row>
    <row r="324" ht="15.75" spans="1:5">
      <c r="A324" s="46">
        <v>3045230.932</v>
      </c>
      <c r="B324" s="46">
        <v>35401066.05</v>
      </c>
      <c r="C324" s="47">
        <v>907.026</v>
      </c>
      <c r="D324" s="11">
        <v>45248</v>
      </c>
      <c r="E324" s="39"/>
    </row>
    <row r="325" ht="15.75" spans="1:5">
      <c r="A325" s="46">
        <v>3045230.932</v>
      </c>
      <c r="B325" s="46">
        <v>35401066.05</v>
      </c>
      <c r="C325" s="47">
        <v>907.026</v>
      </c>
      <c r="D325" s="11">
        <v>45249</v>
      </c>
      <c r="E325" s="39"/>
    </row>
    <row r="326" ht="15.75" spans="1:5">
      <c r="A326" s="46">
        <v>3045230.932</v>
      </c>
      <c r="B326" s="46">
        <v>35401066.05</v>
      </c>
      <c r="C326" s="47">
        <v>907.026</v>
      </c>
      <c r="D326" s="11">
        <v>45250</v>
      </c>
      <c r="E326" s="39"/>
    </row>
    <row r="327" ht="15.75" spans="1:5">
      <c r="A327" s="46">
        <v>3045230.932</v>
      </c>
      <c r="B327" s="46">
        <v>35401066.05</v>
      </c>
      <c r="C327" s="47">
        <v>907.026</v>
      </c>
      <c r="D327" s="11">
        <v>45251</v>
      </c>
      <c r="E327" s="39"/>
    </row>
    <row r="328" ht="15.75" spans="1:5">
      <c r="A328" s="46">
        <v>3045230.932</v>
      </c>
      <c r="B328" s="46">
        <v>35401066.05</v>
      </c>
      <c r="C328" s="47">
        <v>907.026</v>
      </c>
      <c r="D328" s="11">
        <v>45252</v>
      </c>
      <c r="E328" s="39"/>
    </row>
    <row r="329" ht="15.75" spans="1:5">
      <c r="A329" s="46">
        <v>3045230.932</v>
      </c>
      <c r="B329" s="46">
        <v>35401066.05</v>
      </c>
      <c r="C329" s="47">
        <v>907.026</v>
      </c>
      <c r="D329" s="11">
        <v>45253</v>
      </c>
      <c r="E329" s="39"/>
    </row>
    <row r="330" ht="15.75" spans="1:5">
      <c r="A330" s="46">
        <v>3045230.932</v>
      </c>
      <c r="B330" s="46">
        <v>35401066.05</v>
      </c>
      <c r="C330" s="47">
        <v>907.026</v>
      </c>
      <c r="D330" s="11">
        <v>45254</v>
      </c>
      <c r="E330" s="39"/>
    </row>
    <row r="331" ht="15.75" spans="1:5">
      <c r="A331" s="46">
        <v>3045230.932</v>
      </c>
      <c r="B331" s="46">
        <v>35401066.05</v>
      </c>
      <c r="C331" s="47">
        <v>907.026</v>
      </c>
      <c r="D331" s="11">
        <v>45255</v>
      </c>
      <c r="E331" s="39"/>
    </row>
    <row r="332" ht="15.75" spans="1:5">
      <c r="A332" s="46">
        <v>3045230.932</v>
      </c>
      <c r="B332" s="46">
        <v>35401066.05</v>
      </c>
      <c r="C332" s="47">
        <v>907.026</v>
      </c>
      <c r="D332" s="11">
        <v>45256</v>
      </c>
      <c r="E332" s="39"/>
    </row>
    <row r="333" ht="15.75" spans="1:5">
      <c r="A333" s="46">
        <v>3045230.932</v>
      </c>
      <c r="B333" s="46">
        <v>35401066.05</v>
      </c>
      <c r="C333" s="47">
        <v>907.026</v>
      </c>
      <c r="D333" s="11">
        <v>45257</v>
      </c>
      <c r="E333" s="39"/>
    </row>
    <row r="334" ht="15.75" spans="1:5">
      <c r="A334" s="46">
        <v>3045230.932</v>
      </c>
      <c r="B334" s="46">
        <v>35401066.05</v>
      </c>
      <c r="C334" s="47">
        <v>907.026</v>
      </c>
      <c r="D334" s="11">
        <v>45258</v>
      </c>
      <c r="E334" s="39"/>
    </row>
    <row r="335" ht="15.75" spans="1:5">
      <c r="A335" s="46">
        <v>3045230.932</v>
      </c>
      <c r="B335" s="46">
        <v>35401066.05</v>
      </c>
      <c r="C335" s="47">
        <v>907.026</v>
      </c>
      <c r="D335" s="11">
        <v>45259</v>
      </c>
      <c r="E335" s="39"/>
    </row>
    <row r="336" ht="15.75" spans="1:5">
      <c r="A336" s="46">
        <v>3045230.932</v>
      </c>
      <c r="B336" s="46">
        <v>35401066.05</v>
      </c>
      <c r="C336" s="47">
        <v>907.026</v>
      </c>
      <c r="D336" s="11">
        <v>45260</v>
      </c>
      <c r="E336" s="39"/>
    </row>
    <row r="337" ht="15.75" spans="1:5">
      <c r="A337" s="46">
        <v>3045230.932</v>
      </c>
      <c r="B337" s="46">
        <v>35401066.05</v>
      </c>
      <c r="C337" s="47">
        <v>907.026</v>
      </c>
      <c r="D337" s="11">
        <v>45261</v>
      </c>
      <c r="E337" s="39"/>
    </row>
    <row r="338" ht="15.75" spans="1:5">
      <c r="A338" s="46">
        <v>3045230.932</v>
      </c>
      <c r="B338" s="46">
        <v>35401066.05</v>
      </c>
      <c r="C338" s="47">
        <v>907.026</v>
      </c>
      <c r="D338" s="11">
        <v>45262</v>
      </c>
      <c r="E338" s="39"/>
    </row>
    <row r="339" ht="15.75" spans="1:5">
      <c r="A339" s="46">
        <v>3045230.932</v>
      </c>
      <c r="B339" s="46">
        <v>35401066.05</v>
      </c>
      <c r="C339" s="47">
        <v>907.026</v>
      </c>
      <c r="D339" s="11">
        <v>45263</v>
      </c>
      <c r="E339" s="39"/>
    </row>
    <row r="340" ht="15.75" spans="1:5">
      <c r="A340" s="46">
        <v>3045230.932</v>
      </c>
      <c r="B340" s="46">
        <v>35401066.05</v>
      </c>
      <c r="C340" s="47">
        <v>907.026</v>
      </c>
      <c r="D340" s="11">
        <v>45264</v>
      </c>
      <c r="E340" s="39"/>
    </row>
    <row r="341" ht="15.75" spans="1:5">
      <c r="A341" s="46">
        <v>3045230.932</v>
      </c>
      <c r="B341" s="46">
        <v>35401066.05</v>
      </c>
      <c r="C341" s="47">
        <v>907.026</v>
      </c>
      <c r="D341" s="11">
        <v>45265</v>
      </c>
      <c r="E341" s="39"/>
    </row>
    <row r="342" ht="15.75" spans="1:5">
      <c r="A342" s="46">
        <v>3045230.932</v>
      </c>
      <c r="B342" s="46">
        <v>35401066.05</v>
      </c>
      <c r="C342" s="47">
        <v>907.026</v>
      </c>
      <c r="D342" s="11">
        <v>45266</v>
      </c>
      <c r="E342" s="39"/>
    </row>
    <row r="343" ht="15.75" spans="1:5">
      <c r="A343" s="46">
        <v>3045230.932</v>
      </c>
      <c r="B343" s="46">
        <v>35401066.05</v>
      </c>
      <c r="C343" s="47">
        <v>907.026</v>
      </c>
      <c r="D343" s="11">
        <v>45267</v>
      </c>
      <c r="E343" s="39"/>
    </row>
    <row r="344" ht="15.75" spans="1:5">
      <c r="A344" s="46">
        <v>3045230.932</v>
      </c>
      <c r="B344" s="46">
        <v>35401066.05</v>
      </c>
      <c r="C344" s="47">
        <v>907.026</v>
      </c>
      <c r="D344" s="11">
        <v>45268</v>
      </c>
      <c r="E344" s="39"/>
    </row>
    <row r="345" ht="15.75" spans="1:5">
      <c r="A345" s="46">
        <v>3045230.932</v>
      </c>
      <c r="B345" s="46">
        <v>35401066.05</v>
      </c>
      <c r="C345" s="47">
        <v>907.026</v>
      </c>
      <c r="D345" s="11">
        <v>45269</v>
      </c>
      <c r="E345" s="39"/>
    </row>
    <row r="346" ht="15.75" spans="1:5">
      <c r="A346" s="46">
        <v>3045230.932</v>
      </c>
      <c r="B346" s="46">
        <v>35401066.05</v>
      </c>
      <c r="C346" s="47">
        <v>907.026</v>
      </c>
      <c r="D346" s="11">
        <v>45270</v>
      </c>
      <c r="E346" s="39"/>
    </row>
    <row r="347" ht="15.75" spans="1:5">
      <c r="A347" s="46">
        <v>3045230.932</v>
      </c>
      <c r="B347" s="46">
        <v>35401066.05</v>
      </c>
      <c r="C347" s="47">
        <v>907.026</v>
      </c>
      <c r="D347" s="11">
        <v>45271</v>
      </c>
      <c r="E347" s="39"/>
    </row>
    <row r="348" ht="15.75" spans="1:5">
      <c r="A348" s="46">
        <v>3045230.932</v>
      </c>
      <c r="B348" s="46">
        <v>35401066.05</v>
      </c>
      <c r="C348" s="47">
        <v>907.026</v>
      </c>
      <c r="D348" s="11">
        <v>45272</v>
      </c>
      <c r="E348" s="39">
        <v>593.162</v>
      </c>
    </row>
    <row r="349" ht="15.75" spans="1:5">
      <c r="A349" s="46">
        <v>3045230.932</v>
      </c>
      <c r="B349" s="46">
        <v>35401066.05</v>
      </c>
      <c r="C349" s="47">
        <v>907.026</v>
      </c>
      <c r="D349" s="11">
        <v>45273</v>
      </c>
      <c r="E349" s="39">
        <v>592.616</v>
      </c>
    </row>
    <row r="350" ht="15.75" spans="1:5">
      <c r="A350" s="46">
        <v>3045230.932</v>
      </c>
      <c r="B350" s="46">
        <v>35401066.05</v>
      </c>
      <c r="C350" s="47">
        <v>907.026</v>
      </c>
      <c r="D350" s="11">
        <v>45274</v>
      </c>
      <c r="E350" s="39">
        <v>601.599</v>
      </c>
    </row>
    <row r="351" ht="15.75" spans="1:5">
      <c r="A351" s="46">
        <v>3045230.932</v>
      </c>
      <c r="B351" s="46">
        <v>35401066.05</v>
      </c>
      <c r="C351" s="47">
        <v>907.026</v>
      </c>
      <c r="D351" s="11">
        <v>45275</v>
      </c>
      <c r="E351" s="39">
        <v>595.741</v>
      </c>
    </row>
    <row r="352" ht="15.75" spans="1:5">
      <c r="A352" s="46">
        <v>3045230.932</v>
      </c>
      <c r="B352" s="46">
        <v>35401066.05</v>
      </c>
      <c r="C352" s="47">
        <v>907.026</v>
      </c>
      <c r="D352" s="11">
        <v>45276</v>
      </c>
      <c r="E352" s="39">
        <v>595.691</v>
      </c>
    </row>
    <row r="353" ht="15.75" spans="1:5">
      <c r="A353" s="46">
        <v>3045230.932</v>
      </c>
      <c r="B353" s="46">
        <v>35401066.05</v>
      </c>
      <c r="C353" s="47">
        <v>907.026</v>
      </c>
      <c r="D353" s="11">
        <v>45277</v>
      </c>
      <c r="E353" s="39">
        <v>595.967</v>
      </c>
    </row>
    <row r="354" ht="15.75" spans="1:5">
      <c r="A354" s="46">
        <v>3045230.932</v>
      </c>
      <c r="B354" s="46">
        <v>35401066.05</v>
      </c>
      <c r="C354" s="47">
        <v>907.026</v>
      </c>
      <c r="D354" s="11">
        <v>45278</v>
      </c>
      <c r="E354" s="39">
        <v>602.636</v>
      </c>
    </row>
    <row r="355" ht="15.75" spans="1:5">
      <c r="A355" s="46">
        <v>3045230.932</v>
      </c>
      <c r="B355" s="46">
        <v>35401066.05</v>
      </c>
      <c r="C355" s="47">
        <v>907.026</v>
      </c>
      <c r="D355" s="11">
        <v>45279</v>
      </c>
      <c r="E355" s="39">
        <v>606.393</v>
      </c>
    </row>
    <row r="356" ht="15.75" spans="1:5">
      <c r="A356" s="46">
        <v>3045230.932</v>
      </c>
      <c r="B356" s="46">
        <v>35401066.05</v>
      </c>
      <c r="C356" s="47">
        <v>907.026</v>
      </c>
      <c r="D356" s="11">
        <v>45280</v>
      </c>
      <c r="E356" s="39">
        <v>606.585</v>
      </c>
    </row>
    <row r="357" ht="15.75" spans="1:5">
      <c r="A357" s="46">
        <v>3045230.932</v>
      </c>
      <c r="B357" s="46">
        <v>35401066.05</v>
      </c>
      <c r="C357" s="47">
        <v>907.026</v>
      </c>
      <c r="D357" s="11">
        <v>45281</v>
      </c>
      <c r="E357" s="39">
        <v>606.309</v>
      </c>
    </row>
    <row r="358" ht="15.75" spans="1:5">
      <c r="A358" s="46">
        <v>3045230.932</v>
      </c>
      <c r="B358" s="46">
        <v>35401066.05</v>
      </c>
      <c r="C358" s="47">
        <v>907.026</v>
      </c>
      <c r="D358" s="11">
        <v>45282</v>
      </c>
      <c r="E358" s="39">
        <v>605.62</v>
      </c>
    </row>
    <row r="359" ht="15.75" spans="1:5">
      <c r="A359" s="46">
        <v>3045230.932</v>
      </c>
      <c r="B359" s="46">
        <v>35401066.05</v>
      </c>
      <c r="C359" s="47">
        <v>907.026</v>
      </c>
      <c r="D359" s="11">
        <v>45283</v>
      </c>
      <c r="E359" s="39">
        <v>603.89</v>
      </c>
    </row>
    <row r="360" ht="15.75" spans="1:5">
      <c r="A360" s="46">
        <v>3045230.932</v>
      </c>
      <c r="B360" s="46">
        <v>35401066.05</v>
      </c>
      <c r="C360" s="47">
        <v>907.026</v>
      </c>
      <c r="D360" s="11">
        <v>45284</v>
      </c>
      <c r="E360" s="39">
        <v>603.307</v>
      </c>
    </row>
    <row r="361" ht="15.75" spans="1:5">
      <c r="A361" s="46">
        <v>3045230.932</v>
      </c>
      <c r="B361" s="46">
        <v>35401066.05</v>
      </c>
      <c r="C361" s="47">
        <v>907.026</v>
      </c>
      <c r="D361" s="11">
        <v>45285</v>
      </c>
      <c r="E361" s="39">
        <v>603.062</v>
      </c>
    </row>
    <row r="362" ht="15.75" spans="1:5">
      <c r="A362" s="46">
        <v>3045230.932</v>
      </c>
      <c r="B362" s="46">
        <v>35401066.05</v>
      </c>
      <c r="C362" s="47">
        <v>907.026</v>
      </c>
      <c r="D362" s="11">
        <v>45286</v>
      </c>
      <c r="E362" s="39">
        <v>602.705</v>
      </c>
    </row>
    <row r="363" ht="15.75" spans="1:5">
      <c r="A363" s="46">
        <v>3045230.932</v>
      </c>
      <c r="B363" s="46">
        <v>35401066.05</v>
      </c>
      <c r="C363" s="47">
        <v>907.026</v>
      </c>
      <c r="D363" s="11">
        <v>45287</v>
      </c>
      <c r="E363" s="39">
        <v>602.23</v>
      </c>
    </row>
    <row r="364" ht="15.75" spans="1:5">
      <c r="A364" s="46">
        <v>3045230.932</v>
      </c>
      <c r="B364" s="46">
        <v>35401066.05</v>
      </c>
      <c r="C364" s="47">
        <v>907.026</v>
      </c>
      <c r="D364" s="11">
        <v>45288</v>
      </c>
      <c r="E364" s="39">
        <v>602.414</v>
      </c>
    </row>
    <row r="365" ht="15.75" spans="1:5">
      <c r="A365" s="46">
        <v>3045230.932</v>
      </c>
      <c r="B365" s="46">
        <v>35401066.05</v>
      </c>
      <c r="C365" s="47">
        <v>907.026</v>
      </c>
      <c r="D365" s="11">
        <v>45289</v>
      </c>
      <c r="E365" s="39">
        <v>601.935</v>
      </c>
    </row>
    <row r="366" ht="15.75" spans="1:5">
      <c r="A366" s="46">
        <v>3045230.932</v>
      </c>
      <c r="B366" s="46">
        <v>35401066.05</v>
      </c>
      <c r="C366" s="47">
        <v>907.026</v>
      </c>
      <c r="D366" s="11">
        <v>45290</v>
      </c>
      <c r="E366" s="39">
        <v>601.848</v>
      </c>
    </row>
    <row r="367" ht="15.75" spans="1:5">
      <c r="A367" s="46">
        <v>3045230.932</v>
      </c>
      <c r="B367" s="46">
        <v>35401066.05</v>
      </c>
      <c r="C367" s="47">
        <v>907.026</v>
      </c>
      <c r="D367" s="11">
        <v>45291</v>
      </c>
      <c r="E367" s="39">
        <v>601.87</v>
      </c>
    </row>
    <row r="368" ht="15.75" spans="1:5">
      <c r="A368" s="46">
        <v>3045230.932</v>
      </c>
      <c r="B368" s="46">
        <v>35401066.05</v>
      </c>
      <c r="C368" s="47">
        <v>907.026</v>
      </c>
      <c r="D368" s="11">
        <v>45292</v>
      </c>
      <c r="E368" s="39">
        <v>603.009</v>
      </c>
    </row>
    <row r="369" ht="15.75" spans="1:5">
      <c r="A369" s="46">
        <v>3045230.932</v>
      </c>
      <c r="B369" s="46">
        <v>35401066.05</v>
      </c>
      <c r="C369" s="47">
        <v>907.026</v>
      </c>
      <c r="D369" s="11">
        <v>45293</v>
      </c>
      <c r="E369" s="39">
        <v>604.053</v>
      </c>
    </row>
    <row r="370" ht="15.75" spans="1:5">
      <c r="A370" s="46">
        <v>3045230.932</v>
      </c>
      <c r="B370" s="46">
        <v>35401066.05</v>
      </c>
      <c r="C370" s="47">
        <v>907.026</v>
      </c>
      <c r="D370" s="11">
        <v>45294</v>
      </c>
      <c r="E370" s="38">
        <v>604.943</v>
      </c>
    </row>
    <row r="371" ht="15.75" spans="1:5">
      <c r="A371" s="46">
        <v>3045230.932</v>
      </c>
      <c r="B371" s="46">
        <v>35401066.05</v>
      </c>
      <c r="C371" s="47">
        <v>907.026</v>
      </c>
      <c r="D371" s="11">
        <v>45295</v>
      </c>
      <c r="E371" s="44">
        <v>605.951</v>
      </c>
    </row>
    <row r="372" ht="15.75" spans="1:5">
      <c r="A372" s="46">
        <v>3045230.932</v>
      </c>
      <c r="B372" s="46">
        <v>35401066.05</v>
      </c>
      <c r="C372" s="47">
        <v>907.026</v>
      </c>
      <c r="D372" s="11">
        <v>45296</v>
      </c>
      <c r="E372" s="44">
        <v>605.708</v>
      </c>
    </row>
    <row r="373" ht="15.75" spans="1:5">
      <c r="A373" s="46">
        <v>3045230.932</v>
      </c>
      <c r="B373" s="46">
        <v>35401066.05</v>
      </c>
      <c r="C373" s="47">
        <v>907.026</v>
      </c>
      <c r="D373" s="11">
        <v>45297</v>
      </c>
      <c r="E373" s="44">
        <v>605.735</v>
      </c>
    </row>
    <row r="374" ht="15.75" spans="1:5">
      <c r="A374" s="46">
        <v>3045230.932</v>
      </c>
      <c r="B374" s="46">
        <v>35401066.05</v>
      </c>
      <c r="C374" s="47">
        <v>907.026</v>
      </c>
      <c r="D374" s="11">
        <v>45298</v>
      </c>
      <c r="E374" s="44">
        <v>604.981</v>
      </c>
    </row>
    <row r="375" ht="15.75" spans="1:5">
      <c r="A375" s="46">
        <v>3045230.932</v>
      </c>
      <c r="B375" s="46">
        <v>35401066.05</v>
      </c>
      <c r="C375" s="47">
        <v>907.026</v>
      </c>
      <c r="D375" s="11">
        <v>45299</v>
      </c>
      <c r="E375" s="43">
        <v>604.675</v>
      </c>
    </row>
    <row r="376" ht="15.75" spans="1:5">
      <c r="A376" s="46">
        <v>3045230.932</v>
      </c>
      <c r="B376" s="46">
        <v>35401066.05</v>
      </c>
      <c r="C376" s="47">
        <v>907.026</v>
      </c>
      <c r="D376" s="11">
        <v>45300</v>
      </c>
      <c r="E376" s="43">
        <v>600.672</v>
      </c>
    </row>
    <row r="377" ht="15.75" spans="1:5">
      <c r="A377" s="46">
        <v>3045230.932</v>
      </c>
      <c r="B377" s="46">
        <v>35401066.05</v>
      </c>
      <c r="C377" s="47">
        <v>907.026</v>
      </c>
      <c r="D377" s="11">
        <v>45301</v>
      </c>
      <c r="E377" s="44">
        <v>602.079</v>
      </c>
    </row>
    <row r="378" ht="15.75" spans="1:5">
      <c r="A378" s="46">
        <v>3045230.932</v>
      </c>
      <c r="B378" s="46">
        <v>35401066.05</v>
      </c>
      <c r="C378" s="47">
        <v>907.026</v>
      </c>
      <c r="D378" s="11">
        <v>45302</v>
      </c>
      <c r="E378" s="44">
        <v>602.024</v>
      </c>
    </row>
    <row r="379" ht="15.75" spans="1:5">
      <c r="A379" s="46">
        <v>3045230.932</v>
      </c>
      <c r="B379" s="46">
        <v>35401066.05</v>
      </c>
      <c r="C379" s="47">
        <v>907.026</v>
      </c>
      <c r="D379" s="11">
        <v>45303</v>
      </c>
      <c r="E379" s="44">
        <v>601.729</v>
      </c>
    </row>
    <row r="380" ht="15.75" spans="1:5">
      <c r="A380" s="46">
        <v>3045230.932</v>
      </c>
      <c r="B380" s="46">
        <v>35401066.05</v>
      </c>
      <c r="C380" s="47">
        <v>907.026</v>
      </c>
      <c r="D380" s="11">
        <v>45304</v>
      </c>
      <c r="E380" s="44">
        <v>601.357</v>
      </c>
    </row>
    <row r="381" ht="15.75" spans="1:5">
      <c r="A381" s="46">
        <v>3045230.932</v>
      </c>
      <c r="B381" s="46">
        <v>35401066.05</v>
      </c>
      <c r="C381" s="47">
        <v>907.026</v>
      </c>
      <c r="D381" s="11">
        <v>45305</v>
      </c>
      <c r="E381" s="43">
        <v>600.832</v>
      </c>
    </row>
    <row r="382" ht="15.75" spans="1:5">
      <c r="A382" s="46">
        <v>3045230.932</v>
      </c>
      <c r="B382" s="46">
        <v>35401066.05</v>
      </c>
      <c r="C382" s="47">
        <v>907.026</v>
      </c>
      <c r="D382" s="11">
        <v>45306</v>
      </c>
      <c r="E382" s="43">
        <v>589.639</v>
      </c>
    </row>
    <row r="383" ht="15.75" spans="1:5">
      <c r="A383" s="46">
        <v>3045230.932</v>
      </c>
      <c r="B383" s="46">
        <v>35401066.05</v>
      </c>
      <c r="C383" s="47">
        <v>907.026</v>
      </c>
      <c r="D383" s="11">
        <v>45307</v>
      </c>
      <c r="E383" s="43">
        <v>586.403</v>
      </c>
    </row>
    <row r="384" ht="15.75" spans="1:5">
      <c r="A384" s="46">
        <v>3045230.932</v>
      </c>
      <c r="B384" s="46">
        <v>35401066.05</v>
      </c>
      <c r="C384" s="47">
        <v>907.026</v>
      </c>
      <c r="D384" s="11">
        <v>45308</v>
      </c>
      <c r="E384" s="43">
        <v>584.259</v>
      </c>
    </row>
    <row r="385" ht="15.75" spans="1:5">
      <c r="A385" s="46">
        <v>3045230.932</v>
      </c>
      <c r="B385" s="46">
        <v>35401066.05</v>
      </c>
      <c r="C385" s="47">
        <v>907.026</v>
      </c>
      <c r="D385" s="11">
        <v>45309</v>
      </c>
      <c r="E385" s="44">
        <v>583.092</v>
      </c>
    </row>
    <row r="386" ht="15.75" spans="1:5">
      <c r="A386" s="46">
        <v>3045230.932</v>
      </c>
      <c r="B386" s="46">
        <v>35401066.05</v>
      </c>
      <c r="C386" s="47">
        <v>907.026</v>
      </c>
      <c r="D386" s="11">
        <v>45310</v>
      </c>
      <c r="E386" s="44">
        <v>582.222</v>
      </c>
    </row>
    <row r="387" ht="15.75" spans="1:5">
      <c r="A387" s="46">
        <v>3045230.932</v>
      </c>
      <c r="B387" s="46">
        <v>35401066.05</v>
      </c>
      <c r="C387" s="47">
        <v>907.026</v>
      </c>
      <c r="D387" s="11">
        <v>45311</v>
      </c>
      <c r="E387" s="44">
        <v>581.883</v>
      </c>
    </row>
    <row r="388" ht="15.75" spans="1:5">
      <c r="A388" s="46">
        <v>3045230.932</v>
      </c>
      <c r="B388" s="46">
        <v>35401066.05</v>
      </c>
      <c r="C388" s="47">
        <v>907.026</v>
      </c>
      <c r="D388" s="11">
        <v>45312</v>
      </c>
      <c r="E388" s="44">
        <v>580.92</v>
      </c>
    </row>
    <row r="389" ht="15.75" spans="1:5">
      <c r="A389" s="46">
        <v>3045230.932</v>
      </c>
      <c r="B389" s="46">
        <v>35401066.05</v>
      </c>
      <c r="C389" s="47">
        <v>907.026</v>
      </c>
      <c r="D389" s="11">
        <v>45313</v>
      </c>
      <c r="E389" s="44">
        <v>580.432</v>
      </c>
    </row>
    <row r="390" ht="15.75" spans="1:5">
      <c r="A390" s="46">
        <v>3045230.932</v>
      </c>
      <c r="B390" s="46">
        <v>35401066.05</v>
      </c>
      <c r="C390" s="47">
        <v>907.026</v>
      </c>
      <c r="D390" s="11">
        <v>45314</v>
      </c>
      <c r="E390" s="44">
        <v>580.783</v>
      </c>
    </row>
    <row r="391" ht="15.75" spans="1:5">
      <c r="A391" s="46">
        <v>3045230.932</v>
      </c>
      <c r="B391" s="46">
        <v>35401066.05</v>
      </c>
      <c r="C391" s="47">
        <v>907.026</v>
      </c>
      <c r="D391" s="11">
        <v>45315</v>
      </c>
      <c r="E391" s="44">
        <v>581.895</v>
      </c>
    </row>
    <row r="392" ht="15.75" spans="1:5">
      <c r="A392" s="46">
        <v>3045230.932</v>
      </c>
      <c r="B392" s="46">
        <v>35401066.05</v>
      </c>
      <c r="C392" s="47">
        <v>907.026</v>
      </c>
      <c r="D392" s="11">
        <v>45316</v>
      </c>
      <c r="E392" s="44">
        <v>583.157</v>
      </c>
    </row>
    <row r="393" ht="15.75" spans="1:5">
      <c r="A393" s="46">
        <v>3045230.932</v>
      </c>
      <c r="B393" s="46">
        <v>35401066.05</v>
      </c>
      <c r="C393" s="47">
        <v>907.026</v>
      </c>
      <c r="D393" s="11">
        <v>45317</v>
      </c>
      <c r="E393" s="44">
        <v>581.505</v>
      </c>
    </row>
    <row r="394" ht="15.75" spans="1:5">
      <c r="A394" s="46">
        <v>3045230.932</v>
      </c>
      <c r="B394" s="46">
        <v>35401066.05</v>
      </c>
      <c r="C394" s="47">
        <v>907.026</v>
      </c>
      <c r="D394" s="11">
        <v>45318</v>
      </c>
      <c r="E394" s="44">
        <v>583.547</v>
      </c>
    </row>
    <row r="395" ht="15.75" spans="1:5">
      <c r="A395" s="46">
        <v>3045230.932</v>
      </c>
      <c r="B395" s="46">
        <v>35401066.05</v>
      </c>
      <c r="C395" s="47">
        <v>907.026</v>
      </c>
      <c r="D395" s="11">
        <v>45319</v>
      </c>
      <c r="E395" s="44">
        <v>584.054</v>
      </c>
    </row>
    <row r="396" ht="15.75" spans="1:5">
      <c r="A396" s="46">
        <v>3045230.932</v>
      </c>
      <c r="B396" s="46">
        <v>35401066.05</v>
      </c>
      <c r="C396" s="47">
        <v>907.026</v>
      </c>
      <c r="D396" s="11">
        <v>45320</v>
      </c>
      <c r="E396" s="44">
        <v>594.46</v>
      </c>
    </row>
    <row r="397" ht="15.75" spans="1:5">
      <c r="A397" s="46">
        <v>3045230.932</v>
      </c>
      <c r="B397" s="46">
        <v>35401066.05</v>
      </c>
      <c r="C397" s="47">
        <v>907.026</v>
      </c>
      <c r="D397" s="11">
        <v>45321</v>
      </c>
      <c r="E397" s="44">
        <v>597.921</v>
      </c>
    </row>
    <row r="398" ht="15.75" spans="1:5">
      <c r="A398" s="46">
        <v>3045230.932</v>
      </c>
      <c r="B398" s="46">
        <v>35401066.05</v>
      </c>
      <c r="C398" s="47">
        <v>907.026</v>
      </c>
      <c r="D398" s="11">
        <v>45322</v>
      </c>
      <c r="E398" s="44">
        <v>601.389</v>
      </c>
    </row>
    <row r="399" ht="15.75" spans="1:5">
      <c r="A399" s="46">
        <v>3045230.932</v>
      </c>
      <c r="B399" s="46">
        <v>35401066.05</v>
      </c>
      <c r="C399" s="47">
        <v>907.026</v>
      </c>
      <c r="D399" s="11">
        <v>45323</v>
      </c>
      <c r="E399" s="44">
        <v>601.746</v>
      </c>
    </row>
    <row r="400" ht="15.75" spans="1:5">
      <c r="A400" s="46">
        <v>3045230.932</v>
      </c>
      <c r="B400" s="46">
        <v>35401066.05</v>
      </c>
      <c r="C400" s="47">
        <v>907.026</v>
      </c>
      <c r="D400" s="11">
        <v>45324</v>
      </c>
      <c r="E400" s="44">
        <v>603.399</v>
      </c>
    </row>
    <row r="401" ht="15.75" spans="1:5">
      <c r="A401" s="46">
        <v>3045230.932</v>
      </c>
      <c r="B401" s="46">
        <v>35401066.05</v>
      </c>
      <c r="C401" s="47">
        <v>907.026</v>
      </c>
      <c r="D401" s="11">
        <v>45325</v>
      </c>
      <c r="E401" s="44">
        <v>600.192</v>
      </c>
    </row>
    <row r="402" ht="15.75" spans="1:5">
      <c r="A402" s="46">
        <v>3045230.932</v>
      </c>
      <c r="B402" s="46">
        <v>35401066.05</v>
      </c>
      <c r="C402" s="47">
        <v>907.026</v>
      </c>
      <c r="D402" s="11">
        <v>45326</v>
      </c>
      <c r="E402" s="44">
        <v>598.187</v>
      </c>
    </row>
    <row r="403" ht="15.75" spans="1:5">
      <c r="A403" s="46">
        <v>3045230.932</v>
      </c>
      <c r="B403" s="46">
        <v>35401066.05</v>
      </c>
      <c r="C403" s="47">
        <v>907.026</v>
      </c>
      <c r="D403" s="11">
        <v>45327</v>
      </c>
      <c r="E403" s="44">
        <v>598.33</v>
      </c>
    </row>
    <row r="404" ht="15.75" spans="1:5">
      <c r="A404" s="46">
        <v>3045230.932</v>
      </c>
      <c r="B404" s="46">
        <v>35401066.05</v>
      </c>
      <c r="C404" s="47">
        <v>907.026</v>
      </c>
      <c r="D404" s="11">
        <v>45328</v>
      </c>
      <c r="E404" s="44">
        <v>597.902</v>
      </c>
    </row>
    <row r="405" ht="15.75" spans="1:5">
      <c r="A405" s="46">
        <v>3045230.932</v>
      </c>
      <c r="B405" s="46">
        <v>35401066.05</v>
      </c>
      <c r="C405" s="47">
        <v>907.026</v>
      </c>
      <c r="D405" s="11">
        <v>45329</v>
      </c>
      <c r="E405" s="44">
        <v>596.764</v>
      </c>
    </row>
    <row r="406" ht="15.75" spans="1:5">
      <c r="A406" s="46">
        <v>3045230.932</v>
      </c>
      <c r="B406" s="46">
        <v>35401066.05</v>
      </c>
      <c r="C406" s="47">
        <v>907.026</v>
      </c>
      <c r="D406" s="11">
        <v>45330</v>
      </c>
      <c r="E406" s="44">
        <v>597.262</v>
      </c>
    </row>
    <row r="407" ht="15.75" spans="1:5">
      <c r="A407" s="46">
        <v>3045230.932</v>
      </c>
      <c r="B407" s="46">
        <v>35401066.05</v>
      </c>
      <c r="C407" s="47">
        <v>907.026</v>
      </c>
      <c r="D407" s="11">
        <v>45331</v>
      </c>
      <c r="E407" s="44">
        <v>596.664</v>
      </c>
    </row>
    <row r="408" ht="15.75" spans="1:5">
      <c r="A408" s="46">
        <v>3045230.932</v>
      </c>
      <c r="B408" s="46">
        <v>35401066.05</v>
      </c>
      <c r="C408" s="47">
        <v>907.026</v>
      </c>
      <c r="D408" s="11">
        <v>45332</v>
      </c>
      <c r="E408" s="44">
        <v>596.637</v>
      </c>
    </row>
    <row r="409" ht="15.75" spans="1:5">
      <c r="A409" s="46">
        <v>3045230.932</v>
      </c>
      <c r="B409" s="46">
        <v>35401066.05</v>
      </c>
      <c r="C409" s="47">
        <v>907.026</v>
      </c>
      <c r="D409" s="11">
        <v>45333</v>
      </c>
      <c r="E409" s="44">
        <v>599.374</v>
      </c>
    </row>
    <row r="410" ht="15.75" spans="1:5">
      <c r="A410" s="46">
        <v>3045230.932</v>
      </c>
      <c r="B410" s="46">
        <v>35401066.05</v>
      </c>
      <c r="C410" s="47">
        <v>907.026</v>
      </c>
      <c r="D410" s="11">
        <v>45334</v>
      </c>
      <c r="E410" s="44">
        <v>601.38</v>
      </c>
    </row>
    <row r="411" ht="15.75" spans="1:5">
      <c r="A411" s="46">
        <v>3045230.932</v>
      </c>
      <c r="B411" s="46">
        <v>35401066.05</v>
      </c>
      <c r="C411" s="47">
        <v>907.026</v>
      </c>
      <c r="D411" s="11">
        <v>45335</v>
      </c>
      <c r="E411" s="44">
        <v>602.199</v>
      </c>
    </row>
    <row r="412" ht="15.75" spans="1:5">
      <c r="A412" s="46">
        <v>3045230.932</v>
      </c>
      <c r="B412" s="46">
        <v>35401066.05</v>
      </c>
      <c r="C412" s="47">
        <v>907.026</v>
      </c>
      <c r="D412" s="11">
        <v>45336</v>
      </c>
      <c r="E412" s="45">
        <v>602.774</v>
      </c>
    </row>
    <row r="413" ht="15.75" spans="1:5">
      <c r="A413" s="46">
        <v>3045230.932</v>
      </c>
      <c r="B413" s="46">
        <v>35401066.05</v>
      </c>
      <c r="C413" s="47">
        <v>907.026</v>
      </c>
      <c r="D413" s="11">
        <v>45337</v>
      </c>
      <c r="E413" s="37"/>
    </row>
    <row r="414" ht="15.75" spans="1:5">
      <c r="A414" s="46">
        <v>3045230.932</v>
      </c>
      <c r="B414" s="46">
        <v>35401066.05</v>
      </c>
      <c r="C414" s="47">
        <v>907.026</v>
      </c>
      <c r="D414" s="11">
        <v>45338</v>
      </c>
      <c r="E414" s="37"/>
    </row>
    <row r="415" ht="15.75" spans="1:5">
      <c r="A415" s="46">
        <v>3045230.932</v>
      </c>
      <c r="B415" s="46">
        <v>35401066.05</v>
      </c>
      <c r="C415" s="47">
        <v>907.026</v>
      </c>
      <c r="D415" s="11">
        <v>45339</v>
      </c>
      <c r="E415" s="37"/>
    </row>
    <row r="416" ht="15.75" spans="1:5">
      <c r="A416" s="46">
        <v>3045230.932</v>
      </c>
      <c r="B416" s="46">
        <v>35401066.05</v>
      </c>
      <c r="C416" s="47">
        <v>907.026</v>
      </c>
      <c r="D416" s="11">
        <v>45340</v>
      </c>
      <c r="E416" s="37"/>
    </row>
    <row r="417" ht="15.75" spans="1:5">
      <c r="A417" s="46">
        <v>3045230.932</v>
      </c>
      <c r="B417" s="46">
        <v>35401066.05</v>
      </c>
      <c r="C417" s="47">
        <v>907.026</v>
      </c>
      <c r="D417" s="11">
        <v>45341</v>
      </c>
      <c r="E417" s="44">
        <v>601.962</v>
      </c>
    </row>
    <row r="418" ht="15.75" spans="1:5">
      <c r="A418" s="46">
        <v>3045230.932</v>
      </c>
      <c r="B418" s="46">
        <v>35401066.05</v>
      </c>
      <c r="C418" s="47">
        <v>907.026</v>
      </c>
      <c r="D418" s="11">
        <v>45342</v>
      </c>
      <c r="E418" s="44">
        <v>600.495</v>
      </c>
    </row>
    <row r="419" ht="15.75" spans="1:5">
      <c r="A419" s="46">
        <v>3045230.932</v>
      </c>
      <c r="B419" s="46">
        <v>35401066.05</v>
      </c>
      <c r="C419" s="47">
        <v>907.026</v>
      </c>
      <c r="D419" s="11">
        <v>45343</v>
      </c>
      <c r="E419" s="44">
        <v>596.159</v>
      </c>
    </row>
    <row r="420" ht="15.75" spans="1:5">
      <c r="A420" s="46">
        <v>3045230.932</v>
      </c>
      <c r="B420" s="46">
        <v>35401066.05</v>
      </c>
      <c r="C420" s="47">
        <v>907.026</v>
      </c>
      <c r="D420" s="11">
        <v>45344</v>
      </c>
      <c r="E420" s="44">
        <v>594.316</v>
      </c>
    </row>
    <row r="421" ht="15.75" spans="1:5">
      <c r="A421" s="46">
        <v>3045230.932</v>
      </c>
      <c r="B421" s="46">
        <v>35401066.05</v>
      </c>
      <c r="C421" s="47">
        <v>907.026</v>
      </c>
      <c r="D421" s="11">
        <v>45345</v>
      </c>
      <c r="E421" s="44">
        <v>596.018</v>
      </c>
    </row>
    <row r="422" ht="15.75" spans="1:5">
      <c r="A422" s="46">
        <v>3045230.932</v>
      </c>
      <c r="B422" s="46">
        <v>35401066.05</v>
      </c>
      <c r="C422" s="47">
        <v>907.026</v>
      </c>
      <c r="D422" s="11">
        <v>45346</v>
      </c>
      <c r="E422" s="44">
        <v>598.364</v>
      </c>
    </row>
    <row r="423" ht="15.75" spans="1:5">
      <c r="A423" s="46">
        <v>3045230.932</v>
      </c>
      <c r="B423" s="46">
        <v>35401066.05</v>
      </c>
      <c r="C423" s="47">
        <v>907.026</v>
      </c>
      <c r="D423" s="11">
        <v>45347</v>
      </c>
      <c r="E423" s="44">
        <v>599.049</v>
      </c>
    </row>
    <row r="424" ht="15.75" spans="1:5">
      <c r="A424" s="46">
        <v>3045230.932</v>
      </c>
      <c r="B424" s="46">
        <v>35401066.05</v>
      </c>
      <c r="C424" s="47">
        <v>907.026</v>
      </c>
      <c r="D424" s="11">
        <v>45348</v>
      </c>
      <c r="E424" s="44">
        <v>591.783</v>
      </c>
    </row>
    <row r="425" ht="15.75" spans="1:5">
      <c r="A425" s="46">
        <v>3045230.932</v>
      </c>
      <c r="B425" s="46">
        <v>35401066.05</v>
      </c>
      <c r="C425" s="47">
        <v>907.026</v>
      </c>
      <c r="D425" s="11">
        <v>45349</v>
      </c>
      <c r="E425" s="44">
        <v>590.072</v>
      </c>
    </row>
    <row r="426" ht="15.75" spans="1:5">
      <c r="A426" s="46">
        <v>3045230.932</v>
      </c>
      <c r="B426" s="46">
        <v>35401066.05</v>
      </c>
      <c r="C426" s="47">
        <v>907.026</v>
      </c>
      <c r="D426" s="11">
        <v>45350</v>
      </c>
      <c r="E426" s="44">
        <v>596.919</v>
      </c>
    </row>
    <row r="427" ht="15.75" spans="1:5">
      <c r="A427" s="46">
        <v>3045230.932</v>
      </c>
      <c r="B427" s="46">
        <v>35401066.05</v>
      </c>
      <c r="C427" s="47">
        <v>907.026</v>
      </c>
      <c r="D427" s="11">
        <v>45351</v>
      </c>
      <c r="E427" s="44">
        <v>598.39</v>
      </c>
    </row>
    <row r="428" ht="15.75" spans="1:5">
      <c r="A428" s="46">
        <v>3045230.932</v>
      </c>
      <c r="B428" s="46">
        <v>35401066.05</v>
      </c>
      <c r="C428" s="47">
        <v>907.026</v>
      </c>
      <c r="D428" s="11">
        <v>45352</v>
      </c>
      <c r="E428" s="44">
        <v>597.742</v>
      </c>
    </row>
    <row r="429" ht="15.75" spans="1:5">
      <c r="A429" s="46">
        <v>3045230.932</v>
      </c>
      <c r="B429" s="46">
        <v>35401066.05</v>
      </c>
      <c r="C429" s="47">
        <v>907.026</v>
      </c>
      <c r="D429" s="11">
        <v>45353</v>
      </c>
      <c r="E429" s="44">
        <v>598.39</v>
      </c>
    </row>
    <row r="430" ht="15.75" spans="1:5">
      <c r="A430" s="46">
        <v>3045230.932</v>
      </c>
      <c r="B430" s="46">
        <v>35401066.05</v>
      </c>
      <c r="C430" s="47">
        <v>907.026</v>
      </c>
      <c r="D430" s="11">
        <v>45354</v>
      </c>
      <c r="E430" s="44">
        <v>597.742</v>
      </c>
    </row>
    <row r="431" ht="15.75" spans="1:5">
      <c r="A431" s="46">
        <v>3045230.932</v>
      </c>
      <c r="B431" s="46">
        <v>35401066.05</v>
      </c>
      <c r="C431" s="47">
        <v>907.026</v>
      </c>
      <c r="D431" s="11">
        <v>45355</v>
      </c>
      <c r="E431" s="44">
        <v>598.547</v>
      </c>
    </row>
    <row r="432" ht="15.75" spans="1:5">
      <c r="A432" s="46">
        <v>3045230.932</v>
      </c>
      <c r="B432" s="46">
        <v>35401066.05</v>
      </c>
      <c r="C432" s="47">
        <v>907.026</v>
      </c>
      <c r="D432" s="11">
        <v>45356</v>
      </c>
      <c r="E432" s="44">
        <v>598.694</v>
      </c>
    </row>
    <row r="433" ht="15.75" spans="1:5">
      <c r="A433" s="46">
        <v>3045230.932</v>
      </c>
      <c r="B433" s="46">
        <v>35401066.05</v>
      </c>
      <c r="C433" s="47">
        <v>907.026</v>
      </c>
      <c r="D433" s="11">
        <v>45357</v>
      </c>
      <c r="E433" s="44">
        <v>598.595</v>
      </c>
    </row>
    <row r="434" ht="15.75" spans="1:5">
      <c r="A434" s="46">
        <v>3045230.932</v>
      </c>
      <c r="B434" s="46">
        <v>35401066.05</v>
      </c>
      <c r="C434" s="47">
        <v>907.026</v>
      </c>
      <c r="D434" s="11">
        <v>45358</v>
      </c>
      <c r="E434" s="44">
        <v>597.81</v>
      </c>
    </row>
    <row r="435" ht="15.75" spans="1:5">
      <c r="A435" s="46">
        <v>3045230.932</v>
      </c>
      <c r="B435" s="46">
        <v>35401066.05</v>
      </c>
      <c r="C435" s="47">
        <v>907.026</v>
      </c>
      <c r="D435" s="11">
        <v>45359</v>
      </c>
      <c r="E435" s="44">
        <v>597.031</v>
      </c>
    </row>
    <row r="436" ht="15.75" spans="1:5">
      <c r="A436" s="46">
        <v>3045230.932</v>
      </c>
      <c r="B436" s="46">
        <v>35401066.05</v>
      </c>
      <c r="C436" s="47">
        <v>907.026</v>
      </c>
      <c r="D436" s="11">
        <v>45360</v>
      </c>
      <c r="E436" s="44">
        <v>595.76</v>
      </c>
    </row>
    <row r="437" ht="15.75" spans="1:5">
      <c r="A437" s="46">
        <v>3045230.932</v>
      </c>
      <c r="B437" s="46">
        <v>35401066.05</v>
      </c>
      <c r="C437" s="47">
        <v>907.026</v>
      </c>
      <c r="D437" s="11">
        <v>45361</v>
      </c>
      <c r="E437" s="44">
        <v>594.445</v>
      </c>
    </row>
    <row r="438" ht="15.75" spans="1:5">
      <c r="A438" s="46">
        <v>3045230.932</v>
      </c>
      <c r="B438" s="46">
        <v>35401066.05</v>
      </c>
      <c r="C438" s="47">
        <v>907.026</v>
      </c>
      <c r="D438" s="11">
        <v>45362</v>
      </c>
      <c r="E438" s="44">
        <v>594.642</v>
      </c>
    </row>
    <row r="439" ht="15.75" spans="1:5">
      <c r="A439" s="46">
        <v>3045230.932</v>
      </c>
      <c r="B439" s="46">
        <v>35401066.05</v>
      </c>
      <c r="C439" s="47">
        <v>907.026</v>
      </c>
      <c r="D439" s="11">
        <v>45363</v>
      </c>
      <c r="E439" s="44">
        <v>595.065</v>
      </c>
    </row>
    <row r="440" ht="15.75" spans="1:5">
      <c r="A440" s="46">
        <v>3045230.932</v>
      </c>
      <c r="B440" s="46">
        <v>35401066.05</v>
      </c>
      <c r="C440" s="47">
        <v>907.026</v>
      </c>
      <c r="D440" s="11">
        <v>45364</v>
      </c>
      <c r="E440" s="44">
        <v>594.892</v>
      </c>
    </row>
    <row r="441" ht="15.75" spans="1:5">
      <c r="A441" s="46">
        <v>3045230.932</v>
      </c>
      <c r="B441" s="46">
        <v>35401066.05</v>
      </c>
      <c r="C441" s="47">
        <v>907.026</v>
      </c>
      <c r="D441" s="11">
        <v>45365</v>
      </c>
      <c r="E441" s="44">
        <v>594.788</v>
      </c>
    </row>
    <row r="442" ht="15.75" spans="1:5">
      <c r="A442" s="46">
        <v>3045230.932</v>
      </c>
      <c r="B442" s="46">
        <v>35401066.05</v>
      </c>
      <c r="C442" s="47">
        <v>907.026</v>
      </c>
      <c r="D442" s="11">
        <v>45366</v>
      </c>
      <c r="E442" s="44">
        <v>585.027</v>
      </c>
    </row>
    <row r="443" ht="15.75" spans="1:5">
      <c r="A443" s="46">
        <v>3045230.932</v>
      </c>
      <c r="B443" s="46">
        <v>35401066.05</v>
      </c>
      <c r="C443" s="47">
        <v>907.026</v>
      </c>
      <c r="D443" s="11">
        <v>45367</v>
      </c>
      <c r="E443" s="44">
        <v>581.739</v>
      </c>
    </row>
    <row r="444" ht="15.75" spans="1:5">
      <c r="A444" s="46">
        <v>3045230.932</v>
      </c>
      <c r="B444" s="46">
        <v>35401066.05</v>
      </c>
      <c r="C444" s="47">
        <v>907.026</v>
      </c>
      <c r="D444" s="11">
        <v>45368</v>
      </c>
      <c r="E444" s="44">
        <v>580.903</v>
      </c>
    </row>
    <row r="445" ht="15.75" spans="1:5">
      <c r="A445" s="46">
        <v>3045230.932</v>
      </c>
      <c r="B445" s="46">
        <v>35401066.05</v>
      </c>
      <c r="C445" s="47">
        <v>907.026</v>
      </c>
      <c r="D445" s="11">
        <v>45369</v>
      </c>
      <c r="E445" s="44">
        <v>579.992</v>
      </c>
    </row>
    <row r="446" ht="15.75" spans="1:5">
      <c r="A446" s="46">
        <v>3045230.932</v>
      </c>
      <c r="B446" s="46">
        <v>35401066.05</v>
      </c>
      <c r="C446" s="47">
        <v>907.026</v>
      </c>
      <c r="D446" s="11">
        <v>45370</v>
      </c>
      <c r="E446" s="44">
        <v>579.869</v>
      </c>
    </row>
    <row r="447" ht="15.75" spans="1:5">
      <c r="A447" s="46">
        <v>3045230.932</v>
      </c>
      <c r="B447" s="46">
        <v>35401066.05</v>
      </c>
      <c r="C447" s="47">
        <v>907.026</v>
      </c>
      <c r="D447" s="11">
        <v>45371</v>
      </c>
      <c r="E447" s="44">
        <v>579.043</v>
      </c>
    </row>
    <row r="448" ht="15.75" spans="1:5">
      <c r="A448" s="46">
        <v>3045230.932</v>
      </c>
      <c r="B448" s="46">
        <v>35401066.05</v>
      </c>
      <c r="C448" s="47">
        <v>907.026</v>
      </c>
      <c r="D448" s="11">
        <v>45372</v>
      </c>
      <c r="E448" s="44">
        <v>579.385</v>
      </c>
    </row>
    <row r="449" ht="15.75" spans="1:5">
      <c r="A449" s="46">
        <v>3045230.932</v>
      </c>
      <c r="B449" s="46">
        <v>35401066.05</v>
      </c>
      <c r="C449" s="47">
        <v>907.026</v>
      </c>
      <c r="D449" s="11">
        <v>45373</v>
      </c>
      <c r="E449" s="44">
        <v>579.031</v>
      </c>
    </row>
    <row r="450" ht="15.75" spans="1:5">
      <c r="A450" s="46">
        <v>3045230.932</v>
      </c>
      <c r="B450" s="46">
        <v>35401066.05</v>
      </c>
      <c r="C450" s="47">
        <v>907.026</v>
      </c>
      <c r="D450" s="11">
        <v>45374</v>
      </c>
      <c r="E450" s="44">
        <v>578.308</v>
      </c>
    </row>
    <row r="451" ht="15.75" spans="1:5">
      <c r="A451" s="46">
        <v>3045230.932</v>
      </c>
      <c r="B451" s="46">
        <v>35401066.05</v>
      </c>
      <c r="C451" s="47">
        <v>907.026</v>
      </c>
      <c r="D451" s="11">
        <v>45375</v>
      </c>
      <c r="E451" s="44">
        <v>577.814</v>
      </c>
    </row>
    <row r="452" ht="15.75" spans="1:5">
      <c r="A452" s="46">
        <v>3045230.932</v>
      </c>
      <c r="B452" s="46">
        <v>35401066.05</v>
      </c>
      <c r="C452" s="47">
        <v>907.026</v>
      </c>
      <c r="D452" s="11">
        <v>45376</v>
      </c>
      <c r="E452" s="44">
        <v>577.466</v>
      </c>
    </row>
    <row r="453" ht="15.75" spans="1:5">
      <c r="A453" s="46">
        <v>3045230.932</v>
      </c>
      <c r="B453" s="46">
        <v>35401066.05</v>
      </c>
      <c r="C453" s="47">
        <v>907.026</v>
      </c>
      <c r="D453" s="11">
        <v>45377</v>
      </c>
      <c r="E453" s="44">
        <v>577.966</v>
      </c>
    </row>
    <row r="454" ht="15.75" spans="1:5">
      <c r="A454" s="46">
        <v>3045230.932</v>
      </c>
      <c r="B454" s="46">
        <v>35401066.05</v>
      </c>
      <c r="C454" s="47">
        <v>907.026</v>
      </c>
      <c r="D454" s="11">
        <v>45378</v>
      </c>
      <c r="E454" s="44">
        <v>577.065</v>
      </c>
    </row>
    <row r="455" ht="15.75" spans="1:5">
      <c r="A455" s="46">
        <v>3045230.932</v>
      </c>
      <c r="B455" s="46">
        <v>35401066.05</v>
      </c>
      <c r="C455" s="47">
        <v>907.026</v>
      </c>
      <c r="D455" s="11">
        <v>45379</v>
      </c>
      <c r="E455" s="44">
        <v>576.9</v>
      </c>
    </row>
    <row r="456" ht="15.75" spans="1:5">
      <c r="A456" s="46">
        <v>3045230.932</v>
      </c>
      <c r="B456" s="46">
        <v>35401066.05</v>
      </c>
      <c r="C456" s="47">
        <v>907.026</v>
      </c>
      <c r="D456" s="11">
        <v>45380</v>
      </c>
      <c r="E456" s="44">
        <v>577.311</v>
      </c>
    </row>
    <row r="457" ht="15.75" spans="1:5">
      <c r="A457" s="46">
        <v>3045230.932</v>
      </c>
      <c r="B457" s="46">
        <v>35401066.05</v>
      </c>
      <c r="C457" s="47">
        <v>907.026</v>
      </c>
      <c r="D457" s="11">
        <v>45381</v>
      </c>
      <c r="E457" s="44">
        <v>576.942</v>
      </c>
    </row>
    <row r="458" ht="15.75" spans="1:5">
      <c r="A458" s="46">
        <v>3045230.932</v>
      </c>
      <c r="B458" s="46">
        <v>35401066.05</v>
      </c>
      <c r="C458" s="47">
        <v>907.026</v>
      </c>
      <c r="D458" s="11">
        <v>45382</v>
      </c>
      <c r="E458" s="44">
        <v>576.9</v>
      </c>
    </row>
    <row r="459" ht="15.75" spans="1:5">
      <c r="A459" s="46">
        <v>3045230.932</v>
      </c>
      <c r="B459" s="46">
        <v>35401066.05</v>
      </c>
      <c r="C459" s="47">
        <v>907.026</v>
      </c>
      <c r="D459" s="11">
        <v>45383</v>
      </c>
      <c r="E459" s="44">
        <v>576.9</v>
      </c>
    </row>
    <row r="460" ht="15.75" spans="1:5">
      <c r="A460" s="46">
        <v>3045230.932</v>
      </c>
      <c r="B460" s="46">
        <v>35401066.05</v>
      </c>
      <c r="C460" s="47">
        <v>907.026</v>
      </c>
      <c r="D460" s="11">
        <v>45384</v>
      </c>
      <c r="E460" s="44">
        <v>576.9</v>
      </c>
    </row>
    <row r="461" ht="15.75" spans="1:5">
      <c r="A461" s="46">
        <v>3045230.932</v>
      </c>
      <c r="B461" s="46">
        <v>35401066.05</v>
      </c>
      <c r="C461" s="47">
        <v>907.026</v>
      </c>
      <c r="D461" s="11">
        <v>45385</v>
      </c>
      <c r="E461" s="44">
        <v>576.9</v>
      </c>
    </row>
    <row r="462" ht="15.75" spans="1:5">
      <c r="A462" s="46">
        <v>3045230.932</v>
      </c>
      <c r="B462" s="46">
        <v>35401066.05</v>
      </c>
      <c r="C462" s="47">
        <v>907.026</v>
      </c>
      <c r="D462" s="11">
        <v>45386</v>
      </c>
      <c r="E462" s="44">
        <v>576.9</v>
      </c>
    </row>
    <row r="463" ht="15.75" spans="1:5">
      <c r="A463" s="46">
        <v>3045230.932</v>
      </c>
      <c r="B463" s="46">
        <v>35401066.05</v>
      </c>
      <c r="C463" s="47">
        <v>907.026</v>
      </c>
      <c r="D463" s="11">
        <v>45387</v>
      </c>
      <c r="E463" s="44">
        <v>576.9</v>
      </c>
    </row>
    <row r="464" ht="15.75" spans="1:5">
      <c r="A464" s="46">
        <v>3045230.932</v>
      </c>
      <c r="B464" s="46">
        <v>35401066.05</v>
      </c>
      <c r="C464" s="47">
        <v>907.026</v>
      </c>
      <c r="D464" s="11">
        <v>45388</v>
      </c>
      <c r="E464" s="44">
        <v>576.9</v>
      </c>
    </row>
    <row r="465" ht="15.75" spans="1:5">
      <c r="A465" s="46">
        <v>3045230.932</v>
      </c>
      <c r="B465" s="46">
        <v>35401066.05</v>
      </c>
      <c r="C465" s="47">
        <v>907.026</v>
      </c>
      <c r="D465" s="11">
        <v>45389</v>
      </c>
      <c r="E465" s="44">
        <v>576.9</v>
      </c>
    </row>
    <row r="466" ht="15.75" spans="1:5">
      <c r="A466" s="46">
        <v>3045230.932</v>
      </c>
      <c r="B466" s="46">
        <v>35401066.05</v>
      </c>
      <c r="C466" s="47">
        <v>907.026</v>
      </c>
      <c r="D466" s="11">
        <v>45390</v>
      </c>
      <c r="E466" s="44">
        <v>576.9</v>
      </c>
    </row>
    <row r="467" ht="15.75" spans="1:5">
      <c r="A467" s="46">
        <v>3045230.932</v>
      </c>
      <c r="B467" s="46">
        <v>35401066.05</v>
      </c>
      <c r="C467" s="47">
        <v>907.026</v>
      </c>
      <c r="D467" s="11">
        <v>45391</v>
      </c>
      <c r="E467" s="44">
        <v>576.9</v>
      </c>
    </row>
    <row r="468" ht="15.75" spans="1:5">
      <c r="A468" s="46">
        <v>3045230.932</v>
      </c>
      <c r="B468" s="46">
        <v>35401066.05</v>
      </c>
      <c r="C468" s="47">
        <v>907.026</v>
      </c>
      <c r="D468" s="11">
        <v>45392</v>
      </c>
      <c r="E468" s="44">
        <v>576.9</v>
      </c>
    </row>
    <row r="469" ht="15.75" spans="1:5">
      <c r="A469" s="46">
        <v>3045230.932</v>
      </c>
      <c r="B469" s="46">
        <v>35401066.05</v>
      </c>
      <c r="C469" s="47">
        <v>907.026</v>
      </c>
      <c r="D469" s="11">
        <v>45393</v>
      </c>
      <c r="E469" s="44">
        <v>576.9</v>
      </c>
    </row>
    <row r="470" ht="15.75" spans="1:5">
      <c r="A470" s="46">
        <v>3045230.932</v>
      </c>
      <c r="B470" s="46">
        <v>35401066.05</v>
      </c>
      <c r="C470" s="47">
        <v>907.026</v>
      </c>
      <c r="D470" s="11">
        <v>45394</v>
      </c>
      <c r="E470" s="44">
        <v>576.9</v>
      </c>
    </row>
    <row r="471" ht="15.75" spans="1:5">
      <c r="A471" s="46">
        <v>3045230.932</v>
      </c>
      <c r="B471" s="46">
        <v>35401066.05</v>
      </c>
      <c r="C471" s="47">
        <v>907.026</v>
      </c>
      <c r="D471" s="11">
        <v>45395</v>
      </c>
      <c r="E471" s="44">
        <v>576.9</v>
      </c>
    </row>
    <row r="472" ht="15.75" spans="1:5">
      <c r="A472" s="46">
        <v>3045230.932</v>
      </c>
      <c r="B472" s="46">
        <v>35401066.05</v>
      </c>
      <c r="C472" s="47">
        <v>907.026</v>
      </c>
      <c r="D472" s="11">
        <v>45396</v>
      </c>
      <c r="E472" s="44">
        <v>576.9</v>
      </c>
    </row>
    <row r="473" ht="15.75" spans="1:5">
      <c r="A473" s="46">
        <v>3045230.932</v>
      </c>
      <c r="B473" s="46">
        <v>35401066.05</v>
      </c>
      <c r="C473" s="47">
        <v>907.026</v>
      </c>
      <c r="D473" s="11">
        <v>45397</v>
      </c>
      <c r="E473" s="44">
        <v>576.9</v>
      </c>
    </row>
    <row r="474" ht="15.75" spans="1:5">
      <c r="A474" s="46">
        <v>3045230.932</v>
      </c>
      <c r="B474" s="46">
        <v>35401066.05</v>
      </c>
      <c r="C474" s="47">
        <v>907.026</v>
      </c>
      <c r="D474" s="11">
        <v>45398</v>
      </c>
      <c r="E474" s="44">
        <v>576.9</v>
      </c>
    </row>
    <row r="475" ht="15.75" spans="1:5">
      <c r="A475" s="46">
        <v>3045230.932</v>
      </c>
      <c r="B475" s="46">
        <v>35401066.05</v>
      </c>
      <c r="C475" s="47">
        <v>907.026</v>
      </c>
      <c r="D475" s="11">
        <v>45399</v>
      </c>
      <c r="E475" s="44">
        <v>576.9</v>
      </c>
    </row>
    <row r="476" ht="15.75" spans="1:5">
      <c r="A476" s="46">
        <v>3045230.932</v>
      </c>
      <c r="B476" s="46">
        <v>35401066.05</v>
      </c>
      <c r="C476" s="47">
        <v>907.026</v>
      </c>
      <c r="D476" s="11">
        <v>45400</v>
      </c>
      <c r="E476" s="44">
        <v>576.9</v>
      </c>
    </row>
    <row r="477" ht="15.75" spans="1:5">
      <c r="A477" s="46">
        <v>3045230.932</v>
      </c>
      <c r="B477" s="46">
        <v>35401066.05</v>
      </c>
      <c r="C477" s="47">
        <v>907.026</v>
      </c>
      <c r="D477" s="11">
        <v>45401</v>
      </c>
      <c r="E477" s="44">
        <v>576.9</v>
      </c>
    </row>
    <row r="478" ht="15.75" spans="1:5">
      <c r="A478" s="46">
        <v>3045230.932</v>
      </c>
      <c r="B478" s="46">
        <v>35401066.05</v>
      </c>
      <c r="C478" s="47">
        <v>907.026</v>
      </c>
      <c r="D478" s="11">
        <v>45402</v>
      </c>
      <c r="E478" s="44"/>
    </row>
    <row r="479" ht="15.75" spans="1:5">
      <c r="A479" s="46">
        <v>3045230.932</v>
      </c>
      <c r="B479" s="46">
        <v>35401066.05</v>
      </c>
      <c r="C479" s="47">
        <v>907.026</v>
      </c>
      <c r="D479" s="11">
        <v>45403</v>
      </c>
      <c r="E479" s="44"/>
    </row>
    <row r="480" ht="15.75" spans="1:5">
      <c r="A480" s="46">
        <v>3045230.932</v>
      </c>
      <c r="B480" s="46">
        <v>35401066.05</v>
      </c>
      <c r="C480" s="47">
        <v>907.026</v>
      </c>
      <c r="D480" s="11">
        <v>45404</v>
      </c>
      <c r="E480" s="44"/>
    </row>
    <row r="481" ht="15.75" spans="1:5">
      <c r="A481" s="46">
        <v>3045230.932</v>
      </c>
      <c r="B481" s="46">
        <v>35401066.05</v>
      </c>
      <c r="C481" s="47">
        <v>907.026</v>
      </c>
      <c r="D481" s="11">
        <v>45405</v>
      </c>
      <c r="E481" s="44"/>
    </row>
    <row r="482" ht="15.75" spans="1:5">
      <c r="A482" s="46">
        <v>3045230.932</v>
      </c>
      <c r="B482" s="46">
        <v>35401066.05</v>
      </c>
      <c r="C482" s="47">
        <v>907.026</v>
      </c>
      <c r="D482" s="11">
        <v>45406</v>
      </c>
      <c r="E482" s="44"/>
    </row>
    <row r="483" ht="15.75" spans="1:5">
      <c r="A483" s="46">
        <v>3045230.932</v>
      </c>
      <c r="B483" s="46">
        <v>35401066.05</v>
      </c>
      <c r="C483" s="47">
        <v>907.026</v>
      </c>
      <c r="D483" s="11">
        <v>45407</v>
      </c>
      <c r="E483" s="44"/>
    </row>
    <row r="484" ht="15.75" spans="1:5">
      <c r="A484" s="46">
        <v>3045230.932</v>
      </c>
      <c r="B484" s="46">
        <v>35401066.05</v>
      </c>
      <c r="C484" s="47">
        <v>907.026</v>
      </c>
      <c r="D484" s="11">
        <v>45408</v>
      </c>
      <c r="E484" s="44"/>
    </row>
    <row r="485" ht="15.75" spans="1:5">
      <c r="A485" s="46">
        <v>3045230.932</v>
      </c>
      <c r="B485" s="46">
        <v>35401066.05</v>
      </c>
      <c r="C485" s="47">
        <v>907.026</v>
      </c>
      <c r="D485" s="11">
        <v>45409</v>
      </c>
      <c r="E485" s="44">
        <v>573.9</v>
      </c>
    </row>
    <row r="486" ht="15.75" spans="1:5">
      <c r="A486" s="46">
        <v>3045230.932</v>
      </c>
      <c r="B486" s="46">
        <v>35401066.05</v>
      </c>
      <c r="C486" s="47">
        <v>907.026</v>
      </c>
      <c r="D486" s="11">
        <v>45410</v>
      </c>
      <c r="E486" s="44"/>
    </row>
    <row r="487" ht="15.75" spans="1:5">
      <c r="A487" s="46">
        <v>3045230.932</v>
      </c>
      <c r="B487" s="46">
        <v>35401066.05</v>
      </c>
      <c r="C487" s="47">
        <v>907.026</v>
      </c>
      <c r="D487" s="11">
        <v>45411</v>
      </c>
      <c r="E487" s="44"/>
    </row>
    <row r="488" ht="15.75" spans="1:5">
      <c r="A488" s="46">
        <v>3045230.932</v>
      </c>
      <c r="B488" s="46">
        <v>35401066.05</v>
      </c>
      <c r="C488" s="47">
        <v>907.026</v>
      </c>
      <c r="D488" s="11">
        <v>45412</v>
      </c>
      <c r="E488" s="44"/>
    </row>
    <row r="489" ht="15.75" spans="1:5">
      <c r="A489" s="46">
        <v>3045230.932</v>
      </c>
      <c r="B489" s="46">
        <v>35401066.05</v>
      </c>
      <c r="C489" s="47">
        <v>907.026</v>
      </c>
      <c r="D489" s="11">
        <v>45413</v>
      </c>
      <c r="E489" s="44"/>
    </row>
    <row r="490" ht="15.75" spans="1:5">
      <c r="A490" s="46">
        <v>3045230.932</v>
      </c>
      <c r="B490" s="46">
        <v>35401066.05</v>
      </c>
      <c r="C490" s="47">
        <v>907.026</v>
      </c>
      <c r="D490" s="11">
        <v>45414</v>
      </c>
      <c r="E490" s="44"/>
    </row>
    <row r="491" ht="15.75" spans="1:5">
      <c r="A491" s="46">
        <v>3045230.932</v>
      </c>
      <c r="B491" s="46">
        <v>35401066.05</v>
      </c>
      <c r="C491" s="47">
        <v>907.026</v>
      </c>
      <c r="D491" s="11">
        <v>45415</v>
      </c>
      <c r="E491" s="44"/>
    </row>
    <row r="492" ht="15.75" spans="1:5">
      <c r="A492" s="46">
        <v>3045230.932</v>
      </c>
      <c r="B492" s="46">
        <v>35401066.05</v>
      </c>
      <c r="C492" s="47">
        <v>907.026</v>
      </c>
      <c r="D492" s="11">
        <v>45416</v>
      </c>
      <c r="E492" s="44"/>
    </row>
    <row r="493" ht="15.75" spans="1:5">
      <c r="A493" s="46">
        <v>3045230.932</v>
      </c>
      <c r="B493" s="46">
        <v>35401066.05</v>
      </c>
      <c r="C493" s="47">
        <v>907.026</v>
      </c>
      <c r="D493" s="11">
        <v>45417</v>
      </c>
      <c r="E493" s="44"/>
    </row>
    <row r="494" ht="15.75" spans="1:5">
      <c r="A494" s="46">
        <v>3045230.932</v>
      </c>
      <c r="B494" s="46">
        <v>35401066.05</v>
      </c>
      <c r="C494" s="47">
        <v>907.026</v>
      </c>
      <c r="D494" s="11">
        <v>45418</v>
      </c>
      <c r="E494" s="44">
        <v>573.9</v>
      </c>
    </row>
    <row r="495" ht="15.75" spans="1:5">
      <c r="A495" s="46">
        <v>3045230.932</v>
      </c>
      <c r="B495" s="46">
        <v>35401066.05</v>
      </c>
      <c r="C495" s="47">
        <v>907.026</v>
      </c>
      <c r="D495" s="11">
        <v>45419</v>
      </c>
      <c r="E495" s="44"/>
    </row>
    <row r="496" ht="15.75" spans="1:5">
      <c r="A496" s="46">
        <v>3045230.932</v>
      </c>
      <c r="B496" s="46">
        <v>35401066.05</v>
      </c>
      <c r="C496" s="47">
        <v>907.026</v>
      </c>
      <c r="D496" s="11">
        <v>45420</v>
      </c>
      <c r="E496" s="44"/>
    </row>
    <row r="497" ht="15.75" spans="1:5">
      <c r="A497" s="46">
        <v>3045230.932</v>
      </c>
      <c r="B497" s="46">
        <v>35401066.05</v>
      </c>
      <c r="C497" s="47">
        <v>907.026</v>
      </c>
      <c r="D497" s="11">
        <v>45421</v>
      </c>
      <c r="E497" s="44"/>
    </row>
    <row r="498" ht="15.75" spans="1:5">
      <c r="A498" s="46">
        <v>3045230.932</v>
      </c>
      <c r="B498" s="46">
        <v>35401066.05</v>
      </c>
      <c r="C498" s="47">
        <v>907.026</v>
      </c>
      <c r="D498" s="11">
        <v>45422</v>
      </c>
      <c r="E498" s="44"/>
    </row>
    <row r="499" ht="15.75" spans="1:5">
      <c r="A499" s="46">
        <v>3045230.932</v>
      </c>
      <c r="B499" s="46">
        <v>35401066.05</v>
      </c>
      <c r="C499" s="47">
        <v>907.026</v>
      </c>
      <c r="D499" s="11">
        <v>45423</v>
      </c>
      <c r="E499" s="44"/>
    </row>
  </sheetData>
  <mergeCells count="1">
    <mergeCell ref="A1:C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topLeftCell="A297" workbookViewId="0">
      <selection activeCell="D465" sqref="D$1:D$1048576"/>
    </sheetView>
  </sheetViews>
  <sheetFormatPr defaultColWidth="9" defaultRowHeight="15" outlineLevelCol="5"/>
  <cols>
    <col min="1" max="1" width="11.5" style="2" customWidth="1"/>
    <col min="2" max="2" width="10.5" style="2" customWidth="1"/>
    <col min="3" max="3" width="19.25" customWidth="1"/>
    <col min="4" max="4" width="17.25" style="1" customWidth="1"/>
    <col min="6" max="6" width="26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5.75" spans="1:6">
      <c r="A3" s="32">
        <v>3045686.404</v>
      </c>
      <c r="B3" s="32">
        <v>400779.715</v>
      </c>
      <c r="C3" s="33">
        <v>613.93</v>
      </c>
      <c r="D3" s="34">
        <v>44927</v>
      </c>
      <c r="E3" s="37"/>
      <c r="F3" s="35" t="s">
        <v>3064</v>
      </c>
    </row>
    <row r="4" ht="15.75" spans="1:5">
      <c r="A4" s="32">
        <v>3045686.404</v>
      </c>
      <c r="B4" s="32">
        <v>400779.715</v>
      </c>
      <c r="C4" s="33">
        <v>613.93</v>
      </c>
      <c r="D4" s="11">
        <v>44928</v>
      </c>
      <c r="E4" s="37"/>
    </row>
    <row r="5" ht="15.75" spans="1:5">
      <c r="A5" s="32">
        <v>3045686.404</v>
      </c>
      <c r="B5" s="32">
        <v>400779.715</v>
      </c>
      <c r="C5" s="33">
        <v>613.93</v>
      </c>
      <c r="D5" s="11">
        <v>44929</v>
      </c>
      <c r="E5" s="37"/>
    </row>
    <row r="6" ht="15.75" spans="1:5">
      <c r="A6" s="32">
        <v>3045686.404</v>
      </c>
      <c r="B6" s="32">
        <v>400779.715</v>
      </c>
      <c r="C6" s="33">
        <v>613.93</v>
      </c>
      <c r="D6" s="11">
        <v>44930</v>
      </c>
      <c r="E6" s="37"/>
    </row>
    <row r="7" ht="15.75" spans="1:5">
      <c r="A7" s="32">
        <v>3045686.404</v>
      </c>
      <c r="B7" s="32">
        <v>400779.715</v>
      </c>
      <c r="C7" s="33">
        <v>613.93</v>
      </c>
      <c r="D7" s="11">
        <v>44931</v>
      </c>
      <c r="E7" s="38"/>
    </row>
    <row r="8" ht="15.75" spans="1:5">
      <c r="A8" s="32">
        <v>3045686.404</v>
      </c>
      <c r="B8" s="32">
        <v>400779.715</v>
      </c>
      <c r="C8" s="33">
        <v>613.93</v>
      </c>
      <c r="D8" s="11">
        <v>44932</v>
      </c>
      <c r="E8" s="39"/>
    </row>
    <row r="9" ht="15.75" spans="1:5">
      <c r="A9" s="32">
        <v>3045686.404</v>
      </c>
      <c r="B9" s="32">
        <v>400779.715</v>
      </c>
      <c r="C9" s="33">
        <v>613.93</v>
      </c>
      <c r="D9" s="11">
        <v>44933</v>
      </c>
      <c r="E9" s="39"/>
    </row>
    <row r="10" ht="15.75" spans="1:5">
      <c r="A10" s="32">
        <v>3045686.404</v>
      </c>
      <c r="B10" s="32">
        <v>400779.715</v>
      </c>
      <c r="C10" s="33">
        <v>613.93</v>
      </c>
      <c r="D10" s="11">
        <v>44934</v>
      </c>
      <c r="E10" s="39"/>
    </row>
    <row r="11" ht="15.75" spans="1:5">
      <c r="A11" s="32">
        <v>3045686.404</v>
      </c>
      <c r="B11" s="32">
        <v>400779.715</v>
      </c>
      <c r="C11" s="33">
        <v>613.93</v>
      </c>
      <c r="D11" s="11">
        <v>44935</v>
      </c>
      <c r="E11" s="39"/>
    </row>
    <row r="12" ht="15.75" spans="1:5">
      <c r="A12" s="32">
        <v>3045686.404</v>
      </c>
      <c r="B12" s="32">
        <v>400779.715</v>
      </c>
      <c r="C12" s="33">
        <v>613.93</v>
      </c>
      <c r="D12" s="11">
        <v>44936</v>
      </c>
      <c r="E12" s="39"/>
    </row>
    <row r="13" ht="15.75" spans="1:5">
      <c r="A13" s="32">
        <v>3045686.404</v>
      </c>
      <c r="B13" s="32">
        <v>400779.715</v>
      </c>
      <c r="C13" s="33">
        <v>613.93</v>
      </c>
      <c r="D13" s="11">
        <v>44937</v>
      </c>
      <c r="E13" s="39"/>
    </row>
    <row r="14" ht="15.75" spans="1:5">
      <c r="A14" s="32">
        <v>3045686.404</v>
      </c>
      <c r="B14" s="32">
        <v>400779.715</v>
      </c>
      <c r="C14" s="33">
        <v>613.93</v>
      </c>
      <c r="D14" s="11">
        <v>44938</v>
      </c>
      <c r="E14" s="37"/>
    </row>
    <row r="15" ht="15.75" spans="1:5">
      <c r="A15" s="32">
        <v>3045686.404</v>
      </c>
      <c r="B15" s="32">
        <v>400779.715</v>
      </c>
      <c r="C15" s="33">
        <v>613.93</v>
      </c>
      <c r="D15" s="11">
        <v>44939</v>
      </c>
      <c r="E15" s="37"/>
    </row>
    <row r="16" ht="15.75" spans="1:5">
      <c r="A16" s="32">
        <v>3045686.404</v>
      </c>
      <c r="B16" s="32">
        <v>400779.715</v>
      </c>
      <c r="C16" s="33">
        <v>613.93</v>
      </c>
      <c r="D16" s="11">
        <v>44940</v>
      </c>
      <c r="E16" s="37"/>
    </row>
    <row r="17" ht="15.75" spans="1:5">
      <c r="A17" s="32">
        <v>3045686.404</v>
      </c>
      <c r="B17" s="32">
        <v>400779.715</v>
      </c>
      <c r="C17" s="33">
        <v>613.93</v>
      </c>
      <c r="D17" s="11">
        <v>44941</v>
      </c>
      <c r="E17" s="37"/>
    </row>
    <row r="18" ht="15.75" spans="1:5">
      <c r="A18" s="32">
        <v>3045686.404</v>
      </c>
      <c r="B18" s="32">
        <v>400779.715</v>
      </c>
      <c r="C18" s="33">
        <v>613.93</v>
      </c>
      <c r="D18" s="11">
        <v>44942</v>
      </c>
      <c r="E18" s="37"/>
    </row>
    <row r="19" ht="15.75" spans="1:5">
      <c r="A19" s="32">
        <v>3045686.404</v>
      </c>
      <c r="B19" s="32">
        <v>400779.715</v>
      </c>
      <c r="C19" s="33">
        <v>613.93</v>
      </c>
      <c r="D19" s="11">
        <v>44943</v>
      </c>
      <c r="E19" s="37"/>
    </row>
    <row r="20" ht="15.75" spans="1:5">
      <c r="A20" s="32">
        <v>3045686.404</v>
      </c>
      <c r="B20" s="32">
        <v>400779.715</v>
      </c>
      <c r="C20" s="33">
        <v>613.93</v>
      </c>
      <c r="D20" s="11">
        <v>44944</v>
      </c>
      <c r="E20" s="39"/>
    </row>
    <row r="21" ht="15.75" spans="1:5">
      <c r="A21" s="32">
        <v>3045686.404</v>
      </c>
      <c r="B21" s="32">
        <v>400779.715</v>
      </c>
      <c r="C21" s="33">
        <v>613.93</v>
      </c>
      <c r="D21" s="11">
        <v>44945</v>
      </c>
      <c r="E21" s="40"/>
    </row>
    <row r="22" ht="15.75" spans="1:5">
      <c r="A22" s="32">
        <v>3045686.404</v>
      </c>
      <c r="B22" s="32">
        <v>400779.715</v>
      </c>
      <c r="C22" s="33">
        <v>613.93</v>
      </c>
      <c r="D22" s="11">
        <v>44946</v>
      </c>
      <c r="E22" s="40"/>
    </row>
    <row r="23" ht="15.75" spans="1:5">
      <c r="A23" s="32">
        <v>3045686.404</v>
      </c>
      <c r="B23" s="32">
        <v>400779.715</v>
      </c>
      <c r="C23" s="33">
        <v>613.93</v>
      </c>
      <c r="D23" s="11">
        <v>44947</v>
      </c>
      <c r="E23" s="40"/>
    </row>
    <row r="24" ht="15.75" spans="1:5">
      <c r="A24" s="32">
        <v>3045686.404</v>
      </c>
      <c r="B24" s="32">
        <v>400779.715</v>
      </c>
      <c r="C24" s="33">
        <v>613.93</v>
      </c>
      <c r="D24" s="11">
        <v>44948</v>
      </c>
      <c r="E24" s="40"/>
    </row>
    <row r="25" ht="15.75" spans="1:5">
      <c r="A25" s="32">
        <v>3045686.404</v>
      </c>
      <c r="B25" s="32">
        <v>400779.715</v>
      </c>
      <c r="C25" s="33">
        <v>613.93</v>
      </c>
      <c r="D25" s="11">
        <v>44949</v>
      </c>
      <c r="E25" s="40"/>
    </row>
    <row r="26" ht="15.75" spans="1:5">
      <c r="A26" s="32">
        <v>3045686.404</v>
      </c>
      <c r="B26" s="32">
        <v>400779.715</v>
      </c>
      <c r="C26" s="33">
        <v>613.93</v>
      </c>
      <c r="D26" s="11">
        <v>44950</v>
      </c>
      <c r="E26" s="40"/>
    </row>
    <row r="27" ht="15.75" spans="1:5">
      <c r="A27" s="32">
        <v>3045686.404</v>
      </c>
      <c r="B27" s="32">
        <v>400779.715</v>
      </c>
      <c r="C27" s="33">
        <v>613.93</v>
      </c>
      <c r="D27" s="11">
        <v>44951</v>
      </c>
      <c r="E27" s="40"/>
    </row>
    <row r="28" ht="15.75" spans="1:5">
      <c r="A28" s="32">
        <v>3045686.404</v>
      </c>
      <c r="B28" s="32">
        <v>400779.715</v>
      </c>
      <c r="C28" s="33">
        <v>613.93</v>
      </c>
      <c r="D28" s="11">
        <v>44952</v>
      </c>
      <c r="E28" s="40"/>
    </row>
    <row r="29" ht="15.75" spans="1:5">
      <c r="A29" s="32">
        <v>3045686.404</v>
      </c>
      <c r="B29" s="32">
        <v>400779.715</v>
      </c>
      <c r="C29" s="33">
        <v>613.93</v>
      </c>
      <c r="D29" s="11">
        <v>44953</v>
      </c>
      <c r="E29" s="40"/>
    </row>
    <row r="30" ht="15.75" spans="1:5">
      <c r="A30" s="32">
        <v>3045686.404</v>
      </c>
      <c r="B30" s="32">
        <v>400779.715</v>
      </c>
      <c r="C30" s="33">
        <v>613.93</v>
      </c>
      <c r="D30" s="11">
        <v>44954</v>
      </c>
      <c r="E30" s="41"/>
    </row>
    <row r="31" ht="15.75" spans="1:5">
      <c r="A31" s="32">
        <v>3045686.404</v>
      </c>
      <c r="B31" s="32">
        <v>400779.715</v>
      </c>
      <c r="C31" s="33">
        <v>613.93</v>
      </c>
      <c r="D31" s="11">
        <v>44955</v>
      </c>
      <c r="E31" s="40"/>
    </row>
    <row r="32" ht="15.75" spans="1:5">
      <c r="A32" s="32">
        <v>3045686.404</v>
      </c>
      <c r="B32" s="32">
        <v>400779.715</v>
      </c>
      <c r="C32" s="33">
        <v>613.93</v>
      </c>
      <c r="D32" s="11">
        <v>44956</v>
      </c>
      <c r="E32" s="40"/>
    </row>
    <row r="33" ht="15.75" spans="1:5">
      <c r="A33" s="32">
        <v>3045686.404</v>
      </c>
      <c r="B33" s="32">
        <v>400779.715</v>
      </c>
      <c r="C33" s="33">
        <v>613.93</v>
      </c>
      <c r="D33" s="11">
        <v>44957</v>
      </c>
      <c r="E33" s="40"/>
    </row>
    <row r="34" ht="15.75" spans="1:5">
      <c r="A34" s="32">
        <v>3045686.404</v>
      </c>
      <c r="B34" s="32">
        <v>400779.715</v>
      </c>
      <c r="C34" s="33">
        <v>613.93</v>
      </c>
      <c r="D34" s="11">
        <v>44958</v>
      </c>
      <c r="E34" s="40"/>
    </row>
    <row r="35" ht="15.75" spans="1:5">
      <c r="A35" s="32">
        <v>3045686.404</v>
      </c>
      <c r="B35" s="32">
        <v>400779.715</v>
      </c>
      <c r="C35" s="33">
        <v>613.93</v>
      </c>
      <c r="D35" s="11">
        <v>44959</v>
      </c>
      <c r="E35" s="41"/>
    </row>
    <row r="36" ht="15.75" spans="1:5">
      <c r="A36" s="32">
        <v>3045686.404</v>
      </c>
      <c r="B36" s="32">
        <v>400779.715</v>
      </c>
      <c r="C36" s="33">
        <v>613.93</v>
      </c>
      <c r="D36" s="11">
        <v>44960</v>
      </c>
      <c r="E36" s="37"/>
    </row>
    <row r="37" ht="15.75" spans="1:5">
      <c r="A37" s="32">
        <v>3045686.404</v>
      </c>
      <c r="B37" s="32">
        <v>400779.715</v>
      </c>
      <c r="C37" s="33">
        <v>613.93</v>
      </c>
      <c r="D37" s="11">
        <v>44961</v>
      </c>
      <c r="E37" s="37"/>
    </row>
    <row r="38" ht="15.75" spans="1:5">
      <c r="A38" s="32">
        <v>3045686.404</v>
      </c>
      <c r="B38" s="32">
        <v>400779.715</v>
      </c>
      <c r="C38" s="33">
        <v>613.93</v>
      </c>
      <c r="D38" s="11">
        <v>44962</v>
      </c>
      <c r="E38" s="37"/>
    </row>
    <row r="39" ht="15.75" spans="1:5">
      <c r="A39" s="32">
        <v>3045686.404</v>
      </c>
      <c r="B39" s="32">
        <v>400779.715</v>
      </c>
      <c r="C39" s="33">
        <v>613.93</v>
      </c>
      <c r="D39" s="11">
        <v>44963</v>
      </c>
      <c r="E39" s="37"/>
    </row>
    <row r="40" ht="15.75" spans="1:5">
      <c r="A40" s="32">
        <v>3045686.404</v>
      </c>
      <c r="B40" s="32">
        <v>400779.715</v>
      </c>
      <c r="C40" s="33">
        <v>613.93</v>
      </c>
      <c r="D40" s="11">
        <v>44964</v>
      </c>
      <c r="E40" s="37"/>
    </row>
    <row r="41" ht="15.75" spans="1:5">
      <c r="A41" s="32">
        <v>3045686.404</v>
      </c>
      <c r="B41" s="32">
        <v>400779.715</v>
      </c>
      <c r="C41" s="33">
        <v>613.93</v>
      </c>
      <c r="D41" s="11">
        <v>44965</v>
      </c>
      <c r="E41" s="39"/>
    </row>
    <row r="42" ht="15.75" spans="1:5">
      <c r="A42" s="32">
        <v>3045686.404</v>
      </c>
      <c r="B42" s="32">
        <v>400779.715</v>
      </c>
      <c r="C42" s="33">
        <v>613.93</v>
      </c>
      <c r="D42" s="11">
        <v>44966</v>
      </c>
      <c r="E42" s="40"/>
    </row>
    <row r="43" ht="15.75" spans="1:5">
      <c r="A43" s="32">
        <v>3045686.404</v>
      </c>
      <c r="B43" s="32">
        <v>400779.715</v>
      </c>
      <c r="C43" s="33">
        <v>613.93</v>
      </c>
      <c r="D43" s="11">
        <v>44967</v>
      </c>
      <c r="E43" s="40"/>
    </row>
    <row r="44" ht="15.75" spans="1:5">
      <c r="A44" s="32">
        <v>3045686.404</v>
      </c>
      <c r="B44" s="32">
        <v>400779.715</v>
      </c>
      <c r="C44" s="33">
        <v>613.93</v>
      </c>
      <c r="D44" s="11">
        <v>44968</v>
      </c>
      <c r="E44" s="40"/>
    </row>
    <row r="45" ht="15.75" spans="1:5">
      <c r="A45" s="32">
        <v>3045686.404</v>
      </c>
      <c r="B45" s="32">
        <v>400779.715</v>
      </c>
      <c r="C45" s="33">
        <v>613.93</v>
      </c>
      <c r="D45" s="11">
        <v>44969</v>
      </c>
      <c r="E45" s="40"/>
    </row>
    <row r="46" ht="15.75" spans="1:5">
      <c r="A46" s="32">
        <v>3045686.404</v>
      </c>
      <c r="B46" s="32">
        <v>400779.715</v>
      </c>
      <c r="C46" s="33">
        <v>613.93</v>
      </c>
      <c r="D46" s="11">
        <v>44970</v>
      </c>
      <c r="E46" s="40"/>
    </row>
    <row r="47" ht="15.75" spans="1:5">
      <c r="A47" s="32">
        <v>3045686.404</v>
      </c>
      <c r="B47" s="32">
        <v>400779.715</v>
      </c>
      <c r="C47" s="33">
        <v>613.93</v>
      </c>
      <c r="D47" s="11">
        <v>44971</v>
      </c>
      <c r="E47" s="37"/>
    </row>
    <row r="48" ht="15.75" spans="1:5">
      <c r="A48" s="32">
        <v>3045686.404</v>
      </c>
      <c r="B48" s="32">
        <v>400779.715</v>
      </c>
      <c r="C48" s="33">
        <v>613.93</v>
      </c>
      <c r="D48" s="11">
        <v>44972</v>
      </c>
      <c r="E48" s="39"/>
    </row>
    <row r="49" ht="15.75" spans="1:5">
      <c r="A49" s="32">
        <v>3045686.404</v>
      </c>
      <c r="B49" s="32">
        <v>400779.715</v>
      </c>
      <c r="C49" s="33">
        <v>613.93</v>
      </c>
      <c r="D49" s="11">
        <v>44973</v>
      </c>
      <c r="E49" s="39"/>
    </row>
    <row r="50" ht="15.75" spans="1:5">
      <c r="A50" s="32">
        <v>3045686.404</v>
      </c>
      <c r="B50" s="32">
        <v>400779.715</v>
      </c>
      <c r="C50" s="33">
        <v>613.93</v>
      </c>
      <c r="D50" s="11">
        <v>44974</v>
      </c>
      <c r="E50" s="39"/>
    </row>
    <row r="51" ht="15.75" spans="1:5">
      <c r="A51" s="32">
        <v>3045686.404</v>
      </c>
      <c r="B51" s="32">
        <v>400779.715</v>
      </c>
      <c r="C51" s="33">
        <v>613.93</v>
      </c>
      <c r="D51" s="11">
        <v>44975</v>
      </c>
      <c r="E51" s="39"/>
    </row>
    <row r="52" ht="15.75" spans="1:5">
      <c r="A52" s="32">
        <v>3045686.404</v>
      </c>
      <c r="B52" s="32">
        <v>400779.715</v>
      </c>
      <c r="C52" s="33">
        <v>613.93</v>
      </c>
      <c r="D52" s="11">
        <v>44976</v>
      </c>
      <c r="E52" s="39"/>
    </row>
    <row r="53" ht="15.75" spans="1:5">
      <c r="A53" s="32">
        <v>3045686.404</v>
      </c>
      <c r="B53" s="32">
        <v>400779.715</v>
      </c>
      <c r="C53" s="33">
        <v>613.93</v>
      </c>
      <c r="D53" s="11">
        <v>44977</v>
      </c>
      <c r="E53" s="39"/>
    </row>
    <row r="54" ht="15.75" spans="1:5">
      <c r="A54" s="32">
        <v>3045686.404</v>
      </c>
      <c r="B54" s="32">
        <v>400779.715</v>
      </c>
      <c r="C54" s="33">
        <v>613.93</v>
      </c>
      <c r="D54" s="11">
        <v>44978</v>
      </c>
      <c r="E54" s="39"/>
    </row>
    <row r="55" ht="15.75" spans="1:5">
      <c r="A55" s="32">
        <v>3045686.404</v>
      </c>
      <c r="B55" s="32">
        <v>400779.715</v>
      </c>
      <c r="C55" s="33">
        <v>613.93</v>
      </c>
      <c r="D55" s="11">
        <v>44979</v>
      </c>
      <c r="E55" s="39"/>
    </row>
    <row r="56" ht="15.75" spans="1:5">
      <c r="A56" s="32">
        <v>3045686.404</v>
      </c>
      <c r="B56" s="32">
        <v>400779.715</v>
      </c>
      <c r="C56" s="33">
        <v>613.93</v>
      </c>
      <c r="D56" s="11">
        <v>44980</v>
      </c>
      <c r="E56" s="39"/>
    </row>
    <row r="57" ht="15.75" spans="1:5">
      <c r="A57" s="32">
        <v>3045686.404</v>
      </c>
      <c r="B57" s="32">
        <v>400779.715</v>
      </c>
      <c r="C57" s="33">
        <v>613.93</v>
      </c>
      <c r="D57" s="11">
        <v>44981</v>
      </c>
      <c r="E57" s="39"/>
    </row>
    <row r="58" ht="15.75" spans="1:5">
      <c r="A58" s="32">
        <v>3045686.404</v>
      </c>
      <c r="B58" s="32">
        <v>400779.715</v>
      </c>
      <c r="C58" s="33">
        <v>613.93</v>
      </c>
      <c r="D58" s="11">
        <v>44982</v>
      </c>
      <c r="E58" s="39"/>
    </row>
    <row r="59" ht="15.75" spans="1:5">
      <c r="A59" s="32">
        <v>3045686.404</v>
      </c>
      <c r="B59" s="32">
        <v>400779.715</v>
      </c>
      <c r="C59" s="33">
        <v>613.93</v>
      </c>
      <c r="D59" s="11">
        <v>44983</v>
      </c>
      <c r="E59" s="39"/>
    </row>
    <row r="60" ht="15.75" spans="1:5">
      <c r="A60" s="32">
        <v>3045686.404</v>
      </c>
      <c r="B60" s="32">
        <v>400779.715</v>
      </c>
      <c r="C60" s="33">
        <v>613.93</v>
      </c>
      <c r="D60" s="11">
        <v>44984</v>
      </c>
      <c r="E60" s="39"/>
    </row>
    <row r="61" ht="15.75" spans="1:5">
      <c r="A61" s="32">
        <v>3045686.404</v>
      </c>
      <c r="B61" s="32">
        <v>400779.715</v>
      </c>
      <c r="C61" s="33">
        <v>613.93</v>
      </c>
      <c r="D61" s="11">
        <v>44985</v>
      </c>
      <c r="E61" s="37"/>
    </row>
    <row r="62" ht="15.75" spans="1:5">
      <c r="A62" s="32">
        <v>3045686.404</v>
      </c>
      <c r="B62" s="32">
        <v>400779.715</v>
      </c>
      <c r="C62" s="33">
        <v>613.93</v>
      </c>
      <c r="D62" s="11">
        <v>44986</v>
      </c>
      <c r="E62" s="37"/>
    </row>
    <row r="63" ht="15.75" spans="1:5">
      <c r="A63" s="32">
        <v>3045686.404</v>
      </c>
      <c r="B63" s="32">
        <v>400779.715</v>
      </c>
      <c r="C63" s="33">
        <v>613.93</v>
      </c>
      <c r="D63" s="11">
        <v>44987</v>
      </c>
      <c r="E63" s="37"/>
    </row>
    <row r="64" ht="15.75" spans="1:5">
      <c r="A64" s="32">
        <v>3045686.404</v>
      </c>
      <c r="B64" s="32">
        <v>400779.715</v>
      </c>
      <c r="C64" s="33">
        <v>613.93</v>
      </c>
      <c r="D64" s="11">
        <v>44988</v>
      </c>
      <c r="E64" s="37"/>
    </row>
    <row r="65" ht="15.75" spans="1:5">
      <c r="A65" s="32">
        <v>3045686.404</v>
      </c>
      <c r="B65" s="32">
        <v>400779.715</v>
      </c>
      <c r="C65" s="33">
        <v>613.93</v>
      </c>
      <c r="D65" s="11">
        <v>44989</v>
      </c>
      <c r="E65" s="37"/>
    </row>
    <row r="66" ht="15.75" spans="1:5">
      <c r="A66" s="32">
        <v>3045686.404</v>
      </c>
      <c r="B66" s="32">
        <v>400779.715</v>
      </c>
      <c r="C66" s="33">
        <v>613.93</v>
      </c>
      <c r="D66" s="11">
        <v>44990</v>
      </c>
      <c r="E66" s="37"/>
    </row>
    <row r="67" ht="15.75" spans="1:5">
      <c r="A67" s="32">
        <v>3045686.404</v>
      </c>
      <c r="B67" s="32">
        <v>400779.715</v>
      </c>
      <c r="C67" s="33">
        <v>613.93</v>
      </c>
      <c r="D67" s="11">
        <v>44991</v>
      </c>
      <c r="E67" s="37"/>
    </row>
    <row r="68" ht="15.75" spans="1:5">
      <c r="A68" s="32">
        <v>3045686.404</v>
      </c>
      <c r="B68" s="32">
        <v>400779.715</v>
      </c>
      <c r="C68" s="33">
        <v>613.93</v>
      </c>
      <c r="D68" s="11">
        <v>44992</v>
      </c>
      <c r="E68" s="37"/>
    </row>
    <row r="69" ht="15.75" spans="1:5">
      <c r="A69" s="32">
        <v>3045686.404</v>
      </c>
      <c r="B69" s="32">
        <v>400779.715</v>
      </c>
      <c r="C69" s="33">
        <v>613.93</v>
      </c>
      <c r="D69" s="11">
        <v>44993</v>
      </c>
      <c r="E69" s="39"/>
    </row>
    <row r="70" ht="15.75" spans="1:5">
      <c r="A70" s="32">
        <v>3045686.404</v>
      </c>
      <c r="B70" s="32">
        <v>400779.715</v>
      </c>
      <c r="C70" s="33">
        <v>613.93</v>
      </c>
      <c r="D70" s="11">
        <v>44994</v>
      </c>
      <c r="E70" s="37"/>
    </row>
    <row r="71" ht="15.75" spans="1:5">
      <c r="A71" s="32">
        <v>3045686.404</v>
      </c>
      <c r="B71" s="32">
        <v>400779.715</v>
      </c>
      <c r="C71" s="33">
        <v>613.93</v>
      </c>
      <c r="D71" s="11">
        <v>44995</v>
      </c>
      <c r="E71" s="37"/>
    </row>
    <row r="72" ht="15.75" spans="1:5">
      <c r="A72" s="32">
        <v>3045686.404</v>
      </c>
      <c r="B72" s="32">
        <v>400779.715</v>
      </c>
      <c r="C72" s="33">
        <v>613.93</v>
      </c>
      <c r="D72" s="11">
        <v>44996</v>
      </c>
      <c r="E72" s="37"/>
    </row>
    <row r="73" ht="15.75" spans="1:5">
      <c r="A73" s="32">
        <v>3045686.404</v>
      </c>
      <c r="B73" s="32">
        <v>400779.715</v>
      </c>
      <c r="C73" s="33">
        <v>613.93</v>
      </c>
      <c r="D73" s="11">
        <v>44997</v>
      </c>
      <c r="E73" s="37"/>
    </row>
    <row r="74" ht="15.75" spans="1:5">
      <c r="A74" s="32">
        <v>3045686.404</v>
      </c>
      <c r="B74" s="32">
        <v>400779.715</v>
      </c>
      <c r="C74" s="33">
        <v>613.93</v>
      </c>
      <c r="D74" s="11">
        <v>44998</v>
      </c>
      <c r="E74" s="37"/>
    </row>
    <row r="75" ht="15.75" spans="1:5">
      <c r="A75" s="32">
        <v>3045686.404</v>
      </c>
      <c r="B75" s="32">
        <v>400779.715</v>
      </c>
      <c r="C75" s="33">
        <v>613.93</v>
      </c>
      <c r="D75" s="11">
        <v>44999</v>
      </c>
      <c r="E75" s="37"/>
    </row>
    <row r="76" ht="15.75" spans="1:5">
      <c r="A76" s="32">
        <v>3045686.404</v>
      </c>
      <c r="B76" s="32">
        <v>400779.715</v>
      </c>
      <c r="C76" s="33">
        <v>613.93</v>
      </c>
      <c r="D76" s="11">
        <v>45000</v>
      </c>
      <c r="E76" s="39"/>
    </row>
    <row r="77" ht="15.75" spans="1:5">
      <c r="A77" s="32">
        <v>3045686.404</v>
      </c>
      <c r="B77" s="32">
        <v>400779.715</v>
      </c>
      <c r="C77" s="33">
        <v>613.93</v>
      </c>
      <c r="D77" s="11">
        <v>45001</v>
      </c>
      <c r="E77" s="37"/>
    </row>
    <row r="78" ht="15.75" spans="1:5">
      <c r="A78" s="32">
        <v>3045686.404</v>
      </c>
      <c r="B78" s="32">
        <v>400779.715</v>
      </c>
      <c r="C78" s="33">
        <v>613.93</v>
      </c>
      <c r="D78" s="11">
        <v>45002</v>
      </c>
      <c r="E78" s="40"/>
    </row>
    <row r="79" ht="15.75" spans="1:5">
      <c r="A79" s="32">
        <v>3045686.404</v>
      </c>
      <c r="B79" s="32">
        <v>400779.715</v>
      </c>
      <c r="C79" s="33">
        <v>613.93</v>
      </c>
      <c r="D79" s="11">
        <v>45003</v>
      </c>
      <c r="E79" s="39"/>
    </row>
    <row r="80" ht="15.75" spans="1:5">
      <c r="A80" s="32">
        <v>3045686.404</v>
      </c>
      <c r="B80" s="32">
        <v>400779.715</v>
      </c>
      <c r="C80" s="33">
        <v>613.93</v>
      </c>
      <c r="D80" s="11">
        <v>45004</v>
      </c>
      <c r="E80" s="39"/>
    </row>
    <row r="81" ht="15.75" spans="1:5">
      <c r="A81" s="32">
        <v>3045686.404</v>
      </c>
      <c r="B81" s="32">
        <v>400779.715</v>
      </c>
      <c r="C81" s="33">
        <v>613.93</v>
      </c>
      <c r="D81" s="11">
        <v>45005</v>
      </c>
      <c r="E81" s="39"/>
    </row>
    <row r="82" ht="15.75" spans="1:5">
      <c r="A82" s="32">
        <v>3045686.404</v>
      </c>
      <c r="B82" s="32">
        <v>400779.715</v>
      </c>
      <c r="C82" s="33">
        <v>613.93</v>
      </c>
      <c r="D82" s="11">
        <v>45006</v>
      </c>
      <c r="E82" s="39"/>
    </row>
    <row r="83" ht="15.75" spans="1:5">
      <c r="A83" s="32">
        <v>3045686.404</v>
      </c>
      <c r="B83" s="32">
        <v>400779.715</v>
      </c>
      <c r="C83" s="33">
        <v>613.93</v>
      </c>
      <c r="D83" s="11">
        <v>45007</v>
      </c>
      <c r="E83" s="39"/>
    </row>
    <row r="84" ht="15.75" spans="1:5">
      <c r="A84" s="32">
        <v>3045686.404</v>
      </c>
      <c r="B84" s="32">
        <v>400779.715</v>
      </c>
      <c r="C84" s="33">
        <v>613.93</v>
      </c>
      <c r="D84" s="11">
        <v>45008</v>
      </c>
      <c r="E84" s="39"/>
    </row>
    <row r="85" ht="15.75" spans="1:5">
      <c r="A85" s="32">
        <v>3045686.404</v>
      </c>
      <c r="B85" s="32">
        <v>400779.715</v>
      </c>
      <c r="C85" s="33">
        <v>613.93</v>
      </c>
      <c r="D85" s="11">
        <v>45009</v>
      </c>
      <c r="E85" s="37"/>
    </row>
    <row r="86" ht="15.75" spans="1:5">
      <c r="A86" s="32">
        <v>3045686.404</v>
      </c>
      <c r="B86" s="32">
        <v>400779.715</v>
      </c>
      <c r="C86" s="33">
        <v>613.93</v>
      </c>
      <c r="D86" s="11">
        <v>45010</v>
      </c>
      <c r="E86" s="37"/>
    </row>
    <row r="87" ht="15.75" spans="1:5">
      <c r="A87" s="32">
        <v>3045686.404</v>
      </c>
      <c r="B87" s="32">
        <v>400779.715</v>
      </c>
      <c r="C87" s="33">
        <v>613.93</v>
      </c>
      <c r="D87" s="11">
        <v>45011</v>
      </c>
      <c r="E87" s="37"/>
    </row>
    <row r="88" ht="15.75" spans="1:5">
      <c r="A88" s="32">
        <v>3045686.404</v>
      </c>
      <c r="B88" s="32">
        <v>400779.715</v>
      </c>
      <c r="C88" s="33">
        <v>613.93</v>
      </c>
      <c r="D88" s="11">
        <v>45012</v>
      </c>
      <c r="E88" s="37"/>
    </row>
    <row r="89" ht="15.75" spans="1:5">
      <c r="A89" s="32">
        <v>3045686.404</v>
      </c>
      <c r="B89" s="32">
        <v>400779.715</v>
      </c>
      <c r="C89" s="33">
        <v>613.93</v>
      </c>
      <c r="D89" s="11">
        <v>45013</v>
      </c>
      <c r="E89" s="37"/>
    </row>
    <row r="90" ht="15.75" spans="1:5">
      <c r="A90" s="32">
        <v>3045686.404</v>
      </c>
      <c r="B90" s="32">
        <v>400779.715</v>
      </c>
      <c r="C90" s="33">
        <v>613.93</v>
      </c>
      <c r="D90" s="11">
        <v>45014</v>
      </c>
      <c r="E90" s="37"/>
    </row>
    <row r="91" ht="15.75" spans="1:5">
      <c r="A91" s="32">
        <v>3045686.404</v>
      </c>
      <c r="B91" s="32">
        <v>400779.715</v>
      </c>
      <c r="C91" s="33">
        <v>613.93</v>
      </c>
      <c r="D91" s="11">
        <v>45015</v>
      </c>
      <c r="E91" s="42"/>
    </row>
    <row r="92" ht="15.75" spans="1:5">
      <c r="A92" s="32">
        <v>3045686.404</v>
      </c>
      <c r="B92" s="32">
        <v>400779.715</v>
      </c>
      <c r="C92" s="33">
        <v>613.93</v>
      </c>
      <c r="D92" s="11">
        <v>45016</v>
      </c>
      <c r="E92" s="37"/>
    </row>
    <row r="93" ht="15.75" spans="1:5">
      <c r="A93" s="32">
        <v>3045686.404</v>
      </c>
      <c r="B93" s="32">
        <v>400779.715</v>
      </c>
      <c r="C93" s="33">
        <v>613.93</v>
      </c>
      <c r="D93" s="11">
        <v>45017</v>
      </c>
      <c r="E93" s="37"/>
    </row>
    <row r="94" ht="15.75" spans="1:5">
      <c r="A94" s="32">
        <v>3045686.404</v>
      </c>
      <c r="B94" s="32">
        <v>400779.715</v>
      </c>
      <c r="C94" s="33">
        <v>613.93</v>
      </c>
      <c r="D94" s="11">
        <v>45018</v>
      </c>
      <c r="E94" s="37"/>
    </row>
    <row r="95" ht="15.75" spans="1:5">
      <c r="A95" s="32">
        <v>3045686.404</v>
      </c>
      <c r="B95" s="32">
        <v>400779.715</v>
      </c>
      <c r="C95" s="33">
        <v>613.93</v>
      </c>
      <c r="D95" s="11">
        <v>45019</v>
      </c>
      <c r="E95" s="37"/>
    </row>
    <row r="96" ht="15.75" spans="1:5">
      <c r="A96" s="32">
        <v>3045686.404</v>
      </c>
      <c r="B96" s="32">
        <v>400779.715</v>
      </c>
      <c r="C96" s="33">
        <v>613.93</v>
      </c>
      <c r="D96" s="11">
        <v>45020</v>
      </c>
      <c r="E96" s="37"/>
    </row>
    <row r="97" ht="15.75" spans="1:5">
      <c r="A97" s="32">
        <v>3045686.404</v>
      </c>
      <c r="B97" s="32">
        <v>400779.715</v>
      </c>
      <c r="C97" s="33">
        <v>613.93</v>
      </c>
      <c r="D97" s="11">
        <v>45021</v>
      </c>
      <c r="E97" s="37"/>
    </row>
    <row r="98" ht="15.75" spans="1:5">
      <c r="A98" s="32">
        <v>3045686.404</v>
      </c>
      <c r="B98" s="32">
        <v>400779.715</v>
      </c>
      <c r="C98" s="33">
        <v>613.93</v>
      </c>
      <c r="D98" s="11">
        <v>45022</v>
      </c>
      <c r="E98" s="39"/>
    </row>
    <row r="99" ht="15.75" spans="1:5">
      <c r="A99" s="32">
        <v>3045686.404</v>
      </c>
      <c r="B99" s="32">
        <v>400779.715</v>
      </c>
      <c r="C99" s="33">
        <v>613.93</v>
      </c>
      <c r="D99" s="11">
        <v>45023</v>
      </c>
      <c r="E99" s="39"/>
    </row>
    <row r="100" ht="15.75" spans="1:5">
      <c r="A100" s="32">
        <v>3045686.404</v>
      </c>
      <c r="B100" s="32">
        <v>400779.715</v>
      </c>
      <c r="C100" s="33">
        <v>613.93</v>
      </c>
      <c r="D100" s="11">
        <v>45024</v>
      </c>
      <c r="E100" s="39"/>
    </row>
    <row r="101" ht="15.75" spans="1:5">
      <c r="A101" s="32">
        <v>3045686.404</v>
      </c>
      <c r="B101" s="32">
        <v>400779.715</v>
      </c>
      <c r="C101" s="33">
        <v>613.93</v>
      </c>
      <c r="D101" s="11">
        <v>45025</v>
      </c>
      <c r="E101" s="39"/>
    </row>
    <row r="102" ht="15.75" spans="1:5">
      <c r="A102" s="32">
        <v>3045686.404</v>
      </c>
      <c r="B102" s="32">
        <v>400779.715</v>
      </c>
      <c r="C102" s="33">
        <v>613.93</v>
      </c>
      <c r="D102" s="11">
        <v>45026</v>
      </c>
      <c r="E102" s="39"/>
    </row>
    <row r="103" ht="15.75" spans="1:5">
      <c r="A103" s="32">
        <v>3045686.404</v>
      </c>
      <c r="B103" s="32">
        <v>400779.715</v>
      </c>
      <c r="C103" s="33">
        <v>613.93</v>
      </c>
      <c r="D103" s="11">
        <v>45027</v>
      </c>
      <c r="E103" s="39"/>
    </row>
    <row r="104" ht="15.75" spans="1:5">
      <c r="A104" s="32">
        <v>3045686.404</v>
      </c>
      <c r="B104" s="32">
        <v>400779.715</v>
      </c>
      <c r="C104" s="33">
        <v>613.93</v>
      </c>
      <c r="D104" s="11">
        <v>45028</v>
      </c>
      <c r="E104" s="39"/>
    </row>
    <row r="105" ht="15.75" spans="1:5">
      <c r="A105" s="32">
        <v>3045686.404</v>
      </c>
      <c r="B105" s="32">
        <v>400779.715</v>
      </c>
      <c r="C105" s="33">
        <v>613.93</v>
      </c>
      <c r="D105" s="11">
        <v>45029</v>
      </c>
      <c r="E105" s="39"/>
    </row>
    <row r="106" ht="15.75" spans="1:5">
      <c r="A106" s="32">
        <v>3045686.404</v>
      </c>
      <c r="B106" s="32">
        <v>400779.715</v>
      </c>
      <c r="C106" s="33">
        <v>613.93</v>
      </c>
      <c r="D106" s="11">
        <v>45030</v>
      </c>
      <c r="E106" s="39"/>
    </row>
    <row r="107" ht="15.75" spans="1:5">
      <c r="A107" s="32">
        <v>3045686.404</v>
      </c>
      <c r="B107" s="32">
        <v>400779.715</v>
      </c>
      <c r="C107" s="33">
        <v>613.93</v>
      </c>
      <c r="D107" s="11">
        <v>45031</v>
      </c>
      <c r="E107" s="39"/>
    </row>
    <row r="108" ht="15.75" spans="1:5">
      <c r="A108" s="32">
        <v>3045686.404</v>
      </c>
      <c r="B108" s="32">
        <v>400779.715</v>
      </c>
      <c r="C108" s="33">
        <v>613.93</v>
      </c>
      <c r="D108" s="11">
        <v>45032</v>
      </c>
      <c r="E108" s="39"/>
    </row>
    <row r="109" ht="15.75" spans="1:5">
      <c r="A109" s="32">
        <v>3045686.404</v>
      </c>
      <c r="B109" s="32">
        <v>400779.715</v>
      </c>
      <c r="C109" s="33">
        <v>613.93</v>
      </c>
      <c r="D109" s="11">
        <v>45033</v>
      </c>
      <c r="E109" s="39"/>
    </row>
    <row r="110" ht="15.75" spans="1:5">
      <c r="A110" s="32">
        <v>3045686.404</v>
      </c>
      <c r="B110" s="32">
        <v>400779.715</v>
      </c>
      <c r="C110" s="33">
        <v>613.93</v>
      </c>
      <c r="D110" s="11">
        <v>45034</v>
      </c>
      <c r="E110" s="39"/>
    </row>
    <row r="111" ht="15.75" spans="1:5">
      <c r="A111" s="32">
        <v>3045686.404</v>
      </c>
      <c r="B111" s="32">
        <v>400779.715</v>
      </c>
      <c r="C111" s="33">
        <v>613.93</v>
      </c>
      <c r="D111" s="11">
        <v>45035</v>
      </c>
      <c r="E111" s="39"/>
    </row>
    <row r="112" ht="15.75" spans="1:5">
      <c r="A112" s="32">
        <v>3045686.404</v>
      </c>
      <c r="B112" s="32">
        <v>400779.715</v>
      </c>
      <c r="C112" s="33">
        <v>613.93</v>
      </c>
      <c r="D112" s="11">
        <v>45036</v>
      </c>
      <c r="E112" s="39"/>
    </row>
    <row r="113" ht="15.75" spans="1:5">
      <c r="A113" s="32">
        <v>3045686.404</v>
      </c>
      <c r="B113" s="32">
        <v>400779.715</v>
      </c>
      <c r="C113" s="33">
        <v>613.93</v>
      </c>
      <c r="D113" s="11">
        <v>45037</v>
      </c>
      <c r="E113" s="39"/>
    </row>
    <row r="114" ht="15.75" spans="1:5">
      <c r="A114" s="32">
        <v>3045686.404</v>
      </c>
      <c r="B114" s="32">
        <v>400779.715</v>
      </c>
      <c r="C114" s="33">
        <v>613.93</v>
      </c>
      <c r="D114" s="11">
        <v>45038</v>
      </c>
      <c r="E114" s="39"/>
    </row>
    <row r="115" ht="15.75" spans="1:5">
      <c r="A115" s="32">
        <v>3045686.404</v>
      </c>
      <c r="B115" s="32">
        <v>400779.715</v>
      </c>
      <c r="C115" s="33">
        <v>613.93</v>
      </c>
      <c r="D115" s="11">
        <v>45039</v>
      </c>
      <c r="E115" s="39"/>
    </row>
    <row r="116" ht="15.75" spans="1:5">
      <c r="A116" s="32">
        <v>3045686.404</v>
      </c>
      <c r="B116" s="32">
        <v>400779.715</v>
      </c>
      <c r="C116" s="33">
        <v>613.93</v>
      </c>
      <c r="D116" s="11">
        <v>45040</v>
      </c>
      <c r="E116" s="39"/>
    </row>
    <row r="117" ht="15.75" spans="1:5">
      <c r="A117" s="32">
        <v>3045686.404</v>
      </c>
      <c r="B117" s="32">
        <v>400779.715</v>
      </c>
      <c r="C117" s="33">
        <v>613.93</v>
      </c>
      <c r="D117" s="11">
        <v>45041</v>
      </c>
      <c r="E117" s="40"/>
    </row>
    <row r="118" ht="15.75" spans="1:5">
      <c r="A118" s="32">
        <v>3045686.404</v>
      </c>
      <c r="B118" s="32">
        <v>400779.715</v>
      </c>
      <c r="C118" s="33">
        <v>613.93</v>
      </c>
      <c r="D118" s="11">
        <v>45042</v>
      </c>
      <c r="E118" s="40"/>
    </row>
    <row r="119" ht="15.75" spans="1:5">
      <c r="A119" s="32">
        <v>3045686.404</v>
      </c>
      <c r="B119" s="32">
        <v>400779.715</v>
      </c>
      <c r="C119" s="33">
        <v>613.93</v>
      </c>
      <c r="D119" s="11">
        <v>45043</v>
      </c>
      <c r="E119" s="39"/>
    </row>
    <row r="120" ht="15.75" spans="1:5">
      <c r="A120" s="32">
        <v>3045686.404</v>
      </c>
      <c r="B120" s="32">
        <v>400779.715</v>
      </c>
      <c r="C120" s="33">
        <v>613.93</v>
      </c>
      <c r="D120" s="11">
        <v>45044</v>
      </c>
      <c r="E120" s="37"/>
    </row>
    <row r="121" ht="15.75" spans="1:5">
      <c r="A121" s="32">
        <v>3045686.404</v>
      </c>
      <c r="B121" s="32">
        <v>400779.715</v>
      </c>
      <c r="C121" s="33">
        <v>613.93</v>
      </c>
      <c r="D121" s="11">
        <v>45045</v>
      </c>
      <c r="E121" s="37"/>
    </row>
    <row r="122" ht="15.75" spans="1:5">
      <c r="A122" s="32">
        <v>3045686.404</v>
      </c>
      <c r="B122" s="32">
        <v>400779.715</v>
      </c>
      <c r="C122" s="33">
        <v>613.93</v>
      </c>
      <c r="D122" s="11">
        <v>45046</v>
      </c>
      <c r="E122" s="37"/>
    </row>
    <row r="123" ht="15.75" spans="1:5">
      <c r="A123" s="32">
        <v>3045686.404</v>
      </c>
      <c r="B123" s="32">
        <v>400779.715</v>
      </c>
      <c r="C123" s="33">
        <v>613.93</v>
      </c>
      <c r="D123" s="11">
        <v>45047</v>
      </c>
      <c r="E123" s="37"/>
    </row>
    <row r="124" ht="15.75" spans="1:5">
      <c r="A124" s="32">
        <v>3045686.404</v>
      </c>
      <c r="B124" s="32">
        <v>400779.715</v>
      </c>
      <c r="C124" s="33">
        <v>613.93</v>
      </c>
      <c r="D124" s="11">
        <v>45048</v>
      </c>
      <c r="E124" s="37"/>
    </row>
    <row r="125" ht="15.75" spans="1:5">
      <c r="A125" s="32">
        <v>3045686.404</v>
      </c>
      <c r="B125" s="32">
        <v>400779.715</v>
      </c>
      <c r="C125" s="33">
        <v>613.93</v>
      </c>
      <c r="D125" s="11">
        <v>45049</v>
      </c>
      <c r="E125" s="37"/>
    </row>
    <row r="126" ht="15.75" spans="1:5">
      <c r="A126" s="32">
        <v>3045686.404</v>
      </c>
      <c r="B126" s="32">
        <v>400779.715</v>
      </c>
      <c r="C126" s="33">
        <v>613.93</v>
      </c>
      <c r="D126" s="11">
        <v>45050</v>
      </c>
      <c r="E126" s="37"/>
    </row>
    <row r="127" ht="15.75" spans="1:5">
      <c r="A127" s="32">
        <v>3045686.404</v>
      </c>
      <c r="B127" s="32">
        <v>400779.715</v>
      </c>
      <c r="C127" s="33">
        <v>613.93</v>
      </c>
      <c r="D127" s="11">
        <v>45051</v>
      </c>
      <c r="E127" s="37"/>
    </row>
    <row r="128" ht="15.75" spans="1:5">
      <c r="A128" s="32">
        <v>3045686.404</v>
      </c>
      <c r="B128" s="32">
        <v>400779.715</v>
      </c>
      <c r="C128" s="33">
        <v>613.93</v>
      </c>
      <c r="D128" s="11">
        <v>45052</v>
      </c>
      <c r="E128" s="37"/>
    </row>
    <row r="129" ht="15.75" spans="1:5">
      <c r="A129" s="32">
        <v>3045686.404</v>
      </c>
      <c r="B129" s="32">
        <v>400779.715</v>
      </c>
      <c r="C129" s="33">
        <v>613.93</v>
      </c>
      <c r="D129" s="11">
        <v>45053</v>
      </c>
      <c r="E129" s="37"/>
    </row>
    <row r="130" ht="15.75" spans="1:5">
      <c r="A130" s="32">
        <v>3045686.404</v>
      </c>
      <c r="B130" s="32">
        <v>400779.715</v>
      </c>
      <c r="C130" s="33">
        <v>613.93</v>
      </c>
      <c r="D130" s="11">
        <v>45054</v>
      </c>
      <c r="E130" s="37"/>
    </row>
    <row r="131" ht="15.75" spans="1:5">
      <c r="A131" s="32">
        <v>3045686.404</v>
      </c>
      <c r="B131" s="32">
        <v>400779.715</v>
      </c>
      <c r="C131" s="33">
        <v>613.93</v>
      </c>
      <c r="D131" s="11">
        <v>45055</v>
      </c>
      <c r="E131" s="37"/>
    </row>
    <row r="132" ht="15.75" spans="1:5">
      <c r="A132" s="32">
        <v>3045686.404</v>
      </c>
      <c r="B132" s="32">
        <v>400779.715</v>
      </c>
      <c r="C132" s="33">
        <v>613.93</v>
      </c>
      <c r="D132" s="11">
        <v>45056</v>
      </c>
      <c r="E132" s="39"/>
    </row>
    <row r="133" ht="15.75" spans="1:5">
      <c r="A133" s="32">
        <v>3045686.404</v>
      </c>
      <c r="B133" s="32">
        <v>400779.715</v>
      </c>
      <c r="C133" s="33">
        <v>613.93</v>
      </c>
      <c r="D133" s="11">
        <v>45057</v>
      </c>
      <c r="E133" s="39"/>
    </row>
    <row r="134" ht="15.75" spans="1:5">
      <c r="A134" s="32">
        <v>3045686.404</v>
      </c>
      <c r="B134" s="32">
        <v>400779.715</v>
      </c>
      <c r="C134" s="33">
        <v>613.93</v>
      </c>
      <c r="D134" s="11">
        <v>45058</v>
      </c>
      <c r="E134" s="39"/>
    </row>
    <row r="135" ht="15.75" spans="1:5">
      <c r="A135" s="32">
        <v>3045686.404</v>
      </c>
      <c r="B135" s="32">
        <v>400779.715</v>
      </c>
      <c r="C135" s="33">
        <v>613.93</v>
      </c>
      <c r="D135" s="11">
        <v>45059</v>
      </c>
      <c r="E135" s="39"/>
    </row>
    <row r="136" ht="15.75" spans="1:5">
      <c r="A136" s="32">
        <v>3045686.404</v>
      </c>
      <c r="B136" s="32">
        <v>400779.715</v>
      </c>
      <c r="C136" s="33">
        <v>613.93</v>
      </c>
      <c r="D136" s="11">
        <v>45060</v>
      </c>
      <c r="E136" s="39"/>
    </row>
    <row r="137" ht="15.75" spans="1:5">
      <c r="A137" s="32">
        <v>3045686.404</v>
      </c>
      <c r="B137" s="32">
        <v>400779.715</v>
      </c>
      <c r="C137" s="33">
        <v>613.93</v>
      </c>
      <c r="D137" s="11">
        <v>45061</v>
      </c>
      <c r="E137" s="39"/>
    </row>
    <row r="138" ht="15.75" spans="1:5">
      <c r="A138" s="32">
        <v>3045686.404</v>
      </c>
      <c r="B138" s="32">
        <v>400779.715</v>
      </c>
      <c r="C138" s="33">
        <v>613.93</v>
      </c>
      <c r="D138" s="11">
        <v>45062</v>
      </c>
      <c r="E138" s="39"/>
    </row>
    <row r="139" ht="15.75" spans="1:5">
      <c r="A139" s="32">
        <v>3045686.404</v>
      </c>
      <c r="B139" s="32">
        <v>400779.715</v>
      </c>
      <c r="C139" s="33">
        <v>613.93</v>
      </c>
      <c r="D139" s="11">
        <v>45063</v>
      </c>
      <c r="E139" s="39"/>
    </row>
    <row r="140" ht="15.75" spans="1:5">
      <c r="A140" s="32">
        <v>3045686.404</v>
      </c>
      <c r="B140" s="32">
        <v>400779.715</v>
      </c>
      <c r="C140" s="33">
        <v>613.93</v>
      </c>
      <c r="D140" s="11">
        <v>45064</v>
      </c>
      <c r="E140" s="39"/>
    </row>
    <row r="141" ht="15.75" spans="1:5">
      <c r="A141" s="32">
        <v>3045686.404</v>
      </c>
      <c r="B141" s="32">
        <v>400779.715</v>
      </c>
      <c r="C141" s="33">
        <v>613.93</v>
      </c>
      <c r="D141" s="11">
        <v>45065</v>
      </c>
      <c r="E141" s="37"/>
    </row>
    <row r="142" ht="15.75" spans="1:5">
      <c r="A142" s="32">
        <v>3045686.404</v>
      </c>
      <c r="B142" s="32">
        <v>400779.715</v>
      </c>
      <c r="C142" s="33">
        <v>613.93</v>
      </c>
      <c r="D142" s="11">
        <v>45066</v>
      </c>
      <c r="E142" s="37"/>
    </row>
    <row r="143" ht="15.75" spans="1:5">
      <c r="A143" s="32">
        <v>3045686.404</v>
      </c>
      <c r="B143" s="32">
        <v>400779.715</v>
      </c>
      <c r="C143" s="33">
        <v>613.93</v>
      </c>
      <c r="D143" s="11">
        <v>45067</v>
      </c>
      <c r="E143" s="37"/>
    </row>
    <row r="144" ht="15.75" spans="1:5">
      <c r="A144" s="32">
        <v>3045686.404</v>
      </c>
      <c r="B144" s="32">
        <v>400779.715</v>
      </c>
      <c r="C144" s="33">
        <v>613.93</v>
      </c>
      <c r="D144" s="11">
        <v>45068</v>
      </c>
      <c r="E144" s="37"/>
    </row>
    <row r="145" ht="15.75" spans="1:5">
      <c r="A145" s="32">
        <v>3045686.404</v>
      </c>
      <c r="B145" s="32">
        <v>400779.715</v>
      </c>
      <c r="C145" s="33">
        <v>613.93</v>
      </c>
      <c r="D145" s="11">
        <v>45069</v>
      </c>
      <c r="E145" s="37"/>
    </row>
    <row r="146" ht="15.75" spans="1:5">
      <c r="A146" s="32">
        <v>3045686.404</v>
      </c>
      <c r="B146" s="32">
        <v>400779.715</v>
      </c>
      <c r="C146" s="33">
        <v>613.93</v>
      </c>
      <c r="D146" s="11">
        <v>45070</v>
      </c>
      <c r="E146" s="37"/>
    </row>
    <row r="147" ht="15.75" spans="1:5">
      <c r="A147" s="32">
        <v>3045686.404</v>
      </c>
      <c r="B147" s="32">
        <v>400779.715</v>
      </c>
      <c r="C147" s="33">
        <v>613.93</v>
      </c>
      <c r="D147" s="11">
        <v>45071</v>
      </c>
      <c r="E147" s="39"/>
    </row>
    <row r="148" ht="15.75" spans="1:5">
      <c r="A148" s="32">
        <v>3045686.404</v>
      </c>
      <c r="B148" s="32">
        <v>400779.715</v>
      </c>
      <c r="C148" s="33">
        <v>613.93</v>
      </c>
      <c r="D148" s="11">
        <v>45072</v>
      </c>
      <c r="E148" s="39"/>
    </row>
    <row r="149" ht="15.75" spans="1:5">
      <c r="A149" s="32">
        <v>3045686.404</v>
      </c>
      <c r="B149" s="32">
        <v>400779.715</v>
      </c>
      <c r="C149" s="33">
        <v>613.93</v>
      </c>
      <c r="D149" s="11">
        <v>45073</v>
      </c>
      <c r="E149" s="39"/>
    </row>
    <row r="150" ht="15.75" spans="1:5">
      <c r="A150" s="32">
        <v>3045686.404</v>
      </c>
      <c r="B150" s="32">
        <v>400779.715</v>
      </c>
      <c r="C150" s="33">
        <v>613.93</v>
      </c>
      <c r="D150" s="11">
        <v>45074</v>
      </c>
      <c r="E150" s="39"/>
    </row>
    <row r="151" ht="15.75" spans="1:5">
      <c r="A151" s="32">
        <v>3045686.404</v>
      </c>
      <c r="B151" s="32">
        <v>400779.715</v>
      </c>
      <c r="C151" s="33">
        <v>613.93</v>
      </c>
      <c r="D151" s="11">
        <v>45075</v>
      </c>
      <c r="E151" s="39"/>
    </row>
    <row r="152" ht="15.75" spans="1:5">
      <c r="A152" s="32">
        <v>3045686.404</v>
      </c>
      <c r="B152" s="32">
        <v>400779.715</v>
      </c>
      <c r="C152" s="33">
        <v>613.93</v>
      </c>
      <c r="D152" s="11">
        <v>45076</v>
      </c>
      <c r="E152" s="39"/>
    </row>
    <row r="153" ht="15.75" spans="1:5">
      <c r="A153" s="32">
        <v>3045686.404</v>
      </c>
      <c r="B153" s="32">
        <v>400779.715</v>
      </c>
      <c r="C153" s="33">
        <v>613.93</v>
      </c>
      <c r="D153" s="11">
        <v>45077</v>
      </c>
      <c r="E153" s="39"/>
    </row>
    <row r="154" ht="15.75" spans="1:5">
      <c r="A154" s="32">
        <v>3045686.404</v>
      </c>
      <c r="B154" s="32">
        <v>400779.715</v>
      </c>
      <c r="C154" s="33">
        <v>613.93</v>
      </c>
      <c r="D154" s="11">
        <v>45078</v>
      </c>
      <c r="E154" s="39"/>
    </row>
    <row r="155" ht="15.75" spans="1:5">
      <c r="A155" s="32">
        <v>3045686.404</v>
      </c>
      <c r="B155" s="32">
        <v>400779.715</v>
      </c>
      <c r="C155" s="33">
        <v>613.93</v>
      </c>
      <c r="D155" s="11">
        <v>45079</v>
      </c>
      <c r="E155" s="37"/>
    </row>
    <row r="156" ht="15.75" spans="1:5">
      <c r="A156" s="32">
        <v>3045686.404</v>
      </c>
      <c r="B156" s="32">
        <v>400779.715</v>
      </c>
      <c r="C156" s="33">
        <v>613.93</v>
      </c>
      <c r="D156" s="11">
        <v>45080</v>
      </c>
      <c r="E156" s="37"/>
    </row>
    <row r="157" ht="15.75" spans="1:5">
      <c r="A157" s="32">
        <v>3045686.404</v>
      </c>
      <c r="B157" s="32">
        <v>400779.715</v>
      </c>
      <c r="C157" s="33">
        <v>613.93</v>
      </c>
      <c r="D157" s="11">
        <v>45081</v>
      </c>
      <c r="E157" s="37"/>
    </row>
    <row r="158" ht="15.75" spans="1:5">
      <c r="A158" s="32">
        <v>3045686.404</v>
      </c>
      <c r="B158" s="32">
        <v>400779.715</v>
      </c>
      <c r="C158" s="33">
        <v>613.93</v>
      </c>
      <c r="D158" s="11">
        <v>45082</v>
      </c>
      <c r="E158" s="37"/>
    </row>
    <row r="159" ht="15.75" spans="1:5">
      <c r="A159" s="32">
        <v>3045686.404</v>
      </c>
      <c r="B159" s="32">
        <v>400779.715</v>
      </c>
      <c r="C159" s="33">
        <v>613.93</v>
      </c>
      <c r="D159" s="11">
        <v>45083</v>
      </c>
      <c r="E159" s="37"/>
    </row>
    <row r="160" ht="15.75" spans="1:5">
      <c r="A160" s="32">
        <v>3045686.404</v>
      </c>
      <c r="B160" s="32">
        <v>400779.715</v>
      </c>
      <c r="C160" s="33">
        <v>613.93</v>
      </c>
      <c r="D160" s="11">
        <v>45084</v>
      </c>
      <c r="E160" s="37"/>
    </row>
    <row r="161" ht="15.75" spans="1:5">
      <c r="A161" s="32">
        <v>3045686.404</v>
      </c>
      <c r="B161" s="32">
        <v>400779.715</v>
      </c>
      <c r="C161" s="33">
        <v>613.93</v>
      </c>
      <c r="D161" s="11">
        <v>45085</v>
      </c>
      <c r="E161" s="39"/>
    </row>
    <row r="162" ht="15.75" spans="1:5">
      <c r="A162" s="32">
        <v>3045686.404</v>
      </c>
      <c r="B162" s="32">
        <v>400779.715</v>
      </c>
      <c r="C162" s="33">
        <v>613.93</v>
      </c>
      <c r="D162" s="11">
        <v>45086</v>
      </c>
      <c r="E162" s="37"/>
    </row>
    <row r="163" ht="15.75" spans="1:5">
      <c r="A163" s="32">
        <v>3045686.404</v>
      </c>
      <c r="B163" s="32">
        <v>400779.715</v>
      </c>
      <c r="C163" s="33">
        <v>613.93</v>
      </c>
      <c r="D163" s="11">
        <v>45087</v>
      </c>
      <c r="E163" s="37"/>
    </row>
    <row r="164" ht="15.75" spans="1:5">
      <c r="A164" s="32">
        <v>3045686.404</v>
      </c>
      <c r="B164" s="32">
        <v>400779.715</v>
      </c>
      <c r="C164" s="33">
        <v>613.93</v>
      </c>
      <c r="D164" s="11">
        <v>45088</v>
      </c>
      <c r="E164" s="37"/>
    </row>
    <row r="165" ht="15.75" spans="1:5">
      <c r="A165" s="32">
        <v>3045686.404</v>
      </c>
      <c r="B165" s="32">
        <v>400779.715</v>
      </c>
      <c r="C165" s="33">
        <v>613.93</v>
      </c>
      <c r="D165" s="11">
        <v>45089</v>
      </c>
      <c r="E165" s="37"/>
    </row>
    <row r="166" ht="15.75" spans="1:5">
      <c r="A166" s="32">
        <v>3045686.404</v>
      </c>
      <c r="B166" s="32">
        <v>400779.715</v>
      </c>
      <c r="C166" s="33">
        <v>613.93</v>
      </c>
      <c r="D166" s="11">
        <v>45090</v>
      </c>
      <c r="E166" s="37"/>
    </row>
    <row r="167" ht="15.75" spans="1:5">
      <c r="A167" s="32">
        <v>3045686.404</v>
      </c>
      <c r="B167" s="32">
        <v>400779.715</v>
      </c>
      <c r="C167" s="33">
        <v>613.93</v>
      </c>
      <c r="D167" s="11">
        <v>45091</v>
      </c>
      <c r="E167" s="37"/>
    </row>
    <row r="168" ht="15.75" spans="1:5">
      <c r="A168" s="32">
        <v>3045686.404</v>
      </c>
      <c r="B168" s="32">
        <v>400779.715</v>
      </c>
      <c r="C168" s="33">
        <v>613.93</v>
      </c>
      <c r="D168" s="11">
        <v>45092</v>
      </c>
      <c r="E168" s="39"/>
    </row>
    <row r="169" ht="15.75" spans="1:5">
      <c r="A169" s="32">
        <v>3045686.404</v>
      </c>
      <c r="B169" s="32">
        <v>400779.715</v>
      </c>
      <c r="C169" s="33">
        <v>613.93</v>
      </c>
      <c r="D169" s="11">
        <v>45093</v>
      </c>
      <c r="E169" s="37"/>
    </row>
    <row r="170" ht="15.75" spans="1:5">
      <c r="A170" s="32">
        <v>3045686.404</v>
      </c>
      <c r="B170" s="32">
        <v>400779.715</v>
      </c>
      <c r="C170" s="33">
        <v>613.93</v>
      </c>
      <c r="D170" s="11">
        <v>45094</v>
      </c>
      <c r="E170" s="37"/>
    </row>
    <row r="171" ht="15.75" spans="1:5">
      <c r="A171" s="32">
        <v>3045686.404</v>
      </c>
      <c r="B171" s="32">
        <v>400779.715</v>
      </c>
      <c r="C171" s="33">
        <v>613.93</v>
      </c>
      <c r="D171" s="11">
        <v>45095</v>
      </c>
      <c r="E171" s="37"/>
    </row>
    <row r="172" ht="15.75" spans="1:5">
      <c r="A172" s="32">
        <v>3045686.404</v>
      </c>
      <c r="B172" s="32">
        <v>400779.715</v>
      </c>
      <c r="C172" s="33">
        <v>613.93</v>
      </c>
      <c r="D172" s="11">
        <v>45096</v>
      </c>
      <c r="E172" s="37"/>
    </row>
    <row r="173" ht="15.75" spans="1:5">
      <c r="A173" s="32">
        <v>3045686.404</v>
      </c>
      <c r="B173" s="32">
        <v>400779.715</v>
      </c>
      <c r="C173" s="33">
        <v>613.93</v>
      </c>
      <c r="D173" s="11">
        <v>45097</v>
      </c>
      <c r="E173" s="37"/>
    </row>
    <row r="174" ht="15.75" spans="1:5">
      <c r="A174" s="32">
        <v>3045686.404</v>
      </c>
      <c r="B174" s="32">
        <v>400779.715</v>
      </c>
      <c r="C174" s="33">
        <v>613.93</v>
      </c>
      <c r="D174" s="11">
        <v>45098</v>
      </c>
      <c r="E174" s="40"/>
    </row>
    <row r="175" ht="15.75" spans="1:5">
      <c r="A175" s="32">
        <v>3045686.404</v>
      </c>
      <c r="B175" s="32">
        <v>400779.715</v>
      </c>
      <c r="C175" s="33">
        <v>613.93</v>
      </c>
      <c r="D175" s="11">
        <v>45099</v>
      </c>
      <c r="E175" s="40"/>
    </row>
    <row r="176" ht="15.75" spans="1:5">
      <c r="A176" s="32">
        <v>3045686.404</v>
      </c>
      <c r="B176" s="32">
        <v>400779.715</v>
      </c>
      <c r="C176" s="33">
        <v>613.93</v>
      </c>
      <c r="D176" s="11">
        <v>45100</v>
      </c>
      <c r="E176" s="40"/>
    </row>
    <row r="177" ht="15.75" spans="1:5">
      <c r="A177" s="32">
        <v>3045686.404</v>
      </c>
      <c r="B177" s="32">
        <v>400779.715</v>
      </c>
      <c r="C177" s="33">
        <v>613.93</v>
      </c>
      <c r="D177" s="11">
        <v>45101</v>
      </c>
      <c r="E177" s="40"/>
    </row>
    <row r="178" ht="15.75" spans="1:5">
      <c r="A178" s="32">
        <v>3045686.404</v>
      </c>
      <c r="B178" s="32">
        <v>400779.715</v>
      </c>
      <c r="C178" s="33">
        <v>613.93</v>
      </c>
      <c r="D178" s="11">
        <v>45102</v>
      </c>
      <c r="E178" s="40"/>
    </row>
    <row r="179" ht="15.75" spans="1:5">
      <c r="A179" s="32">
        <v>3045686.404</v>
      </c>
      <c r="B179" s="32">
        <v>400779.715</v>
      </c>
      <c r="C179" s="33">
        <v>613.93</v>
      </c>
      <c r="D179" s="11">
        <v>45103</v>
      </c>
      <c r="E179" s="40"/>
    </row>
    <row r="180" ht="15.75" spans="1:5">
      <c r="A180" s="32">
        <v>3045686.404</v>
      </c>
      <c r="B180" s="32">
        <v>400779.715</v>
      </c>
      <c r="C180" s="33">
        <v>613.93</v>
      </c>
      <c r="D180" s="11">
        <v>45104</v>
      </c>
      <c r="E180" s="40"/>
    </row>
    <row r="181" ht="15.75" spans="1:5">
      <c r="A181" s="32">
        <v>3045686.404</v>
      </c>
      <c r="B181" s="32">
        <v>400779.715</v>
      </c>
      <c r="C181" s="33">
        <v>613.93</v>
      </c>
      <c r="D181" s="11">
        <v>45105</v>
      </c>
      <c r="E181" s="39"/>
    </row>
    <row r="182" ht="15.75" spans="1:5">
      <c r="A182" s="32">
        <v>3045686.404</v>
      </c>
      <c r="B182" s="32">
        <v>400779.715</v>
      </c>
      <c r="C182" s="33">
        <v>613.93</v>
      </c>
      <c r="D182" s="11">
        <v>45106</v>
      </c>
      <c r="E182" s="40"/>
    </row>
    <row r="183" ht="15.75" spans="1:5">
      <c r="A183" s="32">
        <v>3045686.404</v>
      </c>
      <c r="B183" s="32">
        <v>400779.715</v>
      </c>
      <c r="C183" s="33">
        <v>613.93</v>
      </c>
      <c r="D183" s="11">
        <v>45107</v>
      </c>
      <c r="E183" s="40"/>
    </row>
    <row r="184" ht="15.75" spans="1:5">
      <c r="A184" s="32">
        <v>3045686.404</v>
      </c>
      <c r="B184" s="32">
        <v>400779.715</v>
      </c>
      <c r="C184" s="33">
        <v>613.93</v>
      </c>
      <c r="D184" s="11">
        <v>45108</v>
      </c>
      <c r="E184" s="40"/>
    </row>
    <row r="185" ht="15.75" spans="1:5">
      <c r="A185" s="32">
        <v>3045686.404</v>
      </c>
      <c r="B185" s="32">
        <v>400779.715</v>
      </c>
      <c r="C185" s="33">
        <v>613.93</v>
      </c>
      <c r="D185" s="11">
        <v>45109</v>
      </c>
      <c r="E185" s="40"/>
    </row>
    <row r="186" ht="15.75" spans="1:5">
      <c r="A186" s="32">
        <v>3045686.404</v>
      </c>
      <c r="B186" s="32">
        <v>400779.715</v>
      </c>
      <c r="C186" s="33">
        <v>613.93</v>
      </c>
      <c r="D186" s="11">
        <v>45110</v>
      </c>
      <c r="E186" s="40"/>
    </row>
    <row r="187" ht="15.75" spans="1:5">
      <c r="A187" s="32">
        <v>3045686.404</v>
      </c>
      <c r="B187" s="32">
        <v>400779.715</v>
      </c>
      <c r="C187" s="33">
        <v>613.93</v>
      </c>
      <c r="D187" s="11">
        <v>45111</v>
      </c>
      <c r="E187" s="39"/>
    </row>
    <row r="188" ht="15.75" spans="1:5">
      <c r="A188" s="32">
        <v>3045686.404</v>
      </c>
      <c r="B188" s="32">
        <v>400779.715</v>
      </c>
      <c r="C188" s="33">
        <v>613.93</v>
      </c>
      <c r="D188" s="11">
        <v>45112</v>
      </c>
      <c r="E188" s="39"/>
    </row>
    <row r="189" ht="15.75" spans="1:5">
      <c r="A189" s="32">
        <v>3045686.404</v>
      </c>
      <c r="B189" s="32">
        <v>400779.715</v>
      </c>
      <c r="C189" s="33">
        <v>613.93</v>
      </c>
      <c r="D189" s="11">
        <v>45113</v>
      </c>
      <c r="E189" s="37"/>
    </row>
    <row r="190" ht="15.75" spans="1:5">
      <c r="A190" s="32">
        <v>3045686.404</v>
      </c>
      <c r="B190" s="32">
        <v>400779.715</v>
      </c>
      <c r="C190" s="33">
        <v>613.93</v>
      </c>
      <c r="D190" s="11">
        <v>45114</v>
      </c>
      <c r="E190" s="37"/>
    </row>
    <row r="191" ht="15.75" spans="1:5">
      <c r="A191" s="32">
        <v>3045686.404</v>
      </c>
      <c r="B191" s="32">
        <v>400779.715</v>
      </c>
      <c r="C191" s="33">
        <v>613.93</v>
      </c>
      <c r="D191" s="11">
        <v>45115</v>
      </c>
      <c r="E191" s="37"/>
    </row>
    <row r="192" ht="15.75" spans="1:5">
      <c r="A192" s="32">
        <v>3045686.404</v>
      </c>
      <c r="B192" s="32">
        <v>400779.715</v>
      </c>
      <c r="C192" s="33">
        <v>613.93</v>
      </c>
      <c r="D192" s="11">
        <v>45116</v>
      </c>
      <c r="E192" s="37"/>
    </row>
    <row r="193" ht="15.75" spans="1:5">
      <c r="A193" s="32">
        <v>3045686.404</v>
      </c>
      <c r="B193" s="32">
        <v>400779.715</v>
      </c>
      <c r="C193" s="33">
        <v>613.93</v>
      </c>
      <c r="D193" s="11">
        <v>45117</v>
      </c>
      <c r="E193" s="37"/>
    </row>
    <row r="194" ht="15.75" spans="1:5">
      <c r="A194" s="32">
        <v>3045686.404</v>
      </c>
      <c r="B194" s="32">
        <v>400779.715</v>
      </c>
      <c r="C194" s="33">
        <v>613.93</v>
      </c>
      <c r="D194" s="11">
        <v>45118</v>
      </c>
      <c r="E194" s="37"/>
    </row>
    <row r="195" ht="15.75" spans="1:5">
      <c r="A195" s="32">
        <v>3045686.404</v>
      </c>
      <c r="B195" s="32">
        <v>400779.715</v>
      </c>
      <c r="C195" s="33">
        <v>613.93</v>
      </c>
      <c r="D195" s="11">
        <v>45119</v>
      </c>
      <c r="E195" s="39"/>
    </row>
    <row r="196" ht="15.75" spans="1:5">
      <c r="A196" s="32">
        <v>3045686.404</v>
      </c>
      <c r="B196" s="32">
        <v>400779.715</v>
      </c>
      <c r="C196" s="33">
        <v>613.93</v>
      </c>
      <c r="D196" s="11">
        <v>45120</v>
      </c>
      <c r="E196" s="37"/>
    </row>
    <row r="197" ht="15.75" spans="1:5">
      <c r="A197" s="32">
        <v>3045686.404</v>
      </c>
      <c r="B197" s="32">
        <v>400779.715</v>
      </c>
      <c r="C197" s="33">
        <v>613.93</v>
      </c>
      <c r="D197" s="11">
        <v>45121</v>
      </c>
      <c r="E197" s="37"/>
    </row>
    <row r="198" ht="15.75" spans="1:5">
      <c r="A198" s="32">
        <v>3045686.404</v>
      </c>
      <c r="B198" s="32">
        <v>400779.715</v>
      </c>
      <c r="C198" s="33">
        <v>613.93</v>
      </c>
      <c r="D198" s="11">
        <v>45122</v>
      </c>
      <c r="E198" s="37"/>
    </row>
    <row r="199" ht="15.75" spans="1:5">
      <c r="A199" s="32">
        <v>3045686.404</v>
      </c>
      <c r="B199" s="32">
        <v>400779.715</v>
      </c>
      <c r="C199" s="33">
        <v>613.93</v>
      </c>
      <c r="D199" s="11">
        <v>45123</v>
      </c>
      <c r="E199" s="37"/>
    </row>
    <row r="200" ht="15.75" spans="1:5">
      <c r="A200" s="32">
        <v>3045686.404</v>
      </c>
      <c r="B200" s="32">
        <v>400779.715</v>
      </c>
      <c r="C200" s="33">
        <v>613.93</v>
      </c>
      <c r="D200" s="11">
        <v>45124</v>
      </c>
      <c r="E200" s="37"/>
    </row>
    <row r="201" ht="15.75" spans="1:5">
      <c r="A201" s="32">
        <v>3045686.404</v>
      </c>
      <c r="B201" s="32">
        <v>400779.715</v>
      </c>
      <c r="C201" s="33">
        <v>613.93</v>
      </c>
      <c r="D201" s="11">
        <v>45125</v>
      </c>
      <c r="E201" s="37"/>
    </row>
    <row r="202" ht="15.75" spans="1:5">
      <c r="A202" s="32">
        <v>3045686.404</v>
      </c>
      <c r="B202" s="32">
        <v>400779.715</v>
      </c>
      <c r="C202" s="33">
        <v>613.93</v>
      </c>
      <c r="D202" s="11">
        <v>45126</v>
      </c>
      <c r="E202" s="39"/>
    </row>
    <row r="203" ht="15.75" spans="1:5">
      <c r="A203" s="32">
        <v>3045686.404</v>
      </c>
      <c r="B203" s="32">
        <v>400779.715</v>
      </c>
      <c r="C203" s="33">
        <v>613.93</v>
      </c>
      <c r="D203" s="11">
        <v>45127</v>
      </c>
      <c r="E203" s="40"/>
    </row>
    <row r="204" ht="15.75" spans="1:5">
      <c r="A204" s="32">
        <v>3045686.404</v>
      </c>
      <c r="B204" s="32">
        <v>400779.715</v>
      </c>
      <c r="C204" s="33">
        <v>613.93</v>
      </c>
      <c r="D204" s="11">
        <v>45128</v>
      </c>
      <c r="E204" s="40"/>
    </row>
    <row r="205" ht="15.75" spans="1:5">
      <c r="A205" s="32">
        <v>3045686.404</v>
      </c>
      <c r="B205" s="32">
        <v>400779.715</v>
      </c>
      <c r="C205" s="33">
        <v>613.93</v>
      </c>
      <c r="D205" s="11">
        <v>45129</v>
      </c>
      <c r="E205" s="40"/>
    </row>
    <row r="206" ht="15.75" spans="1:5">
      <c r="A206" s="32">
        <v>3045686.404</v>
      </c>
      <c r="B206" s="32">
        <v>400779.715</v>
      </c>
      <c r="C206" s="33">
        <v>613.93</v>
      </c>
      <c r="D206" s="11">
        <v>45130</v>
      </c>
      <c r="E206" s="40"/>
    </row>
    <row r="207" ht="15.75" spans="1:5">
      <c r="A207" s="32">
        <v>3045686.404</v>
      </c>
      <c r="B207" s="32">
        <v>400779.715</v>
      </c>
      <c r="C207" s="33">
        <v>613.93</v>
      </c>
      <c r="D207" s="11">
        <v>45131</v>
      </c>
      <c r="E207" s="40"/>
    </row>
    <row r="208" ht="15.75" spans="1:5">
      <c r="A208" s="32">
        <v>3045686.404</v>
      </c>
      <c r="B208" s="32">
        <v>400779.715</v>
      </c>
      <c r="C208" s="33">
        <v>613.93</v>
      </c>
      <c r="D208" s="11">
        <v>45132</v>
      </c>
      <c r="E208" s="40"/>
    </row>
    <row r="209" ht="15.75" spans="1:5">
      <c r="A209" s="32">
        <v>3045686.404</v>
      </c>
      <c r="B209" s="32">
        <v>400779.715</v>
      </c>
      <c r="C209" s="33">
        <v>613.93</v>
      </c>
      <c r="D209" s="11">
        <v>45133</v>
      </c>
      <c r="E209" s="39"/>
    </row>
    <row r="210" ht="15.75" spans="1:5">
      <c r="A210" s="32">
        <v>3045686.404</v>
      </c>
      <c r="B210" s="32">
        <v>400779.715</v>
      </c>
      <c r="C210" s="33">
        <v>613.93</v>
      </c>
      <c r="D210" s="11">
        <v>45134</v>
      </c>
      <c r="E210" s="40"/>
    </row>
    <row r="211" ht="15.75" spans="1:5">
      <c r="A211" s="32">
        <v>3045686.404</v>
      </c>
      <c r="B211" s="32">
        <v>400779.715</v>
      </c>
      <c r="C211" s="33">
        <v>613.93</v>
      </c>
      <c r="D211" s="11">
        <v>45135</v>
      </c>
      <c r="E211" s="40"/>
    </row>
    <row r="212" ht="15.75" spans="1:5">
      <c r="A212" s="32">
        <v>3045686.404</v>
      </c>
      <c r="B212" s="32">
        <v>400779.715</v>
      </c>
      <c r="C212" s="33">
        <v>613.93</v>
      </c>
      <c r="D212" s="11">
        <v>45136</v>
      </c>
      <c r="E212" s="40"/>
    </row>
    <row r="213" ht="15.75" spans="1:5">
      <c r="A213" s="32">
        <v>3045686.404</v>
      </c>
      <c r="B213" s="32">
        <v>400779.715</v>
      </c>
      <c r="C213" s="33">
        <v>613.93</v>
      </c>
      <c r="D213" s="11">
        <v>45137</v>
      </c>
      <c r="E213" s="40"/>
    </row>
    <row r="214" ht="15.75" spans="1:5">
      <c r="A214" s="32">
        <v>3045686.404</v>
      </c>
      <c r="B214" s="32">
        <v>400779.715</v>
      </c>
      <c r="C214" s="33">
        <v>613.93</v>
      </c>
      <c r="D214" s="11">
        <v>45138</v>
      </c>
      <c r="E214" s="40"/>
    </row>
    <row r="215" ht="15.75" spans="1:5">
      <c r="A215" s="32">
        <v>3045686.404</v>
      </c>
      <c r="B215" s="32">
        <v>400779.715</v>
      </c>
      <c r="C215" s="33">
        <v>613.93</v>
      </c>
      <c r="D215" s="11">
        <v>45139</v>
      </c>
      <c r="E215" s="40"/>
    </row>
    <row r="216" ht="15.75" spans="1:5">
      <c r="A216" s="32">
        <v>3045686.404</v>
      </c>
      <c r="B216" s="32">
        <v>400779.715</v>
      </c>
      <c r="C216" s="33">
        <v>613.93</v>
      </c>
      <c r="D216" s="11">
        <v>45140</v>
      </c>
      <c r="E216" s="39"/>
    </row>
    <row r="217" ht="15.75" spans="1:5">
      <c r="A217" s="32">
        <v>3045686.404</v>
      </c>
      <c r="B217" s="32">
        <v>400779.715</v>
      </c>
      <c r="C217" s="33">
        <v>613.93</v>
      </c>
      <c r="D217" s="11">
        <v>45141</v>
      </c>
      <c r="E217" s="40"/>
    </row>
    <row r="218" ht="15.75" spans="1:5">
      <c r="A218" s="32">
        <v>3045686.404</v>
      </c>
      <c r="B218" s="32">
        <v>400779.715</v>
      </c>
      <c r="C218" s="33">
        <v>613.93</v>
      </c>
      <c r="D218" s="11">
        <v>45142</v>
      </c>
      <c r="E218" s="40"/>
    </row>
    <row r="219" ht="15.75" spans="1:5">
      <c r="A219" s="32">
        <v>3045686.404</v>
      </c>
      <c r="B219" s="32">
        <v>400779.715</v>
      </c>
      <c r="C219" s="33">
        <v>613.93</v>
      </c>
      <c r="D219" s="11">
        <v>45143</v>
      </c>
      <c r="E219" s="40"/>
    </row>
    <row r="220" ht="15.75" spans="1:5">
      <c r="A220" s="32">
        <v>3045686.404</v>
      </c>
      <c r="B220" s="32">
        <v>400779.715</v>
      </c>
      <c r="C220" s="33">
        <v>613.93</v>
      </c>
      <c r="D220" s="11">
        <v>45144</v>
      </c>
      <c r="E220" s="40"/>
    </row>
    <row r="221" ht="15.75" spans="1:5">
      <c r="A221" s="32">
        <v>3045686.404</v>
      </c>
      <c r="B221" s="32">
        <v>400779.715</v>
      </c>
      <c r="C221" s="33">
        <v>613.93</v>
      </c>
      <c r="D221" s="11">
        <v>45145</v>
      </c>
      <c r="E221" s="40"/>
    </row>
    <row r="222" ht="15.75" spans="1:5">
      <c r="A222" s="32">
        <v>3045686.404</v>
      </c>
      <c r="B222" s="32">
        <v>400779.715</v>
      </c>
      <c r="C222" s="33">
        <v>613.93</v>
      </c>
      <c r="D222" s="11">
        <v>45146</v>
      </c>
      <c r="E222" s="40"/>
    </row>
    <row r="223" ht="15.75" spans="1:5">
      <c r="A223" s="32">
        <v>3045686.404</v>
      </c>
      <c r="B223" s="32">
        <v>400779.715</v>
      </c>
      <c r="C223" s="33">
        <v>613.93</v>
      </c>
      <c r="D223" s="11">
        <v>45147</v>
      </c>
      <c r="E223" s="39"/>
    </row>
    <row r="224" ht="15.75" spans="1:5">
      <c r="A224" s="32">
        <v>3045686.404</v>
      </c>
      <c r="B224" s="32">
        <v>400779.715</v>
      </c>
      <c r="C224" s="33">
        <v>613.93</v>
      </c>
      <c r="D224" s="11">
        <v>45148</v>
      </c>
      <c r="E224" s="37"/>
    </row>
    <row r="225" ht="15.75" spans="1:5">
      <c r="A225" s="32">
        <v>3045686.404</v>
      </c>
      <c r="B225" s="32">
        <v>400779.715</v>
      </c>
      <c r="C225" s="33">
        <v>613.93</v>
      </c>
      <c r="D225" s="11">
        <v>45149</v>
      </c>
      <c r="E225" s="37"/>
    </row>
    <row r="226" ht="15.75" spans="1:5">
      <c r="A226" s="32">
        <v>3045686.404</v>
      </c>
      <c r="B226" s="32">
        <v>400779.715</v>
      </c>
      <c r="C226" s="33">
        <v>613.93</v>
      </c>
      <c r="D226" s="11">
        <v>45150</v>
      </c>
      <c r="E226" s="37"/>
    </row>
    <row r="227" ht="15.75" spans="1:5">
      <c r="A227" s="32">
        <v>3045686.404</v>
      </c>
      <c r="B227" s="32">
        <v>400779.715</v>
      </c>
      <c r="C227" s="33">
        <v>613.93</v>
      </c>
      <c r="D227" s="11">
        <v>45151</v>
      </c>
      <c r="E227" s="37"/>
    </row>
    <row r="228" ht="15.75" spans="1:5">
      <c r="A228" s="32">
        <v>3045686.404</v>
      </c>
      <c r="B228" s="32">
        <v>400779.715</v>
      </c>
      <c r="C228" s="33">
        <v>613.93</v>
      </c>
      <c r="D228" s="11">
        <v>45152</v>
      </c>
      <c r="E228" s="37"/>
    </row>
    <row r="229" ht="15.75" spans="1:5">
      <c r="A229" s="32">
        <v>3045686.404</v>
      </c>
      <c r="B229" s="32">
        <v>400779.715</v>
      </c>
      <c r="C229" s="33">
        <v>613.93</v>
      </c>
      <c r="D229" s="11">
        <v>45153</v>
      </c>
      <c r="E229" s="40"/>
    </row>
    <row r="230" ht="15.75" spans="1:5">
      <c r="A230" s="32">
        <v>3045686.404</v>
      </c>
      <c r="B230" s="32">
        <v>400779.715</v>
      </c>
      <c r="C230" s="33">
        <v>613.93</v>
      </c>
      <c r="D230" s="11">
        <v>45154</v>
      </c>
      <c r="E230" s="40"/>
    </row>
    <row r="231" ht="15.75" spans="1:5">
      <c r="A231" s="32">
        <v>3045686.404</v>
      </c>
      <c r="B231" s="32">
        <v>400779.715</v>
      </c>
      <c r="C231" s="33">
        <v>613.93</v>
      </c>
      <c r="D231" s="11">
        <v>45155</v>
      </c>
      <c r="E231" s="39"/>
    </row>
    <row r="232" ht="15.75" spans="1:5">
      <c r="A232" s="32">
        <v>3045686.404</v>
      </c>
      <c r="B232" s="32">
        <v>400779.715</v>
      </c>
      <c r="C232" s="33">
        <v>613.93</v>
      </c>
      <c r="D232" s="11">
        <v>45156</v>
      </c>
      <c r="E232" s="40"/>
    </row>
    <row r="233" ht="15.75" spans="1:5">
      <c r="A233" s="32">
        <v>3045686.404</v>
      </c>
      <c r="B233" s="32">
        <v>400779.715</v>
      </c>
      <c r="C233" s="33">
        <v>613.93</v>
      </c>
      <c r="D233" s="11">
        <v>45157</v>
      </c>
      <c r="E233" s="40"/>
    </row>
    <row r="234" ht="15.75" spans="1:5">
      <c r="A234" s="32">
        <v>3045686.404</v>
      </c>
      <c r="B234" s="32">
        <v>400779.715</v>
      </c>
      <c r="C234" s="33">
        <v>613.93</v>
      </c>
      <c r="D234" s="11">
        <v>45158</v>
      </c>
      <c r="E234" s="40"/>
    </row>
    <row r="235" ht="15.75" spans="1:5">
      <c r="A235" s="32">
        <v>3045686.404</v>
      </c>
      <c r="B235" s="32">
        <v>400779.715</v>
      </c>
      <c r="C235" s="33">
        <v>613.93</v>
      </c>
      <c r="D235" s="11">
        <v>45159</v>
      </c>
      <c r="E235" s="40"/>
    </row>
    <row r="236" ht="15.75" spans="1:5">
      <c r="A236" s="32">
        <v>3045686.404</v>
      </c>
      <c r="B236" s="32">
        <v>400779.715</v>
      </c>
      <c r="C236" s="33">
        <v>613.93</v>
      </c>
      <c r="D236" s="11">
        <v>45160</v>
      </c>
      <c r="E236" s="40"/>
    </row>
    <row r="237" ht="15.75" spans="1:5">
      <c r="A237" s="32">
        <v>3045686.404</v>
      </c>
      <c r="B237" s="32">
        <v>400779.715</v>
      </c>
      <c r="C237" s="33">
        <v>613.93</v>
      </c>
      <c r="D237" s="11">
        <v>45161</v>
      </c>
      <c r="E237" s="40"/>
    </row>
    <row r="238" ht="15.75" spans="1:5">
      <c r="A238" s="32">
        <v>3045686.404</v>
      </c>
      <c r="B238" s="32">
        <v>400779.715</v>
      </c>
      <c r="C238" s="33">
        <v>613.93</v>
      </c>
      <c r="D238" s="11">
        <v>45162</v>
      </c>
      <c r="E238" s="40"/>
    </row>
    <row r="239" ht="15.75" spans="1:5">
      <c r="A239" s="32">
        <v>3045686.404</v>
      </c>
      <c r="B239" s="32">
        <v>400779.715</v>
      </c>
      <c r="C239" s="33">
        <v>613.93</v>
      </c>
      <c r="D239" s="11">
        <v>45163</v>
      </c>
      <c r="E239" s="40"/>
    </row>
    <row r="240" ht="15.75" spans="1:5">
      <c r="A240" s="32">
        <v>3045686.404</v>
      </c>
      <c r="B240" s="32">
        <v>400779.715</v>
      </c>
      <c r="C240" s="33">
        <v>613.93</v>
      </c>
      <c r="D240" s="11">
        <v>45164</v>
      </c>
      <c r="E240" s="40"/>
    </row>
    <row r="241" ht="15.75" spans="1:5">
      <c r="A241" s="32">
        <v>3045686.404</v>
      </c>
      <c r="B241" s="32">
        <v>400779.715</v>
      </c>
      <c r="C241" s="33">
        <v>613.93</v>
      </c>
      <c r="D241" s="11">
        <v>45165</v>
      </c>
      <c r="E241" s="40"/>
    </row>
    <row r="242" ht="15.75" spans="1:5">
      <c r="A242" s="32">
        <v>3045686.404</v>
      </c>
      <c r="B242" s="32">
        <v>400779.715</v>
      </c>
      <c r="C242" s="33">
        <v>613.93</v>
      </c>
      <c r="D242" s="11">
        <v>45166</v>
      </c>
      <c r="E242" s="39"/>
    </row>
    <row r="243" ht="15.75" spans="1:5">
      <c r="A243" s="32">
        <v>3045686.404</v>
      </c>
      <c r="B243" s="32">
        <v>400779.715</v>
      </c>
      <c r="C243" s="33">
        <v>613.93</v>
      </c>
      <c r="D243" s="11">
        <v>45167</v>
      </c>
      <c r="E243" s="40"/>
    </row>
    <row r="244" ht="15.75" spans="1:5">
      <c r="A244" s="32">
        <v>3045686.404</v>
      </c>
      <c r="B244" s="32">
        <v>400779.715</v>
      </c>
      <c r="C244" s="33">
        <v>613.93</v>
      </c>
      <c r="D244" s="11">
        <v>45168</v>
      </c>
      <c r="E244" s="40"/>
    </row>
    <row r="245" ht="15.75" spans="1:5">
      <c r="A245" s="32">
        <v>3045686.404</v>
      </c>
      <c r="B245" s="32">
        <v>400779.715</v>
      </c>
      <c r="C245" s="33">
        <v>613.93</v>
      </c>
      <c r="D245" s="11">
        <v>45169</v>
      </c>
      <c r="E245" s="37"/>
    </row>
    <row r="246" ht="15.75" spans="1:5">
      <c r="A246" s="32">
        <v>3045686.404</v>
      </c>
      <c r="B246" s="32">
        <v>400779.715</v>
      </c>
      <c r="C246" s="33">
        <v>613.93</v>
      </c>
      <c r="D246" s="11">
        <v>45170</v>
      </c>
      <c r="E246" s="37"/>
    </row>
    <row r="247" ht="15.75" spans="1:5">
      <c r="A247" s="32">
        <v>3045686.404</v>
      </c>
      <c r="B247" s="32">
        <v>400779.715</v>
      </c>
      <c r="C247" s="33">
        <v>613.93</v>
      </c>
      <c r="D247" s="11">
        <v>45171</v>
      </c>
      <c r="E247" s="37"/>
    </row>
    <row r="248" ht="15.75" spans="1:5">
      <c r="A248" s="32">
        <v>3045686.404</v>
      </c>
      <c r="B248" s="32">
        <v>400779.715</v>
      </c>
      <c r="C248" s="33">
        <v>613.93</v>
      </c>
      <c r="D248" s="11">
        <v>45172</v>
      </c>
      <c r="E248" s="37"/>
    </row>
    <row r="249" ht="15.75" spans="1:5">
      <c r="A249" s="32">
        <v>3045686.404</v>
      </c>
      <c r="B249" s="32">
        <v>400779.715</v>
      </c>
      <c r="C249" s="33">
        <v>613.93</v>
      </c>
      <c r="D249" s="11">
        <v>45173</v>
      </c>
      <c r="E249" s="37"/>
    </row>
    <row r="250" ht="15.75" spans="1:5">
      <c r="A250" s="32">
        <v>3045686.404</v>
      </c>
      <c r="B250" s="32">
        <v>400779.715</v>
      </c>
      <c r="C250" s="33">
        <v>613.93</v>
      </c>
      <c r="D250" s="11">
        <v>45174</v>
      </c>
      <c r="E250" s="37"/>
    </row>
    <row r="251" ht="15.75" spans="1:5">
      <c r="A251" s="32">
        <v>3045686.404</v>
      </c>
      <c r="B251" s="32">
        <v>400779.715</v>
      </c>
      <c r="C251" s="33">
        <v>613.93</v>
      </c>
      <c r="D251" s="11">
        <v>45175</v>
      </c>
      <c r="E251" s="37"/>
    </row>
    <row r="252" ht="15.75" spans="1:5">
      <c r="A252" s="32">
        <v>3045686.404</v>
      </c>
      <c r="B252" s="32">
        <v>400779.715</v>
      </c>
      <c r="C252" s="33">
        <v>613.93</v>
      </c>
      <c r="D252" s="11">
        <v>45176</v>
      </c>
      <c r="E252" s="37"/>
    </row>
    <row r="253" ht="15.75" spans="1:5">
      <c r="A253" s="32">
        <v>3045686.404</v>
      </c>
      <c r="B253" s="32">
        <v>400779.715</v>
      </c>
      <c r="C253" s="33">
        <v>613.93</v>
      </c>
      <c r="D253" s="11">
        <v>45177</v>
      </c>
      <c r="E253" s="39"/>
    </row>
    <row r="254" ht="15.75" spans="1:5">
      <c r="A254" s="32">
        <v>3045686.404</v>
      </c>
      <c r="B254" s="32">
        <v>400779.715</v>
      </c>
      <c r="C254" s="33">
        <v>613.93</v>
      </c>
      <c r="D254" s="11">
        <v>45178</v>
      </c>
      <c r="E254" s="39"/>
    </row>
    <row r="255" ht="15.75" spans="1:5">
      <c r="A255" s="32">
        <v>3045686.404</v>
      </c>
      <c r="B255" s="32">
        <v>400779.715</v>
      </c>
      <c r="C255" s="33">
        <v>613.93</v>
      </c>
      <c r="D255" s="11">
        <v>45179</v>
      </c>
      <c r="E255" s="39"/>
    </row>
    <row r="256" ht="15.75" spans="1:5">
      <c r="A256" s="32">
        <v>3045686.404</v>
      </c>
      <c r="B256" s="32">
        <v>400779.715</v>
      </c>
      <c r="C256" s="33">
        <v>613.93</v>
      </c>
      <c r="D256" s="11">
        <v>45180</v>
      </c>
      <c r="E256" s="39"/>
    </row>
    <row r="257" ht="15.75" spans="1:5">
      <c r="A257" s="32">
        <v>3045686.404</v>
      </c>
      <c r="B257" s="32">
        <v>400779.715</v>
      </c>
      <c r="C257" s="33">
        <v>613.93</v>
      </c>
      <c r="D257" s="11">
        <v>45181</v>
      </c>
      <c r="E257" s="39"/>
    </row>
    <row r="258" ht="15.75" spans="1:5">
      <c r="A258" s="32">
        <v>3045686.404</v>
      </c>
      <c r="B258" s="32">
        <v>400779.715</v>
      </c>
      <c r="C258" s="33">
        <v>613.93</v>
      </c>
      <c r="D258" s="11">
        <v>45182</v>
      </c>
      <c r="E258" s="39"/>
    </row>
    <row r="259" ht="15.75" spans="1:5">
      <c r="A259" s="32">
        <v>3045686.404</v>
      </c>
      <c r="B259" s="32">
        <v>400779.715</v>
      </c>
      <c r="C259" s="33">
        <v>613.93</v>
      </c>
      <c r="D259" s="11">
        <v>45183</v>
      </c>
      <c r="E259" s="39"/>
    </row>
    <row r="260" ht="15.75" spans="1:5">
      <c r="A260" s="32">
        <v>3045686.404</v>
      </c>
      <c r="B260" s="32">
        <v>400779.715</v>
      </c>
      <c r="C260" s="33">
        <v>613.93</v>
      </c>
      <c r="D260" s="11">
        <v>45184</v>
      </c>
      <c r="E260" s="37"/>
    </row>
    <row r="261" ht="15.75" spans="1:5">
      <c r="A261" s="32">
        <v>3045686.404</v>
      </c>
      <c r="B261" s="32">
        <v>400779.715</v>
      </c>
      <c r="C261" s="33">
        <v>613.93</v>
      </c>
      <c r="D261" s="11">
        <v>45185</v>
      </c>
      <c r="E261" s="37"/>
    </row>
    <row r="262" ht="15.75" spans="1:5">
      <c r="A262" s="32">
        <v>3045686.404</v>
      </c>
      <c r="B262" s="32">
        <v>400779.715</v>
      </c>
      <c r="C262" s="33">
        <v>613.93</v>
      </c>
      <c r="D262" s="11">
        <v>45186</v>
      </c>
      <c r="E262" s="37"/>
    </row>
    <row r="263" ht="15.75" spans="1:5">
      <c r="A263" s="32">
        <v>3045686.404</v>
      </c>
      <c r="B263" s="32">
        <v>400779.715</v>
      </c>
      <c r="C263" s="33">
        <v>613.93</v>
      </c>
      <c r="D263" s="11">
        <v>45187</v>
      </c>
      <c r="E263" s="37"/>
    </row>
    <row r="264" ht="15.75" spans="1:5">
      <c r="A264" s="32">
        <v>3045686.404</v>
      </c>
      <c r="B264" s="32">
        <v>400779.715</v>
      </c>
      <c r="C264" s="33">
        <v>613.93</v>
      </c>
      <c r="D264" s="11">
        <v>45188</v>
      </c>
      <c r="E264" s="37"/>
    </row>
    <row r="265" ht="15.75" spans="1:5">
      <c r="A265" s="32">
        <v>3045686.404</v>
      </c>
      <c r="B265" s="32">
        <v>400779.715</v>
      </c>
      <c r="C265" s="33">
        <v>613.93</v>
      </c>
      <c r="D265" s="11">
        <v>45189</v>
      </c>
      <c r="E265" s="39"/>
    </row>
    <row r="266" ht="15.75" spans="1:5">
      <c r="A266" s="32">
        <v>3045686.404</v>
      </c>
      <c r="B266" s="32">
        <v>400779.715</v>
      </c>
      <c r="C266" s="33">
        <v>613.93</v>
      </c>
      <c r="D266" s="11">
        <v>45190</v>
      </c>
      <c r="E266" s="39"/>
    </row>
    <row r="267" ht="15.75" spans="1:5">
      <c r="A267" s="32">
        <v>3045686.404</v>
      </c>
      <c r="B267" s="32">
        <v>400779.715</v>
      </c>
      <c r="C267" s="33">
        <v>613.93</v>
      </c>
      <c r="D267" s="11">
        <v>45191</v>
      </c>
      <c r="E267" s="39"/>
    </row>
    <row r="268" ht="15.75" spans="1:5">
      <c r="A268" s="32">
        <v>3045686.404</v>
      </c>
      <c r="B268" s="32">
        <v>400779.715</v>
      </c>
      <c r="C268" s="33">
        <v>613.93</v>
      </c>
      <c r="D268" s="11">
        <v>45192</v>
      </c>
      <c r="E268" s="39"/>
    </row>
    <row r="269" ht="15.75" spans="1:5">
      <c r="A269" s="32">
        <v>3045686.404</v>
      </c>
      <c r="B269" s="32">
        <v>400779.715</v>
      </c>
      <c r="C269" s="33">
        <v>613.93</v>
      </c>
      <c r="D269" s="11">
        <v>45193</v>
      </c>
      <c r="E269" s="39"/>
    </row>
    <row r="270" ht="15.75" spans="1:5">
      <c r="A270" s="32">
        <v>3045686.404</v>
      </c>
      <c r="B270" s="32">
        <v>400779.715</v>
      </c>
      <c r="C270" s="33">
        <v>613.93</v>
      </c>
      <c r="D270" s="11">
        <v>45194</v>
      </c>
      <c r="E270" s="39"/>
    </row>
    <row r="271" ht="15.75" spans="1:5">
      <c r="A271" s="32">
        <v>3045686.404</v>
      </c>
      <c r="B271" s="32">
        <v>400779.715</v>
      </c>
      <c r="C271" s="33">
        <v>613.93</v>
      </c>
      <c r="D271" s="11">
        <v>45195</v>
      </c>
      <c r="E271" s="39"/>
    </row>
    <row r="272" ht="15.75" spans="1:5">
      <c r="A272" s="32">
        <v>3045686.404</v>
      </c>
      <c r="B272" s="32">
        <v>400779.715</v>
      </c>
      <c r="C272" s="33">
        <v>613.93</v>
      </c>
      <c r="D272" s="11">
        <v>45196</v>
      </c>
      <c r="E272" s="39"/>
    </row>
    <row r="273" ht="15.75" spans="1:5">
      <c r="A273" s="32">
        <v>3045686.404</v>
      </c>
      <c r="B273" s="32">
        <v>400779.715</v>
      </c>
      <c r="C273" s="33">
        <v>613.93</v>
      </c>
      <c r="D273" s="11">
        <v>45197</v>
      </c>
      <c r="E273" s="39"/>
    </row>
    <row r="274" ht="15.75" spans="1:5">
      <c r="A274" s="32">
        <v>3045686.404</v>
      </c>
      <c r="B274" s="32">
        <v>400779.715</v>
      </c>
      <c r="C274" s="33">
        <v>613.93</v>
      </c>
      <c r="D274" s="11">
        <v>45198</v>
      </c>
      <c r="E274" s="39"/>
    </row>
    <row r="275" ht="15.75" spans="1:5">
      <c r="A275" s="32">
        <v>3045686.404</v>
      </c>
      <c r="B275" s="32">
        <v>400779.715</v>
      </c>
      <c r="C275" s="33">
        <v>613.93</v>
      </c>
      <c r="D275" s="11">
        <v>45199</v>
      </c>
      <c r="E275" s="39"/>
    </row>
    <row r="276" ht="15.75" spans="1:5">
      <c r="A276" s="32">
        <v>3045686.404</v>
      </c>
      <c r="B276" s="32">
        <v>400779.715</v>
      </c>
      <c r="C276" s="33">
        <v>613.93</v>
      </c>
      <c r="D276" s="11">
        <v>45200</v>
      </c>
      <c r="E276" s="39"/>
    </row>
    <row r="277" ht="15.75" spans="1:5">
      <c r="A277" s="32">
        <v>3045686.404</v>
      </c>
      <c r="B277" s="32">
        <v>400779.715</v>
      </c>
      <c r="C277" s="33">
        <v>613.93</v>
      </c>
      <c r="D277" s="11">
        <v>45201</v>
      </c>
      <c r="E277" s="39"/>
    </row>
    <row r="278" ht="15.75" spans="1:5">
      <c r="A278" s="32">
        <v>3045686.404</v>
      </c>
      <c r="B278" s="32">
        <v>400779.715</v>
      </c>
      <c r="C278" s="33">
        <v>613.93</v>
      </c>
      <c r="D278" s="11">
        <v>45202</v>
      </c>
      <c r="E278" s="39"/>
    </row>
    <row r="279" ht="15.75" spans="1:5">
      <c r="A279" s="32">
        <v>3045686.404</v>
      </c>
      <c r="B279" s="32">
        <v>400779.715</v>
      </c>
      <c r="C279" s="33">
        <v>613.93</v>
      </c>
      <c r="D279" s="11">
        <v>45203</v>
      </c>
      <c r="E279" s="39"/>
    </row>
    <row r="280" ht="15.75" spans="1:5">
      <c r="A280" s="32">
        <v>3045686.404</v>
      </c>
      <c r="B280" s="32">
        <v>400779.715</v>
      </c>
      <c r="C280" s="33">
        <v>613.93</v>
      </c>
      <c r="D280" s="11">
        <v>45204</v>
      </c>
      <c r="E280" s="39"/>
    </row>
    <row r="281" ht="15.75" spans="1:5">
      <c r="A281" s="32">
        <v>3045686.404</v>
      </c>
      <c r="B281" s="32">
        <v>400779.715</v>
      </c>
      <c r="C281" s="33">
        <v>613.93</v>
      </c>
      <c r="D281" s="11">
        <v>45205</v>
      </c>
      <c r="E281" s="39"/>
    </row>
    <row r="282" ht="15.75" spans="1:5">
      <c r="A282" s="32">
        <v>3045686.404</v>
      </c>
      <c r="B282" s="32">
        <v>400779.715</v>
      </c>
      <c r="C282" s="33">
        <v>613.93</v>
      </c>
      <c r="D282" s="11">
        <v>45206</v>
      </c>
      <c r="E282" s="39"/>
    </row>
    <row r="283" ht="15.75" spans="1:5">
      <c r="A283" s="32">
        <v>3045686.404</v>
      </c>
      <c r="B283" s="32">
        <v>400779.715</v>
      </c>
      <c r="C283" s="33">
        <v>613.93</v>
      </c>
      <c r="D283" s="11">
        <v>45207</v>
      </c>
      <c r="E283" s="39"/>
    </row>
    <row r="284" ht="15.75" spans="1:5">
      <c r="A284" s="32">
        <v>3045686.404</v>
      </c>
      <c r="B284" s="32">
        <v>400779.715</v>
      </c>
      <c r="C284" s="33">
        <v>613.93</v>
      </c>
      <c r="D284" s="11">
        <v>45208</v>
      </c>
      <c r="E284" s="39"/>
    </row>
    <row r="285" ht="15.75" spans="1:5">
      <c r="A285" s="32">
        <v>3045686.404</v>
      </c>
      <c r="B285" s="32">
        <v>400779.715</v>
      </c>
      <c r="C285" s="33">
        <v>613.93</v>
      </c>
      <c r="D285" s="11">
        <v>45209</v>
      </c>
      <c r="E285" s="39"/>
    </row>
    <row r="286" ht="15.75" spans="1:5">
      <c r="A286" s="32">
        <v>3045686.404</v>
      </c>
      <c r="B286" s="32">
        <v>400779.715</v>
      </c>
      <c r="C286" s="33">
        <v>613.93</v>
      </c>
      <c r="D286" s="11">
        <v>45210</v>
      </c>
      <c r="E286" s="39"/>
    </row>
    <row r="287" ht="15.75" spans="1:5">
      <c r="A287" s="32">
        <v>3045686.404</v>
      </c>
      <c r="B287" s="32">
        <v>400779.715</v>
      </c>
      <c r="C287" s="33">
        <v>613.93</v>
      </c>
      <c r="D287" s="11">
        <v>45211</v>
      </c>
      <c r="E287" s="39"/>
    </row>
    <row r="288" ht="15.75" spans="1:5">
      <c r="A288" s="32">
        <v>3045686.404</v>
      </c>
      <c r="B288" s="32">
        <v>400779.715</v>
      </c>
      <c r="C288" s="33">
        <v>613.93</v>
      </c>
      <c r="D288" s="11">
        <v>45212</v>
      </c>
      <c r="E288" s="39"/>
    </row>
    <row r="289" ht="15.75" spans="1:5">
      <c r="A289" s="32">
        <v>3045686.404</v>
      </c>
      <c r="B289" s="32">
        <v>400779.715</v>
      </c>
      <c r="C289" s="33">
        <v>613.93</v>
      </c>
      <c r="D289" s="11">
        <v>45213</v>
      </c>
      <c r="E289" s="39"/>
    </row>
    <row r="290" ht="15.75" spans="1:5">
      <c r="A290" s="32">
        <v>3045686.404</v>
      </c>
      <c r="B290" s="32">
        <v>400779.715</v>
      </c>
      <c r="C290" s="33">
        <v>613.93</v>
      </c>
      <c r="D290" s="11">
        <v>45214</v>
      </c>
      <c r="E290" s="39"/>
    </row>
    <row r="291" ht="15.75" spans="1:5">
      <c r="A291" s="32">
        <v>3045686.404</v>
      </c>
      <c r="B291" s="32">
        <v>400779.715</v>
      </c>
      <c r="C291" s="33">
        <v>613.93</v>
      </c>
      <c r="D291" s="11">
        <v>45215</v>
      </c>
      <c r="E291" s="39"/>
    </row>
    <row r="292" ht="15.75" spans="1:5">
      <c r="A292" s="32">
        <v>3045686.404</v>
      </c>
      <c r="B292" s="32">
        <v>400779.715</v>
      </c>
      <c r="C292" s="33">
        <v>613.93</v>
      </c>
      <c r="D292" s="11">
        <v>45216</v>
      </c>
      <c r="E292" s="39"/>
    </row>
    <row r="293" ht="15.75" spans="1:5">
      <c r="A293" s="32">
        <v>3045686.404</v>
      </c>
      <c r="B293" s="32">
        <v>400779.715</v>
      </c>
      <c r="C293" s="33">
        <v>613.93</v>
      </c>
      <c r="D293" s="11">
        <v>45217</v>
      </c>
      <c r="E293" s="39"/>
    </row>
    <row r="294" ht="15.75" spans="1:5">
      <c r="A294" s="32">
        <v>3045686.404</v>
      </c>
      <c r="B294" s="32">
        <v>400779.715</v>
      </c>
      <c r="C294" s="33">
        <v>613.93</v>
      </c>
      <c r="D294" s="11">
        <v>45218</v>
      </c>
      <c r="E294" s="39"/>
    </row>
    <row r="295" ht="15.75" spans="1:5">
      <c r="A295" s="32">
        <v>3045686.404</v>
      </c>
      <c r="B295" s="32">
        <v>400779.715</v>
      </c>
      <c r="C295" s="33">
        <v>613.93</v>
      </c>
      <c r="D295" s="11">
        <v>45219</v>
      </c>
      <c r="E295" s="39"/>
    </row>
    <row r="296" ht="15.75" spans="1:5">
      <c r="A296" s="32">
        <v>3045686.404</v>
      </c>
      <c r="B296" s="32">
        <v>400779.715</v>
      </c>
      <c r="C296" s="33">
        <v>613.93</v>
      </c>
      <c r="D296" s="11">
        <v>45220</v>
      </c>
      <c r="E296" s="39"/>
    </row>
    <row r="297" ht="15.75" spans="1:5">
      <c r="A297" s="32">
        <v>3045686.404</v>
      </c>
      <c r="B297" s="32">
        <v>400779.715</v>
      </c>
      <c r="C297" s="33">
        <v>613.93</v>
      </c>
      <c r="D297" s="11">
        <v>45221</v>
      </c>
      <c r="E297" s="39"/>
    </row>
    <row r="298" ht="15.75" spans="1:5">
      <c r="A298" s="32">
        <v>3045686.404</v>
      </c>
      <c r="B298" s="32">
        <v>400779.715</v>
      </c>
      <c r="C298" s="33">
        <v>613.93</v>
      </c>
      <c r="D298" s="11">
        <v>45222</v>
      </c>
      <c r="E298" s="39"/>
    </row>
    <row r="299" ht="15.75" spans="1:5">
      <c r="A299" s="32">
        <v>3045686.404</v>
      </c>
      <c r="B299" s="32">
        <v>400779.715</v>
      </c>
      <c r="C299" s="33">
        <v>613.93</v>
      </c>
      <c r="D299" s="11">
        <v>45223</v>
      </c>
      <c r="E299" s="39"/>
    </row>
    <row r="300" ht="15.75" spans="1:5">
      <c r="A300" s="32">
        <v>3045686.404</v>
      </c>
      <c r="B300" s="32">
        <v>400779.715</v>
      </c>
      <c r="C300" s="33">
        <v>613.93</v>
      </c>
      <c r="D300" s="11">
        <v>45224</v>
      </c>
      <c r="E300" s="39"/>
    </row>
    <row r="301" ht="15.75" spans="1:5">
      <c r="A301" s="32">
        <v>3045686.404</v>
      </c>
      <c r="B301" s="32">
        <v>400779.715</v>
      </c>
      <c r="C301" s="33">
        <v>613.93</v>
      </c>
      <c r="D301" s="11">
        <v>45225</v>
      </c>
      <c r="E301" s="39"/>
    </row>
    <row r="302" ht="15.75" spans="1:5">
      <c r="A302" s="32">
        <v>3045686.404</v>
      </c>
      <c r="B302" s="32">
        <v>400779.715</v>
      </c>
      <c r="C302" s="33">
        <v>613.93</v>
      </c>
      <c r="D302" s="11">
        <v>45226</v>
      </c>
      <c r="E302" s="39"/>
    </row>
    <row r="303" ht="15.75" spans="1:5">
      <c r="A303" s="32">
        <v>3045686.404</v>
      </c>
      <c r="B303" s="32">
        <v>400779.715</v>
      </c>
      <c r="C303" s="33">
        <v>613.93</v>
      </c>
      <c r="D303" s="11">
        <v>45227</v>
      </c>
      <c r="E303" s="39"/>
    </row>
    <row r="304" ht="15.75" spans="1:5">
      <c r="A304" s="32">
        <v>3045686.404</v>
      </c>
      <c r="B304" s="32">
        <v>400779.715</v>
      </c>
      <c r="C304" s="33">
        <v>613.93</v>
      </c>
      <c r="D304" s="11">
        <v>45228</v>
      </c>
      <c r="E304" s="39"/>
    </row>
    <row r="305" ht="15.75" spans="1:5">
      <c r="A305" s="32">
        <v>3045686.404</v>
      </c>
      <c r="B305" s="32">
        <v>400779.715</v>
      </c>
      <c r="C305" s="33">
        <v>613.93</v>
      </c>
      <c r="D305" s="11">
        <v>45229</v>
      </c>
      <c r="E305" s="39"/>
    </row>
    <row r="306" ht="15.75" spans="1:5">
      <c r="A306" s="32">
        <v>3045686.404</v>
      </c>
      <c r="B306" s="32">
        <v>400779.715</v>
      </c>
      <c r="C306" s="33">
        <v>613.93</v>
      </c>
      <c r="D306" s="11">
        <v>45230</v>
      </c>
      <c r="E306" s="39"/>
    </row>
    <row r="307" ht="15.75" spans="1:5">
      <c r="A307" s="32">
        <v>3045686.404</v>
      </c>
      <c r="B307" s="32">
        <v>400779.715</v>
      </c>
      <c r="C307" s="33">
        <v>613.93</v>
      </c>
      <c r="D307" s="11">
        <v>45231</v>
      </c>
      <c r="E307" s="39"/>
    </row>
    <row r="308" ht="15.75" spans="1:5">
      <c r="A308" s="32">
        <v>3045686.404</v>
      </c>
      <c r="B308" s="32">
        <v>400779.715</v>
      </c>
      <c r="C308" s="33">
        <v>613.93</v>
      </c>
      <c r="D308" s="11">
        <v>45232</v>
      </c>
      <c r="E308" s="39"/>
    </row>
    <row r="309" ht="15.75" spans="1:5">
      <c r="A309" s="32">
        <v>3045686.404</v>
      </c>
      <c r="B309" s="32">
        <v>400779.715</v>
      </c>
      <c r="C309" s="33">
        <v>613.93</v>
      </c>
      <c r="D309" s="11">
        <v>45233</v>
      </c>
      <c r="E309" s="39"/>
    </row>
    <row r="310" ht="15.75" spans="1:5">
      <c r="A310" s="32">
        <v>3045686.404</v>
      </c>
      <c r="B310" s="32">
        <v>400779.715</v>
      </c>
      <c r="C310" s="33">
        <v>613.93</v>
      </c>
      <c r="D310" s="11">
        <v>45234</v>
      </c>
      <c r="E310" s="39"/>
    </row>
    <row r="311" ht="15.75" spans="1:5">
      <c r="A311" s="32">
        <v>3045686.404</v>
      </c>
      <c r="B311" s="32">
        <v>400779.715</v>
      </c>
      <c r="C311" s="33">
        <v>613.93</v>
      </c>
      <c r="D311" s="11">
        <v>45235</v>
      </c>
      <c r="E311" s="39"/>
    </row>
    <row r="312" ht="15.75" spans="1:5">
      <c r="A312" s="32">
        <v>3045686.404</v>
      </c>
      <c r="B312" s="32">
        <v>400779.715</v>
      </c>
      <c r="C312" s="33">
        <v>613.93</v>
      </c>
      <c r="D312" s="11">
        <v>45236</v>
      </c>
      <c r="E312" s="39"/>
    </row>
    <row r="313" ht="15.75" spans="1:5">
      <c r="A313" s="32">
        <v>3045686.404</v>
      </c>
      <c r="B313" s="32">
        <v>400779.715</v>
      </c>
      <c r="C313" s="33">
        <v>613.93</v>
      </c>
      <c r="D313" s="11">
        <v>45237</v>
      </c>
      <c r="E313" s="39"/>
    </row>
    <row r="314" ht="15.75" spans="1:5">
      <c r="A314" s="32">
        <v>3045686.404</v>
      </c>
      <c r="B314" s="32">
        <v>400779.715</v>
      </c>
      <c r="C314" s="33">
        <v>613.93</v>
      </c>
      <c r="D314" s="11">
        <v>45238</v>
      </c>
      <c r="E314" s="39"/>
    </row>
    <row r="315" ht="15.75" spans="1:5">
      <c r="A315" s="32">
        <v>3045686.404</v>
      </c>
      <c r="B315" s="32">
        <v>400779.715</v>
      </c>
      <c r="C315" s="33">
        <v>613.93</v>
      </c>
      <c r="D315" s="11">
        <v>45239</v>
      </c>
      <c r="E315" s="39"/>
    </row>
    <row r="316" ht="15.75" spans="1:5">
      <c r="A316" s="32">
        <v>3045686.404</v>
      </c>
      <c r="B316" s="32">
        <v>400779.715</v>
      </c>
      <c r="C316" s="33">
        <v>613.93</v>
      </c>
      <c r="D316" s="11">
        <v>45240</v>
      </c>
      <c r="E316" s="39"/>
    </row>
    <row r="317" ht="15.75" spans="1:5">
      <c r="A317" s="32">
        <v>3045686.404</v>
      </c>
      <c r="B317" s="32">
        <v>400779.715</v>
      </c>
      <c r="C317" s="33">
        <v>613.93</v>
      </c>
      <c r="D317" s="11">
        <v>45241</v>
      </c>
      <c r="E317" s="39"/>
    </row>
    <row r="318" ht="15.75" spans="1:5">
      <c r="A318" s="32">
        <v>3045686.404</v>
      </c>
      <c r="B318" s="32">
        <v>400779.715</v>
      </c>
      <c r="C318" s="33">
        <v>613.93</v>
      </c>
      <c r="D318" s="11">
        <v>45242</v>
      </c>
      <c r="E318" s="39"/>
    </row>
    <row r="319" ht="15.75" spans="1:5">
      <c r="A319" s="32">
        <v>3045686.404</v>
      </c>
      <c r="B319" s="32">
        <v>400779.715</v>
      </c>
      <c r="C319" s="33">
        <v>613.93</v>
      </c>
      <c r="D319" s="11">
        <v>45243</v>
      </c>
      <c r="E319" s="39"/>
    </row>
    <row r="320" ht="15.75" spans="1:5">
      <c r="A320" s="32">
        <v>3045686.404</v>
      </c>
      <c r="B320" s="32">
        <v>400779.715</v>
      </c>
      <c r="C320" s="33">
        <v>613.93</v>
      </c>
      <c r="D320" s="11">
        <v>45244</v>
      </c>
      <c r="E320" s="39"/>
    </row>
    <row r="321" ht="15.75" spans="1:5">
      <c r="A321" s="32">
        <v>3045686.404</v>
      </c>
      <c r="B321" s="32">
        <v>400779.715</v>
      </c>
      <c r="C321" s="33">
        <v>613.93</v>
      </c>
      <c r="D321" s="11">
        <v>45245</v>
      </c>
      <c r="E321" s="39"/>
    </row>
    <row r="322" ht="15.75" spans="1:5">
      <c r="A322" s="32">
        <v>3045686.404</v>
      </c>
      <c r="B322" s="32">
        <v>400779.715</v>
      </c>
      <c r="C322" s="33">
        <v>613.93</v>
      </c>
      <c r="D322" s="11">
        <v>45246</v>
      </c>
      <c r="E322" s="39"/>
    </row>
    <row r="323" ht="15.75" spans="1:5">
      <c r="A323" s="32">
        <v>3045686.404</v>
      </c>
      <c r="B323" s="32">
        <v>400779.715</v>
      </c>
      <c r="C323" s="33">
        <v>613.93</v>
      </c>
      <c r="D323" s="11">
        <v>45247</v>
      </c>
      <c r="E323" s="39"/>
    </row>
    <row r="324" ht="15.75" spans="1:5">
      <c r="A324" s="32">
        <v>3045686.404</v>
      </c>
      <c r="B324" s="32">
        <v>400779.715</v>
      </c>
      <c r="C324" s="33">
        <v>613.93</v>
      </c>
      <c r="D324" s="11">
        <v>45248</v>
      </c>
      <c r="E324" s="39"/>
    </row>
    <row r="325" ht="15.75" spans="1:5">
      <c r="A325" s="32">
        <v>3045686.404</v>
      </c>
      <c r="B325" s="32">
        <v>400779.715</v>
      </c>
      <c r="C325" s="33">
        <v>613.93</v>
      </c>
      <c r="D325" s="11">
        <v>45249</v>
      </c>
      <c r="E325" s="39"/>
    </row>
    <row r="326" ht="15.75" spans="1:5">
      <c r="A326" s="32">
        <v>3045686.404</v>
      </c>
      <c r="B326" s="32">
        <v>400779.715</v>
      </c>
      <c r="C326" s="33">
        <v>613.93</v>
      </c>
      <c r="D326" s="11">
        <v>45250</v>
      </c>
      <c r="E326" s="39"/>
    </row>
    <row r="327" ht="15.75" spans="1:5">
      <c r="A327" s="32">
        <v>3045686.404</v>
      </c>
      <c r="B327" s="32">
        <v>400779.715</v>
      </c>
      <c r="C327" s="33">
        <v>613.93</v>
      </c>
      <c r="D327" s="11">
        <v>45251</v>
      </c>
      <c r="E327" s="39"/>
    </row>
    <row r="328" ht="15.75" spans="1:5">
      <c r="A328" s="32">
        <v>3045686.404</v>
      </c>
      <c r="B328" s="32">
        <v>400779.715</v>
      </c>
      <c r="C328" s="33">
        <v>613.93</v>
      </c>
      <c r="D328" s="11">
        <v>45252</v>
      </c>
      <c r="E328" s="39"/>
    </row>
    <row r="329" ht="15.75" spans="1:5">
      <c r="A329" s="32">
        <v>3045686.404</v>
      </c>
      <c r="B329" s="32">
        <v>400779.715</v>
      </c>
      <c r="C329" s="33">
        <v>613.93</v>
      </c>
      <c r="D329" s="11">
        <v>45253</v>
      </c>
      <c r="E329" s="39"/>
    </row>
    <row r="330" ht="15.75" spans="1:5">
      <c r="A330" s="32">
        <v>3045686.404</v>
      </c>
      <c r="B330" s="32">
        <v>400779.715</v>
      </c>
      <c r="C330" s="33">
        <v>613.93</v>
      </c>
      <c r="D330" s="11">
        <v>45254</v>
      </c>
      <c r="E330" s="39"/>
    </row>
    <row r="331" ht="15.75" spans="1:5">
      <c r="A331" s="32">
        <v>3045686.404</v>
      </c>
      <c r="B331" s="32">
        <v>400779.715</v>
      </c>
      <c r="C331" s="33">
        <v>613.93</v>
      </c>
      <c r="D331" s="11">
        <v>45255</v>
      </c>
      <c r="E331" s="39"/>
    </row>
    <row r="332" ht="15.75" spans="1:5">
      <c r="A332" s="32">
        <v>3045686.404</v>
      </c>
      <c r="B332" s="32">
        <v>400779.715</v>
      </c>
      <c r="C332" s="33">
        <v>613.93</v>
      </c>
      <c r="D332" s="11">
        <v>45256</v>
      </c>
      <c r="E332" s="39"/>
    </row>
    <row r="333" ht="15.75" spans="1:5">
      <c r="A333" s="32">
        <v>3045686.404</v>
      </c>
      <c r="B333" s="32">
        <v>400779.715</v>
      </c>
      <c r="C333" s="33">
        <v>613.93</v>
      </c>
      <c r="D333" s="11">
        <v>45257</v>
      </c>
      <c r="E333" s="39"/>
    </row>
    <row r="334" ht="15.75" spans="1:5">
      <c r="A334" s="32">
        <v>3045686.404</v>
      </c>
      <c r="B334" s="32">
        <v>400779.715</v>
      </c>
      <c r="C334" s="33">
        <v>613.93</v>
      </c>
      <c r="D334" s="11">
        <v>45258</v>
      </c>
      <c r="E334" s="39"/>
    </row>
    <row r="335" ht="15.75" spans="1:5">
      <c r="A335" s="32">
        <v>3045686.404</v>
      </c>
      <c r="B335" s="32">
        <v>400779.715</v>
      </c>
      <c r="C335" s="33">
        <v>613.93</v>
      </c>
      <c r="D335" s="11">
        <v>45259</v>
      </c>
      <c r="E335" s="39"/>
    </row>
    <row r="336" ht="15.75" spans="1:5">
      <c r="A336" s="32">
        <v>3045686.404</v>
      </c>
      <c r="B336" s="32">
        <v>400779.715</v>
      </c>
      <c r="C336" s="33">
        <v>613.93</v>
      </c>
      <c r="D336" s="11">
        <v>45260</v>
      </c>
      <c r="E336" s="39"/>
    </row>
    <row r="337" ht="15.75" spans="1:5">
      <c r="A337" s="32">
        <v>3045686.404</v>
      </c>
      <c r="B337" s="32">
        <v>400779.715</v>
      </c>
      <c r="C337" s="33">
        <v>613.93</v>
      </c>
      <c r="D337" s="11">
        <v>45261</v>
      </c>
      <c r="E337" s="39"/>
    </row>
    <row r="338" ht="15.75" spans="1:5">
      <c r="A338" s="32">
        <v>3045686.404</v>
      </c>
      <c r="B338" s="32">
        <v>400779.715</v>
      </c>
      <c r="C338" s="33">
        <v>613.93</v>
      </c>
      <c r="D338" s="11">
        <v>45262</v>
      </c>
      <c r="E338" s="39"/>
    </row>
    <row r="339" ht="15.75" spans="1:5">
      <c r="A339" s="32">
        <v>3045686.404</v>
      </c>
      <c r="B339" s="32">
        <v>400779.715</v>
      </c>
      <c r="C339" s="33">
        <v>613.93</v>
      </c>
      <c r="D339" s="11">
        <v>45263</v>
      </c>
      <c r="E339" s="39"/>
    </row>
    <row r="340" ht="15.75" spans="1:5">
      <c r="A340" s="32">
        <v>3045686.404</v>
      </c>
      <c r="B340" s="32">
        <v>400779.715</v>
      </c>
      <c r="C340" s="33">
        <v>613.93</v>
      </c>
      <c r="D340" s="11">
        <v>45264</v>
      </c>
      <c r="E340" s="39"/>
    </row>
    <row r="341" ht="15.75" spans="1:5">
      <c r="A341" s="32">
        <v>3045686.404</v>
      </c>
      <c r="B341" s="32">
        <v>400779.715</v>
      </c>
      <c r="C341" s="33">
        <v>613.93</v>
      </c>
      <c r="D341" s="11">
        <v>45265</v>
      </c>
      <c r="E341" s="39"/>
    </row>
    <row r="342" ht="15.75" spans="1:5">
      <c r="A342" s="32">
        <v>3045686.404</v>
      </c>
      <c r="B342" s="32">
        <v>400779.715</v>
      </c>
      <c r="C342" s="33">
        <v>613.93</v>
      </c>
      <c r="D342" s="11">
        <v>45266</v>
      </c>
      <c r="E342" s="39"/>
    </row>
    <row r="343" ht="15.75" spans="1:5">
      <c r="A343" s="32">
        <v>3045686.404</v>
      </c>
      <c r="B343" s="32">
        <v>400779.715</v>
      </c>
      <c r="C343" s="33">
        <v>613.93</v>
      </c>
      <c r="D343" s="11">
        <v>45267</v>
      </c>
      <c r="E343" s="39"/>
    </row>
    <row r="344" ht="15.75" spans="1:5">
      <c r="A344" s="32">
        <v>3045686.404</v>
      </c>
      <c r="B344" s="32">
        <v>400779.715</v>
      </c>
      <c r="C344" s="33">
        <v>613.93</v>
      </c>
      <c r="D344" s="11">
        <v>45268</v>
      </c>
      <c r="E344" s="39"/>
    </row>
    <row r="345" ht="15.75" spans="1:5">
      <c r="A345" s="32">
        <v>3045686.404</v>
      </c>
      <c r="B345" s="32">
        <v>400779.715</v>
      </c>
      <c r="C345" s="33">
        <v>613.93</v>
      </c>
      <c r="D345" s="11">
        <v>45269</v>
      </c>
      <c r="E345" s="39"/>
    </row>
    <row r="346" ht="15.75" spans="1:5">
      <c r="A346" s="32">
        <v>3045686.404</v>
      </c>
      <c r="B346" s="32">
        <v>400779.715</v>
      </c>
      <c r="C346" s="33">
        <v>613.93</v>
      </c>
      <c r="D346" s="11">
        <v>45270</v>
      </c>
      <c r="E346" s="39"/>
    </row>
    <row r="347" ht="15.75" spans="1:5">
      <c r="A347" s="32">
        <v>3045686.404</v>
      </c>
      <c r="B347" s="32">
        <v>400779.715</v>
      </c>
      <c r="C347" s="33">
        <v>613.93</v>
      </c>
      <c r="D347" s="11">
        <v>45271</v>
      </c>
      <c r="E347" s="39"/>
    </row>
    <row r="348" ht="15.75" spans="1:5">
      <c r="A348" s="32">
        <v>3045686.404</v>
      </c>
      <c r="B348" s="32">
        <v>400779.715</v>
      </c>
      <c r="C348" s="33">
        <v>613.93</v>
      </c>
      <c r="D348" s="11">
        <v>45272</v>
      </c>
      <c r="E348" s="39"/>
    </row>
    <row r="349" ht="15.75" spans="1:5">
      <c r="A349" s="32">
        <v>3045686.404</v>
      </c>
      <c r="B349" s="32">
        <v>400779.715</v>
      </c>
      <c r="C349" s="33">
        <v>613.93</v>
      </c>
      <c r="D349" s="11">
        <v>45273</v>
      </c>
      <c r="E349" s="39"/>
    </row>
    <row r="350" ht="15.75" spans="1:5">
      <c r="A350" s="32">
        <v>3045686.404</v>
      </c>
      <c r="B350" s="32">
        <v>400779.715</v>
      </c>
      <c r="C350" s="33">
        <v>613.93</v>
      </c>
      <c r="D350" s="11">
        <v>45274</v>
      </c>
      <c r="E350" s="39">
        <v>631.9</v>
      </c>
    </row>
    <row r="351" ht="15.75" spans="1:5">
      <c r="A351" s="32">
        <v>3045686.404</v>
      </c>
      <c r="B351" s="32">
        <v>400779.715</v>
      </c>
      <c r="C351" s="33">
        <v>613.93</v>
      </c>
      <c r="D351" s="11">
        <v>45275</v>
      </c>
      <c r="E351" s="39">
        <v>628.2</v>
      </c>
    </row>
    <row r="352" ht="15.75" spans="1:5">
      <c r="A352" s="32">
        <v>3045686.404</v>
      </c>
      <c r="B352" s="32">
        <v>400779.715</v>
      </c>
      <c r="C352" s="33">
        <v>613.93</v>
      </c>
      <c r="D352" s="11">
        <v>45276</v>
      </c>
      <c r="E352" s="39">
        <v>617.2</v>
      </c>
    </row>
    <row r="353" ht="15.75" spans="1:5">
      <c r="A353" s="32">
        <v>3045686.404</v>
      </c>
      <c r="B353" s="32">
        <v>400779.715</v>
      </c>
      <c r="C353" s="33">
        <v>613.93</v>
      </c>
      <c r="D353" s="11">
        <v>45277</v>
      </c>
      <c r="E353" s="39">
        <v>617.2</v>
      </c>
    </row>
    <row r="354" ht="15.75" spans="1:5">
      <c r="A354" s="32">
        <v>3045686.404</v>
      </c>
      <c r="B354" s="32">
        <v>400779.715</v>
      </c>
      <c r="C354" s="33">
        <v>613.93</v>
      </c>
      <c r="D354" s="11">
        <v>45278</v>
      </c>
      <c r="E354" s="39">
        <v>678.925</v>
      </c>
    </row>
    <row r="355" ht="15.75" spans="1:5">
      <c r="A355" s="32">
        <v>3045686.404</v>
      </c>
      <c r="B355" s="32">
        <v>400779.715</v>
      </c>
      <c r="C355" s="33">
        <v>613.93</v>
      </c>
      <c r="D355" s="11">
        <v>45279</v>
      </c>
      <c r="E355" s="39">
        <v>681.2</v>
      </c>
    </row>
    <row r="356" ht="15.75" spans="1:5">
      <c r="A356" s="32">
        <v>3045686.404</v>
      </c>
      <c r="B356" s="32">
        <v>400779.715</v>
      </c>
      <c r="C356" s="33">
        <v>613.93</v>
      </c>
      <c r="D356" s="11">
        <v>45280</v>
      </c>
      <c r="E356" s="39">
        <v>679.3</v>
      </c>
    </row>
    <row r="357" ht="15.75" spans="1:5">
      <c r="A357" s="32">
        <v>3045686.404</v>
      </c>
      <c r="B357" s="32">
        <v>400779.715</v>
      </c>
      <c r="C357" s="33">
        <v>613.93</v>
      </c>
      <c r="D357" s="11">
        <v>45281</v>
      </c>
      <c r="E357" s="39">
        <v>678.5</v>
      </c>
    </row>
    <row r="358" ht="15.75" spans="1:5">
      <c r="A358" s="32">
        <v>3045686.404</v>
      </c>
      <c r="B358" s="32">
        <v>400779.715</v>
      </c>
      <c r="C358" s="33">
        <v>613.93</v>
      </c>
      <c r="D358" s="11">
        <v>45282</v>
      </c>
      <c r="E358" s="39">
        <v>671.6</v>
      </c>
    </row>
    <row r="359" ht="15.75" spans="1:5">
      <c r="A359" s="32">
        <v>3045686.404</v>
      </c>
      <c r="B359" s="32">
        <v>400779.715</v>
      </c>
      <c r="C359" s="33">
        <v>613.93</v>
      </c>
      <c r="D359" s="11">
        <v>45283</v>
      </c>
      <c r="E359" s="39">
        <v>670.3</v>
      </c>
    </row>
    <row r="360" ht="15.75" spans="1:5">
      <c r="A360" s="32">
        <v>3045686.404</v>
      </c>
      <c r="B360" s="32">
        <v>400779.715</v>
      </c>
      <c r="C360" s="33">
        <v>613.93</v>
      </c>
      <c r="D360" s="11">
        <v>45284</v>
      </c>
      <c r="E360" s="39">
        <v>669.5</v>
      </c>
    </row>
    <row r="361" ht="15.75" spans="1:5">
      <c r="A361" s="32">
        <v>3045686.404</v>
      </c>
      <c r="B361" s="32">
        <v>400779.715</v>
      </c>
      <c r="C361" s="33">
        <v>613.93</v>
      </c>
      <c r="D361" s="11">
        <v>45285</v>
      </c>
      <c r="E361" s="39">
        <v>669.2</v>
      </c>
    </row>
    <row r="362" ht="15.75" spans="1:5">
      <c r="A362" s="32">
        <v>3045686.404</v>
      </c>
      <c r="B362" s="32">
        <v>400779.715</v>
      </c>
      <c r="C362" s="33">
        <v>613.93</v>
      </c>
      <c r="D362" s="11">
        <v>45286</v>
      </c>
      <c r="E362" s="39">
        <v>669</v>
      </c>
    </row>
    <row r="363" ht="15.75" spans="1:5">
      <c r="A363" s="32">
        <v>3045686.404</v>
      </c>
      <c r="B363" s="32">
        <v>400779.715</v>
      </c>
      <c r="C363" s="33">
        <v>613.93</v>
      </c>
      <c r="D363" s="11">
        <v>45287</v>
      </c>
      <c r="E363" s="39">
        <v>668.6</v>
      </c>
    </row>
    <row r="364" ht="15.75" spans="1:5">
      <c r="A364" s="32">
        <v>3045686.404</v>
      </c>
      <c r="B364" s="32">
        <v>400779.715</v>
      </c>
      <c r="C364" s="33">
        <v>613.93</v>
      </c>
      <c r="D364" s="11">
        <v>45288</v>
      </c>
      <c r="E364" s="39">
        <v>668.5</v>
      </c>
    </row>
    <row r="365" ht="15.75" spans="1:5">
      <c r="A365" s="32">
        <v>3045686.404</v>
      </c>
      <c r="B365" s="32">
        <v>400779.715</v>
      </c>
      <c r="C365" s="33">
        <v>613.93</v>
      </c>
      <c r="D365" s="11">
        <v>45289</v>
      </c>
      <c r="E365" s="39">
        <v>667.2</v>
      </c>
    </row>
    <row r="366" ht="15.75" spans="1:5">
      <c r="A366" s="32">
        <v>3045686.404</v>
      </c>
      <c r="B366" s="32">
        <v>400779.715</v>
      </c>
      <c r="C366" s="33">
        <v>613.93</v>
      </c>
      <c r="D366" s="11">
        <v>45290</v>
      </c>
      <c r="E366" s="39">
        <v>667.5</v>
      </c>
    </row>
    <row r="367" ht="15.75" spans="1:5">
      <c r="A367" s="32">
        <v>3045686.404</v>
      </c>
      <c r="B367" s="32">
        <v>400779.715</v>
      </c>
      <c r="C367" s="33">
        <v>613.93</v>
      </c>
      <c r="D367" s="11">
        <v>45291</v>
      </c>
      <c r="E367" s="39">
        <v>668.3</v>
      </c>
    </row>
    <row r="368" ht="15.75" spans="1:5">
      <c r="A368" s="32">
        <v>3045686.404</v>
      </c>
      <c r="B368" s="32">
        <v>400779.715</v>
      </c>
      <c r="C368" s="33">
        <v>613.93</v>
      </c>
      <c r="D368" s="11">
        <v>45292</v>
      </c>
      <c r="E368" s="39">
        <v>674.7</v>
      </c>
    </row>
    <row r="369" ht="15.75" spans="1:5">
      <c r="A369" s="32">
        <v>3045686.404</v>
      </c>
      <c r="B369" s="32">
        <v>400779.715</v>
      </c>
      <c r="C369" s="33">
        <v>613.93</v>
      </c>
      <c r="D369" s="11">
        <v>45293</v>
      </c>
      <c r="E369" s="39">
        <v>676</v>
      </c>
    </row>
    <row r="370" ht="15.75" spans="1:5">
      <c r="A370" s="32">
        <v>3045686.404</v>
      </c>
      <c r="B370" s="32">
        <v>400779.715</v>
      </c>
      <c r="C370" s="33">
        <v>613.93</v>
      </c>
      <c r="D370" s="11">
        <v>45294</v>
      </c>
      <c r="E370" s="38">
        <v>676.1</v>
      </c>
    </row>
    <row r="371" ht="15.75" spans="1:5">
      <c r="A371" s="32">
        <v>3045686.404</v>
      </c>
      <c r="B371" s="32">
        <v>400779.715</v>
      </c>
      <c r="C371" s="33">
        <v>613.93</v>
      </c>
      <c r="D371" s="11">
        <v>45295</v>
      </c>
      <c r="E371" s="39">
        <v>676.1</v>
      </c>
    </row>
    <row r="372" ht="15.75" spans="1:5">
      <c r="A372" s="32">
        <v>3045686.404</v>
      </c>
      <c r="B372" s="32">
        <v>400779.715</v>
      </c>
      <c r="C372" s="33">
        <v>613.93</v>
      </c>
      <c r="D372" s="11">
        <v>45296</v>
      </c>
      <c r="E372" s="39">
        <v>676.1</v>
      </c>
    </row>
    <row r="373" ht="15.75" spans="1:5">
      <c r="A373" s="32">
        <v>3045686.404</v>
      </c>
      <c r="B373" s="32">
        <v>400779.715</v>
      </c>
      <c r="C373" s="33">
        <v>613.93</v>
      </c>
      <c r="D373" s="11">
        <v>45297</v>
      </c>
      <c r="E373" s="39">
        <v>675.9</v>
      </c>
    </row>
    <row r="374" ht="15.75" spans="1:5">
      <c r="A374" s="32">
        <v>3045686.404</v>
      </c>
      <c r="B374" s="32">
        <v>400779.715</v>
      </c>
      <c r="C374" s="33">
        <v>613.93</v>
      </c>
      <c r="D374" s="11">
        <v>45298</v>
      </c>
      <c r="E374" s="39">
        <v>675.9</v>
      </c>
    </row>
    <row r="375" ht="15.75" spans="1:5">
      <c r="A375" s="32">
        <v>3045686.404</v>
      </c>
      <c r="B375" s="32">
        <v>400779.715</v>
      </c>
      <c r="C375" s="33">
        <v>613.93</v>
      </c>
      <c r="D375" s="11">
        <v>45299</v>
      </c>
      <c r="E375" s="39">
        <v>674.8</v>
      </c>
    </row>
    <row r="376" ht="15.75" spans="1:5">
      <c r="A376" s="32">
        <v>3045686.404</v>
      </c>
      <c r="B376" s="32">
        <v>400779.715</v>
      </c>
      <c r="C376" s="33">
        <v>613.93</v>
      </c>
      <c r="D376" s="11">
        <v>45300</v>
      </c>
      <c r="E376" s="39">
        <v>674</v>
      </c>
    </row>
    <row r="377" ht="15.75" spans="1:5">
      <c r="A377" s="32">
        <v>3045686.404</v>
      </c>
      <c r="B377" s="32">
        <v>400779.715</v>
      </c>
      <c r="C377" s="33">
        <v>613.93</v>
      </c>
      <c r="D377" s="11">
        <v>45301</v>
      </c>
      <c r="E377" s="39">
        <v>673.9</v>
      </c>
    </row>
    <row r="378" ht="15.75" spans="1:5">
      <c r="A378" s="32">
        <v>3045686.404</v>
      </c>
      <c r="B378" s="32">
        <v>400779.715</v>
      </c>
      <c r="C378" s="33">
        <v>613.93</v>
      </c>
      <c r="D378" s="11">
        <v>45302</v>
      </c>
      <c r="E378" s="39">
        <v>673.9</v>
      </c>
    </row>
    <row r="379" ht="15.75" spans="1:5">
      <c r="A379" s="32">
        <v>3045686.404</v>
      </c>
      <c r="B379" s="32">
        <v>400779.715</v>
      </c>
      <c r="C379" s="33">
        <v>613.93</v>
      </c>
      <c r="D379" s="11">
        <v>45303</v>
      </c>
      <c r="E379" s="39">
        <v>672.1</v>
      </c>
    </row>
    <row r="380" ht="15.75" spans="1:5">
      <c r="A380" s="32">
        <v>3045686.404</v>
      </c>
      <c r="B380" s="32">
        <v>400779.715</v>
      </c>
      <c r="C380" s="33">
        <v>613.93</v>
      </c>
      <c r="D380" s="11">
        <v>45304</v>
      </c>
      <c r="E380" s="43">
        <v>672.3</v>
      </c>
    </row>
    <row r="381" ht="15.75" spans="1:5">
      <c r="A381" s="32">
        <v>3045686.404</v>
      </c>
      <c r="B381" s="32">
        <v>400779.715</v>
      </c>
      <c r="C381" s="33">
        <v>613.93</v>
      </c>
      <c r="D381" s="11">
        <v>45305</v>
      </c>
      <c r="E381" s="43">
        <v>631.55</v>
      </c>
    </row>
    <row r="382" ht="15.75" spans="1:5">
      <c r="A382" s="32">
        <v>3045686.404</v>
      </c>
      <c r="B382" s="32">
        <v>400779.715</v>
      </c>
      <c r="C382" s="33">
        <v>613.93</v>
      </c>
      <c r="D382" s="11">
        <v>45306</v>
      </c>
      <c r="E382" s="43">
        <v>622.7</v>
      </c>
    </row>
    <row r="383" ht="15.75" spans="1:5">
      <c r="A383" s="32">
        <v>3045686.404</v>
      </c>
      <c r="B383" s="32">
        <v>400779.715</v>
      </c>
      <c r="C383" s="33">
        <v>613.93</v>
      </c>
      <c r="D383" s="11">
        <v>45307</v>
      </c>
      <c r="E383" s="43">
        <v>622.7</v>
      </c>
    </row>
    <row r="384" ht="15.75" spans="1:5">
      <c r="A384" s="32">
        <v>3045686.404</v>
      </c>
      <c r="B384" s="32">
        <v>400779.715</v>
      </c>
      <c r="C384" s="33">
        <v>613.93</v>
      </c>
      <c r="D384" s="11">
        <v>45308</v>
      </c>
      <c r="E384" s="39">
        <v>622.7</v>
      </c>
    </row>
    <row r="385" ht="15.75" spans="1:5">
      <c r="A385" s="32">
        <v>3045686.404</v>
      </c>
      <c r="B385" s="32">
        <v>400779.715</v>
      </c>
      <c r="C385" s="33">
        <v>613.93</v>
      </c>
      <c r="D385" s="11">
        <v>45309</v>
      </c>
      <c r="E385" s="39">
        <v>622.7</v>
      </c>
    </row>
    <row r="386" ht="15.75" spans="1:5">
      <c r="A386" s="32">
        <v>3045686.404</v>
      </c>
      <c r="B386" s="32">
        <v>400779.715</v>
      </c>
      <c r="C386" s="33">
        <v>613.93</v>
      </c>
      <c r="D386" s="11">
        <v>45310</v>
      </c>
      <c r="E386" s="39">
        <v>622</v>
      </c>
    </row>
    <row r="387" ht="15.75" spans="1:5">
      <c r="A387" s="32">
        <v>3045686.404</v>
      </c>
      <c r="B387" s="32">
        <v>400779.715</v>
      </c>
      <c r="C387" s="33">
        <v>613.93</v>
      </c>
      <c r="D387" s="11">
        <v>45311</v>
      </c>
      <c r="E387" s="39">
        <v>621.9</v>
      </c>
    </row>
    <row r="388" ht="15.75" spans="1:5">
      <c r="A388" s="32">
        <v>3045686.404</v>
      </c>
      <c r="B388" s="32">
        <v>400779.715</v>
      </c>
      <c r="C388" s="33">
        <v>613.93</v>
      </c>
      <c r="D388" s="11">
        <v>45312</v>
      </c>
      <c r="E388" s="39">
        <v>621.9</v>
      </c>
    </row>
    <row r="389" ht="15.75" spans="1:5">
      <c r="A389" s="32">
        <v>3045686.404</v>
      </c>
      <c r="B389" s="32">
        <v>400779.715</v>
      </c>
      <c r="C389" s="33">
        <v>613.93</v>
      </c>
      <c r="D389" s="11">
        <v>45313</v>
      </c>
      <c r="E389" s="44">
        <v>621.9</v>
      </c>
    </row>
    <row r="390" ht="15.75" spans="1:5">
      <c r="A390" s="32">
        <v>3045686.404</v>
      </c>
      <c r="B390" s="32">
        <v>400779.715</v>
      </c>
      <c r="C390" s="33">
        <v>613.93</v>
      </c>
      <c r="D390" s="11">
        <v>45314</v>
      </c>
      <c r="E390" s="44">
        <v>621.9</v>
      </c>
    </row>
    <row r="391" ht="15.75" spans="1:5">
      <c r="A391" s="32">
        <v>3045686.404</v>
      </c>
      <c r="B391" s="32">
        <v>400779.715</v>
      </c>
      <c r="C391" s="33">
        <v>613.93</v>
      </c>
      <c r="D391" s="11">
        <v>45315</v>
      </c>
      <c r="E391" s="44">
        <v>621.9</v>
      </c>
    </row>
    <row r="392" ht="15.75" spans="1:5">
      <c r="A392" s="32">
        <v>3045686.404</v>
      </c>
      <c r="B392" s="32">
        <v>400779.715</v>
      </c>
      <c r="C392" s="33">
        <v>613.93</v>
      </c>
      <c r="D392" s="11">
        <v>45316</v>
      </c>
      <c r="E392" s="44">
        <v>621.9</v>
      </c>
    </row>
    <row r="393" ht="15.75" spans="1:5">
      <c r="A393" s="32">
        <v>3045686.404</v>
      </c>
      <c r="B393" s="32">
        <v>400779.715</v>
      </c>
      <c r="C393" s="33">
        <v>613.93</v>
      </c>
      <c r="D393" s="11">
        <v>45317</v>
      </c>
      <c r="E393" s="44">
        <v>621.9</v>
      </c>
    </row>
    <row r="394" ht="15.75" spans="1:5">
      <c r="A394" s="32">
        <v>3045686.404</v>
      </c>
      <c r="B394" s="32">
        <v>400779.715</v>
      </c>
      <c r="C394" s="33">
        <v>613.93</v>
      </c>
      <c r="D394" s="11">
        <v>45318</v>
      </c>
      <c r="E394" s="44">
        <v>621.9</v>
      </c>
    </row>
    <row r="395" ht="15.75" spans="1:5">
      <c r="A395" s="32">
        <v>3045686.404</v>
      </c>
      <c r="B395" s="32">
        <v>400779.715</v>
      </c>
      <c r="C395" s="33">
        <v>613.93</v>
      </c>
      <c r="D395" s="11">
        <v>45319</v>
      </c>
      <c r="E395" s="44">
        <v>645.175</v>
      </c>
    </row>
    <row r="396" ht="15.75" spans="1:5">
      <c r="A396" s="32">
        <v>3045686.404</v>
      </c>
      <c r="B396" s="32">
        <v>400779.715</v>
      </c>
      <c r="C396" s="33">
        <v>613.93</v>
      </c>
      <c r="D396" s="11">
        <v>45320</v>
      </c>
      <c r="E396" s="44">
        <v>665.8</v>
      </c>
    </row>
    <row r="397" ht="15.75" spans="1:5">
      <c r="A397" s="32">
        <v>3045686.404</v>
      </c>
      <c r="B397" s="32">
        <v>400779.715</v>
      </c>
      <c r="C397" s="33">
        <v>613.93</v>
      </c>
      <c r="D397" s="11">
        <v>45321</v>
      </c>
      <c r="E397" s="44">
        <v>668.6</v>
      </c>
    </row>
    <row r="398" ht="15.75" spans="1:5">
      <c r="A398" s="32">
        <v>3045686.404</v>
      </c>
      <c r="B398" s="32">
        <v>400779.715</v>
      </c>
      <c r="C398" s="33">
        <v>613.93</v>
      </c>
      <c r="D398" s="11">
        <v>45322</v>
      </c>
      <c r="E398" s="44">
        <v>674.7</v>
      </c>
    </row>
    <row r="399" ht="15.75" spans="1:5">
      <c r="A399" s="32">
        <v>3045686.404</v>
      </c>
      <c r="B399" s="32">
        <v>400779.715</v>
      </c>
      <c r="C399" s="33">
        <v>613.93</v>
      </c>
      <c r="D399" s="11">
        <v>45323</v>
      </c>
      <c r="E399" s="44">
        <v>675.9</v>
      </c>
    </row>
    <row r="400" ht="15.75" spans="1:5">
      <c r="A400" s="32">
        <v>3045686.404</v>
      </c>
      <c r="B400" s="32">
        <v>400779.715</v>
      </c>
      <c r="C400" s="33">
        <v>613.93</v>
      </c>
      <c r="D400" s="11">
        <v>45324</v>
      </c>
      <c r="E400" s="44">
        <v>676</v>
      </c>
    </row>
    <row r="401" ht="15.75" spans="1:5">
      <c r="A401" s="32">
        <v>3045686.404</v>
      </c>
      <c r="B401" s="32">
        <v>400779.715</v>
      </c>
      <c r="C401" s="33">
        <v>613.93</v>
      </c>
      <c r="D401" s="11">
        <v>45325</v>
      </c>
      <c r="E401" s="44">
        <v>665</v>
      </c>
    </row>
    <row r="402" ht="15.75" spans="1:5">
      <c r="A402" s="32">
        <v>3045686.404</v>
      </c>
      <c r="B402" s="32">
        <v>400779.715</v>
      </c>
      <c r="C402" s="33">
        <v>613.93</v>
      </c>
      <c r="D402" s="11">
        <v>45326</v>
      </c>
      <c r="E402" s="44">
        <v>663.9</v>
      </c>
    </row>
    <row r="403" ht="15.75" spans="1:5">
      <c r="A403" s="32">
        <v>3045686.404</v>
      </c>
      <c r="B403" s="32">
        <v>400779.715</v>
      </c>
      <c r="C403" s="33">
        <v>613.93</v>
      </c>
      <c r="D403" s="11">
        <v>45327</v>
      </c>
      <c r="E403" s="44">
        <v>663.5</v>
      </c>
    </row>
    <row r="404" ht="15.75" spans="1:5">
      <c r="A404" s="32">
        <v>3045686.404</v>
      </c>
      <c r="B404" s="32">
        <v>400779.715</v>
      </c>
      <c r="C404" s="33">
        <v>613.93</v>
      </c>
      <c r="D404" s="11">
        <v>45328</v>
      </c>
      <c r="E404" s="44">
        <v>663.2</v>
      </c>
    </row>
    <row r="405" ht="15.75" spans="1:5">
      <c r="A405" s="32">
        <v>3045686.404</v>
      </c>
      <c r="B405" s="32">
        <v>400779.715</v>
      </c>
      <c r="C405" s="33">
        <v>613.93</v>
      </c>
      <c r="D405" s="11">
        <v>45329</v>
      </c>
      <c r="E405" s="44">
        <v>663.1</v>
      </c>
    </row>
    <row r="406" ht="15.75" spans="1:5">
      <c r="A406" s="32">
        <v>3045686.404</v>
      </c>
      <c r="B406" s="32">
        <v>400779.715</v>
      </c>
      <c r="C406" s="33">
        <v>613.93</v>
      </c>
      <c r="D406" s="11">
        <v>45330</v>
      </c>
      <c r="E406" s="44">
        <v>662.9</v>
      </c>
    </row>
    <row r="407" ht="15.75" spans="1:5">
      <c r="A407" s="32">
        <v>3045686.404</v>
      </c>
      <c r="B407" s="32">
        <v>400779.715</v>
      </c>
      <c r="C407" s="33">
        <v>613.93</v>
      </c>
      <c r="D407" s="11">
        <v>45331</v>
      </c>
      <c r="E407" s="44">
        <v>662.7</v>
      </c>
    </row>
    <row r="408" ht="15.75" spans="1:5">
      <c r="A408" s="32">
        <v>3045686.404</v>
      </c>
      <c r="B408" s="32">
        <v>400779.715</v>
      </c>
      <c r="C408" s="33">
        <v>613.93</v>
      </c>
      <c r="D408" s="11">
        <v>45332</v>
      </c>
      <c r="E408" s="44">
        <v>662.5</v>
      </c>
    </row>
    <row r="409" ht="15.75" spans="1:5">
      <c r="A409" s="32">
        <v>3045686.404</v>
      </c>
      <c r="B409" s="32">
        <v>400779.715</v>
      </c>
      <c r="C409" s="33">
        <v>613.93</v>
      </c>
      <c r="D409" s="11">
        <v>45333</v>
      </c>
      <c r="E409" s="44">
        <v>671.8</v>
      </c>
    </row>
    <row r="410" ht="15.75" spans="1:5">
      <c r="A410" s="32">
        <v>3045686.404</v>
      </c>
      <c r="B410" s="32">
        <v>400779.715</v>
      </c>
      <c r="C410" s="33">
        <v>613.93</v>
      </c>
      <c r="D410" s="11">
        <v>45334</v>
      </c>
      <c r="E410" s="44">
        <v>673.8</v>
      </c>
    </row>
    <row r="411" ht="15.75" spans="1:5">
      <c r="A411" s="32">
        <v>3045686.404</v>
      </c>
      <c r="B411" s="32">
        <v>400779.715</v>
      </c>
      <c r="C411" s="33">
        <v>613.93</v>
      </c>
      <c r="D411" s="11">
        <v>45335</v>
      </c>
      <c r="E411" s="44"/>
    </row>
    <row r="412" ht="15.75" spans="1:5">
      <c r="A412" s="32">
        <v>3045686.404</v>
      </c>
      <c r="B412" s="32">
        <v>400779.715</v>
      </c>
      <c r="C412" s="33">
        <v>613.93</v>
      </c>
      <c r="D412" s="11">
        <v>45336</v>
      </c>
      <c r="E412" s="45"/>
    </row>
    <row r="413" ht="15.75" spans="1:5">
      <c r="A413" s="32">
        <v>3045686.404</v>
      </c>
      <c r="B413" s="32">
        <v>400779.715</v>
      </c>
      <c r="C413" s="33">
        <v>613.93</v>
      </c>
      <c r="D413" s="11">
        <v>45337</v>
      </c>
      <c r="E413" s="37"/>
    </row>
    <row r="414" ht="15.75" spans="1:5">
      <c r="A414" s="32">
        <v>3045686.404</v>
      </c>
      <c r="B414" s="32">
        <v>400779.715</v>
      </c>
      <c r="C414" s="33">
        <v>613.93</v>
      </c>
      <c r="D414" s="11">
        <v>45338</v>
      </c>
      <c r="E414" s="37"/>
    </row>
    <row r="415" ht="15.75" spans="1:5">
      <c r="A415" s="32">
        <v>3045686.404</v>
      </c>
      <c r="B415" s="32">
        <v>400779.715</v>
      </c>
      <c r="C415" s="33">
        <v>613.93</v>
      </c>
      <c r="D415" s="11">
        <v>45339</v>
      </c>
      <c r="E415" s="37"/>
    </row>
    <row r="416" ht="15.75" spans="1:5">
      <c r="A416" s="32">
        <v>3045686.404</v>
      </c>
      <c r="B416" s="32">
        <v>400779.715</v>
      </c>
      <c r="C416" s="33">
        <v>613.93</v>
      </c>
      <c r="D416" s="11">
        <v>45340</v>
      </c>
      <c r="E416" s="37"/>
    </row>
    <row r="417" ht="15.75" spans="1:5">
      <c r="A417" s="32">
        <v>3045686.404</v>
      </c>
      <c r="B417" s="32">
        <v>400779.715</v>
      </c>
      <c r="C417" s="33">
        <v>613.93</v>
      </c>
      <c r="D417" s="11">
        <v>45341</v>
      </c>
      <c r="E417" s="44"/>
    </row>
    <row r="418" ht="15.75" spans="1:5">
      <c r="A418" s="32">
        <v>3045686.404</v>
      </c>
      <c r="B418" s="32">
        <v>400779.715</v>
      </c>
      <c r="C418" s="33">
        <v>613.93</v>
      </c>
      <c r="D418" s="11">
        <v>45342</v>
      </c>
      <c r="E418" s="44"/>
    </row>
    <row r="419" ht="15.75" spans="1:5">
      <c r="A419" s="32">
        <v>3045686.404</v>
      </c>
      <c r="B419" s="32">
        <v>400779.715</v>
      </c>
      <c r="C419" s="33">
        <v>613.93</v>
      </c>
      <c r="D419" s="11">
        <v>45343</v>
      </c>
      <c r="E419" s="44"/>
    </row>
    <row r="420" ht="15.75" spans="1:5">
      <c r="A420" s="32">
        <v>3045686.404</v>
      </c>
      <c r="B420" s="32">
        <v>400779.715</v>
      </c>
      <c r="C420" s="33">
        <v>613.93</v>
      </c>
      <c r="D420" s="11">
        <v>45344</v>
      </c>
      <c r="E420" s="44"/>
    </row>
    <row r="421" ht="15.75" spans="1:5">
      <c r="A421" s="32">
        <v>3045686.404</v>
      </c>
      <c r="B421" s="32">
        <v>400779.715</v>
      </c>
      <c r="C421" s="33">
        <v>613.93</v>
      </c>
      <c r="D421" s="11">
        <v>45345</v>
      </c>
      <c r="E421" s="44"/>
    </row>
    <row r="422" ht="15.75" spans="1:5">
      <c r="A422" s="32">
        <v>3045686.404</v>
      </c>
      <c r="B422" s="32">
        <v>400779.715</v>
      </c>
      <c r="C422" s="33">
        <v>613.93</v>
      </c>
      <c r="D422" s="11">
        <v>45346</v>
      </c>
      <c r="E422" s="44">
        <v>668.8</v>
      </c>
    </row>
    <row r="423" ht="15.75" spans="1:5">
      <c r="A423" s="32">
        <v>3045686.404</v>
      </c>
      <c r="B423" s="32">
        <v>400779.715</v>
      </c>
      <c r="C423" s="33">
        <v>613.93</v>
      </c>
      <c r="D423" s="11">
        <v>45347</v>
      </c>
      <c r="E423" s="44">
        <v>671</v>
      </c>
    </row>
    <row r="424" ht="15.75" spans="1:5">
      <c r="A424" s="32">
        <v>3045686.404</v>
      </c>
      <c r="B424" s="32">
        <v>400779.715</v>
      </c>
      <c r="C424" s="33">
        <v>613.93</v>
      </c>
      <c r="D424" s="11">
        <v>45348</v>
      </c>
      <c r="E424" s="44">
        <v>632.075</v>
      </c>
    </row>
    <row r="425" ht="15.75" spans="1:5">
      <c r="A425" s="32">
        <v>3045686.404</v>
      </c>
      <c r="B425" s="32">
        <v>400779.715</v>
      </c>
      <c r="C425" s="33">
        <v>613.93</v>
      </c>
      <c r="D425" s="11">
        <v>45349</v>
      </c>
      <c r="E425" s="44">
        <v>626.4</v>
      </c>
    </row>
    <row r="426" ht="15.75" spans="1:5">
      <c r="A426" s="32">
        <v>3045686.404</v>
      </c>
      <c r="B426" s="32">
        <v>400779.715</v>
      </c>
      <c r="C426" s="33">
        <v>613.93</v>
      </c>
      <c r="D426" s="11">
        <v>45350</v>
      </c>
      <c r="E426" s="44">
        <v>655.4</v>
      </c>
    </row>
    <row r="427" ht="15.75" spans="1:5">
      <c r="A427" s="32">
        <v>3045686.404</v>
      </c>
      <c r="B427" s="32">
        <v>400779.715</v>
      </c>
      <c r="C427" s="33">
        <v>613.93</v>
      </c>
      <c r="D427" s="11">
        <v>45351</v>
      </c>
      <c r="E427" s="44">
        <v>670</v>
      </c>
    </row>
    <row r="428" ht="15.75" spans="1:5">
      <c r="A428" s="32">
        <v>3045686.404</v>
      </c>
      <c r="B428" s="32">
        <v>400779.715</v>
      </c>
      <c r="C428" s="33">
        <v>613.93</v>
      </c>
      <c r="D428" s="11">
        <v>45352</v>
      </c>
      <c r="E428" s="44">
        <v>671.1</v>
      </c>
    </row>
    <row r="429" ht="15.75" spans="1:5">
      <c r="A429" s="32">
        <v>3045686.404</v>
      </c>
      <c r="B429" s="32">
        <v>400779.715</v>
      </c>
      <c r="C429" s="33">
        <v>613.93</v>
      </c>
      <c r="D429" s="11">
        <v>45353</v>
      </c>
      <c r="E429" s="44">
        <v>671.5</v>
      </c>
    </row>
    <row r="430" ht="15.75" spans="1:5">
      <c r="A430" s="32">
        <v>3045686.404</v>
      </c>
      <c r="B430" s="32">
        <v>400779.715</v>
      </c>
      <c r="C430" s="33">
        <v>613.93</v>
      </c>
      <c r="D430" s="11">
        <v>45354</v>
      </c>
      <c r="E430" s="44">
        <v>671.5</v>
      </c>
    </row>
    <row r="431" ht="15.75" spans="1:5">
      <c r="A431" s="32">
        <v>3045686.404</v>
      </c>
      <c r="B431" s="32">
        <v>400779.715</v>
      </c>
      <c r="C431" s="33">
        <v>613.93</v>
      </c>
      <c r="D431" s="11">
        <v>45355</v>
      </c>
      <c r="E431" s="44">
        <v>671.6</v>
      </c>
    </row>
    <row r="432" ht="15.75" spans="1:5">
      <c r="A432" s="32">
        <v>3045686.404</v>
      </c>
      <c r="B432" s="32">
        <v>400779.715</v>
      </c>
      <c r="C432" s="33">
        <v>613.93</v>
      </c>
      <c r="D432" s="11">
        <v>45356</v>
      </c>
      <c r="E432" s="44">
        <v>671.5</v>
      </c>
    </row>
    <row r="433" ht="15.75" spans="1:5">
      <c r="A433" s="32">
        <v>3045686.404</v>
      </c>
      <c r="B433" s="32">
        <v>400779.715</v>
      </c>
      <c r="C433" s="33">
        <v>613.93</v>
      </c>
      <c r="D433" s="11">
        <v>45357</v>
      </c>
      <c r="E433" s="44">
        <v>671.3</v>
      </c>
    </row>
    <row r="434" ht="15.75" spans="1:5">
      <c r="A434" s="32">
        <v>3045686.404</v>
      </c>
      <c r="B434" s="32">
        <v>400779.715</v>
      </c>
      <c r="C434" s="33">
        <v>613.93</v>
      </c>
      <c r="D434" s="11">
        <v>45358</v>
      </c>
      <c r="E434" s="44">
        <v>671.1</v>
      </c>
    </row>
    <row r="435" ht="15.75" spans="1:5">
      <c r="A435" s="32">
        <v>3045686.404</v>
      </c>
      <c r="B435" s="32">
        <v>400779.715</v>
      </c>
      <c r="C435" s="33">
        <v>613.93</v>
      </c>
      <c r="D435" s="11">
        <v>45359</v>
      </c>
      <c r="E435" s="44">
        <v>670.9</v>
      </c>
    </row>
    <row r="436" ht="15.75" spans="1:5">
      <c r="A436" s="32">
        <v>3045686.404</v>
      </c>
      <c r="B436" s="32">
        <v>400779.715</v>
      </c>
      <c r="C436" s="33">
        <v>613.93</v>
      </c>
      <c r="D436" s="11">
        <v>45360</v>
      </c>
      <c r="E436" s="44">
        <v>665</v>
      </c>
    </row>
    <row r="437" ht="15.75" spans="1:5">
      <c r="A437" s="32">
        <v>3045686.404</v>
      </c>
      <c r="B437" s="32">
        <v>400779.715</v>
      </c>
      <c r="C437" s="33">
        <v>613.93</v>
      </c>
      <c r="D437" s="11">
        <v>45361</v>
      </c>
      <c r="E437" s="44">
        <v>664</v>
      </c>
    </row>
    <row r="438" ht="15.75" spans="1:5">
      <c r="A438" s="32">
        <v>3045686.404</v>
      </c>
      <c r="B438" s="32">
        <v>400779.715</v>
      </c>
      <c r="C438" s="33">
        <v>613.93</v>
      </c>
      <c r="D438" s="11">
        <v>45362</v>
      </c>
      <c r="E438" s="44">
        <v>663.8</v>
      </c>
    </row>
    <row r="439" ht="15.75" spans="1:5">
      <c r="A439" s="32">
        <v>3045686.404</v>
      </c>
      <c r="B439" s="32">
        <v>400779.715</v>
      </c>
      <c r="C439" s="33">
        <v>613.93</v>
      </c>
      <c r="D439" s="11">
        <v>45363</v>
      </c>
      <c r="E439" s="44">
        <v>663.8</v>
      </c>
    </row>
    <row r="440" ht="15.75" spans="1:5">
      <c r="A440" s="32">
        <v>3045686.404</v>
      </c>
      <c r="B440" s="32">
        <v>400779.715</v>
      </c>
      <c r="C440" s="33">
        <v>613.93</v>
      </c>
      <c r="D440" s="11">
        <v>45364</v>
      </c>
      <c r="E440" s="44">
        <v>663.7</v>
      </c>
    </row>
    <row r="441" ht="15.75" spans="1:5">
      <c r="A441" s="32">
        <v>3045686.404</v>
      </c>
      <c r="B441" s="32">
        <v>400779.715</v>
      </c>
      <c r="C441" s="33">
        <v>613.93</v>
      </c>
      <c r="D441" s="11">
        <v>45365</v>
      </c>
      <c r="E441" s="44">
        <v>630.65</v>
      </c>
    </row>
    <row r="442" ht="15.75" spans="1:5">
      <c r="A442" s="32">
        <v>3045686.404</v>
      </c>
      <c r="B442" s="32">
        <v>400779.715</v>
      </c>
      <c r="C442" s="33">
        <v>613.93</v>
      </c>
      <c r="D442" s="11">
        <v>45366</v>
      </c>
      <c r="E442" s="44">
        <v>621.1</v>
      </c>
    </row>
    <row r="443" ht="15.75" spans="1:5">
      <c r="A443" s="32">
        <v>3045686.404</v>
      </c>
      <c r="B443" s="32">
        <v>400779.715</v>
      </c>
      <c r="C443" s="33">
        <v>613.93</v>
      </c>
      <c r="D443" s="11">
        <v>45367</v>
      </c>
      <c r="E443" s="44">
        <v>620.6</v>
      </c>
    </row>
    <row r="444" ht="15.75" spans="1:5">
      <c r="A444" s="32">
        <v>3045686.404</v>
      </c>
      <c r="B444" s="32">
        <v>400779.715</v>
      </c>
      <c r="C444" s="33">
        <v>613.93</v>
      </c>
      <c r="D444" s="11">
        <v>45368</v>
      </c>
      <c r="E444" s="44">
        <v>620.5</v>
      </c>
    </row>
    <row r="445" ht="15.75" spans="1:5">
      <c r="A445" s="32">
        <v>3045686.404</v>
      </c>
      <c r="B445" s="32">
        <v>400779.715</v>
      </c>
      <c r="C445" s="33">
        <v>613.93</v>
      </c>
      <c r="D445" s="11">
        <v>45369</v>
      </c>
      <c r="E445" s="44">
        <v>620.4</v>
      </c>
    </row>
    <row r="446" ht="15.75" spans="1:5">
      <c r="A446" s="32">
        <v>3045686.404</v>
      </c>
      <c r="B446" s="32">
        <v>400779.715</v>
      </c>
      <c r="C446" s="33">
        <v>613.93</v>
      </c>
      <c r="D446" s="11">
        <v>45370</v>
      </c>
      <c r="E446" s="44">
        <v>620.4</v>
      </c>
    </row>
    <row r="447" ht="15.75" spans="1:5">
      <c r="A447" s="32">
        <v>3045686.404</v>
      </c>
      <c r="B447" s="32">
        <v>400779.715</v>
      </c>
      <c r="C447" s="33">
        <v>613.93</v>
      </c>
      <c r="D447" s="11">
        <v>45371</v>
      </c>
      <c r="E447" s="44">
        <v>620.3</v>
      </c>
    </row>
    <row r="448" ht="15.75" spans="1:5">
      <c r="A448" s="32">
        <v>3045686.404</v>
      </c>
      <c r="B448" s="32">
        <v>400779.715</v>
      </c>
      <c r="C448" s="33">
        <v>613.93</v>
      </c>
      <c r="D448" s="11">
        <v>45372</v>
      </c>
      <c r="E448" s="44">
        <v>620.3</v>
      </c>
    </row>
    <row r="449" ht="15.75" spans="1:5">
      <c r="A449" s="32">
        <v>3045686.404</v>
      </c>
      <c r="B449" s="32">
        <v>400779.715</v>
      </c>
      <c r="C449" s="33">
        <v>613.93</v>
      </c>
      <c r="D449" s="11">
        <v>45373</v>
      </c>
      <c r="E449" s="44">
        <v>620.2</v>
      </c>
    </row>
    <row r="450" ht="15.75" spans="1:5">
      <c r="A450" s="32">
        <v>3045686.404</v>
      </c>
      <c r="B450" s="32">
        <v>400779.715</v>
      </c>
      <c r="C450" s="33">
        <v>613.93</v>
      </c>
      <c r="D450" s="11">
        <v>45374</v>
      </c>
      <c r="E450" s="44">
        <v>620.2</v>
      </c>
    </row>
    <row r="451" ht="15.75" spans="1:5">
      <c r="A451" s="32">
        <v>3045686.404</v>
      </c>
      <c r="B451" s="32">
        <v>400779.715</v>
      </c>
      <c r="C451" s="33">
        <v>613.93</v>
      </c>
      <c r="D451" s="11">
        <v>45375</v>
      </c>
      <c r="E451" s="44">
        <v>616.9</v>
      </c>
    </row>
    <row r="452" ht="15.75" spans="1:5">
      <c r="A452" s="32">
        <v>3045686.404</v>
      </c>
      <c r="B452" s="32">
        <v>400779.715</v>
      </c>
      <c r="C452" s="33">
        <v>613.93</v>
      </c>
      <c r="D452" s="11">
        <v>45376</v>
      </c>
      <c r="E452" s="44">
        <v>617.1</v>
      </c>
    </row>
    <row r="453" ht="15.75" spans="1:5">
      <c r="A453" s="32">
        <v>3045686.404</v>
      </c>
      <c r="B453" s="32">
        <v>400779.715</v>
      </c>
      <c r="C453" s="33">
        <v>613.93</v>
      </c>
      <c r="D453" s="11">
        <v>45377</v>
      </c>
      <c r="E453" s="44">
        <v>616.9</v>
      </c>
    </row>
    <row r="454" ht="15.75" spans="1:5">
      <c r="A454" s="32">
        <v>3045686.404</v>
      </c>
      <c r="B454" s="32">
        <v>400779.715</v>
      </c>
      <c r="C454" s="33">
        <v>613.93</v>
      </c>
      <c r="D454" s="11">
        <v>45378</v>
      </c>
      <c r="E454" s="44">
        <v>617.1</v>
      </c>
    </row>
    <row r="455" ht="15.75" spans="1:5">
      <c r="A455" s="32">
        <v>3045686.404</v>
      </c>
      <c r="B455" s="32">
        <v>400779.715</v>
      </c>
      <c r="C455" s="33">
        <v>613.93</v>
      </c>
      <c r="D455" s="11">
        <v>45379</v>
      </c>
      <c r="E455" s="44">
        <v>616.9</v>
      </c>
    </row>
    <row r="456" ht="15.75" spans="1:5">
      <c r="A456" s="32">
        <v>3045686.404</v>
      </c>
      <c r="B456" s="32">
        <v>400779.715</v>
      </c>
      <c r="C456" s="33">
        <v>613.93</v>
      </c>
      <c r="D456" s="11">
        <v>45380</v>
      </c>
      <c r="E456" s="44">
        <v>616.9</v>
      </c>
    </row>
    <row r="457" ht="15.75" spans="1:5">
      <c r="A457" s="32">
        <v>3045686.404</v>
      </c>
      <c r="B457" s="32">
        <v>400779.715</v>
      </c>
      <c r="C457" s="33">
        <v>613.93</v>
      </c>
      <c r="D457" s="11">
        <v>45381</v>
      </c>
      <c r="E457" s="44">
        <v>616.9</v>
      </c>
    </row>
    <row r="458" ht="15.75" spans="1:5">
      <c r="A458" s="32">
        <v>3045686.404</v>
      </c>
      <c r="B458" s="32">
        <v>400779.715</v>
      </c>
      <c r="C458" s="33">
        <v>613.93</v>
      </c>
      <c r="D458" s="11">
        <v>45382</v>
      </c>
      <c r="E458" s="44">
        <v>617.1</v>
      </c>
    </row>
    <row r="459" ht="15.75" spans="1:5">
      <c r="A459" s="32">
        <v>3045686.404</v>
      </c>
      <c r="B459" s="32">
        <v>400779.715</v>
      </c>
      <c r="C459" s="33">
        <v>613.93</v>
      </c>
      <c r="D459" s="11">
        <v>45383</v>
      </c>
      <c r="E459" s="44">
        <v>617</v>
      </c>
    </row>
    <row r="460" ht="15.75" spans="1:5">
      <c r="A460" s="32">
        <v>3045686.404</v>
      </c>
      <c r="B460" s="32">
        <v>400779.715</v>
      </c>
      <c r="C460" s="33">
        <v>613.93</v>
      </c>
      <c r="D460" s="11">
        <v>45384</v>
      </c>
      <c r="E460" s="44">
        <v>616.9</v>
      </c>
    </row>
    <row r="461" ht="15.75" spans="1:5">
      <c r="A461" s="32">
        <v>3045686.404</v>
      </c>
      <c r="B461" s="32">
        <v>400779.715</v>
      </c>
      <c r="C461" s="33">
        <v>613.93</v>
      </c>
      <c r="D461" s="11">
        <v>45385</v>
      </c>
      <c r="E461" s="44">
        <v>616.9</v>
      </c>
    </row>
    <row r="462" ht="15.75" spans="1:5">
      <c r="A462" s="32">
        <v>3045686.404</v>
      </c>
      <c r="B462" s="32">
        <v>400779.715</v>
      </c>
      <c r="C462" s="33">
        <v>613.93</v>
      </c>
      <c r="D462" s="11">
        <v>45386</v>
      </c>
      <c r="E462" s="44">
        <v>616.9</v>
      </c>
    </row>
    <row r="463" ht="15.75" spans="1:5">
      <c r="A463" s="32">
        <v>3045686.404</v>
      </c>
      <c r="B463" s="32">
        <v>400779.715</v>
      </c>
      <c r="C463" s="33">
        <v>613.93</v>
      </c>
      <c r="D463" s="11">
        <v>45387</v>
      </c>
      <c r="E463" s="44">
        <v>616.9</v>
      </c>
    </row>
    <row r="464" ht="15.75" spans="1:5">
      <c r="A464" s="32">
        <v>3045686.404</v>
      </c>
      <c r="B464" s="32">
        <v>400779.715</v>
      </c>
      <c r="C464" s="33">
        <v>613.93</v>
      </c>
      <c r="D464" s="11">
        <v>45388</v>
      </c>
      <c r="E464" s="44">
        <v>616.9</v>
      </c>
    </row>
    <row r="465" ht="15.75" spans="1:5">
      <c r="A465" s="32">
        <v>3045686.404</v>
      </c>
      <c r="B465" s="32">
        <v>400779.715</v>
      </c>
      <c r="C465" s="33">
        <v>613.93</v>
      </c>
      <c r="D465" s="11">
        <v>45389</v>
      </c>
      <c r="E465" s="44">
        <v>616.9</v>
      </c>
    </row>
    <row r="466" ht="15.75" spans="1:5">
      <c r="A466" s="32">
        <v>3045686.404</v>
      </c>
      <c r="B466" s="32">
        <v>400779.715</v>
      </c>
      <c r="C466" s="33">
        <v>613.93</v>
      </c>
      <c r="D466" s="11">
        <v>45390</v>
      </c>
      <c r="E466" s="44">
        <v>616.8</v>
      </c>
    </row>
    <row r="467" ht="15.75" spans="1:5">
      <c r="A467" s="32">
        <v>3045686.404</v>
      </c>
      <c r="B467" s="32">
        <v>400779.715</v>
      </c>
      <c r="C467" s="33">
        <v>613.93</v>
      </c>
      <c r="D467" s="11">
        <v>45391</v>
      </c>
      <c r="E467" s="44">
        <v>616.9</v>
      </c>
    </row>
    <row r="468" ht="15.75" spans="1:5">
      <c r="A468" s="32">
        <v>3045686.404</v>
      </c>
      <c r="B468" s="32">
        <v>400779.715</v>
      </c>
      <c r="C468" s="33">
        <v>613.93</v>
      </c>
      <c r="D468" s="11">
        <v>45392</v>
      </c>
      <c r="E468" s="44">
        <v>616.8</v>
      </c>
    </row>
    <row r="469" ht="15.75" spans="1:5">
      <c r="A469" s="32">
        <v>3045686.404</v>
      </c>
      <c r="B469" s="32">
        <v>400779.715</v>
      </c>
      <c r="C469" s="33">
        <v>613.93</v>
      </c>
      <c r="D469" s="11">
        <v>45393</v>
      </c>
      <c r="E469" s="44">
        <v>616.8</v>
      </c>
    </row>
    <row r="470" ht="15.75" spans="1:5">
      <c r="A470" s="32">
        <v>3045686.404</v>
      </c>
      <c r="B470" s="32">
        <v>400779.715</v>
      </c>
      <c r="C470" s="33">
        <v>613.93</v>
      </c>
      <c r="D470" s="11">
        <v>45394</v>
      </c>
      <c r="E470" s="44">
        <v>616.8</v>
      </c>
    </row>
    <row r="471" ht="15.75" spans="1:5">
      <c r="A471" s="32">
        <v>3045686.404</v>
      </c>
      <c r="B471" s="32">
        <v>400779.715</v>
      </c>
      <c r="C471" s="33">
        <v>613.93</v>
      </c>
      <c r="D471" s="11">
        <v>45395</v>
      </c>
      <c r="E471" s="44">
        <v>616.8</v>
      </c>
    </row>
    <row r="472" ht="15.75" spans="1:5">
      <c r="A472" s="32">
        <v>3045686.404</v>
      </c>
      <c r="B472" s="32">
        <v>400779.715</v>
      </c>
      <c r="C472" s="33">
        <v>613.93</v>
      </c>
      <c r="D472" s="11">
        <v>45396</v>
      </c>
      <c r="E472" s="44"/>
    </row>
    <row r="473" ht="15.75" spans="1:5">
      <c r="A473" s="32">
        <v>3045686.404</v>
      </c>
      <c r="B473" s="32">
        <v>400779.715</v>
      </c>
      <c r="C473" s="33">
        <v>613.93</v>
      </c>
      <c r="D473" s="11">
        <v>45397</v>
      </c>
      <c r="E473" s="44"/>
    </row>
    <row r="474" ht="15.75" spans="1:5">
      <c r="A474" s="32">
        <v>3045686.404</v>
      </c>
      <c r="B474" s="32">
        <v>400779.715</v>
      </c>
      <c r="C474" s="33">
        <v>613.93</v>
      </c>
      <c r="D474" s="11">
        <v>45398</v>
      </c>
      <c r="E474" s="44"/>
    </row>
    <row r="475" ht="15.75" spans="1:5">
      <c r="A475" s="32">
        <v>3045686.404</v>
      </c>
      <c r="B475" s="32">
        <v>400779.715</v>
      </c>
      <c r="C475" s="33">
        <v>613.93</v>
      </c>
      <c r="D475" s="11">
        <v>45399</v>
      </c>
      <c r="E475" s="44"/>
    </row>
    <row r="476" ht="15.75" spans="1:5">
      <c r="A476" s="32">
        <v>3045686.404</v>
      </c>
      <c r="B476" s="32">
        <v>400779.715</v>
      </c>
      <c r="C476" s="33">
        <v>613.93</v>
      </c>
      <c r="D476" s="11">
        <v>45400</v>
      </c>
      <c r="E476" s="44"/>
    </row>
    <row r="477" ht="15.75" spans="1:5">
      <c r="A477" s="32">
        <v>3045686.404</v>
      </c>
      <c r="B477" s="32">
        <v>400779.715</v>
      </c>
      <c r="C477" s="33">
        <v>613.93</v>
      </c>
      <c r="D477" s="11">
        <v>45401</v>
      </c>
      <c r="E477" s="44">
        <f>616.8-5.26</f>
        <v>611.54</v>
      </c>
    </row>
    <row r="478" ht="15.75" spans="1:5">
      <c r="A478" s="32">
        <v>3045686.404</v>
      </c>
      <c r="B478" s="32">
        <v>400779.715</v>
      </c>
      <c r="C478" s="33">
        <v>613.93</v>
      </c>
      <c r="D478" s="11">
        <v>45402</v>
      </c>
      <c r="E478" s="44"/>
    </row>
    <row r="479" ht="15.75" spans="1:5">
      <c r="A479" s="32">
        <v>3045686.404</v>
      </c>
      <c r="B479" s="32">
        <v>400779.715</v>
      </c>
      <c r="C479" s="33">
        <v>613.93</v>
      </c>
      <c r="D479" s="11">
        <v>45403</v>
      </c>
      <c r="E479" s="44"/>
    </row>
    <row r="480" ht="15.75" spans="1:5">
      <c r="A480" s="32">
        <v>3045686.404</v>
      </c>
      <c r="B480" s="32">
        <v>400779.715</v>
      </c>
      <c r="C480" s="33">
        <v>613.93</v>
      </c>
      <c r="D480" s="11">
        <v>45404</v>
      </c>
      <c r="E480" s="44"/>
    </row>
    <row r="481" ht="15.75" spans="1:5">
      <c r="A481" s="32">
        <v>3045686.404</v>
      </c>
      <c r="B481" s="32">
        <v>400779.715</v>
      </c>
      <c r="C481" s="33">
        <v>613.93</v>
      </c>
      <c r="D481" s="11">
        <v>45405</v>
      </c>
      <c r="E481" s="44"/>
    </row>
    <row r="482" ht="15.75" spans="1:5">
      <c r="A482" s="32">
        <v>3045686.404</v>
      </c>
      <c r="B482" s="32">
        <v>400779.715</v>
      </c>
      <c r="C482" s="33">
        <v>613.93</v>
      </c>
      <c r="D482" s="11">
        <v>45406</v>
      </c>
      <c r="E482" s="44">
        <f>616.8-8.5</f>
        <v>608.3</v>
      </c>
    </row>
    <row r="483" ht="15.75" spans="1:5">
      <c r="A483" s="32">
        <v>3045686.404</v>
      </c>
      <c r="B483" s="32">
        <v>400779.715</v>
      </c>
      <c r="C483" s="33">
        <v>613.93</v>
      </c>
      <c r="D483" s="11">
        <v>45407</v>
      </c>
      <c r="E483" s="44"/>
    </row>
    <row r="484" ht="15.75" spans="1:5">
      <c r="A484" s="32">
        <v>3045686.404</v>
      </c>
      <c r="B484" s="32">
        <v>400779.715</v>
      </c>
      <c r="C484" s="33">
        <v>613.93</v>
      </c>
      <c r="D484" s="11">
        <v>45408</v>
      </c>
      <c r="E484" s="44"/>
    </row>
    <row r="485" ht="15.75" spans="1:5">
      <c r="A485" s="32">
        <v>3045686.404</v>
      </c>
      <c r="B485" s="32">
        <v>400779.715</v>
      </c>
      <c r="C485" s="33">
        <v>613.93</v>
      </c>
      <c r="D485" s="11">
        <v>45409</v>
      </c>
      <c r="E485" s="44">
        <f>616.8-10.3</f>
        <v>606.5</v>
      </c>
    </row>
    <row r="486" ht="15.75" spans="1:5">
      <c r="A486" s="32">
        <v>3045686.404</v>
      </c>
      <c r="B486" s="32">
        <v>400779.715</v>
      </c>
      <c r="C486" s="33">
        <v>613.93</v>
      </c>
      <c r="D486" s="11">
        <v>45410</v>
      </c>
      <c r="E486" s="44"/>
    </row>
    <row r="487" ht="15.75" spans="1:5">
      <c r="A487" s="32">
        <v>3045686.404</v>
      </c>
      <c r="B487" s="32">
        <v>400779.715</v>
      </c>
      <c r="C487" s="33">
        <v>613.93</v>
      </c>
      <c r="D487" s="11">
        <v>45411</v>
      </c>
      <c r="E487" s="44"/>
    </row>
    <row r="488" ht="15.75" spans="1:5">
      <c r="A488" s="32">
        <v>3045686.404</v>
      </c>
      <c r="B488" s="32">
        <v>400779.715</v>
      </c>
      <c r="C488" s="33">
        <v>613.93</v>
      </c>
      <c r="D488" s="11">
        <v>45412</v>
      </c>
      <c r="E488" s="44"/>
    </row>
    <row r="489" ht="15.75" spans="1:5">
      <c r="A489" s="32">
        <v>3045686.404</v>
      </c>
      <c r="B489" s="32">
        <v>400779.715</v>
      </c>
      <c r="C489" s="33">
        <v>613.93</v>
      </c>
      <c r="D489" s="11">
        <v>45413</v>
      </c>
      <c r="E489" s="44"/>
    </row>
    <row r="490" ht="15.75" spans="1:5">
      <c r="A490" s="32">
        <v>3045686.404</v>
      </c>
      <c r="B490" s="32">
        <v>400779.715</v>
      </c>
      <c r="C490" s="33">
        <v>613.93</v>
      </c>
      <c r="D490" s="11">
        <v>45414</v>
      </c>
      <c r="E490" s="44"/>
    </row>
    <row r="491" ht="15.75" spans="1:5">
      <c r="A491" s="32">
        <v>3045686.404</v>
      </c>
      <c r="B491" s="32">
        <v>400779.715</v>
      </c>
      <c r="C491" s="33">
        <v>613.93</v>
      </c>
      <c r="D491" s="11">
        <v>45415</v>
      </c>
      <c r="E491" s="44"/>
    </row>
    <row r="492" ht="15.75" spans="1:5">
      <c r="A492" s="32">
        <v>3045686.404</v>
      </c>
      <c r="B492" s="32">
        <v>400779.715</v>
      </c>
      <c r="C492" s="33">
        <v>613.93</v>
      </c>
      <c r="D492" s="11">
        <v>45416</v>
      </c>
      <c r="E492" s="44"/>
    </row>
    <row r="493" ht="15.75" spans="1:5">
      <c r="A493" s="32">
        <v>3045686.404</v>
      </c>
      <c r="B493" s="32">
        <v>400779.715</v>
      </c>
      <c r="C493" s="33">
        <v>613.93</v>
      </c>
      <c r="D493" s="11">
        <v>45417</v>
      </c>
      <c r="E493" s="44"/>
    </row>
    <row r="494" ht="15.75" spans="1:5">
      <c r="A494" s="32">
        <v>3045686.404</v>
      </c>
      <c r="B494" s="32">
        <v>400779.715</v>
      </c>
      <c r="C494" s="33">
        <v>613.93</v>
      </c>
      <c r="D494" s="11">
        <v>45418</v>
      </c>
      <c r="E494" s="44">
        <f>616.8-11.2</f>
        <v>605.6</v>
      </c>
    </row>
    <row r="495" ht="15.75" spans="1:5">
      <c r="A495" s="32">
        <v>3045686.404</v>
      </c>
      <c r="B495" s="32">
        <v>400779.715</v>
      </c>
      <c r="C495" s="33">
        <v>613.93</v>
      </c>
      <c r="D495" s="11">
        <v>45419</v>
      </c>
      <c r="E495" s="44"/>
    </row>
    <row r="496" ht="15.75" spans="1:5">
      <c r="A496" s="32">
        <v>3045686.404</v>
      </c>
      <c r="B496" s="32">
        <v>400779.715</v>
      </c>
      <c r="C496" s="33">
        <v>613.93</v>
      </c>
      <c r="D496" s="11">
        <v>45420</v>
      </c>
      <c r="E496" s="44"/>
    </row>
    <row r="497" ht="15.75" spans="1:5">
      <c r="A497" s="32">
        <v>3045686.404</v>
      </c>
      <c r="B497" s="32">
        <v>400779.715</v>
      </c>
      <c r="C497" s="33">
        <v>613.93</v>
      </c>
      <c r="D497" s="11">
        <v>45421</v>
      </c>
      <c r="E497" s="44"/>
    </row>
    <row r="498" ht="15.75" spans="1:5">
      <c r="A498" s="32">
        <v>3045686.404</v>
      </c>
      <c r="B498" s="32">
        <v>400779.715</v>
      </c>
      <c r="C498" s="33">
        <v>613.93</v>
      </c>
      <c r="D498" s="11">
        <v>45422</v>
      </c>
      <c r="E498" s="44"/>
    </row>
    <row r="499" ht="15.75" spans="1:5">
      <c r="A499" s="32">
        <v>3045686.404</v>
      </c>
      <c r="B499" s="32">
        <v>400779.715</v>
      </c>
      <c r="C499" s="33">
        <v>613.93</v>
      </c>
      <c r="D499" s="11">
        <v>45423</v>
      </c>
      <c r="E499" s="44"/>
    </row>
  </sheetData>
  <mergeCells count="1">
    <mergeCell ref="A1:C1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F3" sqref="F3"/>
    </sheetView>
  </sheetViews>
  <sheetFormatPr defaultColWidth="9" defaultRowHeight="15" outlineLevelCol="5"/>
  <cols>
    <col min="1" max="1" width="11.5" style="2" customWidth="1"/>
    <col min="2" max="2" width="10.5" style="2" customWidth="1"/>
    <col min="3" max="3" width="19.25" customWidth="1"/>
    <col min="4" max="4" width="17.25" style="1" customWidth="1"/>
    <col min="6" max="6" width="26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5.75" spans="1:6">
      <c r="A3" s="32">
        <v>3044705.773</v>
      </c>
      <c r="B3" s="32">
        <v>400634.262</v>
      </c>
      <c r="C3" s="33">
        <v>902.88</v>
      </c>
      <c r="D3" s="34">
        <v>44927</v>
      </c>
      <c r="E3" s="22"/>
      <c r="F3" s="35" t="s">
        <v>3065</v>
      </c>
    </row>
    <row r="4" ht="15.75" spans="1:5">
      <c r="A4" s="32">
        <v>3044705.773</v>
      </c>
      <c r="B4" s="32">
        <v>400634.262</v>
      </c>
      <c r="C4" s="33">
        <v>902.88</v>
      </c>
      <c r="D4" s="11">
        <v>44928</v>
      </c>
      <c r="E4" s="21"/>
    </row>
    <row r="5" ht="15.75" spans="1:5">
      <c r="A5" s="32">
        <v>3044705.773</v>
      </c>
      <c r="B5" s="32">
        <v>400634.262</v>
      </c>
      <c r="C5" s="33">
        <v>902.88</v>
      </c>
      <c r="D5" s="11">
        <v>44929</v>
      </c>
      <c r="E5" s="21"/>
    </row>
    <row r="6" ht="15.75" spans="1:5">
      <c r="A6" s="32">
        <v>3044705.773</v>
      </c>
      <c r="B6" s="32">
        <v>400634.262</v>
      </c>
      <c r="C6" s="33">
        <v>902.88</v>
      </c>
      <c r="D6" s="11">
        <v>44930</v>
      </c>
      <c r="E6" s="21"/>
    </row>
    <row r="7" ht="15.75" spans="1:5">
      <c r="A7" s="32">
        <v>3044705.773</v>
      </c>
      <c r="B7" s="32">
        <v>400634.262</v>
      </c>
      <c r="C7" s="33">
        <v>902.88</v>
      </c>
      <c r="D7" s="11">
        <v>44931</v>
      </c>
      <c r="E7" s="23"/>
    </row>
    <row r="8" ht="15.75" spans="1:5">
      <c r="A8" s="32">
        <v>3044705.773</v>
      </c>
      <c r="B8" s="32">
        <v>400634.262</v>
      </c>
      <c r="C8" s="33">
        <v>902.88</v>
      </c>
      <c r="D8" s="11">
        <v>44932</v>
      </c>
      <c r="E8" s="21"/>
    </row>
    <row r="9" ht="15.75" spans="1:5">
      <c r="A9" s="32">
        <v>3044705.773</v>
      </c>
      <c r="B9" s="32">
        <v>400634.262</v>
      </c>
      <c r="C9" s="33">
        <v>902.88</v>
      </c>
      <c r="D9" s="11">
        <v>44933</v>
      </c>
      <c r="E9" s="21"/>
    </row>
    <row r="10" ht="15.75" spans="1:5">
      <c r="A10" s="32">
        <v>3044705.773</v>
      </c>
      <c r="B10" s="32">
        <v>400634.262</v>
      </c>
      <c r="C10" s="33">
        <v>902.88</v>
      </c>
      <c r="D10" s="11">
        <v>44934</v>
      </c>
      <c r="E10" s="21"/>
    </row>
    <row r="11" ht="15.75" spans="1:5">
      <c r="A11" s="32">
        <v>3044705.773</v>
      </c>
      <c r="B11" s="32">
        <v>400634.262</v>
      </c>
      <c r="C11" s="33">
        <v>902.88</v>
      </c>
      <c r="D11" s="11">
        <v>44935</v>
      </c>
      <c r="E11" s="21"/>
    </row>
    <row r="12" ht="15.75" spans="1:5">
      <c r="A12" s="32">
        <v>3044705.773</v>
      </c>
      <c r="B12" s="32">
        <v>400634.262</v>
      </c>
      <c r="C12" s="33">
        <v>902.88</v>
      </c>
      <c r="D12" s="11">
        <v>44936</v>
      </c>
      <c r="E12" s="21"/>
    </row>
    <row r="13" ht="15.75" spans="1:5">
      <c r="A13" s="32">
        <v>3044705.773</v>
      </c>
      <c r="B13" s="32">
        <v>400634.262</v>
      </c>
      <c r="C13" s="33">
        <v>902.88</v>
      </c>
      <c r="D13" s="11">
        <v>44937</v>
      </c>
      <c r="E13" s="21"/>
    </row>
    <row r="14" ht="15.75" spans="1:5">
      <c r="A14" s="32">
        <v>3044705.773</v>
      </c>
      <c r="B14" s="32">
        <v>400634.262</v>
      </c>
      <c r="C14" s="33">
        <v>902.88</v>
      </c>
      <c r="D14" s="11">
        <v>44938</v>
      </c>
      <c r="E14" s="22"/>
    </row>
    <row r="15" ht="15.75" spans="1:5">
      <c r="A15" s="32">
        <v>3044705.773</v>
      </c>
      <c r="B15" s="32">
        <v>400634.262</v>
      </c>
      <c r="C15" s="33">
        <v>902.88</v>
      </c>
      <c r="D15" s="11">
        <v>44939</v>
      </c>
      <c r="E15" s="22"/>
    </row>
    <row r="16" ht="15.75" spans="1:5">
      <c r="A16" s="32">
        <v>3044705.773</v>
      </c>
      <c r="B16" s="32">
        <v>400634.262</v>
      </c>
      <c r="C16" s="33">
        <v>902.88</v>
      </c>
      <c r="D16" s="11">
        <v>44940</v>
      </c>
      <c r="E16" s="22"/>
    </row>
    <row r="17" ht="15.75" spans="1:5">
      <c r="A17" s="32">
        <v>3044705.773</v>
      </c>
      <c r="B17" s="32">
        <v>400634.262</v>
      </c>
      <c r="C17" s="33">
        <v>902.88</v>
      </c>
      <c r="D17" s="11">
        <v>44941</v>
      </c>
      <c r="E17" s="21"/>
    </row>
    <row r="18" ht="15.75" spans="1:5">
      <c r="A18" s="32">
        <v>3044705.773</v>
      </c>
      <c r="B18" s="32">
        <v>400634.262</v>
      </c>
      <c r="C18" s="33">
        <v>902.88</v>
      </c>
      <c r="D18" s="11">
        <v>44942</v>
      </c>
      <c r="E18" s="22"/>
    </row>
    <row r="19" ht="15.75" spans="1:5">
      <c r="A19" s="32">
        <v>3044705.773</v>
      </c>
      <c r="B19" s="32">
        <v>400634.262</v>
      </c>
      <c r="C19" s="33">
        <v>902.88</v>
      </c>
      <c r="D19" s="11">
        <v>44943</v>
      </c>
      <c r="E19" s="22"/>
    </row>
    <row r="20" ht="15.75" spans="1:5">
      <c r="A20" s="32">
        <v>3044705.773</v>
      </c>
      <c r="B20" s="32">
        <v>400634.262</v>
      </c>
      <c r="C20" s="33">
        <v>902.88</v>
      </c>
      <c r="D20" s="11">
        <v>44944</v>
      </c>
      <c r="E20" s="21"/>
    </row>
    <row r="21" ht="15.75" spans="1:5">
      <c r="A21" s="32">
        <v>3044705.773</v>
      </c>
      <c r="B21" s="32">
        <v>400634.262</v>
      </c>
      <c r="C21" s="33">
        <v>902.88</v>
      </c>
      <c r="D21" s="11">
        <v>44945</v>
      </c>
      <c r="E21" s="22"/>
    </row>
    <row r="22" ht="15.75" spans="1:5">
      <c r="A22" s="32">
        <v>3044705.773</v>
      </c>
      <c r="B22" s="32">
        <v>400634.262</v>
      </c>
      <c r="C22" s="33">
        <v>902.88</v>
      </c>
      <c r="D22" s="11">
        <v>44946</v>
      </c>
      <c r="E22" s="21"/>
    </row>
    <row r="23" ht="15.75" spans="1:5">
      <c r="A23" s="32">
        <v>3044705.773</v>
      </c>
      <c r="B23" s="32">
        <v>400634.262</v>
      </c>
      <c r="C23" s="33">
        <v>902.88</v>
      </c>
      <c r="D23" s="11">
        <v>44947</v>
      </c>
      <c r="E23" s="22"/>
    </row>
    <row r="24" ht="15.75" spans="1:5">
      <c r="A24" s="32">
        <v>3044705.773</v>
      </c>
      <c r="B24" s="32">
        <v>400634.262</v>
      </c>
      <c r="C24" s="33">
        <v>902.88</v>
      </c>
      <c r="D24" s="11">
        <v>44948</v>
      </c>
      <c r="E24" s="22"/>
    </row>
    <row r="25" ht="15.75" spans="1:5">
      <c r="A25" s="32">
        <v>3044705.773</v>
      </c>
      <c r="B25" s="32">
        <v>400634.262</v>
      </c>
      <c r="C25" s="33">
        <v>902.88</v>
      </c>
      <c r="D25" s="11">
        <v>44949</v>
      </c>
      <c r="E25" s="22"/>
    </row>
    <row r="26" ht="15.75" spans="1:5">
      <c r="A26" s="32">
        <v>3044705.773</v>
      </c>
      <c r="B26" s="32">
        <v>400634.262</v>
      </c>
      <c r="C26" s="33">
        <v>902.88</v>
      </c>
      <c r="D26" s="11">
        <v>44950</v>
      </c>
      <c r="E26" s="22"/>
    </row>
    <row r="27" ht="15.75" spans="1:5">
      <c r="A27" s="32">
        <v>3044705.773</v>
      </c>
      <c r="B27" s="32">
        <v>400634.262</v>
      </c>
      <c r="C27" s="33">
        <v>902.88</v>
      </c>
      <c r="D27" s="11">
        <v>44951</v>
      </c>
      <c r="E27" s="21"/>
    </row>
    <row r="28" ht="15.75" spans="1:5">
      <c r="A28" s="32">
        <v>3044705.773</v>
      </c>
      <c r="B28" s="32">
        <v>400634.262</v>
      </c>
      <c r="C28" s="33">
        <v>902.88</v>
      </c>
      <c r="D28" s="11">
        <v>44952</v>
      </c>
      <c r="E28" s="22"/>
    </row>
    <row r="29" ht="15.75" spans="1:5">
      <c r="A29" s="32">
        <v>3044705.773</v>
      </c>
      <c r="B29" s="32">
        <v>400634.262</v>
      </c>
      <c r="C29" s="33">
        <v>902.88</v>
      </c>
      <c r="D29" s="11">
        <v>44953</v>
      </c>
      <c r="E29" s="22"/>
    </row>
    <row r="30" ht="15.75" spans="1:5">
      <c r="A30" s="32">
        <v>3044705.773</v>
      </c>
      <c r="B30" s="32">
        <v>400634.262</v>
      </c>
      <c r="C30" s="33">
        <v>902.88</v>
      </c>
      <c r="D30" s="11">
        <v>44954</v>
      </c>
      <c r="E30" s="22"/>
    </row>
    <row r="31" ht="15.75" spans="1:5">
      <c r="A31" s="32">
        <v>3044705.773</v>
      </c>
      <c r="B31" s="32">
        <v>400634.262</v>
      </c>
      <c r="C31" s="33">
        <v>902.88</v>
      </c>
      <c r="D31" s="11">
        <v>44955</v>
      </c>
      <c r="E31" s="22"/>
    </row>
    <row r="32" ht="15.75" spans="1:5">
      <c r="A32" s="32">
        <v>3044705.773</v>
      </c>
      <c r="B32" s="32">
        <v>400634.262</v>
      </c>
      <c r="C32" s="33">
        <v>902.88</v>
      </c>
      <c r="D32" s="11">
        <v>44956</v>
      </c>
      <c r="E32" s="21"/>
    </row>
    <row r="33" ht="15.75" spans="1:5">
      <c r="A33" s="32">
        <v>3044705.773</v>
      </c>
      <c r="B33" s="32">
        <v>400634.262</v>
      </c>
      <c r="C33" s="33">
        <v>902.88</v>
      </c>
      <c r="D33" s="11">
        <v>44957</v>
      </c>
      <c r="E33" s="22"/>
    </row>
    <row r="34" ht="15.75" spans="1:5">
      <c r="A34" s="32">
        <v>3044705.773</v>
      </c>
      <c r="B34" s="32">
        <v>400634.262</v>
      </c>
      <c r="C34" s="33">
        <v>902.88</v>
      </c>
      <c r="D34" s="11">
        <v>44958</v>
      </c>
      <c r="E34" s="22"/>
    </row>
    <row r="35" ht="15.75" spans="1:5">
      <c r="A35" s="32">
        <v>3044705.773</v>
      </c>
      <c r="B35" s="32">
        <v>400634.262</v>
      </c>
      <c r="C35" s="33">
        <v>902.88</v>
      </c>
      <c r="D35" s="11">
        <v>44959</v>
      </c>
      <c r="E35" s="23">
        <v>841.617</v>
      </c>
    </row>
    <row r="36" ht="15.75" spans="1:5">
      <c r="A36" s="32">
        <v>3044705.773</v>
      </c>
      <c r="B36" s="32">
        <v>400634.262</v>
      </c>
      <c r="C36" s="33">
        <v>902.88</v>
      </c>
      <c r="D36" s="11">
        <v>44960</v>
      </c>
      <c r="E36" s="22"/>
    </row>
    <row r="37" ht="15.75" spans="1:5">
      <c r="A37" s="32">
        <v>3044705.773</v>
      </c>
      <c r="B37" s="32">
        <v>400634.262</v>
      </c>
      <c r="C37" s="33">
        <v>902.88</v>
      </c>
      <c r="D37" s="11">
        <v>44961</v>
      </c>
      <c r="E37" s="22"/>
    </row>
    <row r="38" ht="15.75" spans="1:5">
      <c r="A38" s="32">
        <v>3044705.773</v>
      </c>
      <c r="B38" s="32">
        <v>400634.262</v>
      </c>
      <c r="C38" s="33">
        <v>902.88</v>
      </c>
      <c r="D38" s="11">
        <v>44962</v>
      </c>
      <c r="E38" s="22"/>
    </row>
    <row r="39" ht="15.75" spans="1:5">
      <c r="A39" s="32">
        <v>3044705.773</v>
      </c>
      <c r="B39" s="32">
        <v>400634.262</v>
      </c>
      <c r="C39" s="33">
        <v>902.88</v>
      </c>
      <c r="D39" s="11">
        <v>44963</v>
      </c>
      <c r="E39" s="22"/>
    </row>
    <row r="40" ht="15.75" spans="1:5">
      <c r="A40" s="32">
        <v>3044705.773</v>
      </c>
      <c r="B40" s="32">
        <v>400634.262</v>
      </c>
      <c r="C40" s="33">
        <v>902.88</v>
      </c>
      <c r="D40" s="11">
        <v>44964</v>
      </c>
      <c r="E40" s="22"/>
    </row>
    <row r="41" ht="15.75" spans="1:5">
      <c r="A41" s="32">
        <v>3044705.773</v>
      </c>
      <c r="B41" s="32">
        <v>400634.262</v>
      </c>
      <c r="C41" s="33">
        <v>902.88</v>
      </c>
      <c r="D41" s="11">
        <v>44965</v>
      </c>
      <c r="E41" s="21">
        <v>843.837</v>
      </c>
    </row>
    <row r="42" ht="15.75" spans="1:5">
      <c r="A42" s="32">
        <v>3044705.773</v>
      </c>
      <c r="B42" s="32">
        <v>400634.262</v>
      </c>
      <c r="C42" s="33">
        <v>902.88</v>
      </c>
      <c r="D42" s="11">
        <v>44966</v>
      </c>
      <c r="E42" s="36"/>
    </row>
    <row r="43" ht="15.75" spans="1:5">
      <c r="A43" s="32">
        <v>3044705.773</v>
      </c>
      <c r="B43" s="32">
        <v>400634.262</v>
      </c>
      <c r="C43" s="33">
        <v>902.88</v>
      </c>
      <c r="D43" s="11">
        <v>44967</v>
      </c>
      <c r="E43" s="36"/>
    </row>
    <row r="44" ht="15.75" spans="1:5">
      <c r="A44" s="32">
        <v>3044705.773</v>
      </c>
      <c r="B44" s="32">
        <v>400634.262</v>
      </c>
      <c r="C44" s="33">
        <v>902.88</v>
      </c>
      <c r="D44" s="11">
        <v>44968</v>
      </c>
      <c r="E44" s="36"/>
    </row>
    <row r="45" ht="15.75" spans="1:5">
      <c r="A45" s="32">
        <v>3044705.773</v>
      </c>
      <c r="B45" s="32">
        <v>400634.262</v>
      </c>
      <c r="C45" s="33">
        <v>902.88</v>
      </c>
      <c r="D45" s="11">
        <v>44969</v>
      </c>
      <c r="E45" s="36"/>
    </row>
    <row r="46" ht="15.75" spans="1:5">
      <c r="A46" s="32">
        <v>3044705.773</v>
      </c>
      <c r="B46" s="32">
        <v>400634.262</v>
      </c>
      <c r="C46" s="33">
        <v>902.88</v>
      </c>
      <c r="D46" s="11">
        <v>44970</v>
      </c>
      <c r="E46" s="36"/>
    </row>
    <row r="47" ht="15.75" spans="1:5">
      <c r="A47" s="32">
        <v>3044705.773</v>
      </c>
      <c r="B47" s="32">
        <v>400634.262</v>
      </c>
      <c r="C47" s="33">
        <v>902.88</v>
      </c>
      <c r="D47" s="11">
        <v>44971</v>
      </c>
      <c r="E47" s="21"/>
    </row>
    <row r="48" ht="15.75" spans="1:5">
      <c r="A48" s="32">
        <v>3044705.773</v>
      </c>
      <c r="B48" s="32">
        <v>400634.262</v>
      </c>
      <c r="C48" s="33">
        <v>902.88</v>
      </c>
      <c r="D48" s="11">
        <v>44972</v>
      </c>
      <c r="E48" s="21">
        <v>845.497</v>
      </c>
    </row>
    <row r="49" ht="15.75" spans="1:5">
      <c r="A49" s="32">
        <v>3044705.773</v>
      </c>
      <c r="B49" s="32">
        <v>400634.262</v>
      </c>
      <c r="C49" s="33">
        <v>902.88</v>
      </c>
      <c r="D49" s="11">
        <v>44973</v>
      </c>
      <c r="E49" s="21"/>
    </row>
    <row r="50" ht="15.75" spans="1:5">
      <c r="A50" s="32">
        <v>3044705.773</v>
      </c>
      <c r="B50" s="32">
        <v>400634.262</v>
      </c>
      <c r="C50" s="33">
        <v>902.88</v>
      </c>
      <c r="D50" s="11">
        <v>44974</v>
      </c>
      <c r="E50" s="21"/>
    </row>
    <row r="51" ht="15.75" spans="1:5">
      <c r="A51" s="32">
        <v>3044705.773</v>
      </c>
      <c r="B51" s="32">
        <v>400634.262</v>
      </c>
      <c r="C51" s="33">
        <v>902.88</v>
      </c>
      <c r="D51" s="11">
        <v>44975</v>
      </c>
      <c r="E51" s="21"/>
    </row>
    <row r="52" ht="15.75" spans="1:5">
      <c r="A52" s="32">
        <v>3044705.773</v>
      </c>
      <c r="B52" s="32">
        <v>400634.262</v>
      </c>
      <c r="C52" s="33">
        <v>902.88</v>
      </c>
      <c r="D52" s="11">
        <v>44976</v>
      </c>
      <c r="E52" s="21"/>
    </row>
    <row r="53" ht="15.75" spans="1:5">
      <c r="A53" s="32">
        <v>3044705.773</v>
      </c>
      <c r="B53" s="32">
        <v>400634.262</v>
      </c>
      <c r="C53" s="33">
        <v>902.88</v>
      </c>
      <c r="D53" s="11">
        <v>44977</v>
      </c>
      <c r="E53" s="21"/>
    </row>
    <row r="54" ht="15.75" spans="1:5">
      <c r="A54" s="32">
        <v>3044705.773</v>
      </c>
      <c r="B54" s="32">
        <v>400634.262</v>
      </c>
      <c r="C54" s="33">
        <v>902.88</v>
      </c>
      <c r="D54" s="11">
        <v>44978</v>
      </c>
      <c r="E54" s="21"/>
    </row>
    <row r="55" ht="15.75" spans="1:5">
      <c r="A55" s="32">
        <v>3044705.773</v>
      </c>
      <c r="B55" s="32">
        <v>400634.262</v>
      </c>
      <c r="C55" s="33">
        <v>902.88</v>
      </c>
      <c r="D55" s="11">
        <v>44979</v>
      </c>
      <c r="E55" s="21">
        <v>845.867</v>
      </c>
    </row>
    <row r="56" ht="15.75" spans="1:5">
      <c r="A56" s="32">
        <v>3044705.773</v>
      </c>
      <c r="B56" s="32">
        <v>400634.262</v>
      </c>
      <c r="C56" s="33">
        <v>902.88</v>
      </c>
      <c r="D56" s="11">
        <v>44980</v>
      </c>
      <c r="E56" s="21"/>
    </row>
    <row r="57" ht="15.75" spans="1:5">
      <c r="A57" s="32">
        <v>3044705.773</v>
      </c>
      <c r="B57" s="32">
        <v>400634.262</v>
      </c>
      <c r="C57" s="33">
        <v>902.88</v>
      </c>
      <c r="D57" s="11">
        <v>44981</v>
      </c>
      <c r="E57" s="21"/>
    </row>
    <row r="58" ht="15.75" spans="1:5">
      <c r="A58" s="32">
        <v>3044705.773</v>
      </c>
      <c r="B58" s="32">
        <v>400634.262</v>
      </c>
      <c r="C58" s="33">
        <v>902.88</v>
      </c>
      <c r="D58" s="11">
        <v>44982</v>
      </c>
      <c r="E58" s="21"/>
    </row>
    <row r="59" ht="15.75" spans="1:5">
      <c r="A59" s="32">
        <v>3044705.773</v>
      </c>
      <c r="B59" s="32">
        <v>400634.262</v>
      </c>
      <c r="C59" s="33">
        <v>902.88</v>
      </c>
      <c r="D59" s="11">
        <v>44983</v>
      </c>
      <c r="E59" s="21">
        <v>847.287</v>
      </c>
    </row>
    <row r="60" ht="15.75" spans="1:5">
      <c r="A60" s="32">
        <v>3044705.773</v>
      </c>
      <c r="B60" s="32">
        <v>400634.262</v>
      </c>
      <c r="C60" s="33">
        <v>902.88</v>
      </c>
      <c r="D60" s="11">
        <v>44984</v>
      </c>
      <c r="E60" s="21">
        <v>847.757</v>
      </c>
    </row>
    <row r="61" ht="15.75" spans="1:5">
      <c r="A61" s="32">
        <v>3044705.773</v>
      </c>
      <c r="B61" s="32">
        <v>400634.262</v>
      </c>
      <c r="C61" s="33">
        <v>902.88</v>
      </c>
      <c r="D61" s="11">
        <v>44985</v>
      </c>
      <c r="E61" s="21">
        <v>847.767</v>
      </c>
    </row>
    <row r="62" ht="15.75" spans="1:5">
      <c r="A62" s="32">
        <v>3044705.773</v>
      </c>
      <c r="B62" s="32">
        <v>400634.262</v>
      </c>
      <c r="C62" s="33">
        <v>902.88</v>
      </c>
      <c r="D62" s="11">
        <v>44986</v>
      </c>
      <c r="E62" s="21">
        <v>848.167</v>
      </c>
    </row>
    <row r="63" ht="15.75" spans="1:5">
      <c r="A63" s="32">
        <v>3044705.773</v>
      </c>
      <c r="B63" s="32">
        <v>400634.262</v>
      </c>
      <c r="C63" s="33">
        <v>902.88</v>
      </c>
      <c r="D63" s="11">
        <v>44987</v>
      </c>
      <c r="E63" s="21">
        <v>848.137</v>
      </c>
    </row>
    <row r="64" ht="15.75" spans="1:5">
      <c r="A64" s="32">
        <v>3044705.773</v>
      </c>
      <c r="B64" s="32">
        <v>400634.262</v>
      </c>
      <c r="C64" s="33">
        <v>902.88</v>
      </c>
      <c r="D64" s="11">
        <v>44988</v>
      </c>
      <c r="E64" s="21">
        <v>848.097</v>
      </c>
    </row>
    <row r="65" ht="15.75" spans="1:5">
      <c r="A65" s="32">
        <v>3044705.773</v>
      </c>
      <c r="B65" s="32">
        <v>400634.262</v>
      </c>
      <c r="C65" s="33">
        <v>902.88</v>
      </c>
      <c r="D65" s="11">
        <v>44989</v>
      </c>
      <c r="E65" s="21">
        <v>848.067</v>
      </c>
    </row>
    <row r="66" ht="15.75" spans="1:5">
      <c r="A66" s="32">
        <v>3044705.773</v>
      </c>
      <c r="B66" s="32">
        <v>400634.262</v>
      </c>
      <c r="C66" s="33">
        <v>902.88</v>
      </c>
      <c r="D66" s="11">
        <v>44990</v>
      </c>
      <c r="E66" s="21">
        <v>848.027</v>
      </c>
    </row>
    <row r="67" ht="15.75" spans="1:5">
      <c r="A67" s="32">
        <v>3044705.773</v>
      </c>
      <c r="B67" s="32">
        <v>400634.262</v>
      </c>
      <c r="C67" s="33">
        <v>902.88</v>
      </c>
      <c r="D67" s="11">
        <v>44991</v>
      </c>
      <c r="E67" s="21">
        <v>847.287</v>
      </c>
    </row>
    <row r="68" ht="15.75" spans="1:5">
      <c r="A68" s="32">
        <v>3044705.773</v>
      </c>
      <c r="B68" s="32">
        <v>400634.262</v>
      </c>
      <c r="C68" s="33">
        <v>902.88</v>
      </c>
      <c r="D68" s="11">
        <v>44992</v>
      </c>
      <c r="E68" s="21">
        <v>847.887</v>
      </c>
    </row>
    <row r="69" ht="15.75" spans="1:5">
      <c r="A69" s="32">
        <v>3044705.773</v>
      </c>
      <c r="B69" s="32">
        <v>400634.262</v>
      </c>
      <c r="C69" s="33">
        <v>902.88</v>
      </c>
      <c r="D69" s="11">
        <v>44993</v>
      </c>
      <c r="E69" s="21">
        <v>847.487</v>
      </c>
    </row>
    <row r="70" ht="15.75" spans="1:5">
      <c r="A70" s="32">
        <v>3044705.773</v>
      </c>
      <c r="B70" s="32">
        <v>400634.262</v>
      </c>
      <c r="C70" s="33">
        <v>902.88</v>
      </c>
      <c r="D70" s="11">
        <v>44994</v>
      </c>
      <c r="E70" s="21"/>
    </row>
    <row r="71" ht="15.75" spans="1:5">
      <c r="A71" s="32">
        <v>3044705.773</v>
      </c>
      <c r="B71" s="32">
        <v>400634.262</v>
      </c>
      <c r="C71" s="33">
        <v>902.88</v>
      </c>
      <c r="D71" s="11">
        <v>44995</v>
      </c>
      <c r="E71" s="21"/>
    </row>
    <row r="72" ht="15.75" spans="1:5">
      <c r="A72" s="32">
        <v>3044705.773</v>
      </c>
      <c r="B72" s="32">
        <v>400634.262</v>
      </c>
      <c r="C72" s="33">
        <v>902.88</v>
      </c>
      <c r="D72" s="11">
        <v>44996</v>
      </c>
      <c r="E72" s="21"/>
    </row>
    <row r="73" ht="15.75" spans="1:5">
      <c r="A73" s="32">
        <v>3044705.773</v>
      </c>
      <c r="B73" s="32">
        <v>400634.262</v>
      </c>
      <c r="C73" s="33">
        <v>902.88</v>
      </c>
      <c r="D73" s="11">
        <v>44997</v>
      </c>
      <c r="E73" s="21"/>
    </row>
    <row r="74" ht="15.75" spans="1:5">
      <c r="A74" s="32">
        <v>3044705.773</v>
      </c>
      <c r="B74" s="32">
        <v>400634.262</v>
      </c>
      <c r="C74" s="33">
        <v>902.88</v>
      </c>
      <c r="D74" s="11">
        <v>44998</v>
      </c>
      <c r="E74" s="21"/>
    </row>
    <row r="75" ht="15.75" spans="1:5">
      <c r="A75" s="32">
        <v>3044705.773</v>
      </c>
      <c r="B75" s="32">
        <v>400634.262</v>
      </c>
      <c r="C75" s="33">
        <v>902.88</v>
      </c>
      <c r="D75" s="11">
        <v>44999</v>
      </c>
      <c r="E75" s="21"/>
    </row>
    <row r="76" ht="15.75" spans="1:5">
      <c r="A76" s="32">
        <v>3044705.773</v>
      </c>
      <c r="B76" s="32">
        <v>400634.262</v>
      </c>
      <c r="C76" s="33">
        <v>902.88</v>
      </c>
      <c r="D76" s="11">
        <v>45000</v>
      </c>
      <c r="E76" s="21">
        <v>849.917</v>
      </c>
    </row>
    <row r="77" ht="15.75" spans="1:5">
      <c r="A77" s="32">
        <v>3044705.773</v>
      </c>
      <c r="B77" s="32">
        <v>400634.262</v>
      </c>
      <c r="C77" s="33">
        <v>902.88</v>
      </c>
      <c r="D77" s="11">
        <v>45001</v>
      </c>
      <c r="E77" s="21">
        <v>849.337</v>
      </c>
    </row>
    <row r="78" ht="15.75" spans="1:5">
      <c r="A78" s="32">
        <v>3044705.773</v>
      </c>
      <c r="B78" s="32">
        <v>400634.262</v>
      </c>
      <c r="C78" s="33">
        <v>902.88</v>
      </c>
      <c r="D78" s="11">
        <v>45002</v>
      </c>
      <c r="E78" s="24"/>
    </row>
    <row r="79" ht="15.75" spans="1:5">
      <c r="A79" s="32">
        <v>3044705.773</v>
      </c>
      <c r="B79" s="32">
        <v>400634.262</v>
      </c>
      <c r="C79" s="33">
        <v>902.88</v>
      </c>
      <c r="D79" s="11">
        <v>45003</v>
      </c>
      <c r="E79" s="21"/>
    </row>
    <row r="80" ht="15.75" spans="1:5">
      <c r="A80" s="32">
        <v>3044705.773</v>
      </c>
      <c r="B80" s="32">
        <v>400634.262</v>
      </c>
      <c r="C80" s="33">
        <v>902.88</v>
      </c>
      <c r="D80" s="11">
        <v>45004</v>
      </c>
      <c r="E80" s="21"/>
    </row>
    <row r="81" ht="15.75" spans="1:5">
      <c r="A81" s="32">
        <v>3044705.773</v>
      </c>
      <c r="B81" s="32">
        <v>400634.262</v>
      </c>
      <c r="C81" s="33">
        <v>902.88</v>
      </c>
      <c r="D81" s="11">
        <v>45005</v>
      </c>
      <c r="E81" s="21">
        <v>849.2</v>
      </c>
    </row>
    <row r="82" ht="15.75" spans="1:5">
      <c r="A82" s="32">
        <v>3044705.773</v>
      </c>
      <c r="B82" s="32">
        <v>400634.262</v>
      </c>
      <c r="C82" s="33">
        <v>902.88</v>
      </c>
      <c r="D82" s="11">
        <v>45006</v>
      </c>
      <c r="E82" s="21">
        <v>849.73</v>
      </c>
    </row>
    <row r="83" ht="15.75" spans="1:5">
      <c r="A83" s="32">
        <v>3044705.773</v>
      </c>
      <c r="B83" s="32">
        <v>400634.262</v>
      </c>
      <c r="C83" s="33">
        <v>902.88</v>
      </c>
      <c r="D83" s="11">
        <v>45007</v>
      </c>
      <c r="E83" s="21">
        <v>850.61</v>
      </c>
    </row>
    <row r="84" ht="15.75" spans="1:5">
      <c r="A84" s="32">
        <v>3044705.773</v>
      </c>
      <c r="B84" s="32">
        <v>400634.262</v>
      </c>
      <c r="C84" s="33">
        <v>902.88</v>
      </c>
      <c r="D84" s="11">
        <v>45008</v>
      </c>
      <c r="E84" s="21">
        <v>850.7</v>
      </c>
    </row>
    <row r="85" ht="15.75" spans="1:5">
      <c r="A85" s="32">
        <v>3044705.773</v>
      </c>
      <c r="B85" s="32">
        <v>400634.262</v>
      </c>
      <c r="C85" s="33">
        <v>902.88</v>
      </c>
      <c r="D85" s="11">
        <v>45009</v>
      </c>
      <c r="E85" s="21">
        <v>850.94</v>
      </c>
    </row>
    <row r="86" ht="15.75" spans="1:5">
      <c r="A86" s="32">
        <v>3044705.773</v>
      </c>
      <c r="B86" s="32">
        <v>400634.262</v>
      </c>
      <c r="C86" s="33">
        <v>902.88</v>
      </c>
      <c r="D86" s="11">
        <v>45010</v>
      </c>
      <c r="E86" s="21">
        <v>850.8</v>
      </c>
    </row>
    <row r="87" ht="15.75" spans="1:5">
      <c r="A87" s="32">
        <v>3044705.773</v>
      </c>
      <c r="B87" s="32">
        <v>400634.262</v>
      </c>
      <c r="C87" s="33">
        <v>902.88</v>
      </c>
      <c r="D87" s="11">
        <v>45011</v>
      </c>
      <c r="E87" s="21">
        <v>850.19</v>
      </c>
    </row>
    <row r="88" ht="15.75" spans="1:5">
      <c r="A88" s="32">
        <v>3044705.773</v>
      </c>
      <c r="B88" s="32">
        <v>400634.262</v>
      </c>
      <c r="C88" s="33">
        <v>902.88</v>
      </c>
      <c r="D88" s="11">
        <v>45012</v>
      </c>
      <c r="E88" s="21">
        <v>850.18</v>
      </c>
    </row>
    <row r="89" ht="15.75" spans="1:5">
      <c r="A89" s="32">
        <v>3044705.773</v>
      </c>
      <c r="B89" s="32">
        <v>400634.262</v>
      </c>
      <c r="C89" s="33">
        <v>902.88</v>
      </c>
      <c r="D89" s="11">
        <v>45013</v>
      </c>
      <c r="E89" s="22"/>
    </row>
    <row r="90" ht="15.75" spans="1:5">
      <c r="A90" s="32">
        <v>3044705.773</v>
      </c>
      <c r="B90" s="32">
        <v>400634.262</v>
      </c>
      <c r="C90" s="33">
        <v>902.88</v>
      </c>
      <c r="D90" s="11">
        <v>45014</v>
      </c>
      <c r="E90" s="22"/>
    </row>
    <row r="91" ht="15.75" spans="1:5">
      <c r="A91" s="32">
        <v>3044705.773</v>
      </c>
      <c r="B91" s="32">
        <v>400634.262</v>
      </c>
      <c r="C91" s="33">
        <v>902.88</v>
      </c>
      <c r="D91" s="11">
        <v>45015</v>
      </c>
      <c r="E91" s="21">
        <v>850.12</v>
      </c>
    </row>
    <row r="92" ht="15.75" spans="1:5">
      <c r="A92" s="32">
        <v>3044705.773</v>
      </c>
      <c r="B92" s="32">
        <v>400634.262</v>
      </c>
      <c r="C92" s="33">
        <v>902.88</v>
      </c>
      <c r="D92" s="11">
        <v>45016</v>
      </c>
      <c r="E92" s="22"/>
    </row>
    <row r="93" ht="15.75" spans="1:5">
      <c r="A93" s="32">
        <v>3044705.773</v>
      </c>
      <c r="B93" s="32">
        <v>400634.262</v>
      </c>
      <c r="C93" s="33">
        <v>902.88</v>
      </c>
      <c r="D93" s="11">
        <v>45017</v>
      </c>
      <c r="E93" s="21">
        <v>849.24</v>
      </c>
    </row>
    <row r="94" ht="15.75" spans="1:5">
      <c r="A94" s="32">
        <v>3044705.773</v>
      </c>
      <c r="B94" s="32">
        <v>400634.262</v>
      </c>
      <c r="C94" s="33">
        <v>902.88</v>
      </c>
      <c r="D94" s="11">
        <v>45018</v>
      </c>
      <c r="E94" s="21">
        <v>849.83</v>
      </c>
    </row>
    <row r="95" ht="15.75" spans="1:5">
      <c r="A95" s="32">
        <v>3044705.773</v>
      </c>
      <c r="B95" s="32">
        <v>400634.262</v>
      </c>
      <c r="C95" s="33">
        <v>902.88</v>
      </c>
      <c r="D95" s="11">
        <v>45019</v>
      </c>
      <c r="E95" s="21">
        <v>849.92</v>
      </c>
    </row>
    <row r="96" ht="15.75" spans="1:5">
      <c r="A96" s="32">
        <v>3044705.773</v>
      </c>
      <c r="B96" s="32">
        <v>400634.262</v>
      </c>
      <c r="C96" s="33">
        <v>902.88</v>
      </c>
      <c r="D96" s="11">
        <v>45020</v>
      </c>
      <c r="E96" s="21">
        <v>849.73</v>
      </c>
    </row>
    <row r="97" ht="15.75" spans="1:5">
      <c r="A97" s="32">
        <v>3044705.773</v>
      </c>
      <c r="B97" s="32">
        <v>400634.262</v>
      </c>
      <c r="C97" s="33">
        <v>902.88</v>
      </c>
      <c r="D97" s="11">
        <v>45021</v>
      </c>
      <c r="E97" s="21">
        <v>850.05</v>
      </c>
    </row>
    <row r="98" ht="15.75" spans="1:5">
      <c r="A98" s="32">
        <v>3044705.773</v>
      </c>
      <c r="B98" s="32">
        <v>400634.262</v>
      </c>
      <c r="C98" s="33">
        <v>902.88</v>
      </c>
      <c r="D98" s="11">
        <v>45022</v>
      </c>
      <c r="E98" s="21">
        <v>849.82</v>
      </c>
    </row>
    <row r="99" ht="15.75" spans="1:5">
      <c r="A99" s="32">
        <v>3044705.773</v>
      </c>
      <c r="B99" s="32">
        <v>400634.262</v>
      </c>
      <c r="C99" s="33">
        <v>902.88</v>
      </c>
      <c r="D99" s="11">
        <v>45023</v>
      </c>
      <c r="E99" s="21">
        <v>850.25</v>
      </c>
    </row>
    <row r="100" ht="15.75" spans="1:5">
      <c r="A100" s="32">
        <v>3044705.773</v>
      </c>
      <c r="B100" s="32">
        <v>400634.262</v>
      </c>
      <c r="C100" s="33">
        <v>902.88</v>
      </c>
      <c r="D100" s="11">
        <v>45024</v>
      </c>
      <c r="E100" s="21">
        <v>849.94</v>
      </c>
    </row>
    <row r="101" ht="15.75" spans="1:5">
      <c r="A101" s="32">
        <v>3044705.773</v>
      </c>
      <c r="B101" s="32">
        <v>400634.262</v>
      </c>
      <c r="C101" s="33">
        <v>902.88</v>
      </c>
      <c r="D101" s="11">
        <v>45025</v>
      </c>
      <c r="E101" s="21">
        <v>849.83</v>
      </c>
    </row>
    <row r="102" ht="15.75" spans="1:5">
      <c r="A102" s="32">
        <v>3044705.773</v>
      </c>
      <c r="B102" s="32">
        <v>400634.262</v>
      </c>
      <c r="C102" s="33">
        <v>902.88</v>
      </c>
      <c r="D102" s="11">
        <v>45026</v>
      </c>
      <c r="E102" s="21">
        <v>850.57</v>
      </c>
    </row>
    <row r="103" ht="15.75" spans="1:5">
      <c r="A103" s="32">
        <v>3044705.773</v>
      </c>
      <c r="B103" s="32">
        <v>400634.262</v>
      </c>
      <c r="C103" s="33">
        <v>902.88</v>
      </c>
      <c r="D103" s="11">
        <v>45027</v>
      </c>
      <c r="E103" s="21">
        <v>850.79</v>
      </c>
    </row>
    <row r="104" ht="15.75" spans="1:5">
      <c r="A104" s="32">
        <v>3044705.773</v>
      </c>
      <c r="B104" s="32">
        <v>400634.262</v>
      </c>
      <c r="C104" s="33">
        <v>902.88</v>
      </c>
      <c r="D104" s="11">
        <v>45028</v>
      </c>
      <c r="E104" s="21">
        <v>850.93</v>
      </c>
    </row>
    <row r="105" ht="15.75" spans="1:5">
      <c r="A105" s="32">
        <v>3044705.773</v>
      </c>
      <c r="B105" s="32">
        <v>400634.262</v>
      </c>
      <c r="C105" s="33">
        <v>902.88</v>
      </c>
      <c r="D105" s="11">
        <v>45029</v>
      </c>
      <c r="E105" s="21">
        <v>851.25</v>
      </c>
    </row>
    <row r="106" ht="15.75" spans="1:5">
      <c r="A106" s="32">
        <v>3044705.773</v>
      </c>
      <c r="B106" s="32">
        <v>400634.262</v>
      </c>
      <c r="C106" s="33">
        <v>902.88</v>
      </c>
      <c r="D106" s="11">
        <v>45030</v>
      </c>
      <c r="E106" s="21">
        <v>851.28</v>
      </c>
    </row>
    <row r="107" ht="15.75" spans="1:5">
      <c r="A107" s="32">
        <v>3044705.773</v>
      </c>
      <c r="B107" s="32">
        <v>400634.262</v>
      </c>
      <c r="C107" s="33">
        <v>902.88</v>
      </c>
      <c r="D107" s="11">
        <v>45031</v>
      </c>
      <c r="E107" s="21">
        <v>851.09</v>
      </c>
    </row>
    <row r="108" ht="15.75" spans="1:5">
      <c r="A108" s="32">
        <v>3044705.773</v>
      </c>
      <c r="B108" s="32">
        <v>400634.262</v>
      </c>
      <c r="C108" s="33">
        <v>902.88</v>
      </c>
      <c r="D108" s="11">
        <v>45032</v>
      </c>
      <c r="E108" s="21">
        <v>851.23</v>
      </c>
    </row>
    <row r="109" ht="15.75" spans="1:5">
      <c r="A109" s="32">
        <v>3044705.773</v>
      </c>
      <c r="B109" s="32">
        <v>400634.262</v>
      </c>
      <c r="C109" s="33">
        <v>902.88</v>
      </c>
      <c r="D109" s="11">
        <v>45033</v>
      </c>
      <c r="E109" s="21">
        <v>851.2</v>
      </c>
    </row>
    <row r="110" ht="15.75" spans="1:5">
      <c r="A110" s="32">
        <v>3044705.773</v>
      </c>
      <c r="B110" s="32">
        <v>400634.262</v>
      </c>
      <c r="C110" s="33">
        <v>902.88</v>
      </c>
      <c r="D110" s="11">
        <v>45034</v>
      </c>
      <c r="E110" s="21">
        <v>851.26</v>
      </c>
    </row>
    <row r="111" ht="15.75" spans="1:5">
      <c r="A111" s="32">
        <v>3044705.773</v>
      </c>
      <c r="B111" s="32">
        <v>400634.262</v>
      </c>
      <c r="C111" s="33">
        <v>902.88</v>
      </c>
      <c r="D111" s="11">
        <v>45035</v>
      </c>
      <c r="E111" s="21">
        <v>851.21</v>
      </c>
    </row>
    <row r="112" ht="15.75" spans="1:5">
      <c r="A112" s="32">
        <v>3044705.773</v>
      </c>
      <c r="B112" s="32">
        <v>400634.262</v>
      </c>
      <c r="C112" s="33">
        <v>902.88</v>
      </c>
      <c r="D112" s="11">
        <v>45036</v>
      </c>
      <c r="E112" s="21">
        <v>851.24</v>
      </c>
    </row>
    <row r="113" ht="15.75" spans="1:5">
      <c r="A113" s="32">
        <v>3044705.773</v>
      </c>
      <c r="B113" s="32">
        <v>400634.262</v>
      </c>
      <c r="C113" s="33">
        <v>902.88</v>
      </c>
      <c r="D113" s="11">
        <v>45037</v>
      </c>
      <c r="E113" s="21">
        <v>851.22</v>
      </c>
    </row>
    <row r="114" ht="15.75" spans="1:5">
      <c r="A114" s="32">
        <v>3044705.773</v>
      </c>
      <c r="B114" s="32">
        <v>400634.262</v>
      </c>
      <c r="C114" s="33">
        <v>902.88</v>
      </c>
      <c r="D114" s="11">
        <v>45038</v>
      </c>
      <c r="E114" s="21">
        <v>851.25</v>
      </c>
    </row>
    <row r="115" ht="15.75" spans="1:5">
      <c r="A115" s="32">
        <v>3044705.773</v>
      </c>
      <c r="B115" s="32">
        <v>400634.262</v>
      </c>
      <c r="C115" s="33">
        <v>902.88</v>
      </c>
      <c r="D115" s="11">
        <v>45039</v>
      </c>
      <c r="E115" s="21">
        <v>851.32</v>
      </c>
    </row>
    <row r="116" ht="15.75" spans="1:5">
      <c r="A116" s="32">
        <v>3044705.773</v>
      </c>
      <c r="B116" s="32">
        <v>400634.262</v>
      </c>
      <c r="C116" s="33">
        <v>902.88</v>
      </c>
      <c r="D116" s="11">
        <v>45040</v>
      </c>
      <c r="E116" s="21">
        <v>851.6</v>
      </c>
    </row>
    <row r="117" ht="15.75" spans="1:5">
      <c r="A117" s="32">
        <v>3044705.773</v>
      </c>
      <c r="B117" s="32">
        <v>400634.262</v>
      </c>
      <c r="C117" s="33">
        <v>902.88</v>
      </c>
      <c r="D117" s="11">
        <v>45041</v>
      </c>
      <c r="E117" s="21">
        <v>851.38</v>
      </c>
    </row>
    <row r="118" ht="15.75" spans="1:5">
      <c r="A118" s="32">
        <v>3044705.773</v>
      </c>
      <c r="B118" s="32">
        <v>400634.262</v>
      </c>
      <c r="C118" s="33">
        <v>902.88</v>
      </c>
      <c r="D118" s="11">
        <v>45042</v>
      </c>
      <c r="E118" s="21">
        <v>851.37</v>
      </c>
    </row>
    <row r="119" ht="15.75" spans="1:5">
      <c r="A119" s="32">
        <v>3044705.773</v>
      </c>
      <c r="B119" s="32">
        <v>400634.262</v>
      </c>
      <c r="C119" s="33">
        <v>902.88</v>
      </c>
      <c r="D119" s="11">
        <v>45043</v>
      </c>
      <c r="E119" s="21">
        <v>851.34</v>
      </c>
    </row>
    <row r="120" ht="15.75" spans="1:5">
      <c r="A120" s="32">
        <v>3044705.773</v>
      </c>
      <c r="B120" s="32">
        <v>400634.262</v>
      </c>
      <c r="C120" s="33">
        <v>902.88</v>
      </c>
      <c r="D120" s="11">
        <v>45044</v>
      </c>
      <c r="E120" s="21">
        <v>851.3</v>
      </c>
    </row>
    <row r="121" ht="15.75" spans="1:5">
      <c r="A121" s="32">
        <v>3044705.773</v>
      </c>
      <c r="B121" s="32">
        <v>400634.262</v>
      </c>
      <c r="C121" s="33">
        <v>902.88</v>
      </c>
      <c r="D121" s="11">
        <v>45045</v>
      </c>
      <c r="E121" s="21">
        <v>851.64</v>
      </c>
    </row>
    <row r="122" ht="15.75" spans="1:5">
      <c r="A122" s="32">
        <v>3044705.773</v>
      </c>
      <c r="B122" s="32">
        <v>400634.262</v>
      </c>
      <c r="C122" s="33">
        <v>902.88</v>
      </c>
      <c r="D122" s="11">
        <v>45046</v>
      </c>
      <c r="E122" s="21">
        <v>851.65</v>
      </c>
    </row>
    <row r="123" ht="15.75" spans="1:5">
      <c r="A123" s="32">
        <v>3044705.773</v>
      </c>
      <c r="B123" s="32">
        <v>400634.262</v>
      </c>
      <c r="C123" s="33">
        <v>902.88</v>
      </c>
      <c r="D123" s="11">
        <v>45047</v>
      </c>
      <c r="E123" s="21">
        <v>851.72</v>
      </c>
    </row>
    <row r="124" ht="15.75" spans="1:5">
      <c r="A124" s="32">
        <v>3044705.773</v>
      </c>
      <c r="B124" s="32">
        <v>400634.262</v>
      </c>
      <c r="C124" s="33">
        <v>902.88</v>
      </c>
      <c r="D124" s="11">
        <v>45048</v>
      </c>
      <c r="E124" s="21">
        <v>851.65</v>
      </c>
    </row>
    <row r="125" ht="15.75" spans="1:5">
      <c r="A125" s="32">
        <v>3044705.773</v>
      </c>
      <c r="B125" s="32">
        <v>400634.262</v>
      </c>
      <c r="C125" s="33">
        <v>902.88</v>
      </c>
      <c r="D125" s="11">
        <v>45049</v>
      </c>
      <c r="E125" s="21">
        <v>853.6</v>
      </c>
    </row>
    <row r="126" ht="15.75" spans="1:5">
      <c r="A126" s="32">
        <v>3044705.773</v>
      </c>
      <c r="B126" s="32">
        <v>400634.262</v>
      </c>
      <c r="C126" s="33">
        <v>902.88</v>
      </c>
      <c r="D126" s="11">
        <v>45050</v>
      </c>
      <c r="E126" s="21">
        <v>854.38</v>
      </c>
    </row>
    <row r="127" ht="15.75" spans="1:5">
      <c r="A127" s="32">
        <v>3044705.773</v>
      </c>
      <c r="B127" s="32">
        <v>400634.262</v>
      </c>
      <c r="C127" s="33">
        <v>902.88</v>
      </c>
      <c r="D127" s="11">
        <v>45051</v>
      </c>
      <c r="E127" s="21">
        <v>854.67</v>
      </c>
    </row>
    <row r="128" ht="15.75" spans="1:5">
      <c r="A128" s="32">
        <v>3044705.773</v>
      </c>
      <c r="B128" s="32">
        <v>400634.262</v>
      </c>
      <c r="C128" s="33">
        <v>902.88</v>
      </c>
      <c r="D128" s="11">
        <v>45052</v>
      </c>
      <c r="E128" s="21">
        <v>839.84</v>
      </c>
    </row>
    <row r="129" ht="15.75" spans="1:5">
      <c r="A129" s="32">
        <v>3044705.773</v>
      </c>
      <c r="B129" s="32">
        <v>400634.262</v>
      </c>
      <c r="C129" s="33">
        <v>902.88</v>
      </c>
      <c r="D129" s="11">
        <v>45053</v>
      </c>
      <c r="E129" s="21">
        <v>855.14</v>
      </c>
    </row>
    <row r="130" ht="15.75" spans="1:5">
      <c r="A130" s="32">
        <v>3044705.773</v>
      </c>
      <c r="B130" s="32">
        <v>400634.262</v>
      </c>
      <c r="C130" s="33">
        <v>902.88</v>
      </c>
      <c r="D130" s="11">
        <v>45054</v>
      </c>
      <c r="E130" s="21">
        <v>854.52</v>
      </c>
    </row>
    <row r="131" ht="15.75" spans="1:5">
      <c r="A131" s="32">
        <v>3044705.773</v>
      </c>
      <c r="B131" s="32">
        <v>400634.262</v>
      </c>
      <c r="C131" s="33">
        <v>902.88</v>
      </c>
      <c r="D131" s="11">
        <v>45055</v>
      </c>
      <c r="E131" s="21">
        <v>854.49</v>
      </c>
    </row>
    <row r="132" ht="15.75" spans="1:5">
      <c r="A132" s="32">
        <v>3044705.773</v>
      </c>
      <c r="B132" s="32">
        <v>400634.262</v>
      </c>
      <c r="C132" s="33">
        <v>902.88</v>
      </c>
      <c r="D132" s="11">
        <v>45056</v>
      </c>
      <c r="E132" s="21">
        <v>853.72</v>
      </c>
    </row>
    <row r="133" ht="15.75" spans="1:5">
      <c r="A133" s="32">
        <v>3044705.773</v>
      </c>
      <c r="B133" s="32">
        <v>400634.262</v>
      </c>
      <c r="C133" s="33">
        <v>902.88</v>
      </c>
      <c r="D133" s="11">
        <v>45057</v>
      </c>
      <c r="E133" s="21">
        <v>854.09</v>
      </c>
    </row>
    <row r="134" ht="15.75" spans="1:5">
      <c r="A134" s="32">
        <v>3044705.773</v>
      </c>
      <c r="B134" s="32">
        <v>400634.262</v>
      </c>
      <c r="C134" s="33">
        <v>902.88</v>
      </c>
      <c r="D134" s="11">
        <v>45058</v>
      </c>
      <c r="E134" s="21"/>
    </row>
    <row r="135" ht="15.75" spans="1:5">
      <c r="A135" s="32">
        <v>3044705.773</v>
      </c>
      <c r="B135" s="32">
        <v>400634.262</v>
      </c>
      <c r="C135" s="33">
        <v>902.88</v>
      </c>
      <c r="D135" s="11">
        <v>45059</v>
      </c>
      <c r="E135" s="21">
        <v>853.5</v>
      </c>
    </row>
    <row r="136" ht="15.75" spans="1:5">
      <c r="A136" s="32">
        <v>3044705.773</v>
      </c>
      <c r="B136" s="32">
        <v>400634.262</v>
      </c>
      <c r="C136" s="33">
        <v>902.88</v>
      </c>
      <c r="D136" s="11">
        <v>45060</v>
      </c>
      <c r="E136" s="21">
        <v>853.57</v>
      </c>
    </row>
    <row r="137" ht="15.75" spans="1:5">
      <c r="A137" s="32">
        <v>3044705.773</v>
      </c>
      <c r="B137" s="32">
        <v>400634.262</v>
      </c>
      <c r="C137" s="33">
        <v>902.88</v>
      </c>
      <c r="D137" s="11">
        <v>45061</v>
      </c>
      <c r="E137" s="21">
        <v>853.52</v>
      </c>
    </row>
    <row r="138" ht="15.75" spans="1:5">
      <c r="A138" s="32">
        <v>3044705.773</v>
      </c>
      <c r="B138" s="32">
        <v>400634.262</v>
      </c>
      <c r="C138" s="33">
        <v>902.88</v>
      </c>
      <c r="D138" s="11">
        <v>45062</v>
      </c>
      <c r="E138" s="21">
        <v>853.32</v>
      </c>
    </row>
    <row r="139" ht="15.75" spans="1:5">
      <c r="A139" s="32">
        <v>3044705.773</v>
      </c>
      <c r="B139" s="32">
        <v>400634.262</v>
      </c>
      <c r="C139" s="33">
        <v>902.88</v>
      </c>
      <c r="D139" s="11">
        <v>45063</v>
      </c>
      <c r="E139" s="21">
        <v>853.47</v>
      </c>
    </row>
    <row r="140" ht="15.75" spans="1:5">
      <c r="A140" s="32">
        <v>3044705.773</v>
      </c>
      <c r="B140" s="32">
        <v>400634.262</v>
      </c>
      <c r="C140" s="33">
        <v>902.88</v>
      </c>
      <c r="D140" s="11">
        <v>45064</v>
      </c>
      <c r="E140" s="21">
        <v>853.83</v>
      </c>
    </row>
    <row r="141" ht="15.75" spans="1:5">
      <c r="A141" s="32">
        <v>3044705.773</v>
      </c>
      <c r="B141" s="32">
        <v>400634.262</v>
      </c>
      <c r="C141" s="33">
        <v>902.88</v>
      </c>
      <c r="D141" s="11">
        <v>45065</v>
      </c>
      <c r="E141" s="21">
        <v>853.76</v>
      </c>
    </row>
    <row r="142" ht="15.75" spans="1:5">
      <c r="A142" s="32">
        <v>3044705.773</v>
      </c>
      <c r="B142" s="32">
        <v>400634.262</v>
      </c>
      <c r="C142" s="33">
        <v>902.88</v>
      </c>
      <c r="D142" s="11">
        <v>45066</v>
      </c>
      <c r="E142" s="21">
        <v>853.89</v>
      </c>
    </row>
    <row r="143" ht="15.75" spans="1:5">
      <c r="A143" s="32">
        <v>3044705.773</v>
      </c>
      <c r="B143" s="32">
        <v>400634.262</v>
      </c>
      <c r="C143" s="33">
        <v>902.88</v>
      </c>
      <c r="D143" s="11">
        <v>45067</v>
      </c>
      <c r="E143" s="21">
        <v>854.04</v>
      </c>
    </row>
    <row r="144" ht="15.75" spans="1:5">
      <c r="A144" s="32">
        <v>3044705.773</v>
      </c>
      <c r="B144" s="32">
        <v>400634.262</v>
      </c>
      <c r="C144" s="33">
        <v>902.88</v>
      </c>
      <c r="D144" s="11">
        <v>45068</v>
      </c>
      <c r="E144" s="21">
        <v>854.13</v>
      </c>
    </row>
    <row r="145" ht="15.75" spans="1:5">
      <c r="A145" s="32">
        <v>3044705.773</v>
      </c>
      <c r="B145" s="32">
        <v>400634.262</v>
      </c>
      <c r="C145" s="33">
        <v>902.88</v>
      </c>
      <c r="D145" s="11">
        <v>45069</v>
      </c>
      <c r="E145" s="21">
        <v>853.94</v>
      </c>
    </row>
    <row r="146" ht="15.75" spans="1:5">
      <c r="A146" s="32">
        <v>3044705.773</v>
      </c>
      <c r="B146" s="32">
        <v>400634.262</v>
      </c>
      <c r="C146" s="33">
        <v>902.88</v>
      </c>
      <c r="D146" s="11">
        <v>45070</v>
      </c>
      <c r="E146" s="21">
        <v>853.79</v>
      </c>
    </row>
    <row r="147" ht="15.75" spans="1:5">
      <c r="A147" s="32">
        <v>3044705.773</v>
      </c>
      <c r="B147" s="32">
        <v>400634.262</v>
      </c>
      <c r="C147" s="33">
        <v>902.88</v>
      </c>
      <c r="D147" s="11">
        <v>45071</v>
      </c>
      <c r="E147" s="21">
        <v>853.68</v>
      </c>
    </row>
    <row r="148" ht="15.75" spans="1:5">
      <c r="A148" s="32">
        <v>3044705.773</v>
      </c>
      <c r="B148" s="32">
        <v>400634.262</v>
      </c>
      <c r="C148" s="33">
        <v>902.88</v>
      </c>
      <c r="D148" s="11">
        <v>45072</v>
      </c>
      <c r="E148" s="21">
        <v>853.7</v>
      </c>
    </row>
    <row r="149" ht="15.75" spans="1:5">
      <c r="A149" s="32">
        <v>3044705.773</v>
      </c>
      <c r="B149" s="32">
        <v>400634.262</v>
      </c>
      <c r="C149" s="33">
        <v>902.88</v>
      </c>
      <c r="D149" s="11">
        <v>45073</v>
      </c>
      <c r="E149" s="21">
        <v>853.69</v>
      </c>
    </row>
    <row r="150" ht="15.75" spans="1:5">
      <c r="A150" s="32">
        <v>3044705.773</v>
      </c>
      <c r="B150" s="32">
        <v>400634.262</v>
      </c>
      <c r="C150" s="33">
        <v>902.88</v>
      </c>
      <c r="D150" s="11">
        <v>45074</v>
      </c>
      <c r="E150" s="21">
        <v>853.65</v>
      </c>
    </row>
    <row r="151" ht="15.75" spans="1:5">
      <c r="A151" s="32">
        <v>3044705.773</v>
      </c>
      <c r="B151" s="32">
        <v>400634.262</v>
      </c>
      <c r="C151" s="33">
        <v>902.88</v>
      </c>
      <c r="D151" s="11">
        <v>45075</v>
      </c>
      <c r="E151" s="21">
        <v>853.45</v>
      </c>
    </row>
    <row r="152" ht="15.75" spans="1:5">
      <c r="A152" s="32">
        <v>3044705.773</v>
      </c>
      <c r="B152" s="32">
        <v>400634.262</v>
      </c>
      <c r="C152" s="33">
        <v>902.88</v>
      </c>
      <c r="D152" s="11">
        <v>45076</v>
      </c>
      <c r="E152" s="21">
        <v>853.65</v>
      </c>
    </row>
    <row r="153" ht="15.75" spans="1:5">
      <c r="A153" s="32">
        <v>3044705.773</v>
      </c>
      <c r="B153" s="32">
        <v>400634.262</v>
      </c>
      <c r="C153" s="33">
        <v>902.88</v>
      </c>
      <c r="D153" s="11">
        <v>45077</v>
      </c>
      <c r="E153" s="21">
        <v>853.74</v>
      </c>
    </row>
    <row r="154" ht="15.75" spans="1:5">
      <c r="A154" s="32">
        <v>3044705.773</v>
      </c>
      <c r="B154" s="32">
        <v>400634.262</v>
      </c>
      <c r="C154" s="33">
        <v>902.88</v>
      </c>
      <c r="D154" s="11">
        <v>45078</v>
      </c>
      <c r="E154" s="21">
        <v>853.78</v>
      </c>
    </row>
    <row r="155" ht="15.75" spans="1:5">
      <c r="A155" s="32">
        <v>3044705.773</v>
      </c>
      <c r="B155" s="32">
        <v>400634.262</v>
      </c>
      <c r="C155" s="33">
        <v>902.88</v>
      </c>
      <c r="D155" s="11">
        <v>45079</v>
      </c>
      <c r="E155" s="21">
        <v>853.85</v>
      </c>
    </row>
    <row r="156" ht="15.75" spans="1:5">
      <c r="A156" s="32">
        <v>3044705.773</v>
      </c>
      <c r="B156" s="32">
        <v>400634.262</v>
      </c>
      <c r="C156" s="33">
        <v>902.88</v>
      </c>
      <c r="D156" s="11">
        <v>45080</v>
      </c>
      <c r="E156" s="21">
        <v>853.94</v>
      </c>
    </row>
    <row r="157" ht="15.75" spans="1:5">
      <c r="A157" s="32">
        <v>3044705.773</v>
      </c>
      <c r="B157" s="32">
        <v>400634.262</v>
      </c>
      <c r="C157" s="33">
        <v>902.88</v>
      </c>
      <c r="D157" s="11">
        <v>45081</v>
      </c>
      <c r="E157" s="21">
        <v>852.43</v>
      </c>
    </row>
    <row r="158" ht="15.75" spans="1:5">
      <c r="A158" s="32">
        <v>3044705.773</v>
      </c>
      <c r="B158" s="32">
        <v>400634.262</v>
      </c>
      <c r="C158" s="33">
        <v>902.88</v>
      </c>
      <c r="D158" s="11">
        <v>45082</v>
      </c>
      <c r="E158" s="21">
        <v>852.03</v>
      </c>
    </row>
    <row r="159" ht="15.75" spans="1:5">
      <c r="A159" s="32">
        <v>3044705.773</v>
      </c>
      <c r="B159" s="32">
        <v>400634.262</v>
      </c>
      <c r="C159" s="33">
        <v>902.88</v>
      </c>
      <c r="D159" s="11">
        <v>45083</v>
      </c>
      <c r="E159" s="21">
        <v>852.16</v>
      </c>
    </row>
    <row r="160" ht="15.75" spans="1:5">
      <c r="A160" s="32">
        <v>3044705.773</v>
      </c>
      <c r="B160" s="32">
        <v>400634.262</v>
      </c>
      <c r="C160" s="33">
        <v>902.88</v>
      </c>
      <c r="D160" s="11">
        <v>45084</v>
      </c>
      <c r="E160" s="21"/>
    </row>
    <row r="161" ht="15.75" spans="1:5">
      <c r="A161" s="32">
        <v>3044705.773</v>
      </c>
      <c r="B161" s="32">
        <v>400634.262</v>
      </c>
      <c r="C161" s="33">
        <v>902.88</v>
      </c>
      <c r="D161" s="11">
        <v>45085</v>
      </c>
      <c r="E161" s="21">
        <v>852.34</v>
      </c>
    </row>
    <row r="162" ht="15.75" spans="1:5">
      <c r="A162" s="32">
        <v>3044705.773</v>
      </c>
      <c r="B162" s="32">
        <v>400634.262</v>
      </c>
      <c r="C162" s="33">
        <v>902.88</v>
      </c>
      <c r="D162" s="11">
        <v>45086</v>
      </c>
      <c r="E162" s="21">
        <v>851.95</v>
      </c>
    </row>
    <row r="163" ht="15.75" spans="1:5">
      <c r="A163" s="32">
        <v>3044705.773</v>
      </c>
      <c r="B163" s="32">
        <v>400634.262</v>
      </c>
      <c r="C163" s="33">
        <v>902.88</v>
      </c>
      <c r="D163" s="11">
        <v>45087</v>
      </c>
      <c r="E163" s="21">
        <v>851.66</v>
      </c>
    </row>
    <row r="164" ht="15.75" spans="1:5">
      <c r="A164" s="32">
        <v>3044705.773</v>
      </c>
      <c r="B164" s="32">
        <v>400634.262</v>
      </c>
      <c r="C164" s="33">
        <v>902.88</v>
      </c>
      <c r="D164" s="11">
        <v>45088</v>
      </c>
      <c r="E164" s="21">
        <v>851.64</v>
      </c>
    </row>
    <row r="165" ht="15.75" spans="1:5">
      <c r="A165" s="32">
        <v>3044705.773</v>
      </c>
      <c r="B165" s="32">
        <v>400634.262</v>
      </c>
      <c r="C165" s="33">
        <v>902.88</v>
      </c>
      <c r="D165" s="11">
        <v>45089</v>
      </c>
      <c r="E165" s="21">
        <v>851.57</v>
      </c>
    </row>
    <row r="166" ht="15.75" spans="1:5">
      <c r="A166" s="32">
        <v>3044705.773</v>
      </c>
      <c r="B166" s="32">
        <v>400634.262</v>
      </c>
      <c r="C166" s="33">
        <v>902.88</v>
      </c>
      <c r="D166" s="11">
        <v>45090</v>
      </c>
      <c r="E166" s="21">
        <v>851.43</v>
      </c>
    </row>
    <row r="167" ht="15.75" spans="1:5">
      <c r="A167" s="32">
        <v>3044705.773</v>
      </c>
      <c r="B167" s="32">
        <v>400634.262</v>
      </c>
      <c r="C167" s="33">
        <v>902.88</v>
      </c>
      <c r="D167" s="11">
        <v>45091</v>
      </c>
      <c r="E167" s="21">
        <v>851.41</v>
      </c>
    </row>
    <row r="168" ht="15.75" spans="1:5">
      <c r="A168" s="32">
        <v>3044705.773</v>
      </c>
      <c r="B168" s="32">
        <v>400634.262</v>
      </c>
      <c r="C168" s="33">
        <v>902.88</v>
      </c>
      <c r="D168" s="11">
        <v>45092</v>
      </c>
      <c r="E168" s="21">
        <v>852.9</v>
      </c>
    </row>
    <row r="169" ht="15.75" spans="1:5">
      <c r="A169" s="32">
        <v>3044705.773</v>
      </c>
      <c r="B169" s="32">
        <v>400634.262</v>
      </c>
      <c r="C169" s="33">
        <v>902.88</v>
      </c>
      <c r="D169" s="11">
        <v>45093</v>
      </c>
      <c r="E169" s="21">
        <v>852.79</v>
      </c>
    </row>
    <row r="170" ht="15.75" spans="1:5">
      <c r="A170" s="32">
        <v>3044705.773</v>
      </c>
      <c r="B170" s="32">
        <v>400634.262</v>
      </c>
      <c r="C170" s="33">
        <v>902.88</v>
      </c>
      <c r="D170" s="11">
        <v>45094</v>
      </c>
      <c r="E170" s="21">
        <v>851.57</v>
      </c>
    </row>
    <row r="171" ht="15.75" spans="1:5">
      <c r="A171" s="32">
        <v>3044705.773</v>
      </c>
      <c r="B171" s="32">
        <v>400634.262</v>
      </c>
      <c r="C171" s="33">
        <v>902.88</v>
      </c>
      <c r="D171" s="11">
        <v>45095</v>
      </c>
      <c r="E171" s="21">
        <v>851.72</v>
      </c>
    </row>
    <row r="172" ht="15.75" spans="1:5">
      <c r="A172" s="32">
        <v>3044705.773</v>
      </c>
      <c r="B172" s="32">
        <v>400634.262</v>
      </c>
      <c r="C172" s="33">
        <v>902.88</v>
      </c>
      <c r="D172" s="11">
        <v>45096</v>
      </c>
      <c r="E172" s="21">
        <v>851.79</v>
      </c>
    </row>
    <row r="173" ht="15.75" spans="1:5">
      <c r="A173" s="32">
        <v>3044705.773</v>
      </c>
      <c r="B173" s="32">
        <v>400634.262</v>
      </c>
      <c r="C173" s="33">
        <v>902.88</v>
      </c>
      <c r="D173" s="11">
        <v>45097</v>
      </c>
      <c r="E173" s="21">
        <v>851.82</v>
      </c>
    </row>
    <row r="174" ht="15.75" spans="1:5">
      <c r="A174" s="32">
        <v>3044705.773</v>
      </c>
      <c r="B174" s="32">
        <v>400634.262</v>
      </c>
      <c r="C174" s="33">
        <v>902.88</v>
      </c>
      <c r="D174" s="11">
        <v>45098</v>
      </c>
      <c r="E174" s="21">
        <v>851.84</v>
      </c>
    </row>
    <row r="175" ht="15.75" spans="1:5">
      <c r="A175" s="32">
        <v>3044705.773</v>
      </c>
      <c r="B175" s="32">
        <v>400634.262</v>
      </c>
      <c r="C175" s="33">
        <v>902.88</v>
      </c>
      <c r="D175" s="11">
        <v>45099</v>
      </c>
      <c r="E175" s="21">
        <v>852.27</v>
      </c>
    </row>
    <row r="176" ht="15.75" spans="1:5">
      <c r="A176" s="32">
        <v>3044705.773</v>
      </c>
      <c r="B176" s="32">
        <v>400634.262</v>
      </c>
      <c r="C176" s="33">
        <v>902.88</v>
      </c>
      <c r="D176" s="11">
        <v>45100</v>
      </c>
      <c r="E176" s="21">
        <v>851.94</v>
      </c>
    </row>
    <row r="177" ht="15.75" spans="1:5">
      <c r="A177" s="32">
        <v>3044705.773</v>
      </c>
      <c r="B177" s="32">
        <v>400634.262</v>
      </c>
      <c r="C177" s="33">
        <v>902.88</v>
      </c>
      <c r="D177" s="11">
        <v>45101</v>
      </c>
      <c r="E177" s="21">
        <v>852.57</v>
      </c>
    </row>
    <row r="178" ht="15.75" spans="1:5">
      <c r="A178" s="32">
        <v>3044705.773</v>
      </c>
      <c r="B178" s="32">
        <v>400634.262</v>
      </c>
      <c r="C178" s="33">
        <v>902.88</v>
      </c>
      <c r="D178" s="11">
        <v>45102</v>
      </c>
      <c r="E178" s="21">
        <v>852.53</v>
      </c>
    </row>
    <row r="179" ht="15.75" spans="1:5">
      <c r="A179" s="32">
        <v>3044705.773</v>
      </c>
      <c r="B179" s="32">
        <v>400634.262</v>
      </c>
      <c r="C179" s="33">
        <v>902.88</v>
      </c>
      <c r="D179" s="11">
        <v>45103</v>
      </c>
      <c r="E179" s="21">
        <v>852.65</v>
      </c>
    </row>
    <row r="180" ht="15.75" spans="1:5">
      <c r="A180" s="32">
        <v>3044705.773</v>
      </c>
      <c r="B180" s="32">
        <v>400634.262</v>
      </c>
      <c r="C180" s="33">
        <v>902.88</v>
      </c>
      <c r="D180" s="11">
        <v>45104</v>
      </c>
      <c r="E180" s="21">
        <v>852.59</v>
      </c>
    </row>
    <row r="181" ht="15.75" spans="1:5">
      <c r="A181" s="32">
        <v>3044705.773</v>
      </c>
      <c r="B181" s="32">
        <v>400634.262</v>
      </c>
      <c r="C181" s="33">
        <v>902.88</v>
      </c>
      <c r="D181" s="11">
        <v>45105</v>
      </c>
      <c r="E181" s="21">
        <v>852.25</v>
      </c>
    </row>
    <row r="182" ht="15.75" spans="1:5">
      <c r="A182" s="32">
        <v>3044705.773</v>
      </c>
      <c r="B182" s="32">
        <v>400634.262</v>
      </c>
      <c r="C182" s="33">
        <v>902.88</v>
      </c>
      <c r="D182" s="11">
        <v>45106</v>
      </c>
      <c r="E182" s="21">
        <v>852.17</v>
      </c>
    </row>
    <row r="183" ht="15.75" spans="1:5">
      <c r="A183" s="32">
        <v>3044705.773</v>
      </c>
      <c r="B183" s="32">
        <v>400634.262</v>
      </c>
      <c r="C183" s="33">
        <v>902.88</v>
      </c>
      <c r="D183" s="11">
        <v>45107</v>
      </c>
      <c r="E183" s="21">
        <v>852.22</v>
      </c>
    </row>
    <row r="184" ht="15.75" spans="1:5">
      <c r="A184" s="32">
        <v>3044705.773</v>
      </c>
      <c r="B184" s="32">
        <v>400634.262</v>
      </c>
      <c r="C184" s="33">
        <v>902.88</v>
      </c>
      <c r="D184" s="11">
        <v>45108</v>
      </c>
      <c r="E184" s="21">
        <v>852.44</v>
      </c>
    </row>
    <row r="185" ht="15.75" spans="1:5">
      <c r="A185" s="32">
        <v>3044705.773</v>
      </c>
      <c r="B185" s="32">
        <v>400634.262</v>
      </c>
      <c r="C185" s="33">
        <v>902.88</v>
      </c>
      <c r="D185" s="11">
        <v>45109</v>
      </c>
      <c r="E185" s="21">
        <v>852.51</v>
      </c>
    </row>
    <row r="186" ht="15.75" spans="1:5">
      <c r="A186" s="32">
        <v>3044705.773</v>
      </c>
      <c r="B186" s="32">
        <v>400634.262</v>
      </c>
      <c r="C186" s="33">
        <v>902.88</v>
      </c>
      <c r="D186" s="11">
        <v>45110</v>
      </c>
      <c r="E186" s="21">
        <v>852.5</v>
      </c>
    </row>
    <row r="187" ht="15.75" spans="1:5">
      <c r="A187" s="32">
        <v>3044705.773</v>
      </c>
      <c r="B187" s="32">
        <v>400634.262</v>
      </c>
      <c r="C187" s="33">
        <v>902.88</v>
      </c>
      <c r="D187" s="11">
        <v>45111</v>
      </c>
      <c r="E187" s="21">
        <v>852.71</v>
      </c>
    </row>
    <row r="188" ht="15.75" spans="1:5">
      <c r="A188" s="32">
        <v>3044705.773</v>
      </c>
      <c r="B188" s="32">
        <v>400634.262</v>
      </c>
      <c r="C188" s="33">
        <v>902.88</v>
      </c>
      <c r="D188" s="11">
        <v>45112</v>
      </c>
      <c r="E188" s="21">
        <v>853</v>
      </c>
    </row>
    <row r="189" ht="15.75" spans="1:5">
      <c r="A189" s="32">
        <v>3044705.773</v>
      </c>
      <c r="B189" s="32">
        <v>400634.262</v>
      </c>
      <c r="C189" s="33">
        <v>902.88</v>
      </c>
      <c r="D189" s="11">
        <v>45113</v>
      </c>
      <c r="E189" s="21">
        <v>853.17</v>
      </c>
    </row>
    <row r="190" ht="15.75" spans="1:5">
      <c r="A190" s="32">
        <v>3044705.773</v>
      </c>
      <c r="B190" s="32">
        <v>400634.262</v>
      </c>
      <c r="C190" s="33">
        <v>902.88</v>
      </c>
      <c r="D190" s="11">
        <v>45114</v>
      </c>
      <c r="E190" s="21">
        <v>853.18</v>
      </c>
    </row>
    <row r="191" ht="15.75" spans="1:5">
      <c r="A191" s="32">
        <v>3044705.773</v>
      </c>
      <c r="B191" s="32">
        <v>400634.262</v>
      </c>
      <c r="C191" s="33">
        <v>902.88</v>
      </c>
      <c r="D191" s="11">
        <v>45115</v>
      </c>
      <c r="E191" s="21">
        <v>853.24</v>
      </c>
    </row>
    <row r="192" ht="15.75" spans="1:5">
      <c r="A192" s="32">
        <v>3044705.773</v>
      </c>
      <c r="B192" s="32">
        <v>400634.262</v>
      </c>
      <c r="C192" s="33">
        <v>902.88</v>
      </c>
      <c r="D192" s="11">
        <v>45116</v>
      </c>
      <c r="E192" s="21">
        <v>853.37</v>
      </c>
    </row>
    <row r="193" ht="15.75" spans="1:5">
      <c r="A193" s="32">
        <v>3044705.773</v>
      </c>
      <c r="B193" s="32">
        <v>400634.262</v>
      </c>
      <c r="C193" s="33">
        <v>902.88</v>
      </c>
      <c r="D193" s="11">
        <v>45117</v>
      </c>
      <c r="E193" s="21">
        <v>853.38</v>
      </c>
    </row>
    <row r="194" ht="15.75" spans="1:5">
      <c r="A194" s="32">
        <v>3044705.773</v>
      </c>
      <c r="B194" s="32">
        <v>400634.262</v>
      </c>
      <c r="C194" s="33">
        <v>902.88</v>
      </c>
      <c r="D194" s="11">
        <v>45118</v>
      </c>
      <c r="E194" s="21">
        <v>853.39</v>
      </c>
    </row>
    <row r="195" ht="15.75" spans="1:5">
      <c r="A195" s="32">
        <v>3044705.773</v>
      </c>
      <c r="B195" s="32">
        <v>400634.262</v>
      </c>
      <c r="C195" s="33">
        <v>902.88</v>
      </c>
      <c r="D195" s="11">
        <v>45119</v>
      </c>
      <c r="E195" s="21">
        <v>853.41</v>
      </c>
    </row>
    <row r="196" ht="15.75" spans="1:5">
      <c r="A196" s="32">
        <v>3044705.773</v>
      </c>
      <c r="B196" s="32">
        <v>400634.262</v>
      </c>
      <c r="C196" s="33">
        <v>902.88</v>
      </c>
      <c r="D196" s="11">
        <v>45120</v>
      </c>
      <c r="E196" s="21">
        <v>853.37</v>
      </c>
    </row>
    <row r="197" ht="15.75" spans="1:5">
      <c r="A197" s="32">
        <v>3044705.773</v>
      </c>
      <c r="B197" s="32">
        <v>400634.262</v>
      </c>
      <c r="C197" s="33">
        <v>902.88</v>
      </c>
      <c r="D197" s="11">
        <v>45121</v>
      </c>
      <c r="E197" s="21">
        <v>853.55</v>
      </c>
    </row>
    <row r="198" ht="15.75" spans="1:5">
      <c r="A198" s="32">
        <v>3044705.773</v>
      </c>
      <c r="B198" s="32">
        <v>400634.262</v>
      </c>
      <c r="C198" s="33">
        <v>902.88</v>
      </c>
      <c r="D198" s="11">
        <v>45122</v>
      </c>
      <c r="E198" s="21">
        <v>853.9</v>
      </c>
    </row>
    <row r="199" ht="15.75" spans="1:5">
      <c r="A199" s="32">
        <v>3044705.773</v>
      </c>
      <c r="B199" s="32">
        <v>400634.262</v>
      </c>
      <c r="C199" s="33">
        <v>902.88</v>
      </c>
      <c r="D199" s="11">
        <v>45123</v>
      </c>
      <c r="E199" s="21">
        <v>853.92</v>
      </c>
    </row>
    <row r="200" ht="15.75" spans="1:5">
      <c r="A200" s="32">
        <v>3044705.773</v>
      </c>
      <c r="B200" s="32">
        <v>400634.262</v>
      </c>
      <c r="C200" s="33">
        <v>902.88</v>
      </c>
      <c r="D200" s="11">
        <v>45124</v>
      </c>
      <c r="E200" s="21">
        <v>853.92</v>
      </c>
    </row>
    <row r="201" ht="15.75" spans="1:5">
      <c r="A201" s="32">
        <v>3044705.773</v>
      </c>
      <c r="B201" s="32">
        <v>400634.262</v>
      </c>
      <c r="C201" s="33">
        <v>902.88</v>
      </c>
      <c r="D201" s="11">
        <v>45125</v>
      </c>
      <c r="E201" s="21">
        <v>852.68</v>
      </c>
    </row>
    <row r="202" ht="15.75" spans="1:5">
      <c r="A202" s="32">
        <v>3044705.773</v>
      </c>
      <c r="B202" s="32">
        <v>400634.262</v>
      </c>
      <c r="C202" s="33">
        <v>902.88</v>
      </c>
      <c r="D202" s="11">
        <v>45126</v>
      </c>
      <c r="E202" s="21">
        <v>852.82</v>
      </c>
    </row>
    <row r="203" ht="15.75" spans="1:5">
      <c r="A203" s="32">
        <v>3044705.773</v>
      </c>
      <c r="B203" s="32">
        <v>400634.262</v>
      </c>
      <c r="C203" s="33">
        <v>902.88</v>
      </c>
      <c r="D203" s="11">
        <v>45127</v>
      </c>
      <c r="E203" s="21">
        <v>852.96</v>
      </c>
    </row>
    <row r="204" ht="15.75" spans="1:5">
      <c r="A204" s="32">
        <v>3044705.773</v>
      </c>
      <c r="B204" s="32">
        <v>400634.262</v>
      </c>
      <c r="C204" s="33">
        <v>902.88</v>
      </c>
      <c r="D204" s="11">
        <v>45128</v>
      </c>
      <c r="E204" s="21">
        <v>853.15</v>
      </c>
    </row>
    <row r="205" ht="15.75" spans="1:5">
      <c r="A205" s="32">
        <v>3044705.773</v>
      </c>
      <c r="B205" s="32">
        <v>400634.262</v>
      </c>
      <c r="C205" s="33">
        <v>902.88</v>
      </c>
      <c r="D205" s="11">
        <v>45129</v>
      </c>
      <c r="E205" s="21">
        <v>853.07</v>
      </c>
    </row>
    <row r="206" ht="15.75" spans="1:5">
      <c r="A206" s="32">
        <v>3044705.773</v>
      </c>
      <c r="B206" s="32">
        <v>400634.262</v>
      </c>
      <c r="C206" s="33">
        <v>902.88</v>
      </c>
      <c r="D206" s="11">
        <v>45130</v>
      </c>
      <c r="E206" s="21">
        <v>853.13</v>
      </c>
    </row>
    <row r="207" ht="15.75" spans="1:5">
      <c r="A207" s="32">
        <v>3044705.773</v>
      </c>
      <c r="B207" s="32">
        <v>400634.262</v>
      </c>
      <c r="C207" s="33">
        <v>902.88</v>
      </c>
      <c r="D207" s="11">
        <v>45131</v>
      </c>
      <c r="E207" s="21">
        <v>853.07</v>
      </c>
    </row>
    <row r="208" ht="15.75" spans="1:5">
      <c r="A208" s="32">
        <v>3044705.773</v>
      </c>
      <c r="B208" s="32">
        <v>400634.262</v>
      </c>
      <c r="C208" s="33">
        <v>902.88</v>
      </c>
      <c r="D208" s="11">
        <v>45132</v>
      </c>
      <c r="E208" s="21">
        <v>853.1</v>
      </c>
    </row>
    <row r="209" ht="15.75" spans="1:5">
      <c r="A209" s="32">
        <v>3044705.773</v>
      </c>
      <c r="B209" s="32">
        <v>400634.262</v>
      </c>
      <c r="C209" s="33">
        <v>902.88</v>
      </c>
      <c r="D209" s="11">
        <v>45133</v>
      </c>
      <c r="E209" s="21">
        <v>852.8</v>
      </c>
    </row>
    <row r="210" ht="15.75" spans="1:5">
      <c r="A210" s="32">
        <v>3044705.773</v>
      </c>
      <c r="B210" s="32">
        <v>400634.262</v>
      </c>
      <c r="C210" s="33">
        <v>902.88</v>
      </c>
      <c r="D210" s="11">
        <v>45134</v>
      </c>
      <c r="E210" s="21">
        <v>853.51</v>
      </c>
    </row>
    <row r="211" ht="15.75" spans="1:5">
      <c r="A211" s="32">
        <v>3044705.773</v>
      </c>
      <c r="B211" s="32">
        <v>400634.262</v>
      </c>
      <c r="C211" s="33">
        <v>902.88</v>
      </c>
      <c r="D211" s="11">
        <v>45135</v>
      </c>
      <c r="E211" s="21">
        <v>854.03</v>
      </c>
    </row>
    <row r="212" ht="15.75" spans="1:5">
      <c r="A212" s="32">
        <v>3044705.773</v>
      </c>
      <c r="B212" s="32">
        <v>400634.262</v>
      </c>
      <c r="C212" s="33">
        <v>902.88</v>
      </c>
      <c r="D212" s="11">
        <v>45136</v>
      </c>
      <c r="E212" s="21">
        <v>854.2</v>
      </c>
    </row>
    <row r="213" ht="15.75" spans="1:5">
      <c r="A213" s="32">
        <v>3044705.773</v>
      </c>
      <c r="B213" s="32">
        <v>400634.262</v>
      </c>
      <c r="C213" s="33">
        <v>902.88</v>
      </c>
      <c r="D213" s="11">
        <v>45137</v>
      </c>
      <c r="E213" s="21">
        <v>854.01</v>
      </c>
    </row>
    <row r="214" ht="15.75" spans="1:5">
      <c r="A214" s="32">
        <v>3044705.773</v>
      </c>
      <c r="B214" s="32">
        <v>400634.262</v>
      </c>
      <c r="C214" s="33">
        <v>902.88</v>
      </c>
      <c r="D214" s="11">
        <v>45138</v>
      </c>
      <c r="E214" s="21">
        <v>853.89</v>
      </c>
    </row>
    <row r="215" ht="15.75" spans="1:5">
      <c r="A215" s="32">
        <v>3044705.773</v>
      </c>
      <c r="B215" s="32">
        <v>400634.262</v>
      </c>
      <c r="C215" s="33">
        <v>902.88</v>
      </c>
      <c r="D215" s="11">
        <v>45139</v>
      </c>
      <c r="E215" s="21">
        <v>853.88</v>
      </c>
    </row>
    <row r="216" ht="15.75" spans="1:5">
      <c r="A216" s="32">
        <v>3044705.773</v>
      </c>
      <c r="B216" s="32">
        <v>400634.262</v>
      </c>
      <c r="C216" s="33">
        <v>902.88</v>
      </c>
      <c r="D216" s="11">
        <v>45140</v>
      </c>
      <c r="E216" s="21">
        <v>854.01</v>
      </c>
    </row>
    <row r="217" ht="15.75" spans="1:5">
      <c r="A217" s="32">
        <v>3044705.773</v>
      </c>
      <c r="B217" s="32">
        <v>400634.262</v>
      </c>
      <c r="C217" s="33">
        <v>902.88</v>
      </c>
      <c r="D217" s="11">
        <v>45141</v>
      </c>
      <c r="E217" s="21">
        <v>854.089</v>
      </c>
    </row>
    <row r="218" ht="15.75" spans="1:5">
      <c r="A218" s="32">
        <v>3044705.773</v>
      </c>
      <c r="B218" s="32">
        <v>400634.262</v>
      </c>
      <c r="C218" s="33">
        <v>902.88</v>
      </c>
      <c r="D218" s="11">
        <v>45142</v>
      </c>
      <c r="E218" s="21">
        <v>854.291</v>
      </c>
    </row>
    <row r="219" ht="15.75" spans="1:5">
      <c r="A219" s="32">
        <v>3044705.773</v>
      </c>
      <c r="B219" s="32">
        <v>400634.262</v>
      </c>
      <c r="C219" s="33">
        <v>902.88</v>
      </c>
      <c r="D219" s="11">
        <v>45143</v>
      </c>
      <c r="E219" s="21">
        <v>854.401</v>
      </c>
    </row>
    <row r="220" ht="15.75" spans="1:5">
      <c r="A220" s="32">
        <v>3044705.773</v>
      </c>
      <c r="B220" s="32">
        <v>400634.262</v>
      </c>
      <c r="C220" s="33">
        <v>902.88</v>
      </c>
      <c r="D220" s="11">
        <v>45144</v>
      </c>
      <c r="E220" s="21">
        <v>854.315</v>
      </c>
    </row>
    <row r="221" ht="15.75" spans="1:5">
      <c r="A221" s="32">
        <v>3044705.773</v>
      </c>
      <c r="B221" s="32">
        <v>400634.262</v>
      </c>
      <c r="C221" s="33">
        <v>902.88</v>
      </c>
      <c r="D221" s="11">
        <v>45145</v>
      </c>
      <c r="E221" s="21">
        <v>854.331</v>
      </c>
    </row>
    <row r="222" ht="15.75" spans="1:5">
      <c r="A222" s="32">
        <v>3044705.773</v>
      </c>
      <c r="B222" s="32">
        <v>400634.262</v>
      </c>
      <c r="C222" s="33">
        <v>902.88</v>
      </c>
      <c r="D222" s="11">
        <v>45146</v>
      </c>
      <c r="E222" s="21">
        <v>854.317</v>
      </c>
    </row>
    <row r="223" ht="15.75" spans="1:5">
      <c r="A223" s="32">
        <v>3044705.773</v>
      </c>
      <c r="B223" s="32">
        <v>400634.262</v>
      </c>
      <c r="C223" s="33">
        <v>902.88</v>
      </c>
      <c r="D223" s="11">
        <v>45147</v>
      </c>
      <c r="E223" s="21">
        <v>854.344</v>
      </c>
    </row>
    <row r="224" ht="15.75" spans="1:5">
      <c r="A224" s="32">
        <v>3044705.773</v>
      </c>
      <c r="B224" s="32">
        <v>400634.262</v>
      </c>
      <c r="C224" s="33">
        <v>902.88</v>
      </c>
      <c r="D224" s="11">
        <v>45148</v>
      </c>
      <c r="E224" s="22"/>
    </row>
    <row r="225" ht="15.75" spans="1:5">
      <c r="A225" s="32">
        <v>3044705.773</v>
      </c>
      <c r="B225" s="32">
        <v>400634.262</v>
      </c>
      <c r="C225" s="33">
        <v>902.88</v>
      </c>
      <c r="D225" s="11">
        <v>45149</v>
      </c>
      <c r="E225" s="21">
        <v>854.304</v>
      </c>
    </row>
    <row r="226" ht="15.75" spans="1:5">
      <c r="A226" s="32">
        <v>3044705.773</v>
      </c>
      <c r="B226" s="32">
        <v>400634.262</v>
      </c>
      <c r="C226" s="33">
        <v>902.88</v>
      </c>
      <c r="D226" s="11">
        <v>45150</v>
      </c>
      <c r="E226" s="21">
        <v>854.277</v>
      </c>
    </row>
    <row r="227" ht="15.75" spans="1:5">
      <c r="A227" s="32">
        <v>3044705.773</v>
      </c>
      <c r="B227" s="32">
        <v>400634.262</v>
      </c>
      <c r="C227" s="33">
        <v>902.88</v>
      </c>
      <c r="D227" s="11">
        <v>45151</v>
      </c>
      <c r="E227" s="21">
        <v>854.351</v>
      </c>
    </row>
    <row r="228" ht="15.75" spans="1:5">
      <c r="A228" s="32">
        <v>3044705.773</v>
      </c>
      <c r="B228" s="32">
        <v>400634.262</v>
      </c>
      <c r="C228" s="33">
        <v>902.88</v>
      </c>
      <c r="D228" s="11">
        <v>45152</v>
      </c>
      <c r="E228" s="21">
        <v>854.335</v>
      </c>
    </row>
    <row r="229" ht="15.75" spans="1:5">
      <c r="A229" s="32">
        <v>3044705.773</v>
      </c>
      <c r="B229" s="32">
        <v>400634.262</v>
      </c>
      <c r="C229" s="33">
        <v>902.88</v>
      </c>
      <c r="D229" s="11">
        <v>45153</v>
      </c>
      <c r="E229" s="25">
        <v>854.34</v>
      </c>
    </row>
    <row r="230" ht="15.75" spans="1:5">
      <c r="A230" s="32">
        <v>3044705.773</v>
      </c>
      <c r="B230" s="32">
        <v>400634.262</v>
      </c>
      <c r="C230" s="33">
        <v>902.88</v>
      </c>
      <c r="D230" s="11">
        <v>45154</v>
      </c>
      <c r="E230" s="21">
        <v>854.385</v>
      </c>
    </row>
    <row r="231" ht="15.75" spans="1:5">
      <c r="A231" s="32">
        <v>3044705.773</v>
      </c>
      <c r="B231" s="32">
        <v>400634.262</v>
      </c>
      <c r="C231" s="33">
        <v>902.88</v>
      </c>
      <c r="D231" s="11">
        <v>45155</v>
      </c>
      <c r="E231" s="21">
        <v>854.474</v>
      </c>
    </row>
    <row r="232" ht="15.75" spans="1:5">
      <c r="A232" s="32">
        <v>3044705.773</v>
      </c>
      <c r="B232" s="32">
        <v>400634.262</v>
      </c>
      <c r="C232" s="33">
        <v>902.88</v>
      </c>
      <c r="D232" s="11">
        <v>45156</v>
      </c>
      <c r="E232" s="21">
        <v>854.503</v>
      </c>
    </row>
    <row r="233" ht="15.75" spans="1:5">
      <c r="A233" s="32">
        <v>3044705.773</v>
      </c>
      <c r="B233" s="32">
        <v>400634.262</v>
      </c>
      <c r="C233" s="33">
        <v>902.88</v>
      </c>
      <c r="D233" s="11">
        <v>45157</v>
      </c>
      <c r="E233" s="21">
        <v>854.65</v>
      </c>
    </row>
    <row r="234" ht="15.75" spans="1:5">
      <c r="A234" s="32">
        <v>3044705.773</v>
      </c>
      <c r="B234" s="32">
        <v>400634.262</v>
      </c>
      <c r="C234" s="33">
        <v>902.88</v>
      </c>
      <c r="D234" s="11">
        <v>45158</v>
      </c>
      <c r="E234" s="21">
        <v>854.756</v>
      </c>
    </row>
    <row r="235" ht="15.75" spans="1:5">
      <c r="A235" s="32">
        <v>3044705.773</v>
      </c>
      <c r="B235" s="32">
        <v>400634.262</v>
      </c>
      <c r="C235" s="33">
        <v>902.88</v>
      </c>
      <c r="D235" s="11">
        <v>45159</v>
      </c>
      <c r="E235" s="21">
        <v>854.78</v>
      </c>
    </row>
    <row r="236" ht="15.75" spans="1:5">
      <c r="A236" s="32">
        <v>3044705.773</v>
      </c>
      <c r="B236" s="32">
        <v>400634.262</v>
      </c>
      <c r="C236" s="33">
        <v>902.88</v>
      </c>
      <c r="D236" s="11">
        <v>45160</v>
      </c>
      <c r="E236" s="21">
        <v>854.812</v>
      </c>
    </row>
    <row r="237" ht="15.75" spans="1:5">
      <c r="A237" s="32">
        <v>3044705.773</v>
      </c>
      <c r="B237" s="32">
        <v>400634.262</v>
      </c>
      <c r="C237" s="33">
        <v>902.88</v>
      </c>
      <c r="D237" s="11">
        <v>45161</v>
      </c>
      <c r="E237" s="21">
        <v>854.815</v>
      </c>
    </row>
    <row r="238" ht="15.75" spans="1:5">
      <c r="A238" s="32">
        <v>3044705.773</v>
      </c>
      <c r="B238" s="32">
        <v>400634.262</v>
      </c>
      <c r="C238" s="33">
        <v>902.88</v>
      </c>
      <c r="D238" s="11">
        <v>45162</v>
      </c>
      <c r="E238" s="21">
        <v>855.147</v>
      </c>
    </row>
    <row r="239" ht="15.75" spans="1:5">
      <c r="A239" s="32">
        <v>3044705.773</v>
      </c>
      <c r="B239" s="32">
        <v>400634.262</v>
      </c>
      <c r="C239" s="33">
        <v>902.88</v>
      </c>
      <c r="D239" s="11">
        <v>45163</v>
      </c>
      <c r="E239" s="21">
        <v>855.302</v>
      </c>
    </row>
    <row r="240" ht="15.75" spans="1:5">
      <c r="A240" s="32">
        <v>3044705.773</v>
      </c>
      <c r="B240" s="32">
        <v>400634.262</v>
      </c>
      <c r="C240" s="33">
        <v>902.88</v>
      </c>
      <c r="D240" s="11">
        <v>45164</v>
      </c>
      <c r="E240" s="21">
        <v>855.316</v>
      </c>
    </row>
    <row r="241" ht="15.75" spans="1:5">
      <c r="A241" s="32">
        <v>3044705.773</v>
      </c>
      <c r="B241" s="32">
        <v>400634.262</v>
      </c>
      <c r="C241" s="33">
        <v>902.88</v>
      </c>
      <c r="D241" s="11">
        <v>45165</v>
      </c>
      <c r="E241" s="21">
        <v>855.271</v>
      </c>
    </row>
    <row r="242" ht="15.75" spans="1:5">
      <c r="A242" s="32">
        <v>3044705.773</v>
      </c>
      <c r="B242" s="32">
        <v>400634.262</v>
      </c>
      <c r="C242" s="33">
        <v>902.88</v>
      </c>
      <c r="D242" s="11">
        <v>45166</v>
      </c>
      <c r="E242" s="21">
        <v>855.326</v>
      </c>
    </row>
    <row r="243" ht="15.75" spans="1:5">
      <c r="A243" s="32">
        <v>3044705.773</v>
      </c>
      <c r="B243" s="32">
        <v>400634.262</v>
      </c>
      <c r="C243" s="33">
        <v>902.88</v>
      </c>
      <c r="D243" s="11">
        <v>45167</v>
      </c>
      <c r="E243" s="21">
        <v>855.342</v>
      </c>
    </row>
    <row r="244" ht="15.75" spans="1:5">
      <c r="A244" s="32">
        <v>3044705.773</v>
      </c>
      <c r="B244" s="32">
        <v>400634.262</v>
      </c>
      <c r="C244" s="33">
        <v>902.88</v>
      </c>
      <c r="D244" s="11">
        <v>45168</v>
      </c>
      <c r="E244" s="21">
        <v>855.348</v>
      </c>
    </row>
    <row r="245" ht="15.75" spans="1:5">
      <c r="A245" s="32">
        <v>3044705.773</v>
      </c>
      <c r="B245" s="32">
        <v>400634.262</v>
      </c>
      <c r="C245" s="33">
        <v>902.88</v>
      </c>
      <c r="D245" s="11">
        <v>45169</v>
      </c>
      <c r="E245" s="22"/>
    </row>
    <row r="246" ht="15.75" spans="1:5">
      <c r="A246" s="32">
        <v>3044705.773</v>
      </c>
      <c r="B246" s="32">
        <v>400634.262</v>
      </c>
      <c r="C246" s="33">
        <v>902.88</v>
      </c>
      <c r="D246" s="11">
        <v>45170</v>
      </c>
      <c r="E246" s="21">
        <v>855.412</v>
      </c>
    </row>
    <row r="247" ht="15.75" spans="1:5">
      <c r="A247" s="32">
        <v>3044705.773</v>
      </c>
      <c r="B247" s="32">
        <v>400634.262</v>
      </c>
      <c r="C247" s="33">
        <v>902.88</v>
      </c>
      <c r="D247" s="11">
        <v>45171</v>
      </c>
      <c r="E247" s="21">
        <v>855.408</v>
      </c>
    </row>
    <row r="248" ht="15.75" spans="1:5">
      <c r="A248" s="32">
        <v>3044705.773</v>
      </c>
      <c r="B248" s="32">
        <v>400634.262</v>
      </c>
      <c r="C248" s="33">
        <v>902.88</v>
      </c>
      <c r="D248" s="11">
        <v>45172</v>
      </c>
      <c r="E248" s="21">
        <v>855.427</v>
      </c>
    </row>
    <row r="249" ht="15.75" spans="1:5">
      <c r="A249" s="32">
        <v>3044705.773</v>
      </c>
      <c r="B249" s="32">
        <v>400634.262</v>
      </c>
      <c r="C249" s="33">
        <v>902.88</v>
      </c>
      <c r="D249" s="11">
        <v>45173</v>
      </c>
      <c r="E249" s="21">
        <v>855.429</v>
      </c>
    </row>
    <row r="250" ht="15.75" spans="1:5">
      <c r="A250" s="32">
        <v>3044705.773</v>
      </c>
      <c r="B250" s="32">
        <v>400634.262</v>
      </c>
      <c r="C250" s="33">
        <v>902.88</v>
      </c>
      <c r="D250" s="11">
        <v>45174</v>
      </c>
      <c r="E250" s="21">
        <v>855.416</v>
      </c>
    </row>
    <row r="251" ht="15.75" spans="1:5">
      <c r="A251" s="32">
        <v>3044705.773</v>
      </c>
      <c r="B251" s="32">
        <v>400634.262</v>
      </c>
      <c r="C251" s="33">
        <v>902.88</v>
      </c>
      <c r="D251" s="11">
        <v>45175</v>
      </c>
      <c r="E251" s="21">
        <v>855.435</v>
      </c>
    </row>
    <row r="252" ht="15.75" spans="1:5">
      <c r="A252" s="32">
        <v>3044705.773</v>
      </c>
      <c r="B252" s="32">
        <v>400634.262</v>
      </c>
      <c r="C252" s="33">
        <v>902.88</v>
      </c>
      <c r="D252" s="11">
        <v>45176</v>
      </c>
      <c r="E252" s="21">
        <v>855.435</v>
      </c>
    </row>
    <row r="253" ht="15.75" spans="1:5">
      <c r="A253" s="32">
        <v>3044705.773</v>
      </c>
      <c r="B253" s="32">
        <v>400634.262</v>
      </c>
      <c r="C253" s="33">
        <v>902.88</v>
      </c>
      <c r="D253" s="11">
        <v>45177</v>
      </c>
      <c r="E253" s="21">
        <v>859.421</v>
      </c>
    </row>
    <row r="254" ht="15.75" spans="1:5">
      <c r="A254" s="32">
        <v>3044705.773</v>
      </c>
      <c r="B254" s="32">
        <v>400634.262</v>
      </c>
      <c r="C254" s="33">
        <v>902.88</v>
      </c>
      <c r="D254" s="11">
        <v>45178</v>
      </c>
      <c r="E254" s="21">
        <v>859.146</v>
      </c>
    </row>
    <row r="255" ht="15.75" spans="1:5">
      <c r="A255" s="32">
        <v>3044705.773</v>
      </c>
      <c r="B255" s="32">
        <v>400634.262</v>
      </c>
      <c r="C255" s="33">
        <v>902.88</v>
      </c>
      <c r="D255" s="11">
        <v>45179</v>
      </c>
      <c r="E255" s="21">
        <v>859.108</v>
      </c>
    </row>
    <row r="256" ht="15.75" spans="1:5">
      <c r="A256" s="32">
        <v>3044705.773</v>
      </c>
      <c r="B256" s="32">
        <v>400634.262</v>
      </c>
      <c r="C256" s="33">
        <v>902.88</v>
      </c>
      <c r="D256" s="11">
        <v>45180</v>
      </c>
      <c r="E256" s="21">
        <v>859.143</v>
      </c>
    </row>
    <row r="257" ht="15.75" spans="1:5">
      <c r="A257" s="32">
        <v>3044705.773</v>
      </c>
      <c r="B257" s="32">
        <v>400634.262</v>
      </c>
      <c r="C257" s="33">
        <v>902.88</v>
      </c>
      <c r="D257" s="11">
        <v>45181</v>
      </c>
      <c r="E257" s="21">
        <v>859.121</v>
      </c>
    </row>
    <row r="258" ht="15.75" spans="1:5">
      <c r="A258" s="32">
        <v>3044705.773</v>
      </c>
      <c r="B258" s="32">
        <v>400634.262</v>
      </c>
      <c r="C258" s="33">
        <v>902.88</v>
      </c>
      <c r="D258" s="11">
        <v>45182</v>
      </c>
      <c r="E258" s="21">
        <v>859.011</v>
      </c>
    </row>
    <row r="259" ht="15.75" spans="1:5">
      <c r="A259" s="32">
        <v>3044705.773</v>
      </c>
      <c r="B259" s="32">
        <v>400634.262</v>
      </c>
      <c r="C259" s="33">
        <v>902.88</v>
      </c>
      <c r="D259" s="11">
        <v>45183</v>
      </c>
      <c r="E259" s="21">
        <v>858.992</v>
      </c>
    </row>
    <row r="260" ht="15.75" spans="1:5">
      <c r="A260" s="32">
        <v>3044705.773</v>
      </c>
      <c r="B260" s="32">
        <v>400634.262</v>
      </c>
      <c r="C260" s="33">
        <v>902.88</v>
      </c>
      <c r="D260" s="11">
        <v>45184</v>
      </c>
      <c r="E260" s="21">
        <v>859.023</v>
      </c>
    </row>
    <row r="261" ht="15.75" spans="1:5">
      <c r="A261" s="32">
        <v>3044705.773</v>
      </c>
      <c r="B261" s="32">
        <v>400634.262</v>
      </c>
      <c r="C261" s="33">
        <v>902.88</v>
      </c>
      <c r="D261" s="11">
        <v>45185</v>
      </c>
      <c r="E261" s="21">
        <v>859.059</v>
      </c>
    </row>
    <row r="262" ht="15.75" spans="1:5">
      <c r="A262" s="32">
        <v>3044705.773</v>
      </c>
      <c r="B262" s="32">
        <v>400634.262</v>
      </c>
      <c r="C262" s="33">
        <v>902.88</v>
      </c>
      <c r="D262" s="11">
        <v>45186</v>
      </c>
      <c r="E262" s="21">
        <v>859.025</v>
      </c>
    </row>
    <row r="263" ht="15.75" spans="1:5">
      <c r="A263" s="32">
        <v>3044705.773</v>
      </c>
      <c r="B263" s="32">
        <v>400634.262</v>
      </c>
      <c r="C263" s="33">
        <v>902.88</v>
      </c>
      <c r="D263" s="11">
        <v>45187</v>
      </c>
      <c r="E263" s="21">
        <v>858.947</v>
      </c>
    </row>
    <row r="264" ht="15.75" spans="1:5">
      <c r="A264" s="32">
        <v>3044705.773</v>
      </c>
      <c r="B264" s="32">
        <v>400634.262</v>
      </c>
      <c r="C264" s="33">
        <v>902.88</v>
      </c>
      <c r="D264" s="11">
        <v>45188</v>
      </c>
      <c r="E264" s="21">
        <v>858.954</v>
      </c>
    </row>
    <row r="265" ht="15.75" spans="1:5">
      <c r="A265" s="32">
        <v>3044705.773</v>
      </c>
      <c r="B265" s="32">
        <v>400634.262</v>
      </c>
      <c r="C265" s="33">
        <v>902.88</v>
      </c>
      <c r="D265" s="11">
        <v>45189</v>
      </c>
      <c r="E265" s="21">
        <v>858.676</v>
      </c>
    </row>
    <row r="266" ht="15.75" spans="1:5">
      <c r="A266" s="32">
        <v>3044705.773</v>
      </c>
      <c r="B266" s="32">
        <v>400634.262</v>
      </c>
      <c r="C266" s="33">
        <v>902.88</v>
      </c>
      <c r="D266" s="11">
        <v>45190</v>
      </c>
      <c r="E266" s="21">
        <v>858.61</v>
      </c>
    </row>
    <row r="267" ht="15.75" spans="1:5">
      <c r="A267" s="32">
        <v>3044705.773</v>
      </c>
      <c r="B267" s="32">
        <v>400634.262</v>
      </c>
      <c r="C267" s="33">
        <v>902.88</v>
      </c>
      <c r="D267" s="11">
        <v>45191</v>
      </c>
      <c r="E267" s="21">
        <v>858.635</v>
      </c>
    </row>
    <row r="268" ht="15.75" spans="1:5">
      <c r="A268" s="32">
        <v>3044705.773</v>
      </c>
      <c r="B268" s="32">
        <v>400634.262</v>
      </c>
      <c r="C268" s="33">
        <v>902.88</v>
      </c>
      <c r="D268" s="11">
        <v>45192</v>
      </c>
      <c r="E268" s="21">
        <v>859.022</v>
      </c>
    </row>
    <row r="269" ht="15.75" spans="1:5">
      <c r="A269" s="32">
        <v>3044705.773</v>
      </c>
      <c r="B269" s="32">
        <v>400634.262</v>
      </c>
      <c r="C269" s="33">
        <v>902.88</v>
      </c>
      <c r="D269" s="11">
        <v>45193</v>
      </c>
      <c r="E269" s="21">
        <v>859.082</v>
      </c>
    </row>
    <row r="270" ht="15.75" spans="1:5">
      <c r="A270" s="32">
        <v>3044705.773</v>
      </c>
      <c r="B270" s="32">
        <v>400634.262</v>
      </c>
      <c r="C270" s="33">
        <v>902.88</v>
      </c>
      <c r="D270" s="11">
        <v>45194</v>
      </c>
      <c r="E270" s="21">
        <v>859.126</v>
      </c>
    </row>
    <row r="271" ht="15.75" spans="1:5">
      <c r="A271" s="32">
        <v>3044705.773</v>
      </c>
      <c r="B271" s="32">
        <v>400634.262</v>
      </c>
      <c r="C271" s="33">
        <v>902.88</v>
      </c>
      <c r="D271" s="11">
        <v>45195</v>
      </c>
      <c r="E271" s="21">
        <v>859.126</v>
      </c>
    </row>
    <row r="272" ht="15.75" spans="1:5">
      <c r="A272" s="32">
        <v>3044705.773</v>
      </c>
      <c r="B272" s="32">
        <v>400634.262</v>
      </c>
      <c r="C272" s="33">
        <v>902.88</v>
      </c>
      <c r="D272" s="11">
        <v>45196</v>
      </c>
      <c r="E272" s="21">
        <v>858.62</v>
      </c>
    </row>
    <row r="273" ht="15.75" spans="1:5">
      <c r="A273" s="32">
        <v>3044705.773</v>
      </c>
      <c r="B273" s="32">
        <v>400634.262</v>
      </c>
      <c r="C273" s="33">
        <v>902.88</v>
      </c>
      <c r="D273" s="11">
        <v>45197</v>
      </c>
      <c r="E273" s="21">
        <v>858.489</v>
      </c>
    </row>
    <row r="274" ht="15.75" spans="1:5">
      <c r="A274" s="32">
        <v>3044705.773</v>
      </c>
      <c r="B274" s="32">
        <v>400634.262</v>
      </c>
      <c r="C274" s="33">
        <v>902.88</v>
      </c>
      <c r="D274" s="11">
        <v>45198</v>
      </c>
      <c r="E274" s="21">
        <v>858.544</v>
      </c>
    </row>
    <row r="275" ht="15.75" spans="1:5">
      <c r="A275" s="32">
        <v>3044705.773</v>
      </c>
      <c r="B275" s="32">
        <v>400634.262</v>
      </c>
      <c r="C275" s="33">
        <v>902.88</v>
      </c>
      <c r="D275" s="11">
        <v>45199</v>
      </c>
      <c r="E275" s="21">
        <v>858.588</v>
      </c>
    </row>
    <row r="276" ht="15.75" spans="1:5">
      <c r="A276" s="32">
        <v>3044705.773</v>
      </c>
      <c r="B276" s="32">
        <v>400634.262</v>
      </c>
      <c r="C276" s="33">
        <v>902.88</v>
      </c>
      <c r="D276" s="11">
        <v>45200</v>
      </c>
      <c r="E276" s="21">
        <v>858.629</v>
      </c>
    </row>
    <row r="277" ht="15.75" spans="1:5">
      <c r="A277" s="32">
        <v>3044705.773</v>
      </c>
      <c r="B277" s="32">
        <v>400634.262</v>
      </c>
      <c r="C277" s="33">
        <v>902.88</v>
      </c>
      <c r="D277" s="11">
        <v>45201</v>
      </c>
      <c r="E277" s="21">
        <v>858.621</v>
      </c>
    </row>
    <row r="278" ht="15.75" spans="1:5">
      <c r="A278" s="32">
        <v>3044705.773</v>
      </c>
      <c r="B278" s="32">
        <v>400634.262</v>
      </c>
      <c r="C278" s="33">
        <v>902.88</v>
      </c>
      <c r="D278" s="11">
        <v>45202</v>
      </c>
      <c r="E278" s="21">
        <v>858.606</v>
      </c>
    </row>
    <row r="279" ht="15.75" spans="1:5">
      <c r="A279" s="32">
        <v>3044705.773</v>
      </c>
      <c r="B279" s="32">
        <v>400634.262</v>
      </c>
      <c r="C279" s="33">
        <v>902.88</v>
      </c>
      <c r="D279" s="11">
        <v>45203</v>
      </c>
      <c r="E279" s="21">
        <v>858.436</v>
      </c>
    </row>
    <row r="280" ht="15.75" spans="1:5">
      <c r="A280" s="32">
        <v>3044705.773</v>
      </c>
      <c r="B280" s="32">
        <v>400634.262</v>
      </c>
      <c r="C280" s="33">
        <v>902.88</v>
      </c>
      <c r="D280" s="11">
        <v>45204</v>
      </c>
      <c r="E280" s="21">
        <v>858.473</v>
      </c>
    </row>
    <row r="281" ht="15.75" spans="1:5">
      <c r="A281" s="32">
        <v>3044705.773</v>
      </c>
      <c r="B281" s="32">
        <v>400634.262</v>
      </c>
      <c r="C281" s="33">
        <v>902.88</v>
      </c>
      <c r="D281" s="11">
        <v>45205</v>
      </c>
      <c r="E281" s="21">
        <v>858.473</v>
      </c>
    </row>
    <row r="282" ht="15.75" spans="1:5">
      <c r="A282" s="32">
        <v>3044705.773</v>
      </c>
      <c r="B282" s="32">
        <v>400634.262</v>
      </c>
      <c r="C282" s="33">
        <v>902.88</v>
      </c>
      <c r="D282" s="11">
        <v>45206</v>
      </c>
      <c r="E282" s="21">
        <v>858.575</v>
      </c>
    </row>
    <row r="283" ht="15.75" spans="1:5">
      <c r="A283" s="32">
        <v>3044705.773</v>
      </c>
      <c r="B283" s="32">
        <v>400634.262</v>
      </c>
      <c r="C283" s="33">
        <v>902.88</v>
      </c>
      <c r="D283" s="11">
        <v>45207</v>
      </c>
      <c r="E283" s="21">
        <v>858.589</v>
      </c>
    </row>
    <row r="284" ht="15.75" spans="1:5">
      <c r="A284" s="32">
        <v>3044705.773</v>
      </c>
      <c r="B284" s="32">
        <v>400634.262</v>
      </c>
      <c r="C284" s="33">
        <v>902.88</v>
      </c>
      <c r="D284" s="11">
        <v>45208</v>
      </c>
      <c r="E284" s="21">
        <v>858.711</v>
      </c>
    </row>
    <row r="285" ht="15.75" spans="1:5">
      <c r="A285" s="32">
        <v>3044705.773</v>
      </c>
      <c r="B285" s="32">
        <v>400634.262</v>
      </c>
      <c r="C285" s="33">
        <v>902.88</v>
      </c>
      <c r="D285" s="11">
        <v>45209</v>
      </c>
      <c r="E285" s="21">
        <v>858.775</v>
      </c>
    </row>
    <row r="286" ht="15.75" spans="1:5">
      <c r="A286" s="32">
        <v>3044705.773</v>
      </c>
      <c r="B286" s="32">
        <v>400634.262</v>
      </c>
      <c r="C286" s="33">
        <v>902.88</v>
      </c>
      <c r="D286" s="11">
        <v>45210</v>
      </c>
      <c r="E286" s="21">
        <v>858.896</v>
      </c>
    </row>
    <row r="287" ht="15.75" spans="1:5">
      <c r="A287" s="32">
        <v>3044705.773</v>
      </c>
      <c r="B287" s="32">
        <v>400634.262</v>
      </c>
      <c r="C287" s="33">
        <v>902.88</v>
      </c>
      <c r="D287" s="11">
        <v>45211</v>
      </c>
      <c r="E287" s="21">
        <v>858.949</v>
      </c>
    </row>
    <row r="288" ht="15.75" spans="1:5">
      <c r="A288" s="32">
        <v>3044705.773</v>
      </c>
      <c r="B288" s="32">
        <v>400634.262</v>
      </c>
      <c r="C288" s="33">
        <v>902.88</v>
      </c>
      <c r="D288" s="11">
        <v>45212</v>
      </c>
      <c r="E288" s="21">
        <v>858.829</v>
      </c>
    </row>
    <row r="289" ht="15.75" spans="1:5">
      <c r="A289" s="32">
        <v>3044705.773</v>
      </c>
      <c r="B289" s="32">
        <v>400634.262</v>
      </c>
      <c r="C289" s="33">
        <v>902.88</v>
      </c>
      <c r="D289" s="11">
        <v>45213</v>
      </c>
      <c r="E289" s="21">
        <v>858.928</v>
      </c>
    </row>
    <row r="290" ht="15.75" spans="1:5">
      <c r="A290" s="32">
        <v>3044705.773</v>
      </c>
      <c r="B290" s="32">
        <v>400634.262</v>
      </c>
      <c r="C290" s="33">
        <v>902.88</v>
      </c>
      <c r="D290" s="11">
        <v>45214</v>
      </c>
      <c r="E290" s="21">
        <v>859.094</v>
      </c>
    </row>
    <row r="291" ht="15.75" spans="1:5">
      <c r="A291" s="32">
        <v>3044705.773</v>
      </c>
      <c r="B291" s="32">
        <v>400634.262</v>
      </c>
      <c r="C291" s="33">
        <v>902.88</v>
      </c>
      <c r="D291" s="11">
        <v>45215</v>
      </c>
      <c r="E291" s="21">
        <v>859.203</v>
      </c>
    </row>
    <row r="292" ht="15.75" spans="1:5">
      <c r="A292" s="32">
        <v>3044705.773</v>
      </c>
      <c r="B292" s="32">
        <v>400634.262</v>
      </c>
      <c r="C292" s="33">
        <v>902.88</v>
      </c>
      <c r="D292" s="11">
        <v>45216</v>
      </c>
      <c r="E292" s="21">
        <v>859.257</v>
      </c>
    </row>
    <row r="293" ht="15.75" spans="1:5">
      <c r="A293" s="32">
        <v>3044705.773</v>
      </c>
      <c r="B293" s="32">
        <v>400634.262</v>
      </c>
      <c r="C293" s="33">
        <v>902.88</v>
      </c>
      <c r="D293" s="11">
        <v>45217</v>
      </c>
      <c r="E293" s="21">
        <v>859.257</v>
      </c>
    </row>
    <row r="294" ht="15.75" spans="1:5">
      <c r="A294" s="32">
        <v>3044705.773</v>
      </c>
      <c r="B294" s="32">
        <v>400634.262</v>
      </c>
      <c r="C294" s="33">
        <v>902.88</v>
      </c>
      <c r="D294" s="11">
        <v>45218</v>
      </c>
      <c r="E294" s="21"/>
    </row>
    <row r="295" ht="15.75" spans="1:5">
      <c r="A295" s="32">
        <v>3044705.773</v>
      </c>
      <c r="B295" s="32">
        <v>400634.262</v>
      </c>
      <c r="C295" s="33">
        <v>902.88</v>
      </c>
      <c r="D295" s="11">
        <v>45219</v>
      </c>
      <c r="E295" s="21">
        <v>859.325</v>
      </c>
    </row>
    <row r="296" ht="15.75" spans="1:5">
      <c r="A296" s="32">
        <v>3044705.773</v>
      </c>
      <c r="B296" s="32">
        <v>400634.262</v>
      </c>
      <c r="C296" s="33">
        <v>902.88</v>
      </c>
      <c r="D296" s="11">
        <v>45220</v>
      </c>
      <c r="E296" s="21">
        <v>859.38</v>
      </c>
    </row>
    <row r="297" ht="15.75" spans="1:5">
      <c r="A297" s="32">
        <v>3044705.773</v>
      </c>
      <c r="B297" s="32">
        <v>400634.262</v>
      </c>
      <c r="C297" s="33">
        <v>902.88</v>
      </c>
      <c r="D297" s="11">
        <v>45221</v>
      </c>
      <c r="E297" s="21">
        <v>859.359</v>
      </c>
    </row>
    <row r="298" ht="15.75" spans="1:5">
      <c r="A298" s="32">
        <v>3044705.773</v>
      </c>
      <c r="B298" s="32">
        <v>400634.262</v>
      </c>
      <c r="C298" s="33">
        <v>902.88</v>
      </c>
      <c r="D298" s="11">
        <v>45222</v>
      </c>
      <c r="E298" s="21">
        <v>859.481</v>
      </c>
    </row>
    <row r="299" ht="15.75" spans="1:5">
      <c r="A299" s="32">
        <v>3044705.773</v>
      </c>
      <c r="B299" s="32">
        <v>400634.262</v>
      </c>
      <c r="C299" s="33">
        <v>902.88</v>
      </c>
      <c r="D299" s="11">
        <v>45223</v>
      </c>
      <c r="E299" s="21">
        <v>859.487</v>
      </c>
    </row>
    <row r="300" ht="15.75" spans="1:5">
      <c r="A300" s="32">
        <v>3044705.773</v>
      </c>
      <c r="B300" s="32">
        <v>400634.262</v>
      </c>
      <c r="C300" s="33">
        <v>902.88</v>
      </c>
      <c r="D300" s="11">
        <v>45224</v>
      </c>
      <c r="E300" s="21">
        <v>859.538</v>
      </c>
    </row>
    <row r="301" ht="15.75" spans="1:5">
      <c r="A301" s="32">
        <v>3044705.773</v>
      </c>
      <c r="B301" s="32">
        <v>400634.262</v>
      </c>
      <c r="C301" s="33">
        <v>902.88</v>
      </c>
      <c r="D301" s="11">
        <v>45225</v>
      </c>
      <c r="E301" s="21">
        <v>859.519</v>
      </c>
    </row>
    <row r="302" ht="15.75" spans="1:5">
      <c r="A302" s="32">
        <v>3044705.773</v>
      </c>
      <c r="B302" s="32">
        <v>400634.262</v>
      </c>
      <c r="C302" s="33">
        <v>902.88</v>
      </c>
      <c r="D302" s="11">
        <v>45226</v>
      </c>
      <c r="E302" s="21">
        <v>859.46</v>
      </c>
    </row>
    <row r="303" ht="15.75" spans="1:5">
      <c r="A303" s="32">
        <v>3044705.773</v>
      </c>
      <c r="B303" s="32">
        <v>400634.262</v>
      </c>
      <c r="C303" s="33">
        <v>902.88</v>
      </c>
      <c r="D303" s="11">
        <v>45227</v>
      </c>
      <c r="E303" s="21">
        <v>859.4</v>
      </c>
    </row>
    <row r="304" ht="15.75" spans="1:5">
      <c r="A304" s="32">
        <v>3044705.773</v>
      </c>
      <c r="B304" s="32">
        <v>400634.262</v>
      </c>
      <c r="C304" s="33">
        <v>902.88</v>
      </c>
      <c r="D304" s="11">
        <v>45228</v>
      </c>
      <c r="E304" s="21">
        <v>859.4</v>
      </c>
    </row>
    <row r="305" ht="15.75" spans="1:5">
      <c r="A305" s="32">
        <v>3044705.773</v>
      </c>
      <c r="B305" s="32">
        <v>400634.262</v>
      </c>
      <c r="C305" s="33">
        <v>902.88</v>
      </c>
      <c r="D305" s="11">
        <v>45229</v>
      </c>
      <c r="E305" s="21">
        <v>859.54</v>
      </c>
    </row>
    <row r="306" ht="15.75" spans="1:5">
      <c r="A306" s="32">
        <v>3044705.773</v>
      </c>
      <c r="B306" s="32">
        <v>400634.262</v>
      </c>
      <c r="C306" s="33">
        <v>902.88</v>
      </c>
      <c r="D306" s="11">
        <v>45230</v>
      </c>
      <c r="E306" s="21">
        <v>859.68</v>
      </c>
    </row>
    <row r="307" ht="15.75" spans="1:5">
      <c r="A307" s="32">
        <v>3044705.773</v>
      </c>
      <c r="B307" s="32">
        <v>400634.262</v>
      </c>
      <c r="C307" s="33">
        <v>902.88</v>
      </c>
      <c r="D307" s="11">
        <v>45231</v>
      </c>
      <c r="E307" s="21">
        <v>859.64</v>
      </c>
    </row>
    <row r="308" ht="15.75" spans="1:5">
      <c r="A308" s="32">
        <v>3044705.773</v>
      </c>
      <c r="B308" s="32">
        <v>400634.262</v>
      </c>
      <c r="C308" s="33">
        <v>902.88</v>
      </c>
      <c r="D308" s="11">
        <v>45232</v>
      </c>
      <c r="E308" s="21">
        <v>859.873</v>
      </c>
    </row>
    <row r="309" ht="15.75" spans="1:5">
      <c r="A309" s="32">
        <v>3044705.773</v>
      </c>
      <c r="B309" s="32">
        <v>400634.262</v>
      </c>
      <c r="C309" s="33">
        <v>902.88</v>
      </c>
      <c r="D309" s="11">
        <v>45233</v>
      </c>
      <c r="E309" s="21">
        <v>860.11</v>
      </c>
    </row>
    <row r="310" ht="15.75" spans="1:5">
      <c r="A310" s="32">
        <v>3044705.773</v>
      </c>
      <c r="B310" s="32">
        <v>400634.262</v>
      </c>
      <c r="C310" s="33">
        <v>902.88</v>
      </c>
      <c r="D310" s="11">
        <v>45234</v>
      </c>
      <c r="E310" s="21">
        <v>860.49</v>
      </c>
    </row>
    <row r="311" ht="15.75" spans="1:5">
      <c r="A311" s="32">
        <v>3044705.773</v>
      </c>
      <c r="B311" s="32">
        <v>400634.262</v>
      </c>
      <c r="C311" s="33">
        <v>902.88</v>
      </c>
      <c r="D311" s="11">
        <v>45235</v>
      </c>
      <c r="E311" s="21">
        <v>860.56</v>
      </c>
    </row>
    <row r="312" ht="15.75" spans="1:5">
      <c r="A312" s="32">
        <v>3044705.773</v>
      </c>
      <c r="B312" s="32">
        <v>400634.262</v>
      </c>
      <c r="C312" s="33">
        <v>902.88</v>
      </c>
      <c r="D312" s="11">
        <v>45236</v>
      </c>
      <c r="E312" s="21">
        <v>860.53</v>
      </c>
    </row>
    <row r="313" ht="15.75" spans="1:5">
      <c r="A313" s="32">
        <v>3044705.773</v>
      </c>
      <c r="B313" s="32">
        <v>400634.262</v>
      </c>
      <c r="C313" s="33">
        <v>902.88</v>
      </c>
      <c r="D313" s="11">
        <v>45237</v>
      </c>
      <c r="E313" s="21">
        <v>860.54</v>
      </c>
    </row>
    <row r="314" ht="15.75" spans="1:5">
      <c r="A314" s="32">
        <v>3044705.773</v>
      </c>
      <c r="B314" s="32">
        <v>400634.262</v>
      </c>
      <c r="C314" s="33">
        <v>902.88</v>
      </c>
      <c r="D314" s="11">
        <v>45238</v>
      </c>
      <c r="E314" s="21">
        <v>860.57</v>
      </c>
    </row>
    <row r="315" ht="15.75" spans="1:5">
      <c r="A315" s="32">
        <v>3044705.773</v>
      </c>
      <c r="B315" s="32">
        <v>400634.262</v>
      </c>
      <c r="C315" s="33">
        <v>902.88</v>
      </c>
      <c r="D315" s="11">
        <v>45239</v>
      </c>
      <c r="E315" s="21">
        <v>860.59</v>
      </c>
    </row>
    <row r="316" ht="15.75" spans="1:5">
      <c r="A316" s="32">
        <v>3044705.773</v>
      </c>
      <c r="B316" s="32">
        <v>400634.262</v>
      </c>
      <c r="C316" s="33">
        <v>902.88</v>
      </c>
      <c r="D316" s="11">
        <v>45240</v>
      </c>
      <c r="E316" s="21">
        <v>860.599</v>
      </c>
    </row>
    <row r="317" ht="15.75" spans="1:5">
      <c r="A317" s="32">
        <v>3044705.773</v>
      </c>
      <c r="B317" s="32">
        <v>400634.262</v>
      </c>
      <c r="C317" s="33">
        <v>902.88</v>
      </c>
      <c r="D317" s="11">
        <v>45241</v>
      </c>
      <c r="E317" s="21">
        <v>860.59</v>
      </c>
    </row>
    <row r="318" ht="15.75" spans="1:5">
      <c r="A318" s="32">
        <v>3044705.773</v>
      </c>
      <c r="B318" s="32">
        <v>400634.262</v>
      </c>
      <c r="C318" s="33">
        <v>902.88</v>
      </c>
      <c r="D318" s="11">
        <v>45242</v>
      </c>
      <c r="E318" s="21">
        <v>860.59</v>
      </c>
    </row>
    <row r="319" ht="15.75" spans="1:5">
      <c r="A319" s="32">
        <v>3044705.773</v>
      </c>
      <c r="B319" s="32">
        <v>400634.262</v>
      </c>
      <c r="C319" s="33">
        <v>902.88</v>
      </c>
      <c r="D319" s="11">
        <v>45243</v>
      </c>
      <c r="E319" s="21">
        <v>860.63</v>
      </c>
    </row>
    <row r="320" ht="15.75" spans="1:5">
      <c r="A320" s="32">
        <v>3044705.773</v>
      </c>
      <c r="B320" s="32">
        <v>400634.262</v>
      </c>
      <c r="C320" s="33">
        <v>902.88</v>
      </c>
      <c r="D320" s="11">
        <v>45244</v>
      </c>
      <c r="E320" s="21">
        <v>860.68</v>
      </c>
    </row>
    <row r="321" ht="15.75" spans="1:5">
      <c r="A321" s="32">
        <v>3044705.773</v>
      </c>
      <c r="B321" s="32">
        <v>400634.262</v>
      </c>
      <c r="C321" s="33">
        <v>902.88</v>
      </c>
      <c r="D321" s="11">
        <v>45245</v>
      </c>
      <c r="E321" s="21">
        <v>860.73</v>
      </c>
    </row>
    <row r="322" ht="15.75" spans="1:5">
      <c r="A322" s="32">
        <v>3044705.773</v>
      </c>
      <c r="B322" s="32">
        <v>400634.262</v>
      </c>
      <c r="C322" s="33">
        <v>902.88</v>
      </c>
      <c r="D322" s="11">
        <v>45246</v>
      </c>
      <c r="E322" s="21">
        <v>860.75</v>
      </c>
    </row>
    <row r="323" ht="15.75" spans="1:5">
      <c r="A323" s="32">
        <v>3044705.773</v>
      </c>
      <c r="B323" s="32">
        <v>400634.262</v>
      </c>
      <c r="C323" s="33">
        <v>902.88</v>
      </c>
      <c r="D323" s="11">
        <v>45247</v>
      </c>
      <c r="E323" s="21">
        <v>860.83</v>
      </c>
    </row>
    <row r="324" ht="15.75" spans="1:5">
      <c r="A324" s="32">
        <v>3044705.773</v>
      </c>
      <c r="B324" s="32">
        <v>400634.262</v>
      </c>
      <c r="C324" s="33">
        <v>902.88</v>
      </c>
      <c r="D324" s="11">
        <v>45248</v>
      </c>
      <c r="E324" s="21">
        <v>860.88</v>
      </c>
    </row>
    <row r="325" ht="15.75" spans="1:5">
      <c r="A325" s="32">
        <v>3044705.773</v>
      </c>
      <c r="B325" s="32">
        <v>400634.262</v>
      </c>
      <c r="C325" s="33">
        <v>902.88</v>
      </c>
      <c r="D325" s="11">
        <v>45249</v>
      </c>
      <c r="E325" s="21">
        <v>860.92</v>
      </c>
    </row>
    <row r="326" ht="15.75" spans="1:5">
      <c r="A326" s="32">
        <v>3044705.773</v>
      </c>
      <c r="B326" s="32">
        <v>400634.262</v>
      </c>
      <c r="C326" s="33">
        <v>902.88</v>
      </c>
      <c r="D326" s="11">
        <v>45250</v>
      </c>
      <c r="E326" s="21">
        <v>861.16</v>
      </c>
    </row>
    <row r="327" ht="15.75" spans="1:5">
      <c r="A327" s="32">
        <v>3044705.773</v>
      </c>
      <c r="B327" s="32">
        <v>400634.262</v>
      </c>
      <c r="C327" s="33">
        <v>902.88</v>
      </c>
      <c r="D327" s="11">
        <v>45251</v>
      </c>
      <c r="E327" s="21">
        <v>861.23</v>
      </c>
    </row>
    <row r="328" ht="15.75" spans="1:5">
      <c r="A328" s="32">
        <v>3044705.773</v>
      </c>
      <c r="B328" s="32">
        <v>400634.262</v>
      </c>
      <c r="C328" s="33">
        <v>902.88</v>
      </c>
      <c r="D328" s="11">
        <v>45252</v>
      </c>
      <c r="E328" s="21">
        <v>861.25</v>
      </c>
    </row>
    <row r="329" ht="15.75" spans="1:5">
      <c r="A329" s="32">
        <v>3044705.773</v>
      </c>
      <c r="B329" s="32">
        <v>400634.262</v>
      </c>
      <c r="C329" s="33">
        <v>902.88</v>
      </c>
      <c r="D329" s="11">
        <v>45253</v>
      </c>
      <c r="E329" s="21">
        <v>861.29</v>
      </c>
    </row>
    <row r="330" ht="15.75" spans="1:5">
      <c r="A330" s="32">
        <v>3044705.773</v>
      </c>
      <c r="B330" s="32">
        <v>400634.262</v>
      </c>
      <c r="C330" s="33">
        <v>902.88</v>
      </c>
      <c r="D330" s="11">
        <v>45254</v>
      </c>
      <c r="E330" s="21">
        <v>861.3</v>
      </c>
    </row>
    <row r="331" ht="15.75" spans="1:5">
      <c r="A331" s="32">
        <v>3044705.773</v>
      </c>
      <c r="B331" s="32">
        <v>400634.262</v>
      </c>
      <c r="C331" s="33">
        <v>902.88</v>
      </c>
      <c r="D331" s="11">
        <v>45255</v>
      </c>
      <c r="E331" s="21"/>
    </row>
    <row r="332" ht="15.75" spans="1:5">
      <c r="A332" s="32">
        <v>3044705.773</v>
      </c>
      <c r="B332" s="32">
        <v>400634.262</v>
      </c>
      <c r="C332" s="33">
        <v>902.88</v>
      </c>
      <c r="D332" s="11">
        <v>45256</v>
      </c>
      <c r="E332" s="21"/>
    </row>
    <row r="333" ht="15.75" spans="1:5">
      <c r="A333" s="32">
        <v>3044705.773</v>
      </c>
      <c r="B333" s="32">
        <v>400634.262</v>
      </c>
      <c r="C333" s="33">
        <v>902.88</v>
      </c>
      <c r="D333" s="11">
        <v>45257</v>
      </c>
      <c r="E333" s="21"/>
    </row>
    <row r="334" ht="15.75" spans="1:5">
      <c r="A334" s="32">
        <v>3044705.773</v>
      </c>
      <c r="B334" s="32">
        <v>400634.262</v>
      </c>
      <c r="C334" s="33">
        <v>902.88</v>
      </c>
      <c r="D334" s="11">
        <v>45258</v>
      </c>
      <c r="E334" s="21">
        <v>861.45</v>
      </c>
    </row>
    <row r="335" ht="15.75" spans="1:5">
      <c r="A335" s="32">
        <v>3044705.773</v>
      </c>
      <c r="B335" s="32">
        <v>400634.262</v>
      </c>
      <c r="C335" s="33">
        <v>902.88</v>
      </c>
      <c r="D335" s="11">
        <v>45259</v>
      </c>
      <c r="E335" s="21">
        <v>861.45</v>
      </c>
    </row>
    <row r="336" ht="15.75" spans="1:5">
      <c r="A336" s="32">
        <v>3044705.773</v>
      </c>
      <c r="B336" s="32">
        <v>400634.262</v>
      </c>
      <c r="C336" s="33">
        <v>902.88</v>
      </c>
      <c r="D336" s="11">
        <v>45260</v>
      </c>
      <c r="E336" s="21">
        <v>861.51</v>
      </c>
    </row>
    <row r="337" ht="15.75" spans="1:5">
      <c r="A337" s="32">
        <v>3044705.773</v>
      </c>
      <c r="B337" s="32">
        <v>400634.262</v>
      </c>
      <c r="C337" s="33">
        <v>902.88</v>
      </c>
      <c r="D337" s="11">
        <v>45261</v>
      </c>
      <c r="E337" s="21">
        <v>861.51</v>
      </c>
    </row>
    <row r="338" ht="15.75" spans="1:5">
      <c r="A338" s="32">
        <v>3044705.773</v>
      </c>
      <c r="B338" s="32">
        <v>400634.262</v>
      </c>
      <c r="C338" s="33">
        <v>902.88</v>
      </c>
      <c r="D338" s="11">
        <v>45262</v>
      </c>
      <c r="E338" s="21">
        <v>861.5</v>
      </c>
    </row>
    <row r="339" ht="15.75" spans="1:5">
      <c r="A339" s="32">
        <v>3044705.773</v>
      </c>
      <c r="B339" s="32">
        <v>400634.262</v>
      </c>
      <c r="C339" s="33">
        <v>902.88</v>
      </c>
      <c r="D339" s="11">
        <v>45263</v>
      </c>
      <c r="E339" s="21">
        <v>861.52</v>
      </c>
    </row>
    <row r="340" ht="15.75" spans="1:5">
      <c r="A340" s="32">
        <v>3044705.773</v>
      </c>
      <c r="B340" s="32">
        <v>400634.262</v>
      </c>
      <c r="C340" s="33">
        <v>902.88</v>
      </c>
      <c r="D340" s="11">
        <v>45264</v>
      </c>
      <c r="E340" s="21">
        <v>861.54</v>
      </c>
    </row>
    <row r="341" ht="15.75" spans="1:5">
      <c r="A341" s="32">
        <v>3044705.773</v>
      </c>
      <c r="B341" s="32">
        <v>400634.262</v>
      </c>
      <c r="C341" s="33">
        <v>902.88</v>
      </c>
      <c r="D341" s="11">
        <v>45265</v>
      </c>
      <c r="E341" s="21">
        <v>861.57</v>
      </c>
    </row>
    <row r="342" ht="15.75" spans="1:5">
      <c r="A342" s="32">
        <v>3044705.773</v>
      </c>
      <c r="B342" s="32">
        <v>400634.262</v>
      </c>
      <c r="C342" s="33">
        <v>902.88</v>
      </c>
      <c r="D342" s="11">
        <v>45266</v>
      </c>
      <c r="E342" s="21">
        <v>861.53</v>
      </c>
    </row>
    <row r="343" ht="15.75" spans="1:5">
      <c r="A343" s="32">
        <v>3044705.773</v>
      </c>
      <c r="B343" s="32">
        <v>400634.262</v>
      </c>
      <c r="C343" s="33">
        <v>902.88</v>
      </c>
      <c r="D343" s="11">
        <v>45267</v>
      </c>
      <c r="E343" s="21">
        <v>861.58</v>
      </c>
    </row>
    <row r="344" ht="15.75" spans="1:5">
      <c r="A344" s="32">
        <v>3044705.773</v>
      </c>
      <c r="B344" s="32">
        <v>400634.262</v>
      </c>
      <c r="C344" s="33">
        <v>902.88</v>
      </c>
      <c r="D344" s="11">
        <v>45268</v>
      </c>
      <c r="E344" s="21">
        <v>861.581</v>
      </c>
    </row>
    <row r="345" ht="15.75" spans="1:5">
      <c r="A345" s="32">
        <v>3044705.773</v>
      </c>
      <c r="B345" s="32">
        <v>400634.262</v>
      </c>
      <c r="C345" s="33">
        <v>902.88</v>
      </c>
      <c r="D345" s="11">
        <v>45269</v>
      </c>
      <c r="E345" s="21">
        <v>860.35</v>
      </c>
    </row>
    <row r="346" ht="15.75" spans="1:5">
      <c r="A346" s="32">
        <v>3044705.773</v>
      </c>
      <c r="B346" s="32">
        <v>400634.262</v>
      </c>
      <c r="C346" s="33">
        <v>902.88</v>
      </c>
      <c r="D346" s="11">
        <v>45270</v>
      </c>
      <c r="E346" s="21">
        <v>860.26</v>
      </c>
    </row>
    <row r="347" ht="15.75" spans="1:5">
      <c r="A347" s="32">
        <v>3044705.773</v>
      </c>
      <c r="B347" s="32">
        <v>400634.262</v>
      </c>
      <c r="C347" s="33">
        <v>902.88</v>
      </c>
      <c r="D347" s="11">
        <v>45271</v>
      </c>
      <c r="E347" s="21">
        <v>860.163</v>
      </c>
    </row>
    <row r="348" ht="15.75" spans="1:5">
      <c r="A348" s="32">
        <v>3044705.773</v>
      </c>
      <c r="B348" s="32">
        <v>400634.262</v>
      </c>
      <c r="C348" s="33">
        <v>902.88</v>
      </c>
      <c r="D348" s="11">
        <v>45272</v>
      </c>
      <c r="E348" s="21">
        <v>860.188</v>
      </c>
    </row>
    <row r="349" ht="15.75" spans="1:5">
      <c r="A349" s="32">
        <v>3044705.773</v>
      </c>
      <c r="B349" s="32">
        <v>400634.262</v>
      </c>
      <c r="C349" s="33">
        <v>902.88</v>
      </c>
      <c r="D349" s="11">
        <v>45273</v>
      </c>
      <c r="E349" s="21">
        <v>860.25</v>
      </c>
    </row>
    <row r="350" ht="15.75" spans="1:5">
      <c r="A350" s="32">
        <v>3044705.773</v>
      </c>
      <c r="B350" s="32">
        <v>400634.262</v>
      </c>
      <c r="C350" s="33">
        <v>902.88</v>
      </c>
      <c r="D350" s="11">
        <v>45274</v>
      </c>
      <c r="E350" s="21">
        <v>860.272</v>
      </c>
    </row>
    <row r="351" ht="15.75" spans="1:5">
      <c r="A351" s="32">
        <v>3044705.773</v>
      </c>
      <c r="B351" s="32">
        <v>400634.262</v>
      </c>
      <c r="C351" s="33">
        <v>902.88</v>
      </c>
      <c r="D351" s="11">
        <v>45275</v>
      </c>
      <c r="E351" s="21">
        <v>860.069</v>
      </c>
    </row>
    <row r="352" ht="15.75" spans="1:5">
      <c r="A352" s="32">
        <v>3044705.773</v>
      </c>
      <c r="B352" s="32">
        <v>400634.262</v>
      </c>
      <c r="C352" s="33">
        <v>902.88</v>
      </c>
      <c r="D352" s="11">
        <v>45276</v>
      </c>
      <c r="E352" s="21">
        <v>860.026</v>
      </c>
    </row>
    <row r="353" ht="15.75" spans="1:5">
      <c r="A353" s="32">
        <v>3044705.773</v>
      </c>
      <c r="B353" s="32">
        <v>400634.262</v>
      </c>
      <c r="C353" s="33">
        <v>902.88</v>
      </c>
      <c r="D353" s="11">
        <v>45277</v>
      </c>
      <c r="E353" s="21">
        <v>860.061</v>
      </c>
    </row>
    <row r="354" ht="15.75" spans="1:5">
      <c r="A354" s="32">
        <v>3044705.773</v>
      </c>
      <c r="B354" s="32">
        <v>400634.262</v>
      </c>
      <c r="C354" s="33">
        <v>902.88</v>
      </c>
      <c r="D354" s="11">
        <v>45278</v>
      </c>
      <c r="E354" s="21">
        <v>860.107</v>
      </c>
    </row>
    <row r="355" ht="15.75" spans="1:5">
      <c r="A355" s="32">
        <v>3044705.773</v>
      </c>
      <c r="B355" s="32">
        <v>400634.262</v>
      </c>
      <c r="C355" s="33">
        <v>902.88</v>
      </c>
      <c r="D355" s="11">
        <v>45279</v>
      </c>
      <c r="E355" s="21">
        <v>860.132</v>
      </c>
    </row>
    <row r="356" ht="15.75" spans="1:5">
      <c r="A356" s="32">
        <v>3044705.773</v>
      </c>
      <c r="B356" s="32">
        <v>400634.262</v>
      </c>
      <c r="C356" s="33">
        <v>902.88</v>
      </c>
      <c r="D356" s="11">
        <v>45280</v>
      </c>
      <c r="E356" s="21">
        <v>860.166</v>
      </c>
    </row>
    <row r="357" ht="15.75" spans="1:5">
      <c r="A357" s="32">
        <v>3044705.773</v>
      </c>
      <c r="B357" s="32">
        <v>400634.262</v>
      </c>
      <c r="C357" s="33">
        <v>902.88</v>
      </c>
      <c r="D357" s="11">
        <v>45281</v>
      </c>
      <c r="E357" s="21">
        <v>860.237</v>
      </c>
    </row>
    <row r="358" ht="15.75" spans="1:5">
      <c r="A358" s="32">
        <v>3044705.773</v>
      </c>
      <c r="B358" s="32">
        <v>400634.262</v>
      </c>
      <c r="C358" s="33">
        <v>902.88</v>
      </c>
      <c r="D358" s="11">
        <v>45282</v>
      </c>
      <c r="E358" s="21">
        <v>860.316</v>
      </c>
    </row>
    <row r="359" ht="15.75" spans="1:5">
      <c r="A359" s="32">
        <v>3044705.773</v>
      </c>
      <c r="B359" s="32">
        <v>400634.262</v>
      </c>
      <c r="C359" s="33">
        <v>902.88</v>
      </c>
      <c r="D359" s="11">
        <v>45283</v>
      </c>
      <c r="E359" s="21">
        <v>860.379</v>
      </c>
    </row>
    <row r="360" ht="15.75" spans="1:5">
      <c r="A360" s="32">
        <v>3044705.773</v>
      </c>
      <c r="B360" s="32">
        <v>400634.262</v>
      </c>
      <c r="C360" s="33">
        <v>902.88</v>
      </c>
      <c r="D360" s="11">
        <v>45284</v>
      </c>
      <c r="E360" s="21">
        <v>860.671</v>
      </c>
    </row>
    <row r="361" ht="15.75" spans="1:5">
      <c r="A361" s="32">
        <v>3044705.773</v>
      </c>
      <c r="B361" s="32">
        <v>400634.262</v>
      </c>
      <c r="C361" s="33">
        <v>902.88</v>
      </c>
      <c r="D361" s="11">
        <v>45285</v>
      </c>
      <c r="E361" s="21">
        <v>860.818</v>
      </c>
    </row>
    <row r="362" ht="15.75" spans="1:5">
      <c r="A362" s="32">
        <v>3044705.773</v>
      </c>
      <c r="B362" s="32">
        <v>400634.262</v>
      </c>
      <c r="C362" s="33">
        <v>902.88</v>
      </c>
      <c r="D362" s="11">
        <v>45286</v>
      </c>
      <c r="E362" s="21">
        <v>860.704</v>
      </c>
    </row>
    <row r="363" ht="15.75" spans="1:5">
      <c r="A363" s="32">
        <v>3044705.773</v>
      </c>
      <c r="B363" s="32">
        <v>400634.262</v>
      </c>
      <c r="C363" s="33">
        <v>902.88</v>
      </c>
      <c r="D363" s="11">
        <v>45287</v>
      </c>
      <c r="E363" s="21">
        <v>860.594</v>
      </c>
    </row>
    <row r="364" ht="15.75" spans="1:5">
      <c r="A364" s="32">
        <v>3044705.773</v>
      </c>
      <c r="B364" s="32">
        <v>400634.262</v>
      </c>
      <c r="C364" s="33">
        <v>902.88</v>
      </c>
      <c r="D364" s="11">
        <v>45288</v>
      </c>
      <c r="E364" s="21">
        <v>860.645</v>
      </c>
    </row>
    <row r="365" ht="15.75" spans="1:5">
      <c r="A365" s="32">
        <v>3044705.773</v>
      </c>
      <c r="B365" s="32">
        <v>400634.262</v>
      </c>
      <c r="C365" s="33">
        <v>902.88</v>
      </c>
      <c r="D365" s="11">
        <v>45289</v>
      </c>
      <c r="E365" s="21">
        <v>860.922</v>
      </c>
    </row>
    <row r="366" ht="15.75" spans="1:5">
      <c r="A366" s="32">
        <v>3044705.773</v>
      </c>
      <c r="B366" s="32">
        <v>400634.262</v>
      </c>
      <c r="C366" s="33">
        <v>902.88</v>
      </c>
      <c r="D366" s="11">
        <v>45290</v>
      </c>
      <c r="E366" s="21">
        <v>861.064</v>
      </c>
    </row>
    <row r="367" ht="15.75" spans="1:5">
      <c r="A367" s="32">
        <v>3044705.773</v>
      </c>
      <c r="B367" s="32">
        <v>400634.262</v>
      </c>
      <c r="C367" s="33">
        <v>902.88</v>
      </c>
      <c r="D367" s="11">
        <v>45291</v>
      </c>
      <c r="E367" s="21">
        <v>861.148</v>
      </c>
    </row>
    <row r="368" ht="15.75" spans="1:5">
      <c r="A368" s="32">
        <v>3044705.773</v>
      </c>
      <c r="B368" s="32">
        <v>400634.262</v>
      </c>
      <c r="C368" s="33">
        <v>902.88</v>
      </c>
      <c r="D368" s="11">
        <v>45292</v>
      </c>
      <c r="E368" s="21">
        <v>861.206</v>
      </c>
    </row>
    <row r="369" ht="15.75" spans="1:5">
      <c r="A369" s="32">
        <v>3044705.773</v>
      </c>
      <c r="B369" s="32">
        <v>400634.262</v>
      </c>
      <c r="C369" s="33">
        <v>902.88</v>
      </c>
      <c r="D369" s="11">
        <v>45293</v>
      </c>
      <c r="E369" s="21">
        <v>861.272</v>
      </c>
    </row>
    <row r="370" ht="15.75" spans="1:5">
      <c r="A370" s="32">
        <v>3044705.773</v>
      </c>
      <c r="B370" s="32">
        <v>400634.262</v>
      </c>
      <c r="C370" s="33">
        <v>902.88</v>
      </c>
      <c r="D370" s="11">
        <v>45294</v>
      </c>
      <c r="E370" s="23">
        <v>861.314</v>
      </c>
    </row>
    <row r="371" ht="15.75" spans="1:5">
      <c r="A371" s="32">
        <v>3044705.773</v>
      </c>
      <c r="B371" s="32">
        <v>400634.262</v>
      </c>
      <c r="C371" s="33">
        <v>902.88</v>
      </c>
      <c r="D371" s="11">
        <v>45295</v>
      </c>
      <c r="E371" s="26">
        <v>861.367</v>
      </c>
    </row>
    <row r="372" ht="15.75" spans="1:5">
      <c r="A372" s="32">
        <v>3044705.773</v>
      </c>
      <c r="B372" s="32">
        <v>400634.262</v>
      </c>
      <c r="C372" s="33">
        <v>902.88</v>
      </c>
      <c r="D372" s="11">
        <v>45296</v>
      </c>
      <c r="E372" s="26">
        <v>861.401</v>
      </c>
    </row>
    <row r="373" ht="15.75" spans="1:5">
      <c r="A373" s="32">
        <v>3044705.773</v>
      </c>
      <c r="B373" s="32">
        <v>400634.262</v>
      </c>
      <c r="C373" s="33">
        <v>902.88</v>
      </c>
      <c r="D373" s="11">
        <v>45297</v>
      </c>
      <c r="E373" s="26">
        <v>861.454</v>
      </c>
    </row>
    <row r="374" ht="15.75" spans="1:5">
      <c r="A374" s="32">
        <v>3044705.773</v>
      </c>
      <c r="B374" s="32">
        <v>400634.262</v>
      </c>
      <c r="C374" s="33">
        <v>902.88</v>
      </c>
      <c r="D374" s="11">
        <v>45298</v>
      </c>
      <c r="E374" s="26">
        <v>861.532</v>
      </c>
    </row>
    <row r="375" ht="15.75" spans="1:5">
      <c r="A375" s="32">
        <v>3044705.773</v>
      </c>
      <c r="B375" s="32">
        <v>400634.262</v>
      </c>
      <c r="C375" s="33">
        <v>902.88</v>
      </c>
      <c r="D375" s="11">
        <v>45299</v>
      </c>
      <c r="E375" s="26">
        <v>861.101</v>
      </c>
    </row>
    <row r="376" ht="15.75" spans="1:5">
      <c r="A376" s="32">
        <v>3044705.773</v>
      </c>
      <c r="B376" s="32">
        <v>400634.262</v>
      </c>
      <c r="C376" s="33">
        <v>902.88</v>
      </c>
      <c r="D376" s="11">
        <v>45300</v>
      </c>
      <c r="E376" s="26">
        <v>861.285</v>
      </c>
    </row>
    <row r="377" ht="15.75" spans="1:5">
      <c r="A377" s="32">
        <v>3044705.773</v>
      </c>
      <c r="B377" s="32">
        <v>400634.262</v>
      </c>
      <c r="C377" s="33">
        <v>902.88</v>
      </c>
      <c r="D377" s="11">
        <v>45301</v>
      </c>
      <c r="E377" s="26">
        <v>862.563</v>
      </c>
    </row>
    <row r="378" ht="15.75" spans="1:5">
      <c r="A378" s="32">
        <v>3044705.773</v>
      </c>
      <c r="B378" s="32">
        <v>400634.262</v>
      </c>
      <c r="C378" s="33">
        <v>902.88</v>
      </c>
      <c r="D378" s="11">
        <v>45302</v>
      </c>
      <c r="E378" s="26">
        <v>862.537</v>
      </c>
    </row>
    <row r="379" ht="15.75" spans="1:5">
      <c r="A379" s="32">
        <v>3044705.773</v>
      </c>
      <c r="B379" s="32">
        <v>400634.262</v>
      </c>
      <c r="C379" s="33">
        <v>902.88</v>
      </c>
      <c r="D379" s="11">
        <v>45303</v>
      </c>
      <c r="E379" s="26">
        <v>862.6</v>
      </c>
    </row>
    <row r="380" ht="15.75" spans="1:5">
      <c r="A380" s="32">
        <v>3044705.773</v>
      </c>
      <c r="B380" s="32">
        <v>400634.262</v>
      </c>
      <c r="C380" s="33">
        <v>902.88</v>
      </c>
      <c r="D380" s="11">
        <v>45304</v>
      </c>
      <c r="E380" s="26">
        <v>862.615</v>
      </c>
    </row>
    <row r="381" ht="15.75" spans="1:5">
      <c r="A381" s="32">
        <v>3044705.773</v>
      </c>
      <c r="B381" s="32">
        <v>400634.262</v>
      </c>
      <c r="C381" s="33">
        <v>902.88</v>
      </c>
      <c r="D381" s="11">
        <v>45305</v>
      </c>
      <c r="E381" s="26">
        <v>862.599</v>
      </c>
    </row>
    <row r="382" ht="15.75" spans="1:5">
      <c r="A382" s="32">
        <v>3044705.773</v>
      </c>
      <c r="B382" s="32">
        <v>400634.262</v>
      </c>
      <c r="C382" s="33">
        <v>902.88</v>
      </c>
      <c r="D382" s="11">
        <v>45306</v>
      </c>
      <c r="E382" s="26">
        <v>862.621</v>
      </c>
    </row>
    <row r="383" ht="15.75" spans="1:5">
      <c r="A383" s="32">
        <v>3044705.773</v>
      </c>
      <c r="B383" s="32">
        <v>400634.262</v>
      </c>
      <c r="C383" s="33">
        <v>902.88</v>
      </c>
      <c r="D383" s="11">
        <v>45307</v>
      </c>
      <c r="E383" s="26">
        <v>862.63</v>
      </c>
    </row>
    <row r="384" ht="15.75" spans="1:5">
      <c r="A384" s="32">
        <v>3044705.773</v>
      </c>
      <c r="B384" s="32">
        <v>400634.262</v>
      </c>
      <c r="C384" s="33">
        <v>902.88</v>
      </c>
      <c r="D384" s="11">
        <v>45308</v>
      </c>
      <c r="E384" s="26">
        <v>862.62</v>
      </c>
    </row>
    <row r="385" ht="15.75" spans="1:5">
      <c r="A385" s="32">
        <v>3044705.773</v>
      </c>
      <c r="B385" s="32">
        <v>400634.262</v>
      </c>
      <c r="C385" s="33">
        <v>902.88</v>
      </c>
      <c r="D385" s="11">
        <v>45309</v>
      </c>
      <c r="E385" s="26">
        <v>862.628</v>
      </c>
    </row>
    <row r="386" ht="15.75" spans="1:5">
      <c r="A386" s="32">
        <v>3044705.773</v>
      </c>
      <c r="B386" s="32">
        <v>400634.262</v>
      </c>
      <c r="C386" s="33">
        <v>902.88</v>
      </c>
      <c r="D386" s="11">
        <v>45310</v>
      </c>
      <c r="E386" s="26">
        <v>862.611</v>
      </c>
    </row>
    <row r="387" ht="15.75" spans="1:5">
      <c r="A387" s="32">
        <v>3044705.773</v>
      </c>
      <c r="B387" s="32">
        <v>400634.262</v>
      </c>
      <c r="C387" s="33">
        <v>902.88</v>
      </c>
      <c r="D387" s="11">
        <v>45311</v>
      </c>
      <c r="E387" s="26">
        <v>862.573</v>
      </c>
    </row>
    <row r="388" ht="15.75" spans="1:5">
      <c r="A388" s="32">
        <v>3044705.773</v>
      </c>
      <c r="B388" s="32">
        <v>400634.262</v>
      </c>
      <c r="C388" s="33">
        <v>902.88</v>
      </c>
      <c r="D388" s="11">
        <v>45312</v>
      </c>
      <c r="E388" s="26">
        <v>862.571</v>
      </c>
    </row>
    <row r="389" ht="15.75" spans="1:5">
      <c r="A389" s="32">
        <v>3044705.773</v>
      </c>
      <c r="B389" s="32">
        <v>400634.262</v>
      </c>
      <c r="C389" s="33">
        <v>902.88</v>
      </c>
      <c r="D389" s="11">
        <v>45313</v>
      </c>
      <c r="E389" s="26">
        <v>862.57</v>
      </c>
    </row>
    <row r="390" ht="15.75" spans="1:5">
      <c r="A390" s="32">
        <v>3044705.773</v>
      </c>
      <c r="B390" s="32">
        <v>400634.262</v>
      </c>
      <c r="C390" s="33">
        <v>902.88</v>
      </c>
      <c r="D390" s="11">
        <v>45314</v>
      </c>
      <c r="E390" s="26">
        <v>862.571</v>
      </c>
    </row>
    <row r="391" ht="15.75" spans="1:5">
      <c r="A391" s="32">
        <v>3044705.773</v>
      </c>
      <c r="B391" s="32">
        <v>400634.262</v>
      </c>
      <c r="C391" s="33">
        <v>902.88</v>
      </c>
      <c r="D391" s="11">
        <v>45315</v>
      </c>
      <c r="E391" s="26">
        <v>862.553</v>
      </c>
    </row>
    <row r="392" ht="15.75" spans="1:5">
      <c r="A392" s="32">
        <v>3044705.773</v>
      </c>
      <c r="B392" s="32">
        <v>400634.262</v>
      </c>
      <c r="C392" s="33">
        <v>902.88</v>
      </c>
      <c r="D392" s="11">
        <v>45316</v>
      </c>
      <c r="E392" s="26">
        <v>862.542</v>
      </c>
    </row>
    <row r="393" ht="15.75" spans="1:5">
      <c r="A393" s="32">
        <v>3044705.773</v>
      </c>
      <c r="B393" s="32">
        <v>400634.262</v>
      </c>
      <c r="C393" s="33">
        <v>902.88</v>
      </c>
      <c r="D393" s="11">
        <v>45317</v>
      </c>
      <c r="E393" s="26">
        <v>862.198</v>
      </c>
    </row>
    <row r="394" ht="15.75" spans="1:5">
      <c r="A394" s="32">
        <v>3044705.773</v>
      </c>
      <c r="B394" s="32">
        <v>400634.262</v>
      </c>
      <c r="C394" s="33">
        <v>902.88</v>
      </c>
      <c r="D394" s="11">
        <v>45318</v>
      </c>
      <c r="E394" s="26">
        <v>861.998</v>
      </c>
    </row>
    <row r="395" ht="15.75" spans="1:5">
      <c r="A395" s="32">
        <v>3044705.773</v>
      </c>
      <c r="B395" s="32">
        <v>400634.262</v>
      </c>
      <c r="C395" s="33">
        <v>902.88</v>
      </c>
      <c r="D395" s="11">
        <v>45319</v>
      </c>
      <c r="E395" s="26">
        <v>862.199</v>
      </c>
    </row>
    <row r="396" ht="15.75" spans="1:5">
      <c r="A396" s="32">
        <v>3044705.773</v>
      </c>
      <c r="B396" s="32">
        <v>400634.262</v>
      </c>
      <c r="C396" s="33">
        <v>902.88</v>
      </c>
      <c r="D396" s="11">
        <v>45320</v>
      </c>
      <c r="E396" s="26">
        <v>862.254</v>
      </c>
    </row>
    <row r="397" ht="15.75" spans="1:5">
      <c r="A397" s="32">
        <v>3044705.773</v>
      </c>
      <c r="B397" s="32">
        <v>400634.262</v>
      </c>
      <c r="C397" s="33">
        <v>902.88</v>
      </c>
      <c r="D397" s="11">
        <v>45321</v>
      </c>
      <c r="E397" s="26">
        <v>862.263</v>
      </c>
    </row>
    <row r="398" ht="15.75" spans="1:5">
      <c r="A398" s="32">
        <v>3044705.773</v>
      </c>
      <c r="B398" s="32">
        <v>400634.262</v>
      </c>
      <c r="C398" s="33">
        <v>902.88</v>
      </c>
      <c r="D398" s="11">
        <v>45322</v>
      </c>
      <c r="E398" s="26">
        <v>862.247</v>
      </c>
    </row>
    <row r="399" ht="15.75" spans="1:5">
      <c r="A399" s="32">
        <v>3044705.773</v>
      </c>
      <c r="B399" s="32">
        <v>400634.262</v>
      </c>
      <c r="C399" s="33">
        <v>902.88</v>
      </c>
      <c r="D399" s="11">
        <v>45323</v>
      </c>
      <c r="E399" s="26">
        <v>862.218</v>
      </c>
    </row>
    <row r="400" ht="15.75" spans="1:5">
      <c r="A400" s="32">
        <v>3044705.773</v>
      </c>
      <c r="B400" s="32">
        <v>400634.262</v>
      </c>
      <c r="C400" s="33">
        <v>902.88</v>
      </c>
      <c r="D400" s="11">
        <v>45324</v>
      </c>
      <c r="E400" s="26">
        <v>862.224</v>
      </c>
    </row>
    <row r="401" ht="15.75" spans="1:5">
      <c r="A401" s="32">
        <v>3044705.773</v>
      </c>
      <c r="B401" s="32">
        <v>400634.262</v>
      </c>
      <c r="C401" s="33">
        <v>902.88</v>
      </c>
      <c r="D401" s="11">
        <v>45325</v>
      </c>
      <c r="E401" s="26">
        <v>862.214</v>
      </c>
    </row>
    <row r="402" ht="15.75" spans="1:5">
      <c r="A402" s="32">
        <v>3044705.773</v>
      </c>
      <c r="B402" s="32">
        <v>400634.262</v>
      </c>
      <c r="C402" s="33">
        <v>902.88</v>
      </c>
      <c r="D402" s="11">
        <v>45326</v>
      </c>
      <c r="E402" s="26">
        <v>862.222</v>
      </c>
    </row>
    <row r="403" ht="15.75" spans="1:5">
      <c r="A403" s="32">
        <v>3044705.773</v>
      </c>
      <c r="B403" s="32">
        <v>400634.262</v>
      </c>
      <c r="C403" s="33">
        <v>902.88</v>
      </c>
      <c r="D403" s="11">
        <v>45327</v>
      </c>
      <c r="E403" s="26">
        <v>862.269</v>
      </c>
    </row>
    <row r="404" ht="15.75" spans="1:5">
      <c r="A404" s="32">
        <v>3044705.773</v>
      </c>
      <c r="B404" s="32">
        <v>400634.262</v>
      </c>
      <c r="C404" s="33">
        <v>902.88</v>
      </c>
      <c r="D404" s="11">
        <v>45328</v>
      </c>
      <c r="E404" s="26">
        <v>862.344</v>
      </c>
    </row>
    <row r="405" ht="15.75" spans="1:5">
      <c r="A405" s="32">
        <v>3044705.773</v>
      </c>
      <c r="B405" s="32">
        <v>400634.262</v>
      </c>
      <c r="C405" s="33">
        <v>902.88</v>
      </c>
      <c r="D405" s="11">
        <v>45329</v>
      </c>
      <c r="E405" s="26">
        <v>862.363</v>
      </c>
    </row>
    <row r="406" ht="15.75" spans="1:5">
      <c r="A406" s="32">
        <v>3044705.773</v>
      </c>
      <c r="B406" s="32">
        <v>400634.262</v>
      </c>
      <c r="C406" s="33">
        <v>902.88</v>
      </c>
      <c r="D406" s="11">
        <v>45330</v>
      </c>
      <c r="E406" s="26">
        <v>862.38</v>
      </c>
    </row>
    <row r="407" ht="15.75" spans="1:5">
      <c r="A407" s="32">
        <v>3044705.773</v>
      </c>
      <c r="B407" s="32">
        <v>400634.262</v>
      </c>
      <c r="C407" s="33">
        <v>902.88</v>
      </c>
      <c r="D407" s="11">
        <v>45331</v>
      </c>
      <c r="E407" s="26">
        <v>862.387</v>
      </c>
    </row>
    <row r="408" ht="15.75" spans="1:5">
      <c r="A408" s="32">
        <v>3044705.773</v>
      </c>
      <c r="B408" s="32">
        <v>400634.262</v>
      </c>
      <c r="C408" s="33">
        <v>902.88</v>
      </c>
      <c r="D408" s="11">
        <v>45332</v>
      </c>
      <c r="E408" s="26">
        <v>862.38</v>
      </c>
    </row>
    <row r="409" ht="15.75" spans="1:5">
      <c r="A409" s="32">
        <v>3044705.773</v>
      </c>
      <c r="B409" s="32">
        <v>400634.262</v>
      </c>
      <c r="C409" s="33">
        <v>902.88</v>
      </c>
      <c r="D409" s="11">
        <v>45333</v>
      </c>
      <c r="E409" s="26">
        <v>862.439</v>
      </c>
    </row>
    <row r="410" ht="15.75" spans="1:5">
      <c r="A410" s="32">
        <v>3044705.773</v>
      </c>
      <c r="B410" s="32">
        <v>400634.262</v>
      </c>
      <c r="C410" s="33">
        <v>902.88</v>
      </c>
      <c r="D410" s="11">
        <v>45334</v>
      </c>
      <c r="E410" s="26">
        <v>862.448</v>
      </c>
    </row>
    <row r="411" ht="15.75" spans="1:5">
      <c r="A411" s="32">
        <v>3044705.773</v>
      </c>
      <c r="B411" s="32">
        <v>400634.262</v>
      </c>
      <c r="C411" s="33">
        <v>902.88</v>
      </c>
      <c r="D411" s="11">
        <v>45335</v>
      </c>
      <c r="E411" s="26">
        <v>862.472</v>
      </c>
    </row>
    <row r="412" ht="15.75" spans="1:5">
      <c r="A412" s="32">
        <v>3044705.773</v>
      </c>
      <c r="B412" s="32">
        <v>400634.262</v>
      </c>
      <c r="C412" s="33">
        <v>902.88</v>
      </c>
      <c r="D412" s="11">
        <v>45336</v>
      </c>
      <c r="E412" s="28">
        <v>862.482</v>
      </c>
    </row>
    <row r="413" ht="15.75" spans="1:5">
      <c r="A413" s="32">
        <v>3044705.773</v>
      </c>
      <c r="B413" s="32">
        <v>400634.262</v>
      </c>
      <c r="C413" s="33">
        <v>902.88</v>
      </c>
      <c r="D413" s="11">
        <v>45337</v>
      </c>
      <c r="E413" s="22"/>
    </row>
    <row r="414" ht="15.75" spans="1:5">
      <c r="A414" s="32">
        <v>3044705.773</v>
      </c>
      <c r="B414" s="32">
        <v>400634.262</v>
      </c>
      <c r="C414" s="33">
        <v>902.88</v>
      </c>
      <c r="D414" s="11">
        <v>45338</v>
      </c>
      <c r="E414" s="22"/>
    </row>
    <row r="415" ht="15.75" spans="1:5">
      <c r="A415" s="32">
        <v>3044705.773</v>
      </c>
      <c r="B415" s="32">
        <v>400634.262</v>
      </c>
      <c r="C415" s="33">
        <v>902.88</v>
      </c>
      <c r="D415" s="11">
        <v>45339</v>
      </c>
      <c r="E415" s="22"/>
    </row>
    <row r="416" ht="15.75" spans="1:5">
      <c r="A416" s="32">
        <v>3044705.773</v>
      </c>
      <c r="B416" s="32">
        <v>400634.262</v>
      </c>
      <c r="C416" s="33">
        <v>902.88</v>
      </c>
      <c r="D416" s="11">
        <v>45340</v>
      </c>
      <c r="E416" s="22"/>
    </row>
    <row r="417" ht="15.75" spans="1:5">
      <c r="A417" s="32">
        <v>3044705.773</v>
      </c>
      <c r="B417" s="32">
        <v>400634.262</v>
      </c>
      <c r="C417" s="33">
        <v>902.88</v>
      </c>
      <c r="D417" s="11">
        <v>45341</v>
      </c>
      <c r="E417" s="26">
        <v>862.332</v>
      </c>
    </row>
    <row r="418" ht="15.75" spans="1:5">
      <c r="A418" s="32">
        <v>3044705.773</v>
      </c>
      <c r="B418" s="32">
        <v>400634.262</v>
      </c>
      <c r="C418" s="33">
        <v>902.88</v>
      </c>
      <c r="D418" s="11">
        <v>45342</v>
      </c>
      <c r="E418" s="26">
        <v>862.269</v>
      </c>
    </row>
    <row r="419" ht="15.75" spans="1:5">
      <c r="A419" s="32">
        <v>3044705.773</v>
      </c>
      <c r="B419" s="32">
        <v>400634.262</v>
      </c>
      <c r="C419" s="33">
        <v>902.88</v>
      </c>
      <c r="D419" s="11">
        <v>45343</v>
      </c>
      <c r="E419" s="26">
        <v>862.209</v>
      </c>
    </row>
    <row r="420" ht="15.75" spans="1:5">
      <c r="A420" s="32">
        <v>3044705.773</v>
      </c>
      <c r="B420" s="32">
        <v>400634.262</v>
      </c>
      <c r="C420" s="33">
        <v>902.88</v>
      </c>
      <c r="D420" s="11">
        <v>45344</v>
      </c>
      <c r="E420" s="26">
        <v>862.151</v>
      </c>
    </row>
    <row r="421" ht="15.75" spans="1:5">
      <c r="A421" s="32">
        <v>3044705.773</v>
      </c>
      <c r="B421" s="32">
        <v>400634.262</v>
      </c>
      <c r="C421" s="33">
        <v>902.88</v>
      </c>
      <c r="D421" s="11">
        <v>45345</v>
      </c>
      <c r="E421" s="26">
        <v>862.116</v>
      </c>
    </row>
    <row r="422" ht="15.75" spans="1:5">
      <c r="A422" s="32">
        <v>3044705.773</v>
      </c>
      <c r="B422" s="32">
        <v>400634.262</v>
      </c>
      <c r="C422" s="33">
        <v>902.88</v>
      </c>
      <c r="D422" s="11">
        <v>45346</v>
      </c>
      <c r="E422" s="26">
        <v>862.108</v>
      </c>
    </row>
    <row r="423" ht="15.75" spans="1:5">
      <c r="A423" s="32">
        <v>3044705.773</v>
      </c>
      <c r="B423" s="32">
        <v>400634.262</v>
      </c>
      <c r="C423" s="33">
        <v>902.88</v>
      </c>
      <c r="D423" s="11">
        <v>45347</v>
      </c>
      <c r="E423" s="26">
        <v>862.119</v>
      </c>
    </row>
    <row r="424" ht="15.75" spans="1:5">
      <c r="A424" s="32">
        <v>3044705.773</v>
      </c>
      <c r="B424" s="32">
        <v>400634.262</v>
      </c>
      <c r="C424" s="33">
        <v>902.88</v>
      </c>
      <c r="D424" s="11">
        <v>45348</v>
      </c>
      <c r="E424" s="26">
        <v>862.104</v>
      </c>
    </row>
    <row r="425" ht="15.75" spans="1:5">
      <c r="A425" s="32">
        <v>3044705.773</v>
      </c>
      <c r="B425" s="32">
        <v>400634.262</v>
      </c>
      <c r="C425" s="33">
        <v>902.88</v>
      </c>
      <c r="D425" s="11">
        <v>45349</v>
      </c>
      <c r="E425" s="26">
        <v>862.102</v>
      </c>
    </row>
    <row r="426" ht="15.75" spans="1:5">
      <c r="A426" s="32">
        <v>3044705.773</v>
      </c>
      <c r="B426" s="32">
        <v>400634.262</v>
      </c>
      <c r="C426" s="33">
        <v>902.88</v>
      </c>
      <c r="D426" s="11">
        <v>45350</v>
      </c>
      <c r="E426" s="26">
        <v>862.365</v>
      </c>
    </row>
    <row r="427" ht="15.75" spans="1:5">
      <c r="A427" s="32">
        <v>3044705.773</v>
      </c>
      <c r="B427" s="32">
        <v>400634.262</v>
      </c>
      <c r="C427" s="33">
        <v>902.88</v>
      </c>
      <c r="D427" s="11">
        <v>45351</v>
      </c>
      <c r="E427" s="26">
        <v>862.301</v>
      </c>
    </row>
    <row r="428" ht="15.75" spans="1:5">
      <c r="A428" s="32">
        <v>3044705.773</v>
      </c>
      <c r="B428" s="32">
        <v>400634.262</v>
      </c>
      <c r="C428" s="33">
        <v>902.88</v>
      </c>
      <c r="D428" s="11">
        <v>45352</v>
      </c>
      <c r="E428" s="26">
        <v>862.102</v>
      </c>
    </row>
    <row r="429" ht="15.75" spans="1:5">
      <c r="A429" s="32">
        <v>3044705.773</v>
      </c>
      <c r="B429" s="32">
        <v>400634.262</v>
      </c>
      <c r="C429" s="33">
        <v>902.88</v>
      </c>
      <c r="D429" s="11">
        <v>45353</v>
      </c>
      <c r="E429" s="26">
        <v>862.365</v>
      </c>
    </row>
    <row r="430" ht="15.75" spans="1:5">
      <c r="A430" s="32">
        <v>3044705.773</v>
      </c>
      <c r="B430" s="32">
        <v>400634.262</v>
      </c>
      <c r="C430" s="33">
        <v>902.88</v>
      </c>
      <c r="D430" s="11">
        <v>45354</v>
      </c>
      <c r="E430" s="26">
        <v>862.301</v>
      </c>
    </row>
    <row r="431" ht="15.75" spans="1:5">
      <c r="A431" s="32">
        <v>3044705.773</v>
      </c>
      <c r="B431" s="32">
        <v>400634.262</v>
      </c>
      <c r="C431" s="33">
        <v>902.88</v>
      </c>
      <c r="D431" s="11">
        <v>45355</v>
      </c>
      <c r="E431" s="26"/>
    </row>
    <row r="432" ht="15.75" spans="1:5">
      <c r="A432" s="32">
        <v>3044705.773</v>
      </c>
      <c r="B432" s="32">
        <v>400634.262</v>
      </c>
      <c r="C432" s="33">
        <v>902.88</v>
      </c>
      <c r="D432" s="11">
        <v>45356</v>
      </c>
      <c r="E432" s="26"/>
    </row>
    <row r="433" ht="15.75" spans="1:5">
      <c r="A433" s="32">
        <v>3044705.773</v>
      </c>
      <c r="B433" s="32">
        <v>400634.262</v>
      </c>
      <c r="C433" s="33">
        <v>902.88</v>
      </c>
      <c r="D433" s="11">
        <v>45357</v>
      </c>
      <c r="E433" s="26"/>
    </row>
    <row r="434" ht="15.75" spans="1:5">
      <c r="A434" s="32">
        <v>3044705.773</v>
      </c>
      <c r="B434" s="32">
        <v>400634.262</v>
      </c>
      <c r="C434" s="33">
        <v>902.88</v>
      </c>
      <c r="D434" s="11">
        <v>45358</v>
      </c>
      <c r="E434" s="26"/>
    </row>
    <row r="435" ht="15.75" spans="1:5">
      <c r="A435" s="32">
        <v>3044705.773</v>
      </c>
      <c r="B435" s="32">
        <v>400634.262</v>
      </c>
      <c r="C435" s="33">
        <v>902.88</v>
      </c>
      <c r="D435" s="11">
        <v>45359</v>
      </c>
      <c r="E435" s="26"/>
    </row>
    <row r="436" ht="15.75" spans="1:5">
      <c r="A436" s="32">
        <v>3044705.773</v>
      </c>
      <c r="B436" s="32">
        <v>400634.262</v>
      </c>
      <c r="C436" s="33">
        <v>902.88</v>
      </c>
      <c r="D436" s="11">
        <v>45360</v>
      </c>
      <c r="E436" s="26"/>
    </row>
    <row r="437" ht="15.75" spans="1:5">
      <c r="A437" s="32">
        <v>3044705.773</v>
      </c>
      <c r="B437" s="32">
        <v>400634.262</v>
      </c>
      <c r="C437" s="33">
        <v>902.88</v>
      </c>
      <c r="D437" s="11">
        <v>45361</v>
      </c>
      <c r="E437" s="26"/>
    </row>
    <row r="438" ht="15.75" spans="1:5">
      <c r="A438" s="32">
        <v>3044705.773</v>
      </c>
      <c r="B438" s="32">
        <v>400634.262</v>
      </c>
      <c r="C438" s="33">
        <v>902.88</v>
      </c>
      <c r="D438" s="11">
        <v>45362</v>
      </c>
      <c r="E438" s="26"/>
    </row>
    <row r="439" ht="15.75" spans="1:5">
      <c r="A439" s="32">
        <v>3044705.773</v>
      </c>
      <c r="B439" s="32">
        <v>400634.262</v>
      </c>
      <c r="C439" s="33">
        <v>902.88</v>
      </c>
      <c r="D439" s="11">
        <v>45363</v>
      </c>
      <c r="E439" s="26"/>
    </row>
    <row r="440" ht="15.75" spans="1:5">
      <c r="A440" s="32">
        <v>3044705.773</v>
      </c>
      <c r="B440" s="32">
        <v>400634.262</v>
      </c>
      <c r="C440" s="33">
        <v>902.88</v>
      </c>
      <c r="D440" s="11">
        <v>45364</v>
      </c>
      <c r="E440" s="26"/>
    </row>
    <row r="441" ht="15.75" spans="1:5">
      <c r="A441" s="32">
        <v>3044705.773</v>
      </c>
      <c r="B441" s="32">
        <v>400634.262</v>
      </c>
      <c r="C441" s="33">
        <v>902.88</v>
      </c>
      <c r="D441" s="11">
        <v>45365</v>
      </c>
      <c r="E441" s="26"/>
    </row>
    <row r="442" ht="15.75" spans="1:5">
      <c r="A442" s="32">
        <v>3044705.773</v>
      </c>
      <c r="B442" s="32">
        <v>400634.262</v>
      </c>
      <c r="C442" s="33">
        <v>902.88</v>
      </c>
      <c r="D442" s="11">
        <v>45366</v>
      </c>
      <c r="E442" s="26">
        <v>862.026</v>
      </c>
    </row>
    <row r="443" ht="15.75" spans="1:5">
      <c r="A443" s="32">
        <v>3044705.773</v>
      </c>
      <c r="B443" s="32">
        <v>400634.262</v>
      </c>
      <c r="C443" s="33">
        <v>902.88</v>
      </c>
      <c r="D443" s="11">
        <v>45367</v>
      </c>
      <c r="E443" s="26">
        <v>862.089</v>
      </c>
    </row>
    <row r="444" ht="15.75" spans="1:5">
      <c r="A444" s="32">
        <v>3044705.773</v>
      </c>
      <c r="B444" s="32">
        <v>400634.262</v>
      </c>
      <c r="C444" s="33">
        <v>902.88</v>
      </c>
      <c r="D444" s="11">
        <v>45368</v>
      </c>
      <c r="E444" s="26">
        <v>862.041</v>
      </c>
    </row>
    <row r="445" ht="15.75" spans="1:5">
      <c r="A445" s="32">
        <v>3044705.773</v>
      </c>
      <c r="B445" s="32">
        <v>400634.262</v>
      </c>
      <c r="C445" s="33">
        <v>902.88</v>
      </c>
      <c r="D445" s="11">
        <v>45369</v>
      </c>
      <c r="E445" s="26">
        <v>861.954</v>
      </c>
    </row>
    <row r="446" ht="15.75" spans="1:5">
      <c r="A446" s="32">
        <v>3044705.773</v>
      </c>
      <c r="B446" s="32">
        <v>400634.262</v>
      </c>
      <c r="C446" s="33">
        <v>902.88</v>
      </c>
      <c r="D446" s="11">
        <v>45370</v>
      </c>
      <c r="E446" s="26">
        <v>861.888</v>
      </c>
    </row>
    <row r="447" ht="15.75" spans="1:5">
      <c r="A447" s="32">
        <v>3044705.773</v>
      </c>
      <c r="B447" s="32">
        <v>400634.262</v>
      </c>
      <c r="C447" s="33">
        <v>902.88</v>
      </c>
      <c r="D447" s="11">
        <v>45371</v>
      </c>
      <c r="E447" s="26">
        <v>861.852</v>
      </c>
    </row>
    <row r="448" ht="15.75" spans="1:5">
      <c r="A448" s="32">
        <v>3044705.773</v>
      </c>
      <c r="B448" s="32">
        <v>400634.262</v>
      </c>
      <c r="C448" s="33">
        <v>902.88</v>
      </c>
      <c r="D448" s="11">
        <v>45372</v>
      </c>
      <c r="E448" s="26">
        <v>861.864</v>
      </c>
    </row>
    <row r="449" ht="15.75" spans="1:5">
      <c r="A449" s="32">
        <v>3044705.773</v>
      </c>
      <c r="B449" s="32">
        <v>400634.262</v>
      </c>
      <c r="C449" s="33">
        <v>902.88</v>
      </c>
      <c r="D449" s="11">
        <v>45373</v>
      </c>
      <c r="E449" s="26">
        <v>861.825</v>
      </c>
    </row>
    <row r="450" ht="15.75" spans="1:5">
      <c r="A450" s="32">
        <v>3044705.773</v>
      </c>
      <c r="B450" s="32">
        <v>400634.262</v>
      </c>
      <c r="C450" s="33">
        <v>902.88</v>
      </c>
      <c r="D450" s="11">
        <v>45374</v>
      </c>
      <c r="E450" s="26">
        <v>861.829</v>
      </c>
    </row>
    <row r="451" ht="15.75" spans="1:5">
      <c r="A451" s="32">
        <v>3044705.773</v>
      </c>
      <c r="B451" s="32">
        <v>400634.262</v>
      </c>
      <c r="C451" s="33">
        <v>902.88</v>
      </c>
      <c r="D451" s="11">
        <v>45375</v>
      </c>
      <c r="E451" s="26">
        <v>861.763</v>
      </c>
    </row>
    <row r="452" ht="15.75" spans="1:5">
      <c r="A452" s="32">
        <v>3044705.773</v>
      </c>
      <c r="B452" s="32">
        <v>400634.262</v>
      </c>
      <c r="C452" s="33">
        <v>902.88</v>
      </c>
      <c r="D452" s="11">
        <v>45376</v>
      </c>
      <c r="E452" s="26">
        <v>861.652</v>
      </c>
    </row>
    <row r="453" ht="15.75" spans="1:5">
      <c r="A453" s="32">
        <v>3044705.773</v>
      </c>
      <c r="B453" s="32">
        <v>400634.262</v>
      </c>
      <c r="C453" s="33">
        <v>902.88</v>
      </c>
      <c r="D453" s="11">
        <v>45377</v>
      </c>
      <c r="E453" s="26">
        <v>861.596</v>
      </c>
    </row>
    <row r="454" ht="15.75" spans="1:5">
      <c r="A454" s="32">
        <v>3044705.773</v>
      </c>
      <c r="B454" s="32">
        <v>400634.262</v>
      </c>
      <c r="C454" s="33">
        <v>902.88</v>
      </c>
      <c r="D454" s="11">
        <v>45378</v>
      </c>
      <c r="E454" s="26">
        <v>861.58</v>
      </c>
    </row>
    <row r="455" ht="15.75" spans="1:5">
      <c r="A455" s="32">
        <v>3044705.773</v>
      </c>
      <c r="B455" s="32">
        <v>400634.262</v>
      </c>
      <c r="C455" s="33">
        <v>902.88</v>
      </c>
      <c r="D455" s="11">
        <v>45379</v>
      </c>
      <c r="E455" s="26">
        <v>861.476</v>
      </c>
    </row>
    <row r="456" ht="15.75" spans="1:5">
      <c r="A456" s="32">
        <v>3044705.773</v>
      </c>
      <c r="B456" s="32">
        <v>400634.262</v>
      </c>
      <c r="C456" s="33">
        <v>902.88</v>
      </c>
      <c r="D456" s="11">
        <v>45380</v>
      </c>
      <c r="E456" s="26">
        <v>861.37</v>
      </c>
    </row>
    <row r="457" ht="15.75" spans="1:5">
      <c r="A457" s="32">
        <v>3044705.773</v>
      </c>
      <c r="B457" s="32">
        <v>400634.262</v>
      </c>
      <c r="C457" s="33">
        <v>902.88</v>
      </c>
      <c r="D457" s="11">
        <v>45381</v>
      </c>
      <c r="E457" s="26">
        <v>861.3</v>
      </c>
    </row>
    <row r="458" ht="15.75" spans="1:5">
      <c r="A458" s="32">
        <v>3044705.773</v>
      </c>
      <c r="B458" s="32">
        <v>400634.262</v>
      </c>
      <c r="C458" s="33">
        <v>902.88</v>
      </c>
      <c r="D458" s="11">
        <v>45382</v>
      </c>
      <c r="E458" s="26">
        <v>861.207</v>
      </c>
    </row>
    <row r="459" ht="15.75" spans="1:5">
      <c r="A459" s="32">
        <v>3044705.773</v>
      </c>
      <c r="B459" s="32">
        <v>400634.262</v>
      </c>
      <c r="C459" s="33">
        <v>902.88</v>
      </c>
      <c r="D459" s="11">
        <v>45383</v>
      </c>
      <c r="E459" s="26">
        <v>861.101</v>
      </c>
    </row>
    <row r="460" ht="15.75" spans="1:5">
      <c r="A460" s="32">
        <v>3044705.773</v>
      </c>
      <c r="B460" s="32">
        <v>400634.262</v>
      </c>
      <c r="C460" s="33">
        <v>902.88</v>
      </c>
      <c r="D460" s="11">
        <v>45384</v>
      </c>
      <c r="E460" s="26">
        <v>860.982</v>
      </c>
    </row>
    <row r="461" ht="15.75" spans="1:5">
      <c r="A461" s="32">
        <v>3044705.773</v>
      </c>
      <c r="B461" s="32">
        <v>400634.262</v>
      </c>
      <c r="C461" s="33">
        <v>902.88</v>
      </c>
      <c r="D461" s="11">
        <v>45385</v>
      </c>
      <c r="E461" s="26">
        <v>860.774</v>
      </c>
    </row>
    <row r="462" ht="15.75" spans="1:5">
      <c r="A462" s="32">
        <v>3044705.773</v>
      </c>
      <c r="B462" s="32">
        <v>400634.262</v>
      </c>
      <c r="C462" s="33">
        <v>902.88</v>
      </c>
      <c r="D462" s="11">
        <v>45386</v>
      </c>
      <c r="E462" s="26">
        <v>860.683</v>
      </c>
    </row>
    <row r="463" ht="15.75" spans="1:5">
      <c r="A463" s="32">
        <v>3044705.773</v>
      </c>
      <c r="B463" s="32">
        <v>400634.262</v>
      </c>
      <c r="C463" s="33">
        <v>902.88</v>
      </c>
      <c r="D463" s="11">
        <v>45387</v>
      </c>
      <c r="E463" s="26">
        <v>860.629</v>
      </c>
    </row>
    <row r="464" ht="15.75" spans="1:5">
      <c r="A464" s="32">
        <v>3044705.773</v>
      </c>
      <c r="B464" s="32">
        <v>400634.262</v>
      </c>
      <c r="C464" s="33">
        <v>902.88</v>
      </c>
      <c r="D464" s="11">
        <v>45388</v>
      </c>
      <c r="E464" s="26">
        <v>860.545</v>
      </c>
    </row>
    <row r="465" ht="15.75" spans="1:5">
      <c r="A465" s="32">
        <v>3044705.773</v>
      </c>
      <c r="B465" s="32">
        <v>400634.262</v>
      </c>
      <c r="C465" s="33">
        <v>902.88</v>
      </c>
      <c r="D465" s="11">
        <v>45389</v>
      </c>
      <c r="E465" s="26">
        <v>860.445</v>
      </c>
    </row>
    <row r="466" ht="15.75" spans="1:5">
      <c r="A466" s="32">
        <v>3044705.773</v>
      </c>
      <c r="B466" s="32">
        <v>400634.262</v>
      </c>
      <c r="C466" s="33">
        <v>902.88</v>
      </c>
      <c r="D466" s="11">
        <v>45390</v>
      </c>
      <c r="E466" s="26">
        <v>860.372</v>
      </c>
    </row>
    <row r="467" ht="15.75" spans="1:5">
      <c r="A467" s="32">
        <v>3044705.773</v>
      </c>
      <c r="B467" s="32">
        <v>400634.262</v>
      </c>
      <c r="C467" s="33">
        <v>902.88</v>
      </c>
      <c r="D467" s="11">
        <v>45391</v>
      </c>
      <c r="E467" s="26">
        <v>860.31</v>
      </c>
    </row>
    <row r="468" ht="15.75" spans="1:5">
      <c r="A468" s="32">
        <v>3044705.773</v>
      </c>
      <c r="B468" s="32">
        <v>400634.262</v>
      </c>
      <c r="C468" s="33">
        <v>902.88</v>
      </c>
      <c r="D468" s="11">
        <v>45392</v>
      </c>
      <c r="E468" s="26">
        <v>860.308</v>
      </c>
    </row>
    <row r="469" ht="15.75" spans="1:5">
      <c r="A469" s="32">
        <v>3044705.773</v>
      </c>
      <c r="B469" s="32">
        <v>400634.262</v>
      </c>
      <c r="C469" s="33">
        <v>902.88</v>
      </c>
      <c r="D469" s="11">
        <v>45393</v>
      </c>
      <c r="E469" s="26">
        <v>860.238</v>
      </c>
    </row>
    <row r="470" ht="15.75" spans="1:5">
      <c r="A470" s="32">
        <v>3044705.773</v>
      </c>
      <c r="B470" s="32">
        <v>400634.262</v>
      </c>
      <c r="C470" s="33">
        <v>902.88</v>
      </c>
      <c r="D470" s="11">
        <v>45394</v>
      </c>
      <c r="E470" s="26">
        <v>860.177</v>
      </c>
    </row>
    <row r="471" ht="15.75" spans="1:5">
      <c r="A471" s="32">
        <v>3044705.773</v>
      </c>
      <c r="B471" s="32">
        <v>400634.262</v>
      </c>
      <c r="C471" s="33">
        <v>902.88</v>
      </c>
      <c r="D471" s="11">
        <v>45395</v>
      </c>
      <c r="E471" s="26">
        <v>860.072</v>
      </c>
    </row>
    <row r="472" ht="15.75" spans="1:5">
      <c r="A472" s="32">
        <v>3044705.773</v>
      </c>
      <c r="B472" s="32">
        <v>400634.262</v>
      </c>
      <c r="C472" s="33">
        <v>902.88</v>
      </c>
      <c r="D472" s="11">
        <v>45396</v>
      </c>
      <c r="E472" s="26">
        <v>859.983</v>
      </c>
    </row>
    <row r="473" ht="15.75" spans="1:5">
      <c r="A473" s="32">
        <v>3044705.773</v>
      </c>
      <c r="B473" s="32">
        <v>400634.262</v>
      </c>
      <c r="C473" s="33">
        <v>902.88</v>
      </c>
      <c r="D473" s="11">
        <v>45397</v>
      </c>
      <c r="E473" s="26">
        <v>859.939</v>
      </c>
    </row>
    <row r="474" ht="15.75" spans="1:5">
      <c r="A474" s="32">
        <v>3044705.773</v>
      </c>
      <c r="B474" s="32">
        <v>400634.262</v>
      </c>
      <c r="C474" s="33">
        <v>902.88</v>
      </c>
      <c r="D474" s="11">
        <v>45398</v>
      </c>
      <c r="E474" s="26">
        <v>859.885</v>
      </c>
    </row>
    <row r="475" ht="15.75" spans="1:5">
      <c r="A475" s="32">
        <v>3044705.773</v>
      </c>
      <c r="B475" s="32">
        <v>400634.262</v>
      </c>
      <c r="C475" s="33">
        <v>902.88</v>
      </c>
      <c r="D475" s="11">
        <v>45399</v>
      </c>
      <c r="E475" s="26">
        <v>859.787</v>
      </c>
    </row>
    <row r="476" ht="15.75" spans="1:5">
      <c r="A476" s="32">
        <v>3044705.773</v>
      </c>
      <c r="B476" s="32">
        <v>400634.262</v>
      </c>
      <c r="C476" s="33">
        <v>902.88</v>
      </c>
      <c r="D476" s="11">
        <v>45400</v>
      </c>
      <c r="E476" s="26">
        <v>859.71</v>
      </c>
    </row>
    <row r="477" ht="15.75" spans="1:5">
      <c r="A477" s="32">
        <v>3044705.773</v>
      </c>
      <c r="B477" s="32">
        <v>400634.262</v>
      </c>
      <c r="C477" s="33">
        <v>902.88</v>
      </c>
      <c r="D477" s="11">
        <v>45401</v>
      </c>
      <c r="E477" s="26">
        <v>859.621</v>
      </c>
    </row>
    <row r="478" ht="15.75" spans="1:5">
      <c r="A478" s="32">
        <v>3044705.773</v>
      </c>
      <c r="B478" s="32">
        <v>400634.262</v>
      </c>
      <c r="C478" s="33">
        <v>902.88</v>
      </c>
      <c r="D478" s="11">
        <v>45402</v>
      </c>
      <c r="E478" s="26">
        <v>859.556</v>
      </c>
    </row>
    <row r="479" ht="15.75" spans="1:5">
      <c r="A479" s="32">
        <v>3044705.773</v>
      </c>
      <c r="B479" s="32">
        <v>400634.262</v>
      </c>
      <c r="C479" s="33">
        <v>902.88</v>
      </c>
      <c r="D479" s="11">
        <v>45403</v>
      </c>
      <c r="E479" s="26">
        <v>859.504</v>
      </c>
    </row>
    <row r="480" ht="15.75" spans="1:5">
      <c r="A480" s="32">
        <v>3044705.773</v>
      </c>
      <c r="B480" s="32">
        <v>400634.262</v>
      </c>
      <c r="C480" s="33">
        <v>902.88</v>
      </c>
      <c r="D480" s="11">
        <v>45404</v>
      </c>
      <c r="E480" s="26">
        <v>859.459</v>
      </c>
    </row>
    <row r="481" ht="15.75" spans="1:5">
      <c r="A481" s="32">
        <v>3044705.773</v>
      </c>
      <c r="B481" s="32">
        <v>400634.262</v>
      </c>
      <c r="C481" s="33">
        <v>902.88</v>
      </c>
      <c r="D481" s="11">
        <v>45405</v>
      </c>
      <c r="E481" s="26">
        <v>859.386</v>
      </c>
    </row>
    <row r="482" ht="15.75" spans="1:5">
      <c r="A482" s="32">
        <v>3044705.773</v>
      </c>
      <c r="B482" s="32">
        <v>400634.262</v>
      </c>
      <c r="C482" s="33">
        <v>902.88</v>
      </c>
      <c r="D482" s="11">
        <v>45406</v>
      </c>
      <c r="E482" s="26">
        <v>859.4</v>
      </c>
    </row>
    <row r="483" ht="15.75" spans="1:5">
      <c r="A483" s="32">
        <v>3044705.773</v>
      </c>
      <c r="B483" s="32">
        <v>400634.262</v>
      </c>
      <c r="C483" s="33">
        <v>902.88</v>
      </c>
      <c r="D483" s="11">
        <v>45407</v>
      </c>
      <c r="E483" s="26">
        <v>859.314</v>
      </c>
    </row>
    <row r="484" ht="15.75" spans="1:5">
      <c r="A484" s="32">
        <v>3044705.773</v>
      </c>
      <c r="B484" s="32">
        <v>400634.262</v>
      </c>
      <c r="C484" s="33">
        <v>902.88</v>
      </c>
      <c r="D484" s="11">
        <v>45408</v>
      </c>
      <c r="E484" s="26">
        <v>859.125</v>
      </c>
    </row>
    <row r="485" ht="15.75" spans="1:5">
      <c r="A485" s="32">
        <v>3044705.773</v>
      </c>
      <c r="B485" s="32">
        <v>400634.262</v>
      </c>
      <c r="C485" s="33">
        <v>902.88</v>
      </c>
      <c r="D485" s="11">
        <v>45409</v>
      </c>
      <c r="E485" s="26">
        <v>859.077</v>
      </c>
    </row>
    <row r="486" ht="15.75" spans="1:5">
      <c r="A486" s="32">
        <v>3044705.773</v>
      </c>
      <c r="B486" s="32">
        <v>400634.262</v>
      </c>
      <c r="C486" s="33">
        <v>902.88</v>
      </c>
      <c r="D486" s="11">
        <v>45410</v>
      </c>
      <c r="E486" s="26">
        <v>859.058</v>
      </c>
    </row>
    <row r="487" ht="15.75" spans="1:5">
      <c r="A487" s="32">
        <v>3044705.773</v>
      </c>
      <c r="B487" s="32">
        <v>400634.262</v>
      </c>
      <c r="C487" s="33">
        <v>902.88</v>
      </c>
      <c r="D487" s="11">
        <v>45411</v>
      </c>
      <c r="E487" s="26">
        <v>859.019</v>
      </c>
    </row>
    <row r="488" ht="15.75" spans="1:5">
      <c r="A488" s="32">
        <v>3044705.773</v>
      </c>
      <c r="B488" s="32">
        <v>400634.262</v>
      </c>
      <c r="C488" s="33">
        <v>902.88</v>
      </c>
      <c r="D488" s="11">
        <v>45412</v>
      </c>
      <c r="E488" s="26">
        <v>858.89</v>
      </c>
    </row>
    <row r="489" ht="15.75" spans="1:5">
      <c r="A489" s="32">
        <v>3044705.773</v>
      </c>
      <c r="B489" s="32">
        <v>400634.262</v>
      </c>
      <c r="C489" s="33">
        <v>902.88</v>
      </c>
      <c r="D489" s="11">
        <v>45413</v>
      </c>
      <c r="E489" s="26">
        <v>858.869</v>
      </c>
    </row>
    <row r="490" ht="15.75" spans="1:5">
      <c r="A490" s="32">
        <v>3044705.773</v>
      </c>
      <c r="B490" s="32">
        <v>400634.262</v>
      </c>
      <c r="C490" s="33">
        <v>902.88</v>
      </c>
      <c r="D490" s="11">
        <v>45414</v>
      </c>
      <c r="E490" s="26">
        <v>858.801</v>
      </c>
    </row>
    <row r="491" ht="15.75" spans="1:5">
      <c r="A491" s="32">
        <v>3044705.773</v>
      </c>
      <c r="B491" s="32">
        <v>400634.262</v>
      </c>
      <c r="C491" s="33">
        <v>902.88</v>
      </c>
      <c r="D491" s="11">
        <v>45415</v>
      </c>
      <c r="E491" s="26">
        <v>858.268</v>
      </c>
    </row>
    <row r="492" ht="15.75" spans="1:5">
      <c r="A492" s="32">
        <v>3044705.773</v>
      </c>
      <c r="B492" s="32">
        <v>400634.262</v>
      </c>
      <c r="C492" s="33">
        <v>902.88</v>
      </c>
      <c r="D492" s="11">
        <v>45416</v>
      </c>
      <c r="E492" s="26">
        <v>858.213</v>
      </c>
    </row>
    <row r="493" ht="15.75" spans="1:5">
      <c r="A493" s="32">
        <v>3044705.773</v>
      </c>
      <c r="B493" s="32">
        <v>400634.262</v>
      </c>
      <c r="C493" s="33">
        <v>902.88</v>
      </c>
      <c r="D493" s="11">
        <v>45417</v>
      </c>
      <c r="E493" s="26">
        <v>858.018</v>
      </c>
    </row>
    <row r="494" ht="15.75" spans="1:5">
      <c r="A494" s="32">
        <v>3044705.773</v>
      </c>
      <c r="B494" s="32">
        <v>400634.262</v>
      </c>
      <c r="C494" s="33">
        <v>902.88</v>
      </c>
      <c r="D494" s="11">
        <v>45418</v>
      </c>
      <c r="E494" s="26">
        <v>857.957</v>
      </c>
    </row>
    <row r="495" ht="15.75" spans="1:5">
      <c r="A495" s="32">
        <v>3044705.773</v>
      </c>
      <c r="B495" s="32">
        <v>400634.262</v>
      </c>
      <c r="C495" s="33">
        <v>902.88</v>
      </c>
      <c r="D495" s="11">
        <v>45419</v>
      </c>
      <c r="E495" s="26">
        <v>857.847</v>
      </c>
    </row>
    <row r="496" ht="15.75" spans="1:5">
      <c r="A496" s="32">
        <v>3044705.773</v>
      </c>
      <c r="B496" s="32">
        <v>400634.262</v>
      </c>
      <c r="C496" s="33">
        <v>902.88</v>
      </c>
      <c r="D496" s="11">
        <v>45420</v>
      </c>
      <c r="E496" s="26">
        <v>857.792</v>
      </c>
    </row>
    <row r="497" ht="15.75" spans="1:5">
      <c r="A497" s="32">
        <v>3044705.773</v>
      </c>
      <c r="B497" s="32">
        <v>400634.262</v>
      </c>
      <c r="C497" s="33">
        <v>902.88</v>
      </c>
      <c r="D497" s="11">
        <v>45421</v>
      </c>
      <c r="E497" s="26">
        <v>857.743</v>
      </c>
    </row>
    <row r="498" ht="15.75" spans="1:5">
      <c r="A498" s="32">
        <v>3044705.773</v>
      </c>
      <c r="B498" s="32">
        <v>400634.262</v>
      </c>
      <c r="C498" s="33">
        <v>902.88</v>
      </c>
      <c r="D498" s="11">
        <v>45422</v>
      </c>
      <c r="E498" s="26">
        <v>857.786</v>
      </c>
    </row>
    <row r="499" ht="15.75" spans="1:5">
      <c r="A499" s="32">
        <v>3044705.773</v>
      </c>
      <c r="B499" s="32">
        <v>400634.262</v>
      </c>
      <c r="C499" s="33">
        <v>902.88</v>
      </c>
      <c r="D499" s="11">
        <v>45423</v>
      </c>
      <c r="E499" s="26">
        <v>857.654</v>
      </c>
    </row>
  </sheetData>
  <mergeCells count="1">
    <mergeCell ref="A1:C1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A1" sqref="$A1:$XFD2"/>
    </sheetView>
  </sheetViews>
  <sheetFormatPr defaultColWidth="9" defaultRowHeight="15" outlineLevelCol="5"/>
  <cols>
    <col min="1" max="1" width="11.5" style="2" customWidth="1"/>
    <col min="2" max="2" width="10.5" style="2" customWidth="1"/>
    <col min="3" max="3" width="19.25" customWidth="1"/>
    <col min="4" max="4" width="17.25" style="1" customWidth="1"/>
    <col min="6" max="6" width="24.875" customWidth="1"/>
  </cols>
  <sheetData>
    <row r="1" s="1" customFormat="1" spans="1:5">
      <c r="A1" s="3" t="s">
        <v>0</v>
      </c>
      <c r="B1" s="3"/>
      <c r="C1" s="3"/>
      <c r="D1" s="1" t="s">
        <v>1</v>
      </c>
      <c r="E1" s="4"/>
    </row>
    <row r="2" s="1" customFormat="1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5.75" spans="1:6">
      <c r="A3" s="32">
        <v>3044699.547</v>
      </c>
      <c r="B3" s="32">
        <v>401076.749</v>
      </c>
      <c r="C3" s="33">
        <v>905.05</v>
      </c>
      <c r="D3" s="34">
        <v>44927</v>
      </c>
      <c r="E3" s="24"/>
      <c r="F3" s="35" t="s">
        <v>3067</v>
      </c>
    </row>
    <row r="4" ht="15.75" spans="1:5">
      <c r="A4" s="32">
        <v>3044699.547</v>
      </c>
      <c r="B4" s="32">
        <v>401076.749</v>
      </c>
      <c r="C4" s="33">
        <v>905.05</v>
      </c>
      <c r="D4" s="11">
        <v>44928</v>
      </c>
      <c r="E4" s="24"/>
    </row>
    <row r="5" ht="15.75" spans="1:5">
      <c r="A5" s="32">
        <v>3044699.547</v>
      </c>
      <c r="B5" s="32">
        <v>401076.749</v>
      </c>
      <c r="C5" s="33">
        <v>905.05</v>
      </c>
      <c r="D5" s="11">
        <v>44929</v>
      </c>
      <c r="E5" s="24"/>
    </row>
    <row r="6" ht="15.75" spans="1:5">
      <c r="A6" s="32">
        <v>3044699.547</v>
      </c>
      <c r="B6" s="32">
        <v>401076.749</v>
      </c>
      <c r="C6" s="33">
        <v>905.05</v>
      </c>
      <c r="D6" s="11">
        <v>44930</v>
      </c>
      <c r="E6" s="24"/>
    </row>
    <row r="7" ht="15.75" spans="1:5">
      <c r="A7" s="32">
        <v>3044699.547</v>
      </c>
      <c r="B7" s="32">
        <v>401076.749</v>
      </c>
      <c r="C7" s="33">
        <v>905.05</v>
      </c>
      <c r="D7" s="11">
        <v>44931</v>
      </c>
      <c r="E7" s="24"/>
    </row>
    <row r="8" ht="15.75" spans="1:5">
      <c r="A8" s="32">
        <v>3044699.547</v>
      </c>
      <c r="B8" s="32">
        <v>401076.749</v>
      </c>
      <c r="C8" s="33">
        <v>905.05</v>
      </c>
      <c r="D8" s="11">
        <v>44932</v>
      </c>
      <c r="E8" s="21"/>
    </row>
    <row r="9" ht="15.75" spans="1:5">
      <c r="A9" s="32">
        <v>3044699.547</v>
      </c>
      <c r="B9" s="32">
        <v>401076.749</v>
      </c>
      <c r="C9" s="33">
        <v>905.05</v>
      </c>
      <c r="D9" s="11">
        <v>44933</v>
      </c>
      <c r="E9" s="21"/>
    </row>
    <row r="10" ht="15.75" spans="1:5">
      <c r="A10" s="32">
        <v>3044699.547</v>
      </c>
      <c r="B10" s="32">
        <v>401076.749</v>
      </c>
      <c r="C10" s="33">
        <v>905.05</v>
      </c>
      <c r="D10" s="11">
        <v>44934</v>
      </c>
      <c r="E10" s="21"/>
    </row>
    <row r="11" ht="15.75" spans="1:5">
      <c r="A11" s="32">
        <v>3044699.547</v>
      </c>
      <c r="B11" s="32">
        <v>401076.749</v>
      </c>
      <c r="C11" s="33">
        <v>905.05</v>
      </c>
      <c r="D11" s="11">
        <v>44935</v>
      </c>
      <c r="E11" s="21"/>
    </row>
    <row r="12" ht="15.75" spans="1:5">
      <c r="A12" s="32">
        <v>3044699.547</v>
      </c>
      <c r="B12" s="32">
        <v>401076.749</v>
      </c>
      <c r="C12" s="33">
        <v>905.05</v>
      </c>
      <c r="D12" s="11">
        <v>44936</v>
      </c>
      <c r="E12" s="21"/>
    </row>
    <row r="13" ht="15.75" spans="1:5">
      <c r="A13" s="32">
        <v>3044699.547</v>
      </c>
      <c r="B13" s="32">
        <v>401076.749</v>
      </c>
      <c r="C13" s="33">
        <v>905.05</v>
      </c>
      <c r="D13" s="11">
        <v>44937</v>
      </c>
      <c r="E13" s="21"/>
    </row>
    <row r="14" ht="15.75" spans="1:5">
      <c r="A14" s="32">
        <v>3044699.547</v>
      </c>
      <c r="B14" s="32">
        <v>401076.749</v>
      </c>
      <c r="C14" s="33">
        <v>905.05</v>
      </c>
      <c r="D14" s="11">
        <v>44938</v>
      </c>
      <c r="E14" s="22"/>
    </row>
    <row r="15" ht="15.75" spans="1:5">
      <c r="A15" s="32">
        <v>3044699.547</v>
      </c>
      <c r="B15" s="32">
        <v>401076.749</v>
      </c>
      <c r="C15" s="33">
        <v>905.05</v>
      </c>
      <c r="D15" s="11">
        <v>44939</v>
      </c>
      <c r="E15" s="22"/>
    </row>
    <row r="16" ht="15.75" spans="1:5">
      <c r="A16" s="32">
        <v>3044699.547</v>
      </c>
      <c r="B16" s="32">
        <v>401076.749</v>
      </c>
      <c r="C16" s="33">
        <v>905.05</v>
      </c>
      <c r="D16" s="11">
        <v>44940</v>
      </c>
      <c r="E16" s="22"/>
    </row>
    <row r="17" ht="15.75" spans="1:5">
      <c r="A17" s="32">
        <v>3044699.547</v>
      </c>
      <c r="B17" s="32">
        <v>401076.749</v>
      </c>
      <c r="C17" s="33">
        <v>905.05</v>
      </c>
      <c r="D17" s="11">
        <v>44941</v>
      </c>
      <c r="E17" s="22"/>
    </row>
    <row r="18" ht="15.75" spans="1:5">
      <c r="A18" s="32">
        <v>3044699.547</v>
      </c>
      <c r="B18" s="32">
        <v>401076.749</v>
      </c>
      <c r="C18" s="33">
        <v>905.05</v>
      </c>
      <c r="D18" s="11">
        <v>44942</v>
      </c>
      <c r="E18" s="22"/>
    </row>
    <row r="19" ht="15.75" spans="1:5">
      <c r="A19" s="32">
        <v>3044699.547</v>
      </c>
      <c r="B19" s="32">
        <v>401076.749</v>
      </c>
      <c r="C19" s="33">
        <v>905.05</v>
      </c>
      <c r="D19" s="11">
        <v>44943</v>
      </c>
      <c r="E19" s="22"/>
    </row>
    <row r="20" ht="15.75" spans="1:5">
      <c r="A20" s="32">
        <v>3044699.547</v>
      </c>
      <c r="B20" s="32">
        <v>401076.749</v>
      </c>
      <c r="C20" s="33">
        <v>905.05</v>
      </c>
      <c r="D20" s="11">
        <v>44944</v>
      </c>
      <c r="E20" s="22"/>
    </row>
    <row r="21" ht="15.75" spans="1:5">
      <c r="A21" s="32">
        <v>3044699.547</v>
      </c>
      <c r="B21" s="32">
        <v>401076.749</v>
      </c>
      <c r="C21" s="33">
        <v>905.05</v>
      </c>
      <c r="D21" s="11">
        <v>44945</v>
      </c>
      <c r="E21" s="24"/>
    </row>
    <row r="22" ht="15.75" spans="1:5">
      <c r="A22" s="32">
        <v>3044699.547</v>
      </c>
      <c r="B22" s="32">
        <v>401076.749</v>
      </c>
      <c r="C22" s="33">
        <v>905.05</v>
      </c>
      <c r="D22" s="11">
        <v>44946</v>
      </c>
      <c r="E22" s="24"/>
    </row>
    <row r="23" ht="15.75" spans="1:5">
      <c r="A23" s="32">
        <v>3044699.547</v>
      </c>
      <c r="B23" s="32">
        <v>401076.749</v>
      </c>
      <c r="C23" s="33">
        <v>905.05</v>
      </c>
      <c r="D23" s="11">
        <v>44947</v>
      </c>
      <c r="E23" s="24"/>
    </row>
    <row r="24" ht="15.75" spans="1:5">
      <c r="A24" s="32">
        <v>3044699.547</v>
      </c>
      <c r="B24" s="32">
        <v>401076.749</v>
      </c>
      <c r="C24" s="33">
        <v>905.05</v>
      </c>
      <c r="D24" s="11">
        <v>44948</v>
      </c>
      <c r="E24" s="24"/>
    </row>
    <row r="25" ht="15.75" spans="1:5">
      <c r="A25" s="32">
        <v>3044699.547</v>
      </c>
      <c r="B25" s="32">
        <v>401076.749</v>
      </c>
      <c r="C25" s="33">
        <v>905.05</v>
      </c>
      <c r="D25" s="11">
        <v>44949</v>
      </c>
      <c r="E25" s="24"/>
    </row>
    <row r="26" ht="15.75" spans="1:5">
      <c r="A26" s="32">
        <v>3044699.547</v>
      </c>
      <c r="B26" s="32">
        <v>401076.749</v>
      </c>
      <c r="C26" s="33">
        <v>905.05</v>
      </c>
      <c r="D26" s="11">
        <v>44950</v>
      </c>
      <c r="E26" s="24"/>
    </row>
    <row r="27" ht="15.75" spans="1:5">
      <c r="A27" s="32">
        <v>3044699.547</v>
      </c>
      <c r="B27" s="32">
        <v>401076.749</v>
      </c>
      <c r="C27" s="33">
        <v>905.05</v>
      </c>
      <c r="D27" s="11">
        <v>44951</v>
      </c>
      <c r="E27" s="24"/>
    </row>
    <row r="28" ht="15.75" spans="1:5">
      <c r="A28" s="32">
        <v>3044699.547</v>
      </c>
      <c r="B28" s="32">
        <v>401076.749</v>
      </c>
      <c r="C28" s="33">
        <v>905.05</v>
      </c>
      <c r="D28" s="11">
        <v>44952</v>
      </c>
      <c r="E28" s="24"/>
    </row>
    <row r="29" ht="15.75" spans="1:5">
      <c r="A29" s="32">
        <v>3044699.547</v>
      </c>
      <c r="B29" s="32">
        <v>401076.749</v>
      </c>
      <c r="C29" s="33">
        <v>905.05</v>
      </c>
      <c r="D29" s="11">
        <v>44953</v>
      </c>
      <c r="E29" s="24"/>
    </row>
    <row r="30" ht="15.75" spans="1:5">
      <c r="A30" s="32">
        <v>3044699.547</v>
      </c>
      <c r="B30" s="32">
        <v>401076.749</v>
      </c>
      <c r="C30" s="33">
        <v>905.05</v>
      </c>
      <c r="D30" s="11">
        <v>44954</v>
      </c>
      <c r="E30" s="24"/>
    </row>
    <row r="31" ht="15.75" spans="1:5">
      <c r="A31" s="32">
        <v>3044699.547</v>
      </c>
      <c r="B31" s="32">
        <v>401076.749</v>
      </c>
      <c r="C31" s="33">
        <v>905.05</v>
      </c>
      <c r="D31" s="11">
        <v>44955</v>
      </c>
      <c r="E31" s="24"/>
    </row>
    <row r="32" ht="15.75" spans="1:5">
      <c r="A32" s="32">
        <v>3044699.547</v>
      </c>
      <c r="B32" s="32">
        <v>401076.749</v>
      </c>
      <c r="C32" s="33">
        <v>905.05</v>
      </c>
      <c r="D32" s="11">
        <v>44956</v>
      </c>
      <c r="E32" s="24"/>
    </row>
    <row r="33" ht="15.75" spans="1:5">
      <c r="A33" s="32">
        <v>3044699.547</v>
      </c>
      <c r="B33" s="32">
        <v>401076.749</v>
      </c>
      <c r="C33" s="33">
        <v>905.05</v>
      </c>
      <c r="D33" s="11">
        <v>44957</v>
      </c>
      <c r="E33" s="24"/>
    </row>
    <row r="34" ht="15.75" spans="1:5">
      <c r="A34" s="32">
        <v>3044699.547</v>
      </c>
      <c r="B34" s="32">
        <v>401076.749</v>
      </c>
      <c r="C34" s="33">
        <v>905.05</v>
      </c>
      <c r="D34" s="11">
        <v>44958</v>
      </c>
      <c r="E34" s="24"/>
    </row>
    <row r="35" ht="15.75" spans="1:5">
      <c r="A35" s="32">
        <v>3044699.547</v>
      </c>
      <c r="B35" s="32">
        <v>401076.749</v>
      </c>
      <c r="C35" s="33">
        <v>905.05</v>
      </c>
      <c r="D35" s="11">
        <v>44959</v>
      </c>
      <c r="E35" s="24"/>
    </row>
    <row r="36" ht="15.75" spans="1:5">
      <c r="A36" s="32">
        <v>3044699.547</v>
      </c>
      <c r="B36" s="32">
        <v>401076.749</v>
      </c>
      <c r="C36" s="33">
        <v>905.05</v>
      </c>
      <c r="D36" s="11">
        <v>44960</v>
      </c>
      <c r="E36" s="22"/>
    </row>
    <row r="37" ht="15.75" spans="1:5">
      <c r="A37" s="32">
        <v>3044699.547</v>
      </c>
      <c r="B37" s="32">
        <v>401076.749</v>
      </c>
      <c r="C37" s="33">
        <v>905.05</v>
      </c>
      <c r="D37" s="11">
        <v>44961</v>
      </c>
      <c r="E37" s="22"/>
    </row>
    <row r="38" ht="15.75" spans="1:5">
      <c r="A38" s="32">
        <v>3044699.547</v>
      </c>
      <c r="B38" s="32">
        <v>401076.749</v>
      </c>
      <c r="C38" s="33">
        <v>905.05</v>
      </c>
      <c r="D38" s="11">
        <v>44962</v>
      </c>
      <c r="E38" s="22"/>
    </row>
    <row r="39" ht="15.75" spans="1:5">
      <c r="A39" s="32">
        <v>3044699.547</v>
      </c>
      <c r="B39" s="32">
        <v>401076.749</v>
      </c>
      <c r="C39" s="33">
        <v>905.05</v>
      </c>
      <c r="D39" s="11">
        <v>44963</v>
      </c>
      <c r="E39" s="22"/>
    </row>
    <row r="40" ht="15.75" spans="1:5">
      <c r="A40" s="32">
        <v>3044699.547</v>
      </c>
      <c r="B40" s="32">
        <v>401076.749</v>
      </c>
      <c r="C40" s="33">
        <v>905.05</v>
      </c>
      <c r="D40" s="11">
        <v>44964</v>
      </c>
      <c r="E40" s="22"/>
    </row>
    <row r="41" ht="15.75" spans="1:5">
      <c r="A41" s="32">
        <v>3044699.547</v>
      </c>
      <c r="B41" s="32">
        <v>401076.749</v>
      </c>
      <c r="C41" s="33">
        <v>905.05</v>
      </c>
      <c r="D41" s="11">
        <v>44965</v>
      </c>
      <c r="E41" s="22"/>
    </row>
    <row r="42" ht="15.75" spans="1:5">
      <c r="A42" s="32">
        <v>3044699.547</v>
      </c>
      <c r="B42" s="32">
        <v>401076.749</v>
      </c>
      <c r="C42" s="33">
        <v>905.05</v>
      </c>
      <c r="D42" s="11">
        <v>44966</v>
      </c>
      <c r="E42" s="24"/>
    </row>
    <row r="43" ht="15.75" spans="1:5">
      <c r="A43" s="32">
        <v>3044699.547</v>
      </c>
      <c r="B43" s="32">
        <v>401076.749</v>
      </c>
      <c r="C43" s="33">
        <v>905.05</v>
      </c>
      <c r="D43" s="11">
        <v>44967</v>
      </c>
      <c r="E43" s="24"/>
    </row>
    <row r="44" ht="15.75" spans="1:5">
      <c r="A44" s="32">
        <v>3044699.547</v>
      </c>
      <c r="B44" s="32">
        <v>401076.749</v>
      </c>
      <c r="C44" s="33">
        <v>905.05</v>
      </c>
      <c r="D44" s="11">
        <v>44968</v>
      </c>
      <c r="E44" s="24"/>
    </row>
    <row r="45" ht="15.75" spans="1:5">
      <c r="A45" s="32">
        <v>3044699.547</v>
      </c>
      <c r="B45" s="32">
        <v>401076.749</v>
      </c>
      <c r="C45" s="33">
        <v>905.05</v>
      </c>
      <c r="D45" s="11">
        <v>44969</v>
      </c>
      <c r="E45" s="24"/>
    </row>
    <row r="46" ht="15.75" spans="1:5">
      <c r="A46" s="32">
        <v>3044699.547</v>
      </c>
      <c r="B46" s="32">
        <v>401076.749</v>
      </c>
      <c r="C46" s="33">
        <v>905.05</v>
      </c>
      <c r="D46" s="11">
        <v>44970</v>
      </c>
      <c r="E46" s="24"/>
    </row>
    <row r="47" ht="15.75" spans="1:5">
      <c r="A47" s="32">
        <v>3044699.547</v>
      </c>
      <c r="B47" s="32">
        <v>401076.749</v>
      </c>
      <c r="C47" s="33">
        <v>905.05</v>
      </c>
      <c r="D47" s="11">
        <v>44971</v>
      </c>
      <c r="E47" s="22"/>
    </row>
    <row r="48" ht="15.75" spans="1:5">
      <c r="A48" s="32">
        <v>3044699.547</v>
      </c>
      <c r="B48" s="32">
        <v>401076.749</v>
      </c>
      <c r="C48" s="33">
        <v>905.05</v>
      </c>
      <c r="D48" s="11">
        <v>44972</v>
      </c>
      <c r="E48" s="21"/>
    </row>
    <row r="49" ht="15.75" spans="1:5">
      <c r="A49" s="32">
        <v>3044699.547</v>
      </c>
      <c r="B49" s="32">
        <v>401076.749</v>
      </c>
      <c r="C49" s="33">
        <v>905.05</v>
      </c>
      <c r="D49" s="11">
        <v>44973</v>
      </c>
      <c r="E49" s="21"/>
    </row>
    <row r="50" ht="15.75" spans="1:5">
      <c r="A50" s="32">
        <v>3044699.547</v>
      </c>
      <c r="B50" s="32">
        <v>401076.749</v>
      </c>
      <c r="C50" s="33">
        <v>905.05</v>
      </c>
      <c r="D50" s="11">
        <v>44974</v>
      </c>
      <c r="E50" s="21"/>
    </row>
    <row r="51" ht="15.75" spans="1:5">
      <c r="A51" s="32">
        <v>3044699.547</v>
      </c>
      <c r="B51" s="32">
        <v>401076.749</v>
      </c>
      <c r="C51" s="33">
        <v>905.05</v>
      </c>
      <c r="D51" s="11">
        <v>44975</v>
      </c>
      <c r="E51" s="21"/>
    </row>
    <row r="52" ht="15.75" spans="1:5">
      <c r="A52" s="32">
        <v>3044699.547</v>
      </c>
      <c r="B52" s="32">
        <v>401076.749</v>
      </c>
      <c r="C52" s="33">
        <v>905.05</v>
      </c>
      <c r="D52" s="11">
        <v>44976</v>
      </c>
      <c r="E52" s="21"/>
    </row>
    <row r="53" ht="15.75" spans="1:5">
      <c r="A53" s="32">
        <v>3044699.547</v>
      </c>
      <c r="B53" s="32">
        <v>401076.749</v>
      </c>
      <c r="C53" s="33">
        <v>905.05</v>
      </c>
      <c r="D53" s="11">
        <v>44977</v>
      </c>
      <c r="E53" s="21"/>
    </row>
    <row r="54" ht="15.75" spans="1:5">
      <c r="A54" s="32">
        <v>3044699.547</v>
      </c>
      <c r="B54" s="32">
        <v>401076.749</v>
      </c>
      <c r="C54" s="33">
        <v>905.05</v>
      </c>
      <c r="D54" s="11">
        <v>44978</v>
      </c>
      <c r="E54" s="21"/>
    </row>
    <row r="55" ht="15.75" spans="1:5">
      <c r="A55" s="32">
        <v>3044699.547</v>
      </c>
      <c r="B55" s="32">
        <v>401076.749</v>
      </c>
      <c r="C55" s="33">
        <v>905.05</v>
      </c>
      <c r="D55" s="11">
        <v>44979</v>
      </c>
      <c r="E55" s="21"/>
    </row>
    <row r="56" ht="15.75" spans="1:5">
      <c r="A56" s="32">
        <v>3044699.547</v>
      </c>
      <c r="B56" s="32">
        <v>401076.749</v>
      </c>
      <c r="C56" s="33">
        <v>905.05</v>
      </c>
      <c r="D56" s="11">
        <v>44980</v>
      </c>
      <c r="E56" s="21"/>
    </row>
    <row r="57" ht="15.75" spans="1:5">
      <c r="A57" s="32">
        <v>3044699.547</v>
      </c>
      <c r="B57" s="32">
        <v>401076.749</v>
      </c>
      <c r="C57" s="33">
        <v>905.05</v>
      </c>
      <c r="D57" s="11">
        <v>44981</v>
      </c>
      <c r="E57" s="21"/>
    </row>
    <row r="58" ht="15.75" spans="1:5">
      <c r="A58" s="32">
        <v>3044699.547</v>
      </c>
      <c r="B58" s="32">
        <v>401076.749</v>
      </c>
      <c r="C58" s="33">
        <v>905.05</v>
      </c>
      <c r="D58" s="11">
        <v>44982</v>
      </c>
      <c r="E58" s="21"/>
    </row>
    <row r="59" ht="15.75" spans="1:5">
      <c r="A59" s="32">
        <v>3044699.547</v>
      </c>
      <c r="B59" s="32">
        <v>401076.749</v>
      </c>
      <c r="C59" s="33">
        <v>905.05</v>
      </c>
      <c r="D59" s="11">
        <v>44983</v>
      </c>
      <c r="E59" s="21"/>
    </row>
    <row r="60" ht="15.75" spans="1:5">
      <c r="A60" s="32">
        <v>3044699.547</v>
      </c>
      <c r="B60" s="32">
        <v>401076.749</v>
      </c>
      <c r="C60" s="33">
        <v>905.05</v>
      </c>
      <c r="D60" s="11">
        <v>44984</v>
      </c>
      <c r="E60" s="21"/>
    </row>
    <row r="61" ht="15.75" spans="1:5">
      <c r="A61" s="32">
        <v>3044699.547</v>
      </c>
      <c r="B61" s="32">
        <v>401076.749</v>
      </c>
      <c r="C61" s="33">
        <v>905.05</v>
      </c>
      <c r="D61" s="11">
        <v>44985</v>
      </c>
      <c r="E61" s="21"/>
    </row>
    <row r="62" ht="15.75" spans="1:5">
      <c r="A62" s="32">
        <v>3044699.547</v>
      </c>
      <c r="B62" s="32">
        <v>401076.749</v>
      </c>
      <c r="C62" s="33">
        <v>905.05</v>
      </c>
      <c r="D62" s="11">
        <v>44986</v>
      </c>
      <c r="E62" s="21"/>
    </row>
    <row r="63" ht="15.75" spans="1:5">
      <c r="A63" s="32">
        <v>3044699.547</v>
      </c>
      <c r="B63" s="32">
        <v>401076.749</v>
      </c>
      <c r="C63" s="33">
        <v>905.05</v>
      </c>
      <c r="D63" s="11">
        <v>44987</v>
      </c>
      <c r="E63" s="21"/>
    </row>
    <row r="64" ht="15.75" spans="1:5">
      <c r="A64" s="32">
        <v>3044699.547</v>
      </c>
      <c r="B64" s="32">
        <v>401076.749</v>
      </c>
      <c r="C64" s="33">
        <v>905.05</v>
      </c>
      <c r="D64" s="11">
        <v>44988</v>
      </c>
      <c r="E64" s="21"/>
    </row>
    <row r="65" ht="15.75" spans="1:5">
      <c r="A65" s="32">
        <v>3044699.547</v>
      </c>
      <c r="B65" s="32">
        <v>401076.749</v>
      </c>
      <c r="C65" s="33">
        <v>905.05</v>
      </c>
      <c r="D65" s="11">
        <v>44989</v>
      </c>
      <c r="E65" s="21"/>
    </row>
    <row r="66" ht="15.75" spans="1:5">
      <c r="A66" s="32">
        <v>3044699.547</v>
      </c>
      <c r="B66" s="32">
        <v>401076.749</v>
      </c>
      <c r="C66" s="33">
        <v>905.05</v>
      </c>
      <c r="D66" s="11">
        <v>44990</v>
      </c>
      <c r="E66" s="21"/>
    </row>
    <row r="67" ht="15.75" spans="1:5">
      <c r="A67" s="32">
        <v>3044699.547</v>
      </c>
      <c r="B67" s="32">
        <v>401076.749</v>
      </c>
      <c r="C67" s="33">
        <v>905.05</v>
      </c>
      <c r="D67" s="11">
        <v>44991</v>
      </c>
      <c r="E67" s="21"/>
    </row>
    <row r="68" ht="15.75" spans="1:5">
      <c r="A68" s="32">
        <v>3044699.547</v>
      </c>
      <c r="B68" s="32">
        <v>401076.749</v>
      </c>
      <c r="C68" s="33">
        <v>905.05</v>
      </c>
      <c r="D68" s="11">
        <v>44992</v>
      </c>
      <c r="E68" s="21"/>
    </row>
    <row r="69" ht="15.75" spans="1:5">
      <c r="A69" s="32">
        <v>3044699.547</v>
      </c>
      <c r="B69" s="32">
        <v>401076.749</v>
      </c>
      <c r="C69" s="33">
        <v>905.05</v>
      </c>
      <c r="D69" s="11">
        <v>44993</v>
      </c>
      <c r="E69" s="21"/>
    </row>
    <row r="70" ht="15.75" spans="1:5">
      <c r="A70" s="32">
        <v>3044699.547</v>
      </c>
      <c r="B70" s="32">
        <v>401076.749</v>
      </c>
      <c r="C70" s="33">
        <v>905.05</v>
      </c>
      <c r="D70" s="11">
        <v>44994</v>
      </c>
      <c r="E70" s="22"/>
    </row>
    <row r="71" ht="15.75" spans="1:5">
      <c r="A71" s="32">
        <v>3044699.547</v>
      </c>
      <c r="B71" s="32">
        <v>401076.749</v>
      </c>
      <c r="C71" s="33">
        <v>905.05</v>
      </c>
      <c r="D71" s="11">
        <v>44995</v>
      </c>
      <c r="E71" s="22"/>
    </row>
    <row r="72" ht="15.75" spans="1:5">
      <c r="A72" s="32">
        <v>3044699.547</v>
      </c>
      <c r="B72" s="32">
        <v>401076.749</v>
      </c>
      <c r="C72" s="33">
        <v>905.05</v>
      </c>
      <c r="D72" s="11">
        <v>44996</v>
      </c>
      <c r="E72" s="22"/>
    </row>
    <row r="73" ht="15.75" spans="1:5">
      <c r="A73" s="32">
        <v>3044699.547</v>
      </c>
      <c r="B73" s="32">
        <v>401076.749</v>
      </c>
      <c r="C73" s="33">
        <v>905.05</v>
      </c>
      <c r="D73" s="11">
        <v>44997</v>
      </c>
      <c r="E73" s="22"/>
    </row>
    <row r="74" ht="15.75" spans="1:5">
      <c r="A74" s="32">
        <v>3044699.547</v>
      </c>
      <c r="B74" s="32">
        <v>401076.749</v>
      </c>
      <c r="C74" s="33">
        <v>905.05</v>
      </c>
      <c r="D74" s="11">
        <v>44998</v>
      </c>
      <c r="E74" s="21"/>
    </row>
    <row r="75" ht="15.75" spans="1:5">
      <c r="A75" s="32">
        <v>3044699.547</v>
      </c>
      <c r="B75" s="32">
        <v>401076.749</v>
      </c>
      <c r="C75" s="33">
        <v>905.05</v>
      </c>
      <c r="D75" s="11">
        <v>44999</v>
      </c>
      <c r="E75" s="21"/>
    </row>
    <row r="76" ht="15.75" spans="1:5">
      <c r="A76" s="32">
        <v>3044699.547</v>
      </c>
      <c r="B76" s="32">
        <v>401076.749</v>
      </c>
      <c r="C76" s="33">
        <v>905.05</v>
      </c>
      <c r="D76" s="11">
        <v>45000</v>
      </c>
      <c r="E76" s="21"/>
    </row>
    <row r="77" ht="15.75" spans="1:5">
      <c r="A77" s="32">
        <v>3044699.547</v>
      </c>
      <c r="B77" s="32">
        <v>401076.749</v>
      </c>
      <c r="C77" s="33">
        <v>905.05</v>
      </c>
      <c r="D77" s="11">
        <v>45001</v>
      </c>
      <c r="E77" s="21"/>
    </row>
    <row r="78" ht="15.75" spans="1:5">
      <c r="A78" s="32">
        <v>3044699.547</v>
      </c>
      <c r="B78" s="32">
        <v>401076.749</v>
      </c>
      <c r="C78" s="33">
        <v>905.05</v>
      </c>
      <c r="D78" s="11">
        <v>45002</v>
      </c>
      <c r="E78" s="24"/>
    </row>
    <row r="79" ht="15.75" spans="1:5">
      <c r="A79" s="32">
        <v>3044699.547</v>
      </c>
      <c r="B79" s="32">
        <v>401076.749</v>
      </c>
      <c r="C79" s="33">
        <v>905.05</v>
      </c>
      <c r="D79" s="11">
        <v>45003</v>
      </c>
      <c r="E79" s="21"/>
    </row>
    <row r="80" ht="15.75" spans="1:5">
      <c r="A80" s="32">
        <v>3044699.547</v>
      </c>
      <c r="B80" s="32">
        <v>401076.749</v>
      </c>
      <c r="C80" s="33">
        <v>905.05</v>
      </c>
      <c r="D80" s="11">
        <v>45004</v>
      </c>
      <c r="E80" s="21"/>
    </row>
    <row r="81" ht="15.75" spans="1:5">
      <c r="A81" s="32">
        <v>3044699.547</v>
      </c>
      <c r="B81" s="32">
        <v>401076.749</v>
      </c>
      <c r="C81" s="33">
        <v>905.05</v>
      </c>
      <c r="D81" s="11">
        <v>45005</v>
      </c>
      <c r="E81" s="21"/>
    </row>
    <row r="82" ht="15.75" spans="1:5">
      <c r="A82" s="32">
        <v>3044699.547</v>
      </c>
      <c r="B82" s="32">
        <v>401076.749</v>
      </c>
      <c r="C82" s="33">
        <v>905.05</v>
      </c>
      <c r="D82" s="11">
        <v>45006</v>
      </c>
      <c r="E82" s="21"/>
    </row>
    <row r="83" ht="15.75" spans="1:5">
      <c r="A83" s="32">
        <v>3044699.547</v>
      </c>
      <c r="B83" s="32">
        <v>401076.749</v>
      </c>
      <c r="C83" s="33">
        <v>905.05</v>
      </c>
      <c r="D83" s="11">
        <v>45007</v>
      </c>
      <c r="E83" s="21"/>
    </row>
    <row r="84" ht="15.75" spans="1:5">
      <c r="A84" s="32">
        <v>3044699.547</v>
      </c>
      <c r="B84" s="32">
        <v>401076.749</v>
      </c>
      <c r="C84" s="33">
        <v>905.05</v>
      </c>
      <c r="D84" s="11">
        <v>45008</v>
      </c>
      <c r="E84" s="21"/>
    </row>
    <row r="85" ht="15.75" spans="1:5">
      <c r="A85" s="32">
        <v>3044699.547</v>
      </c>
      <c r="B85" s="32">
        <v>401076.749</v>
      </c>
      <c r="C85" s="33">
        <v>905.05</v>
      </c>
      <c r="D85" s="11">
        <v>45009</v>
      </c>
      <c r="E85" s="21"/>
    </row>
    <row r="86" ht="15.75" spans="1:5">
      <c r="A86" s="32">
        <v>3044699.547</v>
      </c>
      <c r="B86" s="32">
        <v>401076.749</v>
      </c>
      <c r="C86" s="33">
        <v>905.05</v>
      </c>
      <c r="D86" s="11">
        <v>45010</v>
      </c>
      <c r="E86" s="21"/>
    </row>
    <row r="87" ht="15.75" spans="1:5">
      <c r="A87" s="32">
        <v>3044699.547</v>
      </c>
      <c r="B87" s="32">
        <v>401076.749</v>
      </c>
      <c r="C87" s="33">
        <v>905.05</v>
      </c>
      <c r="D87" s="11">
        <v>45011</v>
      </c>
      <c r="E87" s="21"/>
    </row>
    <row r="88" ht="15.75" spans="1:5">
      <c r="A88" s="32">
        <v>3044699.547</v>
      </c>
      <c r="B88" s="32">
        <v>401076.749</v>
      </c>
      <c r="C88" s="33">
        <v>905.05</v>
      </c>
      <c r="D88" s="11">
        <v>45012</v>
      </c>
      <c r="E88" s="21"/>
    </row>
    <row r="89" ht="15.75" spans="1:5">
      <c r="A89" s="32">
        <v>3044699.547</v>
      </c>
      <c r="B89" s="32">
        <v>401076.749</v>
      </c>
      <c r="C89" s="33">
        <v>905.05</v>
      </c>
      <c r="D89" s="11">
        <v>45013</v>
      </c>
      <c r="E89" s="22"/>
    </row>
    <row r="90" ht="15.75" spans="1:5">
      <c r="A90" s="32">
        <v>3044699.547</v>
      </c>
      <c r="B90" s="32">
        <v>401076.749</v>
      </c>
      <c r="C90" s="33">
        <v>905.05</v>
      </c>
      <c r="D90" s="11">
        <v>45014</v>
      </c>
      <c r="E90" s="22"/>
    </row>
    <row r="91" ht="15.75" spans="1:5">
      <c r="A91" s="32">
        <v>3044699.547</v>
      </c>
      <c r="B91" s="32">
        <v>401076.749</v>
      </c>
      <c r="C91" s="33">
        <v>905.05</v>
      </c>
      <c r="D91" s="11">
        <v>45015</v>
      </c>
      <c r="E91" s="25"/>
    </row>
    <row r="92" ht="15.75" spans="1:5">
      <c r="A92" s="32">
        <v>3044699.547</v>
      </c>
      <c r="B92" s="32">
        <v>401076.749</v>
      </c>
      <c r="C92" s="33">
        <v>905.05</v>
      </c>
      <c r="D92" s="11">
        <v>45016</v>
      </c>
      <c r="E92" s="21">
        <v>865.482</v>
      </c>
    </row>
    <row r="93" ht="15.75" spans="1:5">
      <c r="A93" s="32">
        <v>3044699.547</v>
      </c>
      <c r="B93" s="32">
        <v>401076.749</v>
      </c>
      <c r="C93" s="33">
        <v>905.05</v>
      </c>
      <c r="D93" s="11">
        <v>45017</v>
      </c>
      <c r="E93" s="21"/>
    </row>
    <row r="94" ht="15.75" spans="1:5">
      <c r="A94" s="32">
        <v>3044699.547</v>
      </c>
      <c r="B94" s="32">
        <v>401076.749</v>
      </c>
      <c r="C94" s="33">
        <v>905.05</v>
      </c>
      <c r="D94" s="11">
        <v>45018</v>
      </c>
      <c r="E94" s="21"/>
    </row>
    <row r="95" ht="15.75" spans="1:5">
      <c r="A95" s="32">
        <v>3044699.547</v>
      </c>
      <c r="B95" s="32">
        <v>401076.749</v>
      </c>
      <c r="C95" s="33">
        <v>905.05</v>
      </c>
      <c r="D95" s="11">
        <v>45019</v>
      </c>
      <c r="E95" s="21"/>
    </row>
    <row r="96" ht="15.75" spans="1:5">
      <c r="A96" s="32">
        <v>3044699.547</v>
      </c>
      <c r="B96" s="32">
        <v>401076.749</v>
      </c>
      <c r="C96" s="33">
        <v>905.05</v>
      </c>
      <c r="D96" s="11">
        <v>45020</v>
      </c>
      <c r="E96" s="21"/>
    </row>
    <row r="97" ht="15.75" spans="1:5">
      <c r="A97" s="32">
        <v>3044699.547</v>
      </c>
      <c r="B97" s="32">
        <v>401076.749</v>
      </c>
      <c r="C97" s="33">
        <v>905.05</v>
      </c>
      <c r="D97" s="11">
        <v>45021</v>
      </c>
      <c r="E97" s="21">
        <v>870.032</v>
      </c>
    </row>
    <row r="98" ht="15.75" spans="1:5">
      <c r="A98" s="32">
        <v>3044699.547</v>
      </c>
      <c r="B98" s="32">
        <v>401076.749</v>
      </c>
      <c r="C98" s="33">
        <v>905.05</v>
      </c>
      <c r="D98" s="11">
        <v>45022</v>
      </c>
      <c r="E98" s="21"/>
    </row>
    <row r="99" ht="15.75" spans="1:5">
      <c r="A99" s="32">
        <v>3044699.547</v>
      </c>
      <c r="B99" s="32">
        <v>401076.749</v>
      </c>
      <c r="C99" s="33">
        <v>905.05</v>
      </c>
      <c r="D99" s="11">
        <v>45023</v>
      </c>
      <c r="E99" s="21"/>
    </row>
    <row r="100" ht="15.75" spans="1:5">
      <c r="A100" s="32">
        <v>3044699.547</v>
      </c>
      <c r="B100" s="32">
        <v>401076.749</v>
      </c>
      <c r="C100" s="33">
        <v>905.05</v>
      </c>
      <c r="D100" s="11">
        <v>45024</v>
      </c>
      <c r="E100" s="21"/>
    </row>
    <row r="101" ht="15.75" spans="1:5">
      <c r="A101" s="32">
        <v>3044699.547</v>
      </c>
      <c r="B101" s="32">
        <v>401076.749</v>
      </c>
      <c r="C101" s="33">
        <v>905.05</v>
      </c>
      <c r="D101" s="11">
        <v>45025</v>
      </c>
      <c r="E101" s="21"/>
    </row>
    <row r="102" ht="15.75" spans="1:5">
      <c r="A102" s="32">
        <v>3044699.547</v>
      </c>
      <c r="B102" s="32">
        <v>401076.749</v>
      </c>
      <c r="C102" s="33">
        <v>905.05</v>
      </c>
      <c r="D102" s="11">
        <v>45026</v>
      </c>
      <c r="E102" s="21">
        <v>872.402</v>
      </c>
    </row>
    <row r="103" ht="15.75" spans="1:5">
      <c r="A103" s="32">
        <v>3044699.547</v>
      </c>
      <c r="B103" s="32">
        <v>401076.749</v>
      </c>
      <c r="C103" s="33">
        <v>905.05</v>
      </c>
      <c r="D103" s="11">
        <v>45027</v>
      </c>
      <c r="E103" s="21"/>
    </row>
    <row r="104" ht="15.75" spans="1:5">
      <c r="A104" s="32">
        <v>3044699.547</v>
      </c>
      <c r="B104" s="32">
        <v>401076.749</v>
      </c>
      <c r="C104" s="33">
        <v>905.05</v>
      </c>
      <c r="D104" s="11">
        <v>45028</v>
      </c>
      <c r="E104" s="21"/>
    </row>
    <row r="105" ht="15.75" spans="1:5">
      <c r="A105" s="32">
        <v>3044699.547</v>
      </c>
      <c r="B105" s="32">
        <v>401076.749</v>
      </c>
      <c r="C105" s="33">
        <v>905.05</v>
      </c>
      <c r="D105" s="11">
        <v>45029</v>
      </c>
      <c r="E105" s="21"/>
    </row>
    <row r="106" ht="15.75" spans="1:5">
      <c r="A106" s="32">
        <v>3044699.547</v>
      </c>
      <c r="B106" s="32">
        <v>401076.749</v>
      </c>
      <c r="C106" s="33">
        <v>905.05</v>
      </c>
      <c r="D106" s="11">
        <v>45030</v>
      </c>
      <c r="E106" s="21"/>
    </row>
    <row r="107" ht="15.75" spans="1:5">
      <c r="A107" s="32">
        <v>3044699.547</v>
      </c>
      <c r="B107" s="32">
        <v>401076.749</v>
      </c>
      <c r="C107" s="33">
        <v>905.05</v>
      </c>
      <c r="D107" s="11">
        <v>45031</v>
      </c>
      <c r="E107" s="21"/>
    </row>
    <row r="108" ht="15.75" spans="1:5">
      <c r="A108" s="32">
        <v>3044699.547</v>
      </c>
      <c r="B108" s="32">
        <v>401076.749</v>
      </c>
      <c r="C108" s="33">
        <v>905.05</v>
      </c>
      <c r="D108" s="11">
        <v>45032</v>
      </c>
      <c r="E108" s="21">
        <v>866.642</v>
      </c>
    </row>
    <row r="109" ht="15.75" spans="1:5">
      <c r="A109" s="32">
        <v>3044699.547</v>
      </c>
      <c r="B109" s="32">
        <v>401076.749</v>
      </c>
      <c r="C109" s="33">
        <v>905.05</v>
      </c>
      <c r="D109" s="11">
        <v>45033</v>
      </c>
      <c r="E109" s="21"/>
    </row>
    <row r="110" ht="15.75" spans="1:5">
      <c r="A110" s="32">
        <v>3044699.547</v>
      </c>
      <c r="B110" s="32">
        <v>401076.749</v>
      </c>
      <c r="C110" s="33">
        <v>905.05</v>
      </c>
      <c r="D110" s="11">
        <v>45034</v>
      </c>
      <c r="E110" s="21"/>
    </row>
    <row r="111" ht="15.75" spans="1:5">
      <c r="A111" s="32">
        <v>3044699.547</v>
      </c>
      <c r="B111" s="32">
        <v>401076.749</v>
      </c>
      <c r="C111" s="33">
        <v>905.05</v>
      </c>
      <c r="D111" s="11">
        <v>45035</v>
      </c>
      <c r="E111" s="21"/>
    </row>
    <row r="112" ht="15.75" spans="1:5">
      <c r="A112" s="32">
        <v>3044699.547</v>
      </c>
      <c r="B112" s="32">
        <v>401076.749</v>
      </c>
      <c r="C112" s="33">
        <v>905.05</v>
      </c>
      <c r="D112" s="11">
        <v>45036</v>
      </c>
      <c r="E112" s="21">
        <v>865.572</v>
      </c>
    </row>
    <row r="113" ht="15.75" spans="1:5">
      <c r="A113" s="32">
        <v>3044699.547</v>
      </c>
      <c r="B113" s="32">
        <v>401076.749</v>
      </c>
      <c r="C113" s="33">
        <v>905.05</v>
      </c>
      <c r="D113" s="11">
        <v>45037</v>
      </c>
      <c r="E113" s="21"/>
    </row>
    <row r="114" ht="15.75" spans="1:5">
      <c r="A114" s="32">
        <v>3044699.547</v>
      </c>
      <c r="B114" s="32">
        <v>401076.749</v>
      </c>
      <c r="C114" s="33">
        <v>905.05</v>
      </c>
      <c r="D114" s="11">
        <v>45038</v>
      </c>
      <c r="E114" s="21"/>
    </row>
    <row r="115" ht="15.75" spans="1:5">
      <c r="A115" s="32">
        <v>3044699.547</v>
      </c>
      <c r="B115" s="32">
        <v>401076.749</v>
      </c>
      <c r="C115" s="33">
        <v>905.05</v>
      </c>
      <c r="D115" s="11">
        <v>45039</v>
      </c>
      <c r="E115" s="21"/>
    </row>
    <row r="116" ht="15.75" spans="1:5">
      <c r="A116" s="32">
        <v>3044699.547</v>
      </c>
      <c r="B116" s="32">
        <v>401076.749</v>
      </c>
      <c r="C116" s="33">
        <v>905.05</v>
      </c>
      <c r="D116" s="11">
        <v>45040</v>
      </c>
      <c r="E116" s="21"/>
    </row>
    <row r="117" ht="15.75" spans="1:5">
      <c r="A117" s="32">
        <v>3044699.547</v>
      </c>
      <c r="B117" s="32">
        <v>401076.749</v>
      </c>
      <c r="C117" s="33">
        <v>905.05</v>
      </c>
      <c r="D117" s="11">
        <v>45041</v>
      </c>
      <c r="E117" s="21">
        <v>864.092</v>
      </c>
    </row>
    <row r="118" ht="15.75" spans="1:5">
      <c r="A118" s="32">
        <v>3044699.547</v>
      </c>
      <c r="B118" s="32">
        <v>401076.749</v>
      </c>
      <c r="C118" s="33">
        <v>905.05</v>
      </c>
      <c r="D118" s="11">
        <v>45042</v>
      </c>
      <c r="E118" s="21"/>
    </row>
    <row r="119" ht="15.75" spans="1:5">
      <c r="A119" s="32">
        <v>3044699.547</v>
      </c>
      <c r="B119" s="32">
        <v>401076.749</v>
      </c>
      <c r="C119" s="33">
        <v>905.05</v>
      </c>
      <c r="D119" s="11">
        <v>45043</v>
      </c>
      <c r="E119" s="21"/>
    </row>
    <row r="120" ht="15.75" spans="1:5">
      <c r="A120" s="32">
        <v>3044699.547</v>
      </c>
      <c r="B120" s="32">
        <v>401076.749</v>
      </c>
      <c r="C120" s="33">
        <v>905.05</v>
      </c>
      <c r="D120" s="11">
        <v>45044</v>
      </c>
      <c r="E120" s="21"/>
    </row>
    <row r="121" ht="15.75" spans="1:5">
      <c r="A121" s="32">
        <v>3044699.547</v>
      </c>
      <c r="B121" s="32">
        <v>401076.749</v>
      </c>
      <c r="C121" s="33">
        <v>905.05</v>
      </c>
      <c r="D121" s="11">
        <v>45045</v>
      </c>
      <c r="E121" s="21"/>
    </row>
    <row r="122" ht="15.75" spans="1:5">
      <c r="A122" s="32">
        <v>3044699.547</v>
      </c>
      <c r="B122" s="32">
        <v>401076.749</v>
      </c>
      <c r="C122" s="33">
        <v>905.05</v>
      </c>
      <c r="D122" s="11">
        <v>45046</v>
      </c>
      <c r="E122" s="21">
        <v>861.832</v>
      </c>
    </row>
    <row r="123" ht="15.75" spans="1:5">
      <c r="A123" s="32">
        <v>3044699.547</v>
      </c>
      <c r="B123" s="32">
        <v>401076.749</v>
      </c>
      <c r="C123" s="33">
        <v>905.05</v>
      </c>
      <c r="D123" s="11">
        <v>45047</v>
      </c>
      <c r="E123" s="21"/>
    </row>
    <row r="124" ht="15.75" spans="1:5">
      <c r="A124" s="32">
        <v>3044699.547</v>
      </c>
      <c r="B124" s="32">
        <v>401076.749</v>
      </c>
      <c r="C124" s="33">
        <v>905.05</v>
      </c>
      <c r="D124" s="11">
        <v>45048</v>
      </c>
      <c r="E124" s="21"/>
    </row>
    <row r="125" ht="15.75" spans="1:5">
      <c r="A125" s="32">
        <v>3044699.547</v>
      </c>
      <c r="B125" s="32">
        <v>401076.749</v>
      </c>
      <c r="C125" s="33">
        <v>905.05</v>
      </c>
      <c r="D125" s="11">
        <v>45049</v>
      </c>
      <c r="E125" s="21"/>
    </row>
    <row r="126" ht="15.75" spans="1:5">
      <c r="A126" s="32">
        <v>3044699.547</v>
      </c>
      <c r="B126" s="32">
        <v>401076.749</v>
      </c>
      <c r="C126" s="33">
        <v>905.05</v>
      </c>
      <c r="D126" s="11">
        <v>45050</v>
      </c>
      <c r="E126" s="21"/>
    </row>
    <row r="127" ht="15.75" spans="1:5">
      <c r="A127" s="32">
        <v>3044699.547</v>
      </c>
      <c r="B127" s="32">
        <v>401076.749</v>
      </c>
      <c r="C127" s="33">
        <v>905.05</v>
      </c>
      <c r="D127" s="11">
        <v>45051</v>
      </c>
      <c r="E127" s="21">
        <v>860.592</v>
      </c>
    </row>
    <row r="128" ht="15.75" spans="1:5">
      <c r="A128" s="32">
        <v>3044699.547</v>
      </c>
      <c r="B128" s="32">
        <v>401076.749</v>
      </c>
      <c r="C128" s="33">
        <v>905.05</v>
      </c>
      <c r="D128" s="11">
        <v>45052</v>
      </c>
      <c r="E128" s="21"/>
    </row>
    <row r="129" ht="15.75" spans="1:5">
      <c r="A129" s="32">
        <v>3044699.547</v>
      </c>
      <c r="B129" s="32">
        <v>401076.749</v>
      </c>
      <c r="C129" s="33">
        <v>905.05</v>
      </c>
      <c r="D129" s="11">
        <v>45053</v>
      </c>
      <c r="E129" s="21"/>
    </row>
    <row r="130" ht="15.75" spans="1:5">
      <c r="A130" s="32">
        <v>3044699.547</v>
      </c>
      <c r="B130" s="32">
        <v>401076.749</v>
      </c>
      <c r="C130" s="33">
        <v>905.05</v>
      </c>
      <c r="D130" s="11">
        <v>45054</v>
      </c>
      <c r="E130" s="21"/>
    </row>
    <row r="131" ht="15.75" spans="1:5">
      <c r="A131" s="32">
        <v>3044699.547</v>
      </c>
      <c r="B131" s="32">
        <v>401076.749</v>
      </c>
      <c r="C131" s="33">
        <v>905.05</v>
      </c>
      <c r="D131" s="11">
        <v>45055</v>
      </c>
      <c r="E131" s="21"/>
    </row>
    <row r="132" ht="15.75" spans="1:5">
      <c r="A132" s="32">
        <v>3044699.547</v>
      </c>
      <c r="B132" s="32">
        <v>401076.749</v>
      </c>
      <c r="C132" s="33">
        <v>905.05</v>
      </c>
      <c r="D132" s="11">
        <v>45056</v>
      </c>
      <c r="E132" s="21">
        <v>860.682</v>
      </c>
    </row>
    <row r="133" ht="15.75" spans="1:5">
      <c r="A133" s="32">
        <v>3044699.547</v>
      </c>
      <c r="B133" s="32">
        <v>401076.749</v>
      </c>
      <c r="C133" s="33">
        <v>905.05</v>
      </c>
      <c r="D133" s="11">
        <v>45057</v>
      </c>
      <c r="E133" s="21"/>
    </row>
    <row r="134" ht="15.75" spans="1:5">
      <c r="A134" s="32">
        <v>3044699.547</v>
      </c>
      <c r="B134" s="32">
        <v>401076.749</v>
      </c>
      <c r="C134" s="33">
        <v>905.05</v>
      </c>
      <c r="D134" s="11">
        <v>45058</v>
      </c>
      <c r="E134" s="21"/>
    </row>
    <row r="135" ht="15.75" spans="1:5">
      <c r="A135" s="32">
        <v>3044699.547</v>
      </c>
      <c r="B135" s="32">
        <v>401076.749</v>
      </c>
      <c r="C135" s="33">
        <v>905.05</v>
      </c>
      <c r="D135" s="11">
        <v>45059</v>
      </c>
      <c r="E135" s="21"/>
    </row>
    <row r="136" ht="15.75" spans="1:5">
      <c r="A136" s="32">
        <v>3044699.547</v>
      </c>
      <c r="B136" s="32">
        <v>401076.749</v>
      </c>
      <c r="C136" s="33">
        <v>905.05</v>
      </c>
      <c r="D136" s="11">
        <v>45060</v>
      </c>
      <c r="E136" s="21"/>
    </row>
    <row r="137" ht="15.75" spans="1:5">
      <c r="A137" s="32">
        <v>3044699.547</v>
      </c>
      <c r="B137" s="32">
        <v>401076.749</v>
      </c>
      <c r="C137" s="33">
        <v>905.05</v>
      </c>
      <c r="D137" s="11">
        <v>45061</v>
      </c>
      <c r="E137" s="21"/>
    </row>
    <row r="138" ht="15.75" spans="1:5">
      <c r="A138" s="32">
        <v>3044699.547</v>
      </c>
      <c r="B138" s="32">
        <v>401076.749</v>
      </c>
      <c r="C138" s="33">
        <v>905.05</v>
      </c>
      <c r="D138" s="11">
        <v>45062</v>
      </c>
      <c r="E138" s="21"/>
    </row>
    <row r="139" ht="15.75" spans="1:5">
      <c r="A139" s="32">
        <v>3044699.547</v>
      </c>
      <c r="B139" s="32">
        <v>401076.749</v>
      </c>
      <c r="C139" s="33">
        <v>905.05</v>
      </c>
      <c r="D139" s="11">
        <v>45063</v>
      </c>
      <c r="E139" s="21"/>
    </row>
    <row r="140" ht="15.75" spans="1:5">
      <c r="A140" s="32">
        <v>3044699.547</v>
      </c>
      <c r="B140" s="32">
        <v>401076.749</v>
      </c>
      <c r="C140" s="33">
        <v>905.05</v>
      </c>
      <c r="D140" s="11">
        <v>45064</v>
      </c>
      <c r="E140" s="21">
        <f>904.682-45.22</f>
        <v>859.462</v>
      </c>
    </row>
    <row r="141" ht="15.75" spans="1:5">
      <c r="A141" s="32">
        <v>3044699.547</v>
      </c>
      <c r="B141" s="32">
        <v>401076.749</v>
      </c>
      <c r="C141" s="33">
        <v>905.05</v>
      </c>
      <c r="D141" s="11">
        <v>45065</v>
      </c>
      <c r="E141" s="22"/>
    </row>
    <row r="142" ht="15.75" spans="1:5">
      <c r="A142" s="32">
        <v>3044699.547</v>
      </c>
      <c r="B142" s="32">
        <v>401076.749</v>
      </c>
      <c r="C142" s="33">
        <v>905.05</v>
      </c>
      <c r="D142" s="11">
        <v>45066</v>
      </c>
      <c r="E142" s="22"/>
    </row>
    <row r="143" ht="15.75" spans="1:5">
      <c r="A143" s="32">
        <v>3044699.547</v>
      </c>
      <c r="B143" s="32">
        <v>401076.749</v>
      </c>
      <c r="C143" s="33">
        <v>905.05</v>
      </c>
      <c r="D143" s="11">
        <v>45067</v>
      </c>
      <c r="E143" s="22"/>
    </row>
    <row r="144" ht="15.75" spans="1:5">
      <c r="A144" s="32">
        <v>3044699.547</v>
      </c>
      <c r="B144" s="32">
        <v>401076.749</v>
      </c>
      <c r="C144" s="33">
        <v>905.05</v>
      </c>
      <c r="D144" s="11">
        <v>45068</v>
      </c>
      <c r="E144" s="22"/>
    </row>
    <row r="145" ht="15.75" spans="1:5">
      <c r="A145" s="32">
        <v>3044699.547</v>
      </c>
      <c r="B145" s="32">
        <v>401076.749</v>
      </c>
      <c r="C145" s="33">
        <v>905.05</v>
      </c>
      <c r="D145" s="11">
        <v>45069</v>
      </c>
      <c r="E145" s="22"/>
    </row>
    <row r="146" ht="15.75" spans="1:5">
      <c r="A146" s="32">
        <v>3044699.547</v>
      </c>
      <c r="B146" s="32">
        <v>401076.749</v>
      </c>
      <c r="C146" s="33">
        <v>905.05</v>
      </c>
      <c r="D146" s="11">
        <v>45070</v>
      </c>
      <c r="E146" s="22"/>
    </row>
    <row r="147" ht="15.75" spans="1:5">
      <c r="A147" s="32">
        <v>3044699.547</v>
      </c>
      <c r="B147" s="32">
        <v>401076.749</v>
      </c>
      <c r="C147" s="33">
        <v>905.05</v>
      </c>
      <c r="D147" s="11">
        <v>45071</v>
      </c>
      <c r="E147" s="21">
        <f>904.682-45.41</f>
        <v>859.272</v>
      </c>
    </row>
    <row r="148" ht="15.75" spans="1:5">
      <c r="A148" s="32">
        <v>3044699.547</v>
      </c>
      <c r="B148" s="32">
        <v>401076.749</v>
      </c>
      <c r="C148" s="33">
        <v>905.05</v>
      </c>
      <c r="D148" s="11">
        <v>45072</v>
      </c>
      <c r="E148" s="21"/>
    </row>
    <row r="149" ht="15.75" spans="1:5">
      <c r="A149" s="32">
        <v>3044699.547</v>
      </c>
      <c r="B149" s="32">
        <v>401076.749</v>
      </c>
      <c r="C149" s="33">
        <v>905.05</v>
      </c>
      <c r="D149" s="11">
        <v>45073</v>
      </c>
      <c r="E149" s="21"/>
    </row>
    <row r="150" ht="15.75" spans="1:5">
      <c r="A150" s="32">
        <v>3044699.547</v>
      </c>
      <c r="B150" s="32">
        <v>401076.749</v>
      </c>
      <c r="C150" s="33">
        <v>905.05</v>
      </c>
      <c r="D150" s="11">
        <v>45074</v>
      </c>
      <c r="E150" s="21"/>
    </row>
    <row r="151" ht="15.75" spans="1:5">
      <c r="A151" s="32">
        <v>3044699.547</v>
      </c>
      <c r="B151" s="32">
        <v>401076.749</v>
      </c>
      <c r="C151" s="33">
        <v>905.05</v>
      </c>
      <c r="D151" s="11">
        <v>45075</v>
      </c>
      <c r="E151" s="21"/>
    </row>
    <row r="152" ht="15.75" spans="1:5">
      <c r="A152" s="32">
        <v>3044699.547</v>
      </c>
      <c r="B152" s="32">
        <v>401076.749</v>
      </c>
      <c r="C152" s="33">
        <v>905.05</v>
      </c>
      <c r="D152" s="11">
        <v>45076</v>
      </c>
      <c r="E152" s="21"/>
    </row>
    <row r="153" ht="15.75" spans="1:5">
      <c r="A153" s="32">
        <v>3044699.547</v>
      </c>
      <c r="B153" s="32">
        <v>401076.749</v>
      </c>
      <c r="C153" s="33">
        <v>905.05</v>
      </c>
      <c r="D153" s="11">
        <v>45077</v>
      </c>
      <c r="E153" s="21"/>
    </row>
    <row r="154" ht="15.75" spans="1:5">
      <c r="A154" s="32">
        <v>3044699.547</v>
      </c>
      <c r="B154" s="32">
        <v>401076.749</v>
      </c>
      <c r="C154" s="33">
        <v>905.05</v>
      </c>
      <c r="D154" s="11">
        <v>45078</v>
      </c>
      <c r="E154" s="21">
        <f>904.682-46.07</f>
        <v>858.612</v>
      </c>
    </row>
    <row r="155" ht="15.75" spans="1:5">
      <c r="A155" s="32">
        <v>3044699.547</v>
      </c>
      <c r="B155" s="32">
        <v>401076.749</v>
      </c>
      <c r="C155" s="33">
        <v>905.05</v>
      </c>
      <c r="D155" s="11">
        <v>45079</v>
      </c>
      <c r="E155" s="22"/>
    </row>
    <row r="156" ht="15.75" spans="1:5">
      <c r="A156" s="32">
        <v>3044699.547</v>
      </c>
      <c r="B156" s="32">
        <v>401076.749</v>
      </c>
      <c r="C156" s="33">
        <v>905.05</v>
      </c>
      <c r="D156" s="11">
        <v>45080</v>
      </c>
      <c r="E156" s="22"/>
    </row>
    <row r="157" ht="15.75" spans="1:5">
      <c r="A157" s="32">
        <v>3044699.547</v>
      </c>
      <c r="B157" s="32">
        <v>401076.749</v>
      </c>
      <c r="C157" s="33">
        <v>905.05</v>
      </c>
      <c r="D157" s="11">
        <v>45081</v>
      </c>
      <c r="E157" s="22"/>
    </row>
    <row r="158" ht="15.75" spans="1:5">
      <c r="A158" s="32">
        <v>3044699.547</v>
      </c>
      <c r="B158" s="32">
        <v>401076.749</v>
      </c>
      <c r="C158" s="33">
        <v>905.05</v>
      </c>
      <c r="D158" s="11">
        <v>45082</v>
      </c>
      <c r="E158" s="22"/>
    </row>
    <row r="159" ht="15.75" spans="1:5">
      <c r="A159" s="32">
        <v>3044699.547</v>
      </c>
      <c r="B159" s="32">
        <v>401076.749</v>
      </c>
      <c r="C159" s="33">
        <v>905.05</v>
      </c>
      <c r="D159" s="11">
        <v>45083</v>
      </c>
      <c r="E159" s="22"/>
    </row>
    <row r="160" ht="15.75" spans="1:5">
      <c r="A160" s="32">
        <v>3044699.547</v>
      </c>
      <c r="B160" s="32">
        <v>401076.749</v>
      </c>
      <c r="C160" s="33">
        <v>905.05</v>
      </c>
      <c r="D160" s="11">
        <v>45084</v>
      </c>
      <c r="E160" s="22"/>
    </row>
    <row r="161" ht="15.75" spans="1:5">
      <c r="A161" s="32">
        <v>3044699.547</v>
      </c>
      <c r="B161" s="32">
        <v>401076.749</v>
      </c>
      <c r="C161" s="33">
        <v>905.05</v>
      </c>
      <c r="D161" s="11">
        <v>45085</v>
      </c>
      <c r="E161" s="21">
        <f>904.682-46.54</f>
        <v>858.142</v>
      </c>
    </row>
    <row r="162" ht="15.75" spans="1:5">
      <c r="A162" s="32">
        <v>3044699.547</v>
      </c>
      <c r="B162" s="32">
        <v>401076.749</v>
      </c>
      <c r="C162" s="33">
        <v>905.05</v>
      </c>
      <c r="D162" s="11">
        <v>45086</v>
      </c>
      <c r="E162" s="22"/>
    </row>
    <row r="163" ht="15.75" spans="1:5">
      <c r="A163" s="32">
        <v>3044699.547</v>
      </c>
      <c r="B163" s="32">
        <v>401076.749</v>
      </c>
      <c r="C163" s="33">
        <v>905.05</v>
      </c>
      <c r="D163" s="11">
        <v>45087</v>
      </c>
      <c r="E163" s="22"/>
    </row>
    <row r="164" ht="15.75" spans="1:5">
      <c r="A164" s="32">
        <v>3044699.547</v>
      </c>
      <c r="B164" s="32">
        <v>401076.749</v>
      </c>
      <c r="C164" s="33">
        <v>905.05</v>
      </c>
      <c r="D164" s="11">
        <v>45088</v>
      </c>
      <c r="E164" s="22"/>
    </row>
    <row r="165" ht="15.75" spans="1:5">
      <c r="A165" s="32">
        <v>3044699.547</v>
      </c>
      <c r="B165" s="32">
        <v>401076.749</v>
      </c>
      <c r="C165" s="33">
        <v>905.05</v>
      </c>
      <c r="D165" s="11">
        <v>45089</v>
      </c>
      <c r="E165" s="22"/>
    </row>
    <row r="166" ht="15.75" spans="1:5">
      <c r="A166" s="32">
        <v>3044699.547</v>
      </c>
      <c r="B166" s="32">
        <v>401076.749</v>
      </c>
      <c r="C166" s="33">
        <v>905.05</v>
      </c>
      <c r="D166" s="11">
        <v>45090</v>
      </c>
      <c r="E166" s="22"/>
    </row>
    <row r="167" ht="15.75" spans="1:5">
      <c r="A167" s="32">
        <v>3044699.547</v>
      </c>
      <c r="B167" s="32">
        <v>401076.749</v>
      </c>
      <c r="C167" s="33">
        <v>905.05</v>
      </c>
      <c r="D167" s="11">
        <v>45091</v>
      </c>
      <c r="E167" s="22"/>
    </row>
    <row r="168" ht="15.75" spans="1:5">
      <c r="A168" s="32">
        <v>3044699.547</v>
      </c>
      <c r="B168" s="32">
        <v>401076.749</v>
      </c>
      <c r="C168" s="33">
        <v>905.05</v>
      </c>
      <c r="D168" s="11">
        <v>45092</v>
      </c>
      <c r="E168" s="21">
        <f>904.682-46.55</f>
        <v>858.132</v>
      </c>
    </row>
    <row r="169" ht="15.75" spans="1:5">
      <c r="A169" s="32">
        <v>3044699.547</v>
      </c>
      <c r="B169" s="32">
        <v>401076.749</v>
      </c>
      <c r="C169" s="33">
        <v>905.05</v>
      </c>
      <c r="D169" s="11">
        <v>45093</v>
      </c>
      <c r="E169" s="22"/>
    </row>
    <row r="170" ht="15.75" spans="1:5">
      <c r="A170" s="32">
        <v>3044699.547</v>
      </c>
      <c r="B170" s="32">
        <v>401076.749</v>
      </c>
      <c r="C170" s="33">
        <v>905.05</v>
      </c>
      <c r="D170" s="11">
        <v>45094</v>
      </c>
      <c r="E170" s="22"/>
    </row>
    <row r="171" ht="15.75" spans="1:5">
      <c r="A171" s="32">
        <v>3044699.547</v>
      </c>
      <c r="B171" s="32">
        <v>401076.749</v>
      </c>
      <c r="C171" s="33">
        <v>905.05</v>
      </c>
      <c r="D171" s="11">
        <v>45095</v>
      </c>
      <c r="E171" s="22"/>
    </row>
    <row r="172" ht="15.75" spans="1:5">
      <c r="A172" s="32">
        <v>3044699.547</v>
      </c>
      <c r="B172" s="32">
        <v>401076.749</v>
      </c>
      <c r="C172" s="33">
        <v>905.05</v>
      </c>
      <c r="D172" s="11">
        <v>45096</v>
      </c>
      <c r="E172" s="22"/>
    </row>
    <row r="173" ht="15.75" spans="1:5">
      <c r="A173" s="32">
        <v>3044699.547</v>
      </c>
      <c r="B173" s="32">
        <v>401076.749</v>
      </c>
      <c r="C173" s="33">
        <v>905.05</v>
      </c>
      <c r="D173" s="11">
        <v>45097</v>
      </c>
      <c r="E173" s="21">
        <v>854.5</v>
      </c>
    </row>
    <row r="174" ht="15.75" spans="1:5">
      <c r="A174" s="32">
        <v>3044699.547</v>
      </c>
      <c r="B174" s="32">
        <v>401076.749</v>
      </c>
      <c r="C174" s="33">
        <v>905.05</v>
      </c>
      <c r="D174" s="11">
        <v>45098</v>
      </c>
      <c r="E174" s="21">
        <v>854.42</v>
      </c>
    </row>
    <row r="175" ht="15.75" spans="1:5">
      <c r="A175" s="32">
        <v>3044699.547</v>
      </c>
      <c r="B175" s="32">
        <v>401076.749</v>
      </c>
      <c r="C175" s="33">
        <v>905.05</v>
      </c>
      <c r="D175" s="11">
        <v>45099</v>
      </c>
      <c r="E175" s="21">
        <v>854.34</v>
      </c>
    </row>
    <row r="176" ht="15.75" spans="1:5">
      <c r="A176" s="32">
        <v>3044699.547</v>
      </c>
      <c r="B176" s="32">
        <v>401076.749</v>
      </c>
      <c r="C176" s="33">
        <v>905.05</v>
      </c>
      <c r="D176" s="11">
        <v>45100</v>
      </c>
      <c r="E176" s="21">
        <v>854.32</v>
      </c>
    </row>
    <row r="177" ht="15.75" spans="1:5">
      <c r="A177" s="32">
        <v>3044699.547</v>
      </c>
      <c r="B177" s="32">
        <v>401076.749</v>
      </c>
      <c r="C177" s="33">
        <v>905.05</v>
      </c>
      <c r="D177" s="11">
        <v>45101</v>
      </c>
      <c r="E177" s="21">
        <v>854.27</v>
      </c>
    </row>
    <row r="178" ht="15.75" spans="1:5">
      <c r="A178" s="32">
        <v>3044699.547</v>
      </c>
      <c r="B178" s="32">
        <v>401076.749</v>
      </c>
      <c r="C178" s="33">
        <v>905.05</v>
      </c>
      <c r="D178" s="11">
        <v>45102</v>
      </c>
      <c r="E178" s="21">
        <v>854.23</v>
      </c>
    </row>
    <row r="179" ht="15.75" spans="1:5">
      <c r="A179" s="32">
        <v>3044699.547</v>
      </c>
      <c r="B179" s="32">
        <v>401076.749</v>
      </c>
      <c r="C179" s="33">
        <v>905.05</v>
      </c>
      <c r="D179" s="11">
        <v>45103</v>
      </c>
      <c r="E179" s="21">
        <v>854.22</v>
      </c>
    </row>
    <row r="180" ht="15.75" spans="1:5">
      <c r="A180" s="32">
        <v>3044699.547</v>
      </c>
      <c r="B180" s="32">
        <v>401076.749</v>
      </c>
      <c r="C180" s="33">
        <v>905.05</v>
      </c>
      <c r="D180" s="11">
        <v>45104</v>
      </c>
      <c r="E180" s="21">
        <v>854.2</v>
      </c>
    </row>
    <row r="181" ht="15.75" spans="1:5">
      <c r="A181" s="32">
        <v>3044699.547</v>
      </c>
      <c r="B181" s="32">
        <v>401076.749</v>
      </c>
      <c r="C181" s="33">
        <v>905.05</v>
      </c>
      <c r="D181" s="11">
        <v>45105</v>
      </c>
      <c r="E181" s="21">
        <v>854.17</v>
      </c>
    </row>
    <row r="182" ht="15.75" spans="1:5">
      <c r="A182" s="32">
        <v>3044699.547</v>
      </c>
      <c r="B182" s="32">
        <v>401076.749</v>
      </c>
      <c r="C182" s="33">
        <v>905.05</v>
      </c>
      <c r="D182" s="11">
        <v>45106</v>
      </c>
      <c r="E182" s="21">
        <v>854.3</v>
      </c>
    </row>
    <row r="183" ht="15.75" spans="1:5">
      <c r="A183" s="32">
        <v>3044699.547</v>
      </c>
      <c r="B183" s="32">
        <v>401076.749</v>
      </c>
      <c r="C183" s="33">
        <v>905.05</v>
      </c>
      <c r="D183" s="11">
        <v>45107</v>
      </c>
      <c r="E183" s="21">
        <v>854.137</v>
      </c>
    </row>
    <row r="184" ht="15.75" spans="1:5">
      <c r="A184" s="32">
        <v>3044699.547</v>
      </c>
      <c r="B184" s="32">
        <v>401076.749</v>
      </c>
      <c r="C184" s="33">
        <v>905.05</v>
      </c>
      <c r="D184" s="11">
        <v>45108</v>
      </c>
      <c r="E184" s="21">
        <v>854.149</v>
      </c>
    </row>
    <row r="185" ht="15.75" spans="1:5">
      <c r="A185" s="32">
        <v>3044699.547</v>
      </c>
      <c r="B185" s="32">
        <v>401076.749</v>
      </c>
      <c r="C185" s="33">
        <v>905.05</v>
      </c>
      <c r="D185" s="11">
        <v>45109</v>
      </c>
      <c r="E185" s="21">
        <v>854.259</v>
      </c>
    </row>
    <row r="186" ht="15.75" spans="1:5">
      <c r="A186" s="32">
        <v>3044699.547</v>
      </c>
      <c r="B186" s="32">
        <v>401076.749</v>
      </c>
      <c r="C186" s="33">
        <v>905.05</v>
      </c>
      <c r="D186" s="11">
        <v>45110</v>
      </c>
      <c r="E186" s="21">
        <v>854.202</v>
      </c>
    </row>
    <row r="187" ht="15.75" spans="1:5">
      <c r="A187" s="32">
        <v>3044699.547</v>
      </c>
      <c r="B187" s="32">
        <v>401076.749</v>
      </c>
      <c r="C187" s="33">
        <v>905.05</v>
      </c>
      <c r="D187" s="11">
        <v>45111</v>
      </c>
      <c r="E187" s="21">
        <v>854.135</v>
      </c>
    </row>
    <row r="188" ht="15.75" spans="1:5">
      <c r="A188" s="32">
        <v>3044699.547</v>
      </c>
      <c r="B188" s="32">
        <v>401076.749</v>
      </c>
      <c r="C188" s="33">
        <v>905.05</v>
      </c>
      <c r="D188" s="11">
        <v>45112</v>
      </c>
      <c r="E188" s="21">
        <v>854.424</v>
      </c>
    </row>
    <row r="189" ht="15.75" spans="1:5">
      <c r="A189" s="32">
        <v>3044699.547</v>
      </c>
      <c r="B189" s="32">
        <v>401076.749</v>
      </c>
      <c r="C189" s="33">
        <v>905.05</v>
      </c>
      <c r="D189" s="11">
        <v>45113</v>
      </c>
      <c r="E189" s="21">
        <v>854.335</v>
      </c>
    </row>
    <row r="190" ht="15.75" spans="1:5">
      <c r="A190" s="32">
        <v>3044699.547</v>
      </c>
      <c r="B190" s="32">
        <v>401076.749</v>
      </c>
      <c r="C190" s="33">
        <v>905.05</v>
      </c>
      <c r="D190" s="11">
        <v>45114</v>
      </c>
      <c r="E190" s="21">
        <v>854.25</v>
      </c>
    </row>
    <row r="191" ht="15.75" spans="1:5">
      <c r="A191" s="32">
        <v>3044699.547</v>
      </c>
      <c r="B191" s="32">
        <v>401076.749</v>
      </c>
      <c r="C191" s="33">
        <v>905.05</v>
      </c>
      <c r="D191" s="11">
        <v>45115</v>
      </c>
      <c r="E191" s="21">
        <v>854.25</v>
      </c>
    </row>
    <row r="192" ht="15.75" spans="1:5">
      <c r="A192" s="32">
        <v>3044699.547</v>
      </c>
      <c r="B192" s="32">
        <v>401076.749</v>
      </c>
      <c r="C192" s="33">
        <v>905.05</v>
      </c>
      <c r="D192" s="11">
        <v>45116</v>
      </c>
      <c r="E192" s="21">
        <v>854.25</v>
      </c>
    </row>
    <row r="193" ht="15.75" spans="1:5">
      <c r="A193" s="32">
        <v>3044699.547</v>
      </c>
      <c r="B193" s="32">
        <v>401076.749</v>
      </c>
      <c r="C193" s="33">
        <v>905.05</v>
      </c>
      <c r="D193" s="11">
        <v>45117</v>
      </c>
      <c r="E193" s="21">
        <v>854.34</v>
      </c>
    </row>
    <row r="194" ht="15.75" spans="1:5">
      <c r="A194" s="32">
        <v>3044699.547</v>
      </c>
      <c r="B194" s="32">
        <v>401076.749</v>
      </c>
      <c r="C194" s="33">
        <v>905.05</v>
      </c>
      <c r="D194" s="11">
        <v>45118</v>
      </c>
      <c r="E194" s="21">
        <v>854.3</v>
      </c>
    </row>
    <row r="195" ht="15.75" spans="1:5">
      <c r="A195" s="32">
        <v>3044699.547</v>
      </c>
      <c r="B195" s="32">
        <v>401076.749</v>
      </c>
      <c r="C195" s="33">
        <v>905.05</v>
      </c>
      <c r="D195" s="11">
        <v>45119</v>
      </c>
      <c r="E195" s="21">
        <v>854.22</v>
      </c>
    </row>
    <row r="196" ht="15.75" spans="1:5">
      <c r="A196" s="32">
        <v>3044699.547</v>
      </c>
      <c r="B196" s="32">
        <v>401076.749</v>
      </c>
      <c r="C196" s="33">
        <v>905.05</v>
      </c>
      <c r="D196" s="11">
        <v>45120</v>
      </c>
      <c r="E196" s="21">
        <v>854.258</v>
      </c>
    </row>
    <row r="197" ht="15.75" spans="1:5">
      <c r="A197" s="32">
        <v>3044699.547</v>
      </c>
      <c r="B197" s="32">
        <v>401076.749</v>
      </c>
      <c r="C197" s="33">
        <v>905.05</v>
      </c>
      <c r="D197" s="11">
        <v>45121</v>
      </c>
      <c r="E197" s="21">
        <v>854.298</v>
      </c>
    </row>
    <row r="198" ht="15.75" spans="1:5">
      <c r="A198" s="32">
        <v>3044699.547</v>
      </c>
      <c r="B198" s="32">
        <v>401076.749</v>
      </c>
      <c r="C198" s="33">
        <v>905.05</v>
      </c>
      <c r="D198" s="11">
        <v>45122</v>
      </c>
      <c r="E198" s="21">
        <v>854.318</v>
      </c>
    </row>
    <row r="199" ht="15.75" spans="1:5">
      <c r="A199" s="32">
        <v>3044699.547</v>
      </c>
      <c r="B199" s="32">
        <v>401076.749</v>
      </c>
      <c r="C199" s="33">
        <v>905.05</v>
      </c>
      <c r="D199" s="11">
        <v>45123</v>
      </c>
      <c r="E199" s="21">
        <v>854.293</v>
      </c>
    </row>
    <row r="200" ht="15.75" spans="1:5">
      <c r="A200" s="32">
        <v>3044699.547</v>
      </c>
      <c r="B200" s="32">
        <v>401076.749</v>
      </c>
      <c r="C200" s="33">
        <v>905.05</v>
      </c>
      <c r="D200" s="11">
        <v>45124</v>
      </c>
      <c r="E200" s="21">
        <v>854.281</v>
      </c>
    </row>
    <row r="201" ht="15.75" spans="1:5">
      <c r="A201" s="32">
        <v>3044699.547</v>
      </c>
      <c r="B201" s="32">
        <v>401076.749</v>
      </c>
      <c r="C201" s="33">
        <v>905.05</v>
      </c>
      <c r="D201" s="11">
        <v>45125</v>
      </c>
      <c r="E201" s="21">
        <v>854.303</v>
      </c>
    </row>
    <row r="202" ht="15.75" spans="1:5">
      <c r="A202" s="32">
        <v>3044699.547</v>
      </c>
      <c r="B202" s="32">
        <v>401076.749</v>
      </c>
      <c r="C202" s="33">
        <v>905.05</v>
      </c>
      <c r="D202" s="11">
        <v>45126</v>
      </c>
      <c r="E202" s="21">
        <v>854.367</v>
      </c>
    </row>
    <row r="203" ht="15.75" spans="1:5">
      <c r="A203" s="32">
        <v>3044699.547</v>
      </c>
      <c r="B203" s="32">
        <v>401076.749</v>
      </c>
      <c r="C203" s="33">
        <v>905.05</v>
      </c>
      <c r="D203" s="11">
        <v>45127</v>
      </c>
      <c r="E203" s="21">
        <v>854.37</v>
      </c>
    </row>
    <row r="204" ht="15.75" spans="1:5">
      <c r="A204" s="32">
        <v>3044699.547</v>
      </c>
      <c r="B204" s="32">
        <v>401076.749</v>
      </c>
      <c r="C204" s="33">
        <v>905.05</v>
      </c>
      <c r="D204" s="11">
        <v>45128</v>
      </c>
      <c r="E204" s="21">
        <v>854.38</v>
      </c>
    </row>
    <row r="205" ht="15.75" spans="1:5">
      <c r="A205" s="32">
        <v>3044699.547</v>
      </c>
      <c r="B205" s="32">
        <v>401076.749</v>
      </c>
      <c r="C205" s="33">
        <v>905.05</v>
      </c>
      <c r="D205" s="11">
        <v>45129</v>
      </c>
      <c r="E205" s="21">
        <v>854.4</v>
      </c>
    </row>
    <row r="206" ht="15.75" spans="1:5">
      <c r="A206" s="32">
        <v>3044699.547</v>
      </c>
      <c r="B206" s="32">
        <v>401076.749</v>
      </c>
      <c r="C206" s="33">
        <v>905.05</v>
      </c>
      <c r="D206" s="11">
        <v>45130</v>
      </c>
      <c r="E206" s="21">
        <v>854.41</v>
      </c>
    </row>
    <row r="207" ht="15.75" spans="1:5">
      <c r="A207" s="32">
        <v>3044699.547</v>
      </c>
      <c r="B207" s="32">
        <v>401076.749</v>
      </c>
      <c r="C207" s="33">
        <v>905.05</v>
      </c>
      <c r="D207" s="11">
        <v>45131</v>
      </c>
      <c r="E207" s="21">
        <v>854.46</v>
      </c>
    </row>
    <row r="208" ht="15.75" spans="1:5">
      <c r="A208" s="32">
        <v>3044699.547</v>
      </c>
      <c r="B208" s="32">
        <v>401076.749</v>
      </c>
      <c r="C208" s="33">
        <v>905.05</v>
      </c>
      <c r="D208" s="11">
        <v>45132</v>
      </c>
      <c r="E208" s="21">
        <v>854.45</v>
      </c>
    </row>
    <row r="209" ht="15.75" spans="1:5">
      <c r="A209" s="32">
        <v>3044699.547</v>
      </c>
      <c r="B209" s="32">
        <v>401076.749</v>
      </c>
      <c r="C209" s="33">
        <v>905.05</v>
      </c>
      <c r="D209" s="11">
        <v>45133</v>
      </c>
      <c r="E209" s="21">
        <v>854.42</v>
      </c>
    </row>
    <row r="210" ht="15.75" spans="1:5">
      <c r="A210" s="32">
        <v>3044699.547</v>
      </c>
      <c r="B210" s="32">
        <v>401076.749</v>
      </c>
      <c r="C210" s="33">
        <v>905.05</v>
      </c>
      <c r="D210" s="11">
        <v>45134</v>
      </c>
      <c r="E210" s="21">
        <v>854.51</v>
      </c>
    </row>
    <row r="211" ht="15.75" spans="1:5">
      <c r="A211" s="32">
        <v>3044699.547</v>
      </c>
      <c r="B211" s="32">
        <v>401076.749</v>
      </c>
      <c r="C211" s="33">
        <v>905.05</v>
      </c>
      <c r="D211" s="11">
        <v>45135</v>
      </c>
      <c r="E211" s="21">
        <v>854.549</v>
      </c>
    </row>
    <row r="212" ht="15.75" spans="1:5">
      <c r="A212" s="32">
        <v>3044699.547</v>
      </c>
      <c r="B212" s="32">
        <v>401076.749</v>
      </c>
      <c r="C212" s="33">
        <v>905.05</v>
      </c>
      <c r="D212" s="11">
        <v>45136</v>
      </c>
      <c r="E212" s="21">
        <v>854.775</v>
      </c>
    </row>
    <row r="213" ht="15.75" spans="1:5">
      <c r="A213" s="32">
        <v>3044699.547</v>
      </c>
      <c r="B213" s="32">
        <v>401076.749</v>
      </c>
      <c r="C213" s="33">
        <v>905.05</v>
      </c>
      <c r="D213" s="11">
        <v>45137</v>
      </c>
      <c r="E213" s="21">
        <v>854.766</v>
      </c>
    </row>
    <row r="214" ht="15.75" spans="1:5">
      <c r="A214" s="32">
        <v>3044699.547</v>
      </c>
      <c r="B214" s="32">
        <v>401076.749</v>
      </c>
      <c r="C214" s="33">
        <v>905.05</v>
      </c>
      <c r="D214" s="11">
        <v>45138</v>
      </c>
      <c r="E214" s="21">
        <v>854.869</v>
      </c>
    </row>
    <row r="215" ht="15.75" spans="1:5">
      <c r="A215" s="32">
        <v>3044699.547</v>
      </c>
      <c r="B215" s="32">
        <v>401076.749</v>
      </c>
      <c r="C215" s="33">
        <v>905.05</v>
      </c>
      <c r="D215" s="11">
        <v>45139</v>
      </c>
      <c r="E215" s="21">
        <v>854.87</v>
      </c>
    </row>
    <row r="216" ht="15.75" spans="1:5">
      <c r="A216" s="32">
        <v>3044699.547</v>
      </c>
      <c r="B216" s="32">
        <v>401076.749</v>
      </c>
      <c r="C216" s="33">
        <v>905.05</v>
      </c>
      <c r="D216" s="11">
        <v>45140</v>
      </c>
      <c r="E216" s="21">
        <v>854.98</v>
      </c>
    </row>
    <row r="217" ht="15.75" spans="1:5">
      <c r="A217" s="32">
        <v>3044699.547</v>
      </c>
      <c r="B217" s="32">
        <v>401076.749</v>
      </c>
      <c r="C217" s="33">
        <v>905.05</v>
      </c>
      <c r="D217" s="11">
        <v>45141</v>
      </c>
      <c r="E217" s="21">
        <v>855.068</v>
      </c>
    </row>
    <row r="218" ht="15.75" spans="1:5">
      <c r="A218" s="32">
        <v>3044699.547</v>
      </c>
      <c r="B218" s="32">
        <v>401076.749</v>
      </c>
      <c r="C218" s="33">
        <v>905.05</v>
      </c>
      <c r="D218" s="11">
        <v>45142</v>
      </c>
      <c r="E218" s="21">
        <v>855.187</v>
      </c>
    </row>
    <row r="219" ht="15.75" spans="1:5">
      <c r="A219" s="32">
        <v>3044699.547</v>
      </c>
      <c r="B219" s="32">
        <v>401076.749</v>
      </c>
      <c r="C219" s="33">
        <v>905.05</v>
      </c>
      <c r="D219" s="11">
        <v>45143</v>
      </c>
      <c r="E219" s="21">
        <v>855.336</v>
      </c>
    </row>
    <row r="220" ht="15.75" spans="1:5">
      <c r="A220" s="32">
        <v>3044699.547</v>
      </c>
      <c r="B220" s="32">
        <v>401076.749</v>
      </c>
      <c r="C220" s="33">
        <v>905.05</v>
      </c>
      <c r="D220" s="11">
        <v>45144</v>
      </c>
      <c r="E220" s="21">
        <v>855.386</v>
      </c>
    </row>
    <row r="221" ht="15.75" spans="1:5">
      <c r="A221" s="32">
        <v>3044699.547</v>
      </c>
      <c r="B221" s="32">
        <v>401076.749</v>
      </c>
      <c r="C221" s="33">
        <v>905.05</v>
      </c>
      <c r="D221" s="11">
        <v>45145</v>
      </c>
      <c r="E221" s="21">
        <v>855.432</v>
      </c>
    </row>
    <row r="222" ht="15.75" spans="1:5">
      <c r="A222" s="32">
        <v>3044699.547</v>
      </c>
      <c r="B222" s="32">
        <v>401076.749</v>
      </c>
      <c r="C222" s="33">
        <v>905.05</v>
      </c>
      <c r="D222" s="11">
        <v>45146</v>
      </c>
      <c r="E222" s="21">
        <v>855.534</v>
      </c>
    </row>
    <row r="223" ht="15.75" spans="1:5">
      <c r="A223" s="32">
        <v>3044699.547</v>
      </c>
      <c r="B223" s="32">
        <v>401076.749</v>
      </c>
      <c r="C223" s="33">
        <v>905.05</v>
      </c>
      <c r="D223" s="11">
        <v>45147</v>
      </c>
      <c r="E223" s="21">
        <v>855.596</v>
      </c>
    </row>
    <row r="224" ht="15.75" spans="1:5">
      <c r="A224" s="32">
        <v>3044699.547</v>
      </c>
      <c r="B224" s="32">
        <v>401076.749</v>
      </c>
      <c r="C224" s="33">
        <v>905.05</v>
      </c>
      <c r="D224" s="11">
        <v>45148</v>
      </c>
      <c r="E224" s="22"/>
    </row>
    <row r="225" ht="15.75" spans="1:5">
      <c r="A225" s="32">
        <v>3044699.547</v>
      </c>
      <c r="B225" s="32">
        <v>401076.749</v>
      </c>
      <c r="C225" s="33">
        <v>905.05</v>
      </c>
      <c r="D225" s="11">
        <v>45149</v>
      </c>
      <c r="E225" s="21">
        <v>855.682</v>
      </c>
    </row>
    <row r="226" ht="15.75" spans="1:5">
      <c r="A226" s="32">
        <v>3044699.547</v>
      </c>
      <c r="B226" s="32">
        <v>401076.749</v>
      </c>
      <c r="C226" s="33">
        <v>905.05</v>
      </c>
      <c r="D226" s="11">
        <v>45150</v>
      </c>
      <c r="E226" s="21">
        <v>855.75</v>
      </c>
    </row>
    <row r="227" ht="15.75" spans="1:5">
      <c r="A227" s="32">
        <v>3044699.547</v>
      </c>
      <c r="B227" s="32">
        <v>401076.749</v>
      </c>
      <c r="C227" s="33">
        <v>905.05</v>
      </c>
      <c r="D227" s="11">
        <v>45151</v>
      </c>
      <c r="E227" s="21">
        <v>855.671</v>
      </c>
    </row>
    <row r="228" ht="15.75" spans="1:5">
      <c r="A228" s="32">
        <v>3044699.547</v>
      </c>
      <c r="B228" s="32">
        <v>401076.749</v>
      </c>
      <c r="C228" s="33">
        <v>905.05</v>
      </c>
      <c r="D228" s="11">
        <v>45152</v>
      </c>
      <c r="E228" s="21">
        <v>855.773</v>
      </c>
    </row>
    <row r="229" ht="15.75" spans="1:5">
      <c r="A229" s="32">
        <v>3044699.547</v>
      </c>
      <c r="B229" s="32">
        <v>401076.749</v>
      </c>
      <c r="C229" s="33">
        <v>905.05</v>
      </c>
      <c r="D229" s="11">
        <v>45153</v>
      </c>
      <c r="E229" s="25">
        <v>855.818</v>
      </c>
    </row>
    <row r="230" ht="15.75" spans="1:5">
      <c r="A230" s="32">
        <v>3044699.547</v>
      </c>
      <c r="B230" s="32">
        <v>401076.749</v>
      </c>
      <c r="C230" s="33">
        <v>905.05</v>
      </c>
      <c r="D230" s="11">
        <v>45154</v>
      </c>
      <c r="E230" s="21">
        <v>855.887</v>
      </c>
    </row>
    <row r="231" ht="15.75" spans="1:5">
      <c r="A231" s="32">
        <v>3044699.547</v>
      </c>
      <c r="B231" s="32">
        <v>401076.749</v>
      </c>
      <c r="C231" s="33">
        <v>905.05</v>
      </c>
      <c r="D231" s="11">
        <v>45155</v>
      </c>
      <c r="E231" s="21">
        <v>855.986</v>
      </c>
    </row>
    <row r="232" ht="15.75" spans="1:5">
      <c r="A232" s="32">
        <v>3044699.547</v>
      </c>
      <c r="B232" s="32">
        <v>401076.749</v>
      </c>
      <c r="C232" s="33">
        <v>905.05</v>
      </c>
      <c r="D232" s="11">
        <v>45156</v>
      </c>
      <c r="E232" s="21">
        <v>856.065</v>
      </c>
    </row>
    <row r="233" ht="15.75" spans="1:5">
      <c r="A233" s="32">
        <v>3044699.547</v>
      </c>
      <c r="B233" s="32">
        <v>401076.749</v>
      </c>
      <c r="C233" s="33">
        <v>905.05</v>
      </c>
      <c r="D233" s="11">
        <v>45157</v>
      </c>
      <c r="E233" s="21">
        <v>856.128</v>
      </c>
    </row>
    <row r="234" ht="15.75" spans="1:5">
      <c r="A234" s="32">
        <v>3044699.547</v>
      </c>
      <c r="B234" s="32">
        <v>401076.749</v>
      </c>
      <c r="C234" s="33">
        <v>905.05</v>
      </c>
      <c r="D234" s="11">
        <v>45158</v>
      </c>
      <c r="E234" s="21">
        <v>856.144</v>
      </c>
    </row>
    <row r="235" ht="15.75" spans="1:5">
      <c r="A235" s="32">
        <v>3044699.547</v>
      </c>
      <c r="B235" s="32">
        <v>401076.749</v>
      </c>
      <c r="C235" s="33">
        <v>905.05</v>
      </c>
      <c r="D235" s="11">
        <v>45159</v>
      </c>
      <c r="E235" s="21">
        <v>856.171</v>
      </c>
    </row>
    <row r="236" ht="15.75" spans="1:5">
      <c r="A236" s="32">
        <v>3044699.547</v>
      </c>
      <c r="B236" s="32">
        <v>401076.749</v>
      </c>
      <c r="C236" s="33">
        <v>905.05</v>
      </c>
      <c r="D236" s="11">
        <v>45160</v>
      </c>
      <c r="E236" s="21">
        <v>856.199</v>
      </c>
    </row>
    <row r="237" ht="15.75" spans="1:5">
      <c r="A237" s="32">
        <v>3044699.547</v>
      </c>
      <c r="B237" s="32">
        <v>401076.749</v>
      </c>
      <c r="C237" s="33">
        <v>905.05</v>
      </c>
      <c r="D237" s="11">
        <v>45161</v>
      </c>
      <c r="E237" s="21">
        <v>856.228</v>
      </c>
    </row>
    <row r="238" ht="15.75" spans="1:5">
      <c r="A238" s="32">
        <v>3044699.547</v>
      </c>
      <c r="B238" s="32">
        <v>401076.749</v>
      </c>
      <c r="C238" s="33">
        <v>905.05</v>
      </c>
      <c r="D238" s="11">
        <v>45162</v>
      </c>
      <c r="E238" s="21">
        <v>856.236</v>
      </c>
    </row>
    <row r="239" ht="15.75" spans="1:5">
      <c r="A239" s="32">
        <v>3044699.547</v>
      </c>
      <c r="B239" s="32">
        <v>401076.749</v>
      </c>
      <c r="C239" s="33">
        <v>905.05</v>
      </c>
      <c r="D239" s="11">
        <v>45163</v>
      </c>
      <c r="E239" s="21">
        <v>856.144</v>
      </c>
    </row>
    <row r="240" ht="15.75" spans="1:5">
      <c r="A240" s="32">
        <v>3044699.547</v>
      </c>
      <c r="B240" s="32">
        <v>401076.749</v>
      </c>
      <c r="C240" s="33">
        <v>905.05</v>
      </c>
      <c r="D240" s="11">
        <v>45164</v>
      </c>
      <c r="E240" s="21">
        <v>856.195</v>
      </c>
    </row>
    <row r="241" ht="15.75" spans="1:5">
      <c r="A241" s="32">
        <v>3044699.547</v>
      </c>
      <c r="B241" s="32">
        <v>401076.749</v>
      </c>
      <c r="C241" s="33">
        <v>905.05</v>
      </c>
      <c r="D241" s="11">
        <v>45165</v>
      </c>
      <c r="E241" s="21">
        <v>856.34</v>
      </c>
    </row>
    <row r="242" ht="15.75" spans="1:5">
      <c r="A242" s="32">
        <v>3044699.547</v>
      </c>
      <c r="B242" s="32">
        <v>401076.749</v>
      </c>
      <c r="C242" s="33">
        <v>905.05</v>
      </c>
      <c r="D242" s="11">
        <v>45166</v>
      </c>
      <c r="E242" s="21">
        <v>856.255</v>
      </c>
    </row>
    <row r="243" ht="15.75" spans="1:5">
      <c r="A243" s="32">
        <v>3044699.547</v>
      </c>
      <c r="B243" s="32">
        <v>401076.749</v>
      </c>
      <c r="C243" s="33">
        <v>905.05</v>
      </c>
      <c r="D243" s="11">
        <v>45167</v>
      </c>
      <c r="E243" s="21">
        <v>856.264</v>
      </c>
    </row>
    <row r="244" ht="15.75" spans="1:5">
      <c r="A244" s="32">
        <v>3044699.547</v>
      </c>
      <c r="B244" s="32">
        <v>401076.749</v>
      </c>
      <c r="C244" s="33">
        <v>905.05</v>
      </c>
      <c r="D244" s="11">
        <v>45168</v>
      </c>
      <c r="E244" s="21">
        <v>856.364</v>
      </c>
    </row>
    <row r="245" ht="15.75" spans="1:5">
      <c r="A245" s="32">
        <v>3044699.547</v>
      </c>
      <c r="B245" s="32">
        <v>401076.749</v>
      </c>
      <c r="C245" s="33">
        <v>905.05</v>
      </c>
      <c r="D245" s="11">
        <v>45169</v>
      </c>
      <c r="E245" s="22"/>
    </row>
    <row r="246" ht="15.75" spans="1:5">
      <c r="A246" s="32">
        <v>3044699.547</v>
      </c>
      <c r="B246" s="32">
        <v>401076.749</v>
      </c>
      <c r="C246" s="33">
        <v>905.05</v>
      </c>
      <c r="D246" s="11">
        <v>45170</v>
      </c>
      <c r="E246" s="21">
        <v>856.377</v>
      </c>
    </row>
    <row r="247" ht="15.75" spans="1:5">
      <c r="A247" s="32">
        <v>3044699.547</v>
      </c>
      <c r="B247" s="32">
        <v>401076.749</v>
      </c>
      <c r="C247" s="33">
        <v>905.05</v>
      </c>
      <c r="D247" s="11">
        <v>45171</v>
      </c>
      <c r="E247" s="21">
        <v>856.338</v>
      </c>
    </row>
    <row r="248" ht="15.75" spans="1:5">
      <c r="A248" s="32">
        <v>3044699.547</v>
      </c>
      <c r="B248" s="32">
        <v>401076.749</v>
      </c>
      <c r="C248" s="33">
        <v>905.05</v>
      </c>
      <c r="D248" s="11">
        <v>45172</v>
      </c>
      <c r="E248" s="21">
        <v>856.37</v>
      </c>
    </row>
    <row r="249" ht="15.75" spans="1:5">
      <c r="A249" s="32">
        <v>3044699.547</v>
      </c>
      <c r="B249" s="32">
        <v>401076.749</v>
      </c>
      <c r="C249" s="33">
        <v>905.05</v>
      </c>
      <c r="D249" s="11">
        <v>45173</v>
      </c>
      <c r="E249" s="21">
        <v>856.322</v>
      </c>
    </row>
    <row r="250" ht="15.75" spans="1:5">
      <c r="A250" s="32">
        <v>3044699.547</v>
      </c>
      <c r="B250" s="32">
        <v>401076.749</v>
      </c>
      <c r="C250" s="33">
        <v>905.05</v>
      </c>
      <c r="D250" s="11">
        <v>45174</v>
      </c>
      <c r="E250" s="21">
        <v>856.317</v>
      </c>
    </row>
    <row r="251" ht="15.75" spans="1:5">
      <c r="A251" s="32">
        <v>3044699.547</v>
      </c>
      <c r="B251" s="32">
        <v>401076.749</v>
      </c>
      <c r="C251" s="33">
        <v>905.05</v>
      </c>
      <c r="D251" s="11">
        <v>45175</v>
      </c>
      <c r="E251" s="21">
        <v>856.309</v>
      </c>
    </row>
    <row r="252" ht="15.75" spans="1:5">
      <c r="A252" s="32">
        <v>3044699.547</v>
      </c>
      <c r="B252" s="32">
        <v>401076.749</v>
      </c>
      <c r="C252" s="33">
        <v>905.05</v>
      </c>
      <c r="D252" s="11">
        <v>45176</v>
      </c>
      <c r="E252" s="21">
        <v>856.576</v>
      </c>
    </row>
    <row r="253" ht="15.75" spans="1:5">
      <c r="A253" s="32">
        <v>3044699.547</v>
      </c>
      <c r="B253" s="32">
        <v>401076.749</v>
      </c>
      <c r="C253" s="33">
        <v>905.05</v>
      </c>
      <c r="D253" s="11">
        <v>45177</v>
      </c>
      <c r="E253" s="21">
        <v>856.516</v>
      </c>
    </row>
    <row r="254" ht="15.75" spans="1:5">
      <c r="A254" s="32">
        <v>3044699.547</v>
      </c>
      <c r="B254" s="32">
        <v>401076.749</v>
      </c>
      <c r="C254" s="33">
        <v>905.05</v>
      </c>
      <c r="D254" s="11">
        <v>45178</v>
      </c>
      <c r="E254" s="21">
        <v>856.428</v>
      </c>
    </row>
    <row r="255" ht="15.75" spans="1:5">
      <c r="A255" s="32">
        <v>3044699.547</v>
      </c>
      <c r="B255" s="32">
        <v>401076.749</v>
      </c>
      <c r="C255" s="33">
        <v>905.05</v>
      </c>
      <c r="D255" s="11">
        <v>45179</v>
      </c>
      <c r="E255" s="21">
        <v>856.526</v>
      </c>
    </row>
    <row r="256" ht="15.75" spans="1:5">
      <c r="A256" s="32">
        <v>3044699.547</v>
      </c>
      <c r="B256" s="32">
        <v>401076.749</v>
      </c>
      <c r="C256" s="33">
        <v>905.05</v>
      </c>
      <c r="D256" s="11">
        <v>45180</v>
      </c>
      <c r="E256" s="21">
        <v>856.307</v>
      </c>
    </row>
    <row r="257" ht="15.75" spans="1:5">
      <c r="A257" s="32">
        <v>3044699.547</v>
      </c>
      <c r="B257" s="32">
        <v>401076.749</v>
      </c>
      <c r="C257" s="33">
        <v>905.05</v>
      </c>
      <c r="D257" s="11">
        <v>45181</v>
      </c>
      <c r="E257" s="21">
        <v>856.276</v>
      </c>
    </row>
    <row r="258" ht="15.75" spans="1:5">
      <c r="A258" s="32">
        <v>3044699.547</v>
      </c>
      <c r="B258" s="32">
        <v>401076.749</v>
      </c>
      <c r="C258" s="33">
        <v>905.05</v>
      </c>
      <c r="D258" s="11">
        <v>45182</v>
      </c>
      <c r="E258" s="21"/>
    </row>
    <row r="259" ht="15.75" spans="1:5">
      <c r="A259" s="32">
        <v>3044699.547</v>
      </c>
      <c r="B259" s="32">
        <v>401076.749</v>
      </c>
      <c r="C259" s="33">
        <v>905.05</v>
      </c>
      <c r="D259" s="11">
        <v>45183</v>
      </c>
      <c r="E259" s="21">
        <v>856.32</v>
      </c>
    </row>
    <row r="260" ht="15.75" spans="1:5">
      <c r="A260" s="32">
        <v>3044699.547</v>
      </c>
      <c r="B260" s="32">
        <v>401076.749</v>
      </c>
      <c r="C260" s="33">
        <v>905.05</v>
      </c>
      <c r="D260" s="11">
        <v>45184</v>
      </c>
      <c r="E260" s="22"/>
    </row>
    <row r="261" ht="15.75" spans="1:5">
      <c r="A261" s="32">
        <v>3044699.547</v>
      </c>
      <c r="B261" s="32">
        <v>401076.749</v>
      </c>
      <c r="C261" s="33">
        <v>905.05</v>
      </c>
      <c r="D261" s="11">
        <v>45185</v>
      </c>
      <c r="E261" s="22"/>
    </row>
    <row r="262" ht="15.75" spans="1:5">
      <c r="A262" s="32">
        <v>3044699.547</v>
      </c>
      <c r="B262" s="32">
        <v>401076.749</v>
      </c>
      <c r="C262" s="33">
        <v>905.05</v>
      </c>
      <c r="D262" s="11">
        <v>45186</v>
      </c>
      <c r="E262" s="22"/>
    </row>
    <row r="263" ht="15.75" spans="1:5">
      <c r="A263" s="32">
        <v>3044699.547</v>
      </c>
      <c r="B263" s="32">
        <v>401076.749</v>
      </c>
      <c r="C263" s="33">
        <v>905.05</v>
      </c>
      <c r="D263" s="11">
        <v>45187</v>
      </c>
      <c r="E263" s="22"/>
    </row>
    <row r="264" ht="15.75" spans="1:5">
      <c r="A264" s="32">
        <v>3044699.547</v>
      </c>
      <c r="B264" s="32">
        <v>401076.749</v>
      </c>
      <c r="C264" s="33">
        <v>905.05</v>
      </c>
      <c r="D264" s="11">
        <v>45188</v>
      </c>
      <c r="E264" s="22"/>
    </row>
    <row r="265" ht="15.75" spans="1:5">
      <c r="A265" s="32">
        <v>3044699.547</v>
      </c>
      <c r="B265" s="32">
        <v>401076.749</v>
      </c>
      <c r="C265" s="33">
        <v>905.05</v>
      </c>
      <c r="D265" s="11">
        <v>45189</v>
      </c>
      <c r="E265" s="21">
        <v>856.16</v>
      </c>
    </row>
    <row r="266" ht="15.75" spans="1:5">
      <c r="A266" s="32">
        <v>3044699.547</v>
      </c>
      <c r="B266" s="32">
        <v>401076.749</v>
      </c>
      <c r="C266" s="33">
        <v>905.05</v>
      </c>
      <c r="D266" s="11">
        <v>45190</v>
      </c>
      <c r="E266" s="21">
        <v>856.131</v>
      </c>
    </row>
    <row r="267" ht="15.75" spans="1:5">
      <c r="A267" s="32">
        <v>3044699.547</v>
      </c>
      <c r="B267" s="32">
        <v>401076.749</v>
      </c>
      <c r="C267" s="33">
        <v>905.05</v>
      </c>
      <c r="D267" s="11">
        <v>45191</v>
      </c>
      <c r="E267" s="21">
        <v>855.89</v>
      </c>
    </row>
    <row r="268" ht="15.75" spans="1:5">
      <c r="A268" s="32">
        <v>3044699.547</v>
      </c>
      <c r="B268" s="32">
        <v>401076.749</v>
      </c>
      <c r="C268" s="33">
        <v>905.05</v>
      </c>
      <c r="D268" s="11">
        <v>45192</v>
      </c>
      <c r="E268" s="21">
        <v>855.852</v>
      </c>
    </row>
    <row r="269" ht="15.75" spans="1:5">
      <c r="A269" s="32">
        <v>3044699.547</v>
      </c>
      <c r="B269" s="32">
        <v>401076.749</v>
      </c>
      <c r="C269" s="33">
        <v>905.05</v>
      </c>
      <c r="D269" s="11">
        <v>45193</v>
      </c>
      <c r="E269" s="21">
        <v>855.852</v>
      </c>
    </row>
    <row r="270" ht="15.75" spans="1:5">
      <c r="A270" s="32">
        <v>3044699.547</v>
      </c>
      <c r="B270" s="32">
        <v>401076.749</v>
      </c>
      <c r="C270" s="33">
        <v>905.05</v>
      </c>
      <c r="D270" s="11">
        <v>45194</v>
      </c>
      <c r="E270" s="21">
        <v>855.845</v>
      </c>
    </row>
    <row r="271" ht="15.75" spans="1:5">
      <c r="A271" s="32">
        <v>3044699.547</v>
      </c>
      <c r="B271" s="32">
        <v>401076.749</v>
      </c>
      <c r="C271" s="33">
        <v>905.05</v>
      </c>
      <c r="D271" s="11">
        <v>45195</v>
      </c>
      <c r="E271" s="21">
        <v>855.821</v>
      </c>
    </row>
    <row r="272" ht="15.75" spans="1:5">
      <c r="A272" s="32">
        <v>3044699.547</v>
      </c>
      <c r="B272" s="32">
        <v>401076.749</v>
      </c>
      <c r="C272" s="33">
        <v>905.05</v>
      </c>
      <c r="D272" s="11">
        <v>45196</v>
      </c>
      <c r="E272" s="21">
        <v>856.056</v>
      </c>
    </row>
    <row r="273" ht="15.75" spans="1:5">
      <c r="A273" s="32">
        <v>3044699.547</v>
      </c>
      <c r="B273" s="32">
        <v>401076.749</v>
      </c>
      <c r="C273" s="33">
        <v>905.05</v>
      </c>
      <c r="D273" s="11">
        <v>45197</v>
      </c>
      <c r="E273" s="21">
        <v>855.998</v>
      </c>
    </row>
    <row r="274" ht="15.75" spans="1:5">
      <c r="A274" s="32">
        <v>3044699.547</v>
      </c>
      <c r="B274" s="32">
        <v>401076.749</v>
      </c>
      <c r="C274" s="33">
        <v>905.05</v>
      </c>
      <c r="D274" s="11">
        <v>45198</v>
      </c>
      <c r="E274" s="21"/>
    </row>
    <row r="275" ht="15.75" spans="1:5">
      <c r="A275" s="32">
        <v>3044699.547</v>
      </c>
      <c r="B275" s="32">
        <v>401076.749</v>
      </c>
      <c r="C275" s="33">
        <v>905.05</v>
      </c>
      <c r="D275" s="11">
        <v>45199</v>
      </c>
      <c r="E275" s="21"/>
    </row>
    <row r="276" ht="15.75" spans="1:5">
      <c r="A276" s="32">
        <v>3044699.547</v>
      </c>
      <c r="B276" s="32">
        <v>401076.749</v>
      </c>
      <c r="C276" s="33">
        <v>905.05</v>
      </c>
      <c r="D276" s="11">
        <v>45200</v>
      </c>
      <c r="E276" s="21"/>
    </row>
    <row r="277" ht="15.75" spans="1:5">
      <c r="A277" s="32">
        <v>3044699.547</v>
      </c>
      <c r="B277" s="32">
        <v>401076.749</v>
      </c>
      <c r="C277" s="33">
        <v>905.05</v>
      </c>
      <c r="D277" s="11">
        <v>45201</v>
      </c>
      <c r="E277" s="21"/>
    </row>
    <row r="278" ht="15.75" spans="1:5">
      <c r="A278" s="32">
        <v>3044699.547</v>
      </c>
      <c r="B278" s="32">
        <v>401076.749</v>
      </c>
      <c r="C278" s="33">
        <v>905.05</v>
      </c>
      <c r="D278" s="11">
        <v>45202</v>
      </c>
      <c r="E278" s="21"/>
    </row>
    <row r="279" ht="15.75" spans="1:5">
      <c r="A279" s="32">
        <v>3044699.547</v>
      </c>
      <c r="B279" s="32">
        <v>401076.749</v>
      </c>
      <c r="C279" s="33">
        <v>905.05</v>
      </c>
      <c r="D279" s="11">
        <v>45203</v>
      </c>
      <c r="E279" s="21"/>
    </row>
    <row r="280" ht="15.75" spans="1:5">
      <c r="A280" s="32">
        <v>3044699.547</v>
      </c>
      <c r="B280" s="32">
        <v>401076.749</v>
      </c>
      <c r="C280" s="33">
        <v>905.05</v>
      </c>
      <c r="D280" s="11">
        <v>45204</v>
      </c>
      <c r="E280" s="21">
        <v>855.877</v>
      </c>
    </row>
    <row r="281" ht="15.75" spans="1:5">
      <c r="A281" s="32">
        <v>3044699.547</v>
      </c>
      <c r="B281" s="32">
        <v>401076.749</v>
      </c>
      <c r="C281" s="33">
        <v>905.05</v>
      </c>
      <c r="D281" s="11">
        <v>45205</v>
      </c>
      <c r="E281" s="21"/>
    </row>
    <row r="282" ht="15.75" spans="1:5">
      <c r="A282" s="32">
        <v>3044699.547</v>
      </c>
      <c r="B282" s="32">
        <v>401076.749</v>
      </c>
      <c r="C282" s="33">
        <v>905.05</v>
      </c>
      <c r="D282" s="11">
        <v>45206</v>
      </c>
      <c r="E282" s="21"/>
    </row>
    <row r="283" ht="15.75" spans="1:5">
      <c r="A283" s="32">
        <v>3044699.547</v>
      </c>
      <c r="B283" s="32">
        <v>401076.749</v>
      </c>
      <c r="C283" s="33">
        <v>905.05</v>
      </c>
      <c r="D283" s="11">
        <v>45207</v>
      </c>
      <c r="E283" s="21"/>
    </row>
    <row r="284" ht="15.75" spans="1:5">
      <c r="A284" s="32">
        <v>3044699.547</v>
      </c>
      <c r="B284" s="32">
        <v>401076.749</v>
      </c>
      <c r="C284" s="33">
        <v>905.05</v>
      </c>
      <c r="D284" s="11">
        <v>45208</v>
      </c>
      <c r="E284" s="21">
        <v>855.633</v>
      </c>
    </row>
    <row r="285" ht="15.75" spans="1:5">
      <c r="A285" s="32">
        <v>3044699.547</v>
      </c>
      <c r="B285" s="32">
        <v>401076.749</v>
      </c>
      <c r="C285" s="33">
        <v>905.05</v>
      </c>
      <c r="D285" s="11">
        <v>45209</v>
      </c>
      <c r="E285" s="21">
        <v>855.56</v>
      </c>
    </row>
    <row r="286" ht="15.75" spans="1:5">
      <c r="A286" s="32">
        <v>3044699.547</v>
      </c>
      <c r="B286" s="32">
        <v>401076.749</v>
      </c>
      <c r="C286" s="33">
        <v>905.05</v>
      </c>
      <c r="D286" s="11">
        <v>45210</v>
      </c>
      <c r="E286" s="21">
        <v>855.445</v>
      </c>
    </row>
    <row r="287" ht="15.75" spans="1:5">
      <c r="A287" s="32">
        <v>3044699.547</v>
      </c>
      <c r="B287" s="32">
        <v>401076.749</v>
      </c>
      <c r="C287" s="33">
        <v>905.05</v>
      </c>
      <c r="D287" s="11">
        <v>45211</v>
      </c>
      <c r="E287" s="21">
        <v>855.393</v>
      </c>
    </row>
    <row r="288" ht="15.75" spans="1:5">
      <c r="A288" s="32">
        <v>3044699.547</v>
      </c>
      <c r="B288" s="32">
        <v>401076.749</v>
      </c>
      <c r="C288" s="33">
        <v>905.05</v>
      </c>
      <c r="D288" s="11">
        <v>45212</v>
      </c>
      <c r="E288" s="21">
        <v>855.367</v>
      </c>
    </row>
    <row r="289" ht="15.75" spans="1:5">
      <c r="A289" s="32">
        <v>3044699.547</v>
      </c>
      <c r="B289" s="32">
        <v>401076.749</v>
      </c>
      <c r="C289" s="33">
        <v>905.05</v>
      </c>
      <c r="D289" s="11">
        <v>45213</v>
      </c>
      <c r="E289" s="21">
        <v>855.216</v>
      </c>
    </row>
    <row r="290" ht="15.75" spans="1:5">
      <c r="A290" s="32">
        <v>3044699.547</v>
      </c>
      <c r="B290" s="32">
        <v>401076.749</v>
      </c>
      <c r="C290" s="33">
        <v>905.05</v>
      </c>
      <c r="D290" s="11">
        <v>45214</v>
      </c>
      <c r="E290" s="21">
        <v>855.159</v>
      </c>
    </row>
    <row r="291" ht="15.75" spans="1:5">
      <c r="A291" s="32">
        <v>3044699.547</v>
      </c>
      <c r="B291" s="32">
        <v>401076.749</v>
      </c>
      <c r="C291" s="33">
        <v>905.05</v>
      </c>
      <c r="D291" s="11">
        <v>45215</v>
      </c>
      <c r="E291" s="21">
        <v>855.062</v>
      </c>
    </row>
    <row r="292" ht="15.75" spans="1:5">
      <c r="A292" s="32">
        <v>3044699.547</v>
      </c>
      <c r="B292" s="32">
        <v>401076.749</v>
      </c>
      <c r="C292" s="33">
        <v>905.05</v>
      </c>
      <c r="D292" s="11">
        <v>45216</v>
      </c>
      <c r="E292" s="21">
        <v>855.209</v>
      </c>
    </row>
    <row r="293" ht="15.75" spans="1:5">
      <c r="A293" s="32">
        <v>3044699.547</v>
      </c>
      <c r="B293" s="32">
        <v>401076.749</v>
      </c>
      <c r="C293" s="33">
        <v>905.05</v>
      </c>
      <c r="D293" s="11">
        <v>45217</v>
      </c>
      <c r="E293" s="21">
        <v>855.245</v>
      </c>
    </row>
    <row r="294" ht="15.75" spans="1:5">
      <c r="A294" s="32">
        <v>3044699.547</v>
      </c>
      <c r="B294" s="32">
        <v>401076.749</v>
      </c>
      <c r="C294" s="33">
        <v>905.05</v>
      </c>
      <c r="D294" s="11">
        <v>45218</v>
      </c>
      <c r="E294" s="21"/>
    </row>
    <row r="295" ht="15.75" spans="1:5">
      <c r="A295" s="32">
        <v>3044699.547</v>
      </c>
      <c r="B295" s="32">
        <v>401076.749</v>
      </c>
      <c r="C295" s="33">
        <v>905.05</v>
      </c>
      <c r="D295" s="11">
        <v>45219</v>
      </c>
      <c r="E295" s="21">
        <v>855.255</v>
      </c>
    </row>
    <row r="296" ht="15.75" spans="1:5">
      <c r="A296" s="32">
        <v>3044699.547</v>
      </c>
      <c r="B296" s="32">
        <v>401076.749</v>
      </c>
      <c r="C296" s="33">
        <v>905.05</v>
      </c>
      <c r="D296" s="11">
        <v>45220</v>
      </c>
      <c r="E296" s="21">
        <v>855.211</v>
      </c>
    </row>
    <row r="297" ht="15.75" spans="1:5">
      <c r="A297" s="32">
        <v>3044699.547</v>
      </c>
      <c r="B297" s="32">
        <v>401076.749</v>
      </c>
      <c r="C297" s="33">
        <v>905.05</v>
      </c>
      <c r="D297" s="11">
        <v>45221</v>
      </c>
      <c r="E297" s="21">
        <v>855.315</v>
      </c>
    </row>
    <row r="298" ht="15.75" spans="1:5">
      <c r="A298" s="32">
        <v>3044699.547</v>
      </c>
      <c r="B298" s="32">
        <v>401076.749</v>
      </c>
      <c r="C298" s="33">
        <v>905.05</v>
      </c>
      <c r="D298" s="11">
        <v>45222</v>
      </c>
      <c r="E298" s="21">
        <v>855.281</v>
      </c>
    </row>
    <row r="299" ht="15.75" spans="1:5">
      <c r="A299" s="32">
        <v>3044699.547</v>
      </c>
      <c r="B299" s="32">
        <v>401076.749</v>
      </c>
      <c r="C299" s="33">
        <v>905.05</v>
      </c>
      <c r="D299" s="11">
        <v>45223</v>
      </c>
      <c r="E299" s="21">
        <v>855.175</v>
      </c>
    </row>
    <row r="300" ht="15.75" spans="1:5">
      <c r="A300" s="32">
        <v>3044699.547</v>
      </c>
      <c r="B300" s="32">
        <v>401076.749</v>
      </c>
      <c r="C300" s="33">
        <v>905.05</v>
      </c>
      <c r="D300" s="11">
        <v>45224</v>
      </c>
      <c r="E300" s="21">
        <v>854.899</v>
      </c>
    </row>
    <row r="301" ht="15.75" spans="1:5">
      <c r="A301" s="32">
        <v>3044699.547</v>
      </c>
      <c r="B301" s="32">
        <v>401076.749</v>
      </c>
      <c r="C301" s="33">
        <v>905.05</v>
      </c>
      <c r="D301" s="11">
        <v>45225</v>
      </c>
      <c r="E301" s="21">
        <v>854.738</v>
      </c>
    </row>
    <row r="302" ht="15.75" spans="1:5">
      <c r="A302" s="32">
        <v>3044699.547</v>
      </c>
      <c r="B302" s="32">
        <v>401076.749</v>
      </c>
      <c r="C302" s="33">
        <v>905.05</v>
      </c>
      <c r="D302" s="11">
        <v>45226</v>
      </c>
      <c r="E302" s="22"/>
    </row>
    <row r="303" ht="15.75" spans="1:5">
      <c r="A303" s="32">
        <v>3044699.547</v>
      </c>
      <c r="B303" s="32">
        <v>401076.749</v>
      </c>
      <c r="C303" s="33">
        <v>905.05</v>
      </c>
      <c r="D303" s="11">
        <v>45227</v>
      </c>
      <c r="E303" s="22"/>
    </row>
    <row r="304" ht="15.75" spans="1:5">
      <c r="A304" s="32">
        <v>3044699.547</v>
      </c>
      <c r="B304" s="32">
        <v>401076.749</v>
      </c>
      <c r="C304" s="33">
        <v>905.05</v>
      </c>
      <c r="D304" s="11">
        <v>45228</v>
      </c>
      <c r="E304" s="22"/>
    </row>
    <row r="305" ht="15.75" spans="1:5">
      <c r="A305" s="32">
        <v>3044699.547</v>
      </c>
      <c r="B305" s="32">
        <v>401076.749</v>
      </c>
      <c r="C305" s="33">
        <v>905.05</v>
      </c>
      <c r="D305" s="11">
        <v>45229</v>
      </c>
      <c r="E305" s="22"/>
    </row>
    <row r="306" ht="15.75" spans="1:5">
      <c r="A306" s="32">
        <v>3044699.547</v>
      </c>
      <c r="B306" s="32">
        <v>401076.749</v>
      </c>
      <c r="C306" s="33">
        <v>905.05</v>
      </c>
      <c r="D306" s="11">
        <v>45230</v>
      </c>
      <c r="E306" s="22"/>
    </row>
    <row r="307" ht="15.75" spans="1:5">
      <c r="A307" s="32">
        <v>3044699.547</v>
      </c>
      <c r="B307" s="32">
        <v>401076.749</v>
      </c>
      <c r="C307" s="33">
        <v>905.05</v>
      </c>
      <c r="D307" s="11">
        <v>45231</v>
      </c>
      <c r="E307" s="22"/>
    </row>
    <row r="308" ht="15.75" spans="1:5">
      <c r="A308" s="32">
        <v>3044699.547</v>
      </c>
      <c r="B308" s="32">
        <v>401076.749</v>
      </c>
      <c r="C308" s="33">
        <v>905.05</v>
      </c>
      <c r="D308" s="11">
        <v>45232</v>
      </c>
      <c r="E308" s="21">
        <v>854.698</v>
      </c>
    </row>
    <row r="309" ht="15.75" spans="1:5">
      <c r="A309" s="32">
        <v>3044699.547</v>
      </c>
      <c r="B309" s="32">
        <v>401076.749</v>
      </c>
      <c r="C309" s="33">
        <v>905.05</v>
      </c>
      <c r="D309" s="11">
        <v>45233</v>
      </c>
      <c r="E309" s="22"/>
    </row>
    <row r="310" ht="15.75" spans="1:5">
      <c r="A310" s="32">
        <v>3044699.547</v>
      </c>
      <c r="B310" s="32">
        <v>401076.749</v>
      </c>
      <c r="C310" s="33">
        <v>905.05</v>
      </c>
      <c r="D310" s="11">
        <v>45234</v>
      </c>
      <c r="E310" s="22"/>
    </row>
    <row r="311" ht="15.75" spans="1:5">
      <c r="A311" s="32">
        <v>3044699.547</v>
      </c>
      <c r="B311" s="32">
        <v>401076.749</v>
      </c>
      <c r="C311" s="33">
        <v>905.05</v>
      </c>
      <c r="D311" s="11">
        <v>45235</v>
      </c>
      <c r="E311" s="22"/>
    </row>
    <row r="312" ht="15.75" spans="1:5">
      <c r="A312" s="32">
        <v>3044699.547</v>
      </c>
      <c r="B312" s="32">
        <v>401076.749</v>
      </c>
      <c r="C312" s="33">
        <v>905.05</v>
      </c>
      <c r="D312" s="11">
        <v>45236</v>
      </c>
      <c r="E312" s="22"/>
    </row>
    <row r="313" ht="15.75" spans="1:5">
      <c r="A313" s="32">
        <v>3044699.547</v>
      </c>
      <c r="B313" s="32">
        <v>401076.749</v>
      </c>
      <c r="C313" s="33">
        <v>905.05</v>
      </c>
      <c r="D313" s="11">
        <v>45237</v>
      </c>
      <c r="E313" s="22"/>
    </row>
    <row r="314" ht="15.75" spans="1:5">
      <c r="A314" s="32">
        <v>3044699.547</v>
      </c>
      <c r="B314" s="32">
        <v>401076.749</v>
      </c>
      <c r="C314" s="33">
        <v>905.05</v>
      </c>
      <c r="D314" s="11">
        <v>45238</v>
      </c>
      <c r="E314" s="22"/>
    </row>
    <row r="315" ht="15.75" spans="1:5">
      <c r="A315" s="32">
        <v>3044699.547</v>
      </c>
      <c r="B315" s="32">
        <v>401076.749</v>
      </c>
      <c r="C315" s="33">
        <v>905.05</v>
      </c>
      <c r="D315" s="11">
        <v>45239</v>
      </c>
      <c r="E315" s="22"/>
    </row>
    <row r="316" ht="15.75" spans="1:5">
      <c r="A316" s="32">
        <v>3044699.547</v>
      </c>
      <c r="B316" s="32">
        <v>401076.749</v>
      </c>
      <c r="C316" s="33">
        <v>905.05</v>
      </c>
      <c r="D316" s="11">
        <v>45240</v>
      </c>
      <c r="E316" s="21">
        <v>854.585</v>
      </c>
    </row>
    <row r="317" ht="15.75" spans="1:5">
      <c r="A317" s="32">
        <v>3044699.547</v>
      </c>
      <c r="B317" s="32">
        <v>401076.749</v>
      </c>
      <c r="C317" s="33">
        <v>905.05</v>
      </c>
      <c r="D317" s="11">
        <v>45241</v>
      </c>
      <c r="E317" s="21"/>
    </row>
    <row r="318" ht="15.75" spans="1:5">
      <c r="A318" s="32">
        <v>3044699.547</v>
      </c>
      <c r="B318" s="32">
        <v>401076.749</v>
      </c>
      <c r="C318" s="33">
        <v>905.05</v>
      </c>
      <c r="D318" s="11">
        <v>45242</v>
      </c>
      <c r="E318" s="21"/>
    </row>
    <row r="319" ht="15.75" spans="1:5">
      <c r="A319" s="32">
        <v>3044699.547</v>
      </c>
      <c r="B319" s="32">
        <v>401076.749</v>
      </c>
      <c r="C319" s="33">
        <v>905.05</v>
      </c>
      <c r="D319" s="11">
        <v>45243</v>
      </c>
      <c r="E319" s="21"/>
    </row>
    <row r="320" ht="15.75" spans="1:5">
      <c r="A320" s="32">
        <v>3044699.547</v>
      </c>
      <c r="B320" s="32">
        <v>401076.749</v>
      </c>
      <c r="C320" s="33">
        <v>905.05</v>
      </c>
      <c r="D320" s="11">
        <v>45244</v>
      </c>
      <c r="E320" s="21"/>
    </row>
    <row r="321" ht="15.75" spans="1:5">
      <c r="A321" s="32">
        <v>3044699.547</v>
      </c>
      <c r="B321" s="32">
        <v>401076.749</v>
      </c>
      <c r="C321" s="33">
        <v>905.05</v>
      </c>
      <c r="D321" s="11">
        <v>45245</v>
      </c>
      <c r="E321" s="21"/>
    </row>
    <row r="322" ht="15.75" spans="1:5">
      <c r="A322" s="32">
        <v>3044699.547</v>
      </c>
      <c r="B322" s="32">
        <v>401076.749</v>
      </c>
      <c r="C322" s="33">
        <v>905.05</v>
      </c>
      <c r="D322" s="11">
        <v>45246</v>
      </c>
      <c r="E322" s="21">
        <v>853.179</v>
      </c>
    </row>
    <row r="323" ht="15.75" spans="1:5">
      <c r="A323" s="32">
        <v>3044699.547</v>
      </c>
      <c r="B323" s="32">
        <v>401076.749</v>
      </c>
      <c r="C323" s="33">
        <v>905.05</v>
      </c>
      <c r="D323" s="11">
        <v>45247</v>
      </c>
      <c r="E323" s="21">
        <v>853.15</v>
      </c>
    </row>
    <row r="324" ht="15.75" spans="1:5">
      <c r="A324" s="32">
        <v>3044699.547</v>
      </c>
      <c r="B324" s="32">
        <v>401076.749</v>
      </c>
      <c r="C324" s="33">
        <v>905.05</v>
      </c>
      <c r="D324" s="11">
        <v>45248</v>
      </c>
      <c r="E324" s="21">
        <v>853.17</v>
      </c>
    </row>
    <row r="325" ht="15.75" spans="1:5">
      <c r="A325" s="32">
        <v>3044699.547</v>
      </c>
      <c r="B325" s="32">
        <v>401076.749</v>
      </c>
      <c r="C325" s="33">
        <v>905.05</v>
      </c>
      <c r="D325" s="11">
        <v>45249</v>
      </c>
      <c r="E325" s="21">
        <v>853.16</v>
      </c>
    </row>
    <row r="326" ht="15.75" spans="1:5">
      <c r="A326" s="32">
        <v>3044699.547</v>
      </c>
      <c r="B326" s="32">
        <v>401076.749</v>
      </c>
      <c r="C326" s="33">
        <v>905.05</v>
      </c>
      <c r="D326" s="11">
        <v>45250</v>
      </c>
      <c r="E326" s="21">
        <v>853.17</v>
      </c>
    </row>
    <row r="327" ht="15.75" spans="1:5">
      <c r="A327" s="32">
        <v>3044699.547</v>
      </c>
      <c r="B327" s="32">
        <v>401076.749</v>
      </c>
      <c r="C327" s="33">
        <v>905.05</v>
      </c>
      <c r="D327" s="11">
        <v>45251</v>
      </c>
      <c r="E327" s="21">
        <v>853.17</v>
      </c>
    </row>
    <row r="328" ht="15.75" spans="1:5">
      <c r="A328" s="32">
        <v>3044699.547</v>
      </c>
      <c r="B328" s="32">
        <v>401076.749</v>
      </c>
      <c r="C328" s="33">
        <v>905.05</v>
      </c>
      <c r="D328" s="11">
        <v>45252</v>
      </c>
      <c r="E328" s="21">
        <v>853.15</v>
      </c>
    </row>
    <row r="329" ht="15.75" spans="1:5">
      <c r="A329" s="32">
        <v>3044699.547</v>
      </c>
      <c r="B329" s="32">
        <v>401076.749</v>
      </c>
      <c r="C329" s="33">
        <v>905.05</v>
      </c>
      <c r="D329" s="11">
        <v>45253</v>
      </c>
      <c r="E329" s="21">
        <v>853.14</v>
      </c>
    </row>
    <row r="330" ht="15.75" spans="1:5">
      <c r="A330" s="32">
        <v>3044699.547</v>
      </c>
      <c r="B330" s="32">
        <v>401076.749</v>
      </c>
      <c r="C330" s="33">
        <v>905.05</v>
      </c>
      <c r="D330" s="11">
        <v>45254</v>
      </c>
      <c r="E330" s="21">
        <v>853.13</v>
      </c>
    </row>
    <row r="331" ht="15.75" spans="1:5">
      <c r="A331" s="32">
        <v>3044699.547</v>
      </c>
      <c r="B331" s="32">
        <v>401076.749</v>
      </c>
      <c r="C331" s="33">
        <v>905.05</v>
      </c>
      <c r="D331" s="11">
        <v>45255</v>
      </c>
      <c r="E331" s="21"/>
    </row>
    <row r="332" ht="15.75" spans="1:5">
      <c r="A332" s="32">
        <v>3044699.547</v>
      </c>
      <c r="B332" s="32">
        <v>401076.749</v>
      </c>
      <c r="C332" s="33">
        <v>905.05</v>
      </c>
      <c r="D332" s="11">
        <v>45256</v>
      </c>
      <c r="E332" s="21"/>
    </row>
    <row r="333" ht="15.75" spans="1:5">
      <c r="A333" s="32">
        <v>3044699.547</v>
      </c>
      <c r="B333" s="32">
        <v>401076.749</v>
      </c>
      <c r="C333" s="33">
        <v>905.05</v>
      </c>
      <c r="D333" s="11">
        <v>45257</v>
      </c>
      <c r="E333" s="21"/>
    </row>
    <row r="334" ht="15.75" spans="1:5">
      <c r="A334" s="32">
        <v>3044699.547</v>
      </c>
      <c r="B334" s="32">
        <v>401076.749</v>
      </c>
      <c r="C334" s="33">
        <v>905.05</v>
      </c>
      <c r="D334" s="11">
        <v>45258</v>
      </c>
      <c r="E334" s="21">
        <v>853.11</v>
      </c>
    </row>
    <row r="335" ht="15.75" spans="1:5">
      <c r="A335" s="32">
        <v>3044699.547</v>
      </c>
      <c r="B335" s="32">
        <v>401076.749</v>
      </c>
      <c r="C335" s="33">
        <v>905.05</v>
      </c>
      <c r="D335" s="11">
        <v>45259</v>
      </c>
      <c r="E335" s="21">
        <v>853.07</v>
      </c>
    </row>
    <row r="336" ht="15.75" spans="1:5">
      <c r="A336" s="32">
        <v>3044699.547</v>
      </c>
      <c r="B336" s="32">
        <v>401076.749</v>
      </c>
      <c r="C336" s="33">
        <v>905.05</v>
      </c>
      <c r="D336" s="11">
        <v>45260</v>
      </c>
      <c r="E336" s="21">
        <v>853.05</v>
      </c>
    </row>
    <row r="337" ht="15.75" spans="1:5">
      <c r="A337" s="32">
        <v>3044699.547</v>
      </c>
      <c r="B337" s="32">
        <v>401076.749</v>
      </c>
      <c r="C337" s="33">
        <v>905.05</v>
      </c>
      <c r="D337" s="11">
        <v>45261</v>
      </c>
      <c r="E337" s="21">
        <v>853</v>
      </c>
    </row>
    <row r="338" ht="15.75" spans="1:5">
      <c r="A338" s="32">
        <v>3044699.547</v>
      </c>
      <c r="B338" s="32">
        <v>401076.749</v>
      </c>
      <c r="C338" s="33">
        <v>905.05</v>
      </c>
      <c r="D338" s="11">
        <v>45262</v>
      </c>
      <c r="E338" s="21">
        <v>852.97</v>
      </c>
    </row>
    <row r="339" ht="15.75" spans="1:5">
      <c r="A339" s="32">
        <v>3044699.547</v>
      </c>
      <c r="B339" s="32">
        <v>401076.749</v>
      </c>
      <c r="C339" s="33">
        <v>905.05</v>
      </c>
      <c r="D339" s="11">
        <v>45263</v>
      </c>
      <c r="E339" s="21">
        <v>852.85</v>
      </c>
    </row>
    <row r="340" ht="15.75" spans="1:5">
      <c r="A340" s="32">
        <v>3044699.547</v>
      </c>
      <c r="B340" s="32">
        <v>401076.749</v>
      </c>
      <c r="C340" s="33">
        <v>905.05</v>
      </c>
      <c r="D340" s="11">
        <v>45264</v>
      </c>
      <c r="E340" s="21">
        <v>853.06</v>
      </c>
    </row>
    <row r="341" ht="15.75" spans="1:5">
      <c r="A341" s="32">
        <v>3044699.547</v>
      </c>
      <c r="B341" s="32">
        <v>401076.749</v>
      </c>
      <c r="C341" s="33">
        <v>905.05</v>
      </c>
      <c r="D341" s="11">
        <v>45265</v>
      </c>
      <c r="E341" s="21">
        <v>853.06</v>
      </c>
    </row>
    <row r="342" ht="15.75" spans="1:5">
      <c r="A342" s="32">
        <v>3044699.547</v>
      </c>
      <c r="B342" s="32">
        <v>401076.749</v>
      </c>
      <c r="C342" s="33">
        <v>905.05</v>
      </c>
      <c r="D342" s="11">
        <v>45266</v>
      </c>
      <c r="E342" s="21">
        <v>853</v>
      </c>
    </row>
    <row r="343" ht="15.75" spans="1:5">
      <c r="A343" s="32">
        <v>3044699.547</v>
      </c>
      <c r="B343" s="32">
        <v>401076.749</v>
      </c>
      <c r="C343" s="33">
        <v>905.05</v>
      </c>
      <c r="D343" s="11">
        <v>45267</v>
      </c>
      <c r="E343" s="21">
        <v>852.86</v>
      </c>
    </row>
    <row r="344" ht="15.75" spans="1:5">
      <c r="A344" s="32">
        <v>3044699.547</v>
      </c>
      <c r="B344" s="32">
        <v>401076.749</v>
      </c>
      <c r="C344" s="33">
        <v>905.05</v>
      </c>
      <c r="D344" s="11">
        <v>45268</v>
      </c>
      <c r="E344" s="21">
        <v>852.736</v>
      </c>
    </row>
    <row r="345" ht="15.75" spans="1:5">
      <c r="A345" s="32">
        <v>3044699.547</v>
      </c>
      <c r="B345" s="32">
        <v>401076.749</v>
      </c>
      <c r="C345" s="33">
        <v>905.05</v>
      </c>
      <c r="D345" s="11">
        <v>45269</v>
      </c>
      <c r="E345" s="21">
        <v>853.146</v>
      </c>
    </row>
    <row r="346" ht="15.75" spans="1:5">
      <c r="A346" s="32">
        <v>3044699.547</v>
      </c>
      <c r="B346" s="32">
        <v>401076.749</v>
      </c>
      <c r="C346" s="33">
        <v>905.05</v>
      </c>
      <c r="D346" s="11">
        <v>45270</v>
      </c>
      <c r="E346" s="21">
        <v>853.23</v>
      </c>
    </row>
    <row r="347" ht="15.75" spans="1:5">
      <c r="A347" s="32">
        <v>3044699.547</v>
      </c>
      <c r="B347" s="32">
        <v>401076.749</v>
      </c>
      <c r="C347" s="33">
        <v>905.05</v>
      </c>
      <c r="D347" s="11">
        <v>45271</v>
      </c>
      <c r="E347" s="21">
        <v>854.354</v>
      </c>
    </row>
    <row r="348" ht="15.75" spans="1:5">
      <c r="A348" s="32">
        <v>3044699.547</v>
      </c>
      <c r="B348" s="32">
        <v>401076.749</v>
      </c>
      <c r="C348" s="33">
        <v>905.05</v>
      </c>
      <c r="D348" s="11">
        <v>45272</v>
      </c>
      <c r="E348" s="21">
        <v>854.412</v>
      </c>
    </row>
    <row r="349" ht="15.75" spans="1:5">
      <c r="A349" s="32">
        <v>3044699.547</v>
      </c>
      <c r="B349" s="32">
        <v>401076.749</v>
      </c>
      <c r="C349" s="33">
        <v>905.05</v>
      </c>
      <c r="D349" s="11">
        <v>45273</v>
      </c>
      <c r="E349" s="21">
        <v>854.601</v>
      </c>
    </row>
    <row r="350" ht="15.75" spans="1:5">
      <c r="A350" s="32">
        <v>3044699.547</v>
      </c>
      <c r="B350" s="32">
        <v>401076.749</v>
      </c>
      <c r="C350" s="33">
        <v>905.05</v>
      </c>
      <c r="D350" s="11">
        <v>45274</v>
      </c>
      <c r="E350" s="21">
        <v>854.51</v>
      </c>
    </row>
    <row r="351" ht="15.75" spans="1:5">
      <c r="A351" s="32">
        <v>3044699.547</v>
      </c>
      <c r="B351" s="32">
        <v>401076.749</v>
      </c>
      <c r="C351" s="33">
        <v>905.05</v>
      </c>
      <c r="D351" s="11">
        <v>45275</v>
      </c>
      <c r="E351" s="21">
        <v>854.464</v>
      </c>
    </row>
    <row r="352" ht="15.75" spans="1:5">
      <c r="A352" s="32">
        <v>3044699.547</v>
      </c>
      <c r="B352" s="32">
        <v>401076.749</v>
      </c>
      <c r="C352" s="33">
        <v>905.05</v>
      </c>
      <c r="D352" s="11">
        <v>45276</v>
      </c>
      <c r="E352" s="21">
        <v>854.382</v>
      </c>
    </row>
    <row r="353" ht="15.75" spans="1:5">
      <c r="A353" s="32">
        <v>3044699.547</v>
      </c>
      <c r="B353" s="32">
        <v>401076.749</v>
      </c>
      <c r="C353" s="33">
        <v>905.05</v>
      </c>
      <c r="D353" s="11">
        <v>45277</v>
      </c>
      <c r="E353" s="21">
        <v>854.359</v>
      </c>
    </row>
    <row r="354" ht="15.75" spans="1:5">
      <c r="A354" s="32">
        <v>3044699.547</v>
      </c>
      <c r="B354" s="32">
        <v>401076.749</v>
      </c>
      <c r="C354" s="33">
        <v>905.05</v>
      </c>
      <c r="D354" s="11">
        <v>45278</v>
      </c>
      <c r="E354" s="21">
        <v>854.347</v>
      </c>
    </row>
    <row r="355" ht="15.75" spans="1:5">
      <c r="A355" s="32">
        <v>3044699.547</v>
      </c>
      <c r="B355" s="32">
        <v>401076.749</v>
      </c>
      <c r="C355" s="33">
        <v>905.05</v>
      </c>
      <c r="D355" s="11">
        <v>45279</v>
      </c>
      <c r="E355" s="21">
        <v>854.332</v>
      </c>
    </row>
    <row r="356" ht="15.75" spans="1:5">
      <c r="A356" s="32">
        <v>3044699.547</v>
      </c>
      <c r="B356" s="32">
        <v>401076.749</v>
      </c>
      <c r="C356" s="33">
        <v>905.05</v>
      </c>
      <c r="D356" s="11">
        <v>45280</v>
      </c>
      <c r="E356" s="21">
        <v>854.426</v>
      </c>
    </row>
    <row r="357" ht="15.75" spans="1:5">
      <c r="A357" s="32">
        <v>3044699.547</v>
      </c>
      <c r="B357" s="32">
        <v>401076.749</v>
      </c>
      <c r="C357" s="33">
        <v>905.05</v>
      </c>
      <c r="D357" s="11">
        <v>45281</v>
      </c>
      <c r="E357" s="21">
        <v>854.364</v>
      </c>
    </row>
    <row r="358" ht="15.75" spans="1:5">
      <c r="A358" s="32">
        <v>3044699.547</v>
      </c>
      <c r="B358" s="32">
        <v>401076.749</v>
      </c>
      <c r="C358" s="33">
        <v>905.05</v>
      </c>
      <c r="D358" s="11">
        <v>45282</v>
      </c>
      <c r="E358" s="21">
        <v>854.446</v>
      </c>
    </row>
    <row r="359" ht="15.75" spans="1:5">
      <c r="A359" s="32">
        <v>3044699.547</v>
      </c>
      <c r="B359" s="32">
        <v>401076.749</v>
      </c>
      <c r="C359" s="33">
        <v>905.05</v>
      </c>
      <c r="D359" s="11">
        <v>45283</v>
      </c>
      <c r="E359" s="21">
        <v>854.391</v>
      </c>
    </row>
    <row r="360" ht="15.75" spans="1:5">
      <c r="A360" s="32">
        <v>3044699.547</v>
      </c>
      <c r="B360" s="32">
        <v>401076.749</v>
      </c>
      <c r="C360" s="33">
        <v>905.05</v>
      </c>
      <c r="D360" s="11">
        <v>45284</v>
      </c>
      <c r="E360" s="21">
        <v>854.412</v>
      </c>
    </row>
    <row r="361" ht="15.75" spans="1:5">
      <c r="A361" s="32">
        <v>3044699.547</v>
      </c>
      <c r="B361" s="32">
        <v>401076.749</v>
      </c>
      <c r="C361" s="33">
        <v>905.05</v>
      </c>
      <c r="D361" s="11">
        <v>45285</v>
      </c>
      <c r="E361" s="21">
        <v>854.482</v>
      </c>
    </row>
    <row r="362" ht="15.75" spans="1:5">
      <c r="A362" s="32">
        <v>3044699.547</v>
      </c>
      <c r="B362" s="32">
        <v>401076.749</v>
      </c>
      <c r="C362" s="33">
        <v>905.05</v>
      </c>
      <c r="D362" s="11">
        <v>45286</v>
      </c>
      <c r="E362" s="21">
        <v>854.502</v>
      </c>
    </row>
    <row r="363" ht="15.75" spans="1:5">
      <c r="A363" s="32">
        <v>3044699.547</v>
      </c>
      <c r="B363" s="32">
        <v>401076.749</v>
      </c>
      <c r="C363" s="33">
        <v>905.05</v>
      </c>
      <c r="D363" s="11">
        <v>45287</v>
      </c>
      <c r="E363" s="21">
        <v>854.535</v>
      </c>
    </row>
    <row r="364" ht="15.75" spans="1:5">
      <c r="A364" s="32">
        <v>3044699.547</v>
      </c>
      <c r="B364" s="32">
        <v>401076.749</v>
      </c>
      <c r="C364" s="33">
        <v>905.05</v>
      </c>
      <c r="D364" s="11">
        <v>45288</v>
      </c>
      <c r="E364" s="21">
        <v>854.545</v>
      </c>
    </row>
    <row r="365" ht="15.75" spans="1:5">
      <c r="A365" s="32">
        <v>3044699.547</v>
      </c>
      <c r="B365" s="32">
        <v>401076.749</v>
      </c>
      <c r="C365" s="33">
        <v>905.05</v>
      </c>
      <c r="D365" s="11">
        <v>45289</v>
      </c>
      <c r="E365" s="21">
        <v>854.515</v>
      </c>
    </row>
    <row r="366" ht="15.75" spans="1:5">
      <c r="A366" s="32">
        <v>3044699.547</v>
      </c>
      <c r="B366" s="32">
        <v>401076.749</v>
      </c>
      <c r="C366" s="33">
        <v>905.05</v>
      </c>
      <c r="D366" s="11">
        <v>45290</v>
      </c>
      <c r="E366" s="21">
        <v>855.431</v>
      </c>
    </row>
    <row r="367" ht="15.75" spans="1:5">
      <c r="A367" s="32">
        <v>3044699.547</v>
      </c>
      <c r="B367" s="32">
        <v>401076.749</v>
      </c>
      <c r="C367" s="33">
        <v>905.05</v>
      </c>
      <c r="D367" s="11">
        <v>45291</v>
      </c>
      <c r="E367" s="21">
        <v>855.456</v>
      </c>
    </row>
    <row r="368" ht="15.75" spans="1:5">
      <c r="A368" s="32">
        <v>3044699.547</v>
      </c>
      <c r="B368" s="32">
        <v>401076.749</v>
      </c>
      <c r="C368" s="33">
        <v>905.05</v>
      </c>
      <c r="D368" s="11">
        <v>45292</v>
      </c>
      <c r="E368" s="21">
        <v>855.605</v>
      </c>
    </row>
    <row r="369" ht="15.75" spans="1:5">
      <c r="A369" s="32">
        <v>3044699.547</v>
      </c>
      <c r="B369" s="32">
        <v>401076.749</v>
      </c>
      <c r="C369" s="33">
        <v>905.05</v>
      </c>
      <c r="D369" s="11">
        <v>45293</v>
      </c>
      <c r="E369" s="21">
        <v>855.904</v>
      </c>
    </row>
    <row r="370" ht="15.75" spans="1:5">
      <c r="A370" s="32">
        <v>3044699.547</v>
      </c>
      <c r="B370" s="32">
        <v>401076.749</v>
      </c>
      <c r="C370" s="33">
        <v>905.05</v>
      </c>
      <c r="D370" s="11">
        <v>45294</v>
      </c>
      <c r="E370" s="23">
        <v>855.966</v>
      </c>
    </row>
    <row r="371" ht="15.75" spans="1:5">
      <c r="A371" s="32">
        <v>3044699.547</v>
      </c>
      <c r="B371" s="32">
        <v>401076.749</v>
      </c>
      <c r="C371" s="33">
        <v>905.05</v>
      </c>
      <c r="D371" s="11">
        <v>45295</v>
      </c>
      <c r="E371" s="26">
        <v>856.099</v>
      </c>
    </row>
    <row r="372" ht="15.75" spans="1:5">
      <c r="A372" s="32">
        <v>3044699.547</v>
      </c>
      <c r="B372" s="32">
        <v>401076.749</v>
      </c>
      <c r="C372" s="33">
        <v>905.05</v>
      </c>
      <c r="D372" s="11">
        <v>45296</v>
      </c>
      <c r="E372" s="26">
        <v>856.208</v>
      </c>
    </row>
    <row r="373" ht="15.75" spans="1:5">
      <c r="A373" s="32">
        <v>3044699.547</v>
      </c>
      <c r="B373" s="32">
        <v>401076.749</v>
      </c>
      <c r="C373" s="33">
        <v>905.05</v>
      </c>
      <c r="D373" s="11">
        <v>45297</v>
      </c>
      <c r="E373" s="26">
        <v>856.239</v>
      </c>
    </row>
    <row r="374" ht="15.75" spans="1:5">
      <c r="A374" s="32">
        <v>3044699.547</v>
      </c>
      <c r="B374" s="32">
        <v>401076.749</v>
      </c>
      <c r="C374" s="33">
        <v>905.05</v>
      </c>
      <c r="D374" s="11">
        <v>45298</v>
      </c>
      <c r="E374" s="26">
        <v>856.211</v>
      </c>
    </row>
    <row r="375" ht="15.75" spans="1:5">
      <c r="A375" s="32">
        <v>3044699.547</v>
      </c>
      <c r="B375" s="32">
        <v>401076.749</v>
      </c>
      <c r="C375" s="33">
        <v>905.05</v>
      </c>
      <c r="D375" s="11">
        <v>45299</v>
      </c>
      <c r="E375" s="26">
        <v>856.138</v>
      </c>
    </row>
    <row r="376" ht="15.75" spans="1:5">
      <c r="A376" s="32">
        <v>3044699.547</v>
      </c>
      <c r="B376" s="32">
        <v>401076.749</v>
      </c>
      <c r="C376" s="33">
        <v>905.05</v>
      </c>
      <c r="D376" s="11">
        <v>45300</v>
      </c>
      <c r="E376" s="26">
        <v>856.004</v>
      </c>
    </row>
    <row r="377" ht="15.75" spans="1:5">
      <c r="A377" s="32">
        <v>3044699.547</v>
      </c>
      <c r="B377" s="32">
        <v>401076.749</v>
      </c>
      <c r="C377" s="33">
        <v>905.05</v>
      </c>
      <c r="D377" s="11">
        <v>45301</v>
      </c>
      <c r="E377" s="26">
        <v>856.187</v>
      </c>
    </row>
    <row r="378" ht="15.75" spans="1:5">
      <c r="A378" s="32">
        <v>3044699.547</v>
      </c>
      <c r="B378" s="32">
        <v>401076.749</v>
      </c>
      <c r="C378" s="33">
        <v>905.05</v>
      </c>
      <c r="D378" s="11">
        <v>45302</v>
      </c>
      <c r="E378" s="26">
        <v>856.16</v>
      </c>
    </row>
    <row r="379" ht="15.75" spans="1:5">
      <c r="A379" s="32">
        <v>3044699.547</v>
      </c>
      <c r="B379" s="32">
        <v>401076.749</v>
      </c>
      <c r="C379" s="33">
        <v>905.05</v>
      </c>
      <c r="D379" s="11">
        <v>45303</v>
      </c>
      <c r="E379" s="26">
        <v>855.953</v>
      </c>
    </row>
    <row r="380" ht="15.75" spans="1:5">
      <c r="A380" s="32">
        <v>3044699.547</v>
      </c>
      <c r="B380" s="32">
        <v>401076.749</v>
      </c>
      <c r="C380" s="33">
        <v>905.05</v>
      </c>
      <c r="D380" s="11">
        <v>45304</v>
      </c>
      <c r="E380" s="26">
        <v>855.836</v>
      </c>
    </row>
    <row r="381" ht="15.75" spans="1:5">
      <c r="A381" s="32">
        <v>3044699.547</v>
      </c>
      <c r="B381" s="32">
        <v>401076.749</v>
      </c>
      <c r="C381" s="33">
        <v>905.05</v>
      </c>
      <c r="D381" s="11">
        <v>45305</v>
      </c>
      <c r="E381" s="26">
        <v>855.654</v>
      </c>
    </row>
    <row r="382" ht="15.75" spans="1:5">
      <c r="A382" s="32">
        <v>3044699.547</v>
      </c>
      <c r="B382" s="32">
        <v>401076.749</v>
      </c>
      <c r="C382" s="33">
        <v>905.05</v>
      </c>
      <c r="D382" s="11">
        <v>45306</v>
      </c>
      <c r="E382" s="26">
        <v>855.624</v>
      </c>
    </row>
    <row r="383" ht="15.75" spans="1:5">
      <c r="A383" s="32">
        <v>3044699.547</v>
      </c>
      <c r="B383" s="32">
        <v>401076.749</v>
      </c>
      <c r="C383" s="33">
        <v>905.05</v>
      </c>
      <c r="D383" s="11">
        <v>45307</v>
      </c>
      <c r="E383" s="26">
        <v>855.859</v>
      </c>
    </row>
    <row r="384" ht="15.75" spans="1:5">
      <c r="A384" s="32">
        <v>3044699.547</v>
      </c>
      <c r="B384" s="32">
        <v>401076.749</v>
      </c>
      <c r="C384" s="33">
        <v>905.05</v>
      </c>
      <c r="D384" s="11">
        <v>45308</v>
      </c>
      <c r="E384" s="26">
        <v>855.912</v>
      </c>
    </row>
    <row r="385" ht="15.75" spans="1:5">
      <c r="A385" s="32">
        <v>3044699.547</v>
      </c>
      <c r="B385" s="32">
        <v>401076.749</v>
      </c>
      <c r="C385" s="33">
        <v>905.05</v>
      </c>
      <c r="D385" s="11">
        <v>45309</v>
      </c>
      <c r="E385" s="26">
        <v>856.378</v>
      </c>
    </row>
    <row r="386" ht="15.75" spans="1:5">
      <c r="A386" s="32">
        <v>3044699.547</v>
      </c>
      <c r="B386" s="32">
        <v>401076.749</v>
      </c>
      <c r="C386" s="33">
        <v>905.05</v>
      </c>
      <c r="D386" s="11">
        <v>45310</v>
      </c>
      <c r="E386" s="26">
        <v>856.422</v>
      </c>
    </row>
    <row r="387" ht="15.75" spans="1:5">
      <c r="A387" s="32">
        <v>3044699.547</v>
      </c>
      <c r="B387" s="32">
        <v>401076.749</v>
      </c>
      <c r="C387" s="33">
        <v>905.05</v>
      </c>
      <c r="D387" s="11">
        <v>45311</v>
      </c>
      <c r="E387" s="26">
        <v>856.327</v>
      </c>
    </row>
    <row r="388" ht="15.75" spans="1:5">
      <c r="A388" s="32">
        <v>3044699.547</v>
      </c>
      <c r="B388" s="32">
        <v>401076.749</v>
      </c>
      <c r="C388" s="33">
        <v>905.05</v>
      </c>
      <c r="D388" s="11">
        <v>45312</v>
      </c>
      <c r="E388" s="26">
        <v>856.231</v>
      </c>
    </row>
    <row r="389" ht="15.75" spans="1:5">
      <c r="A389" s="32">
        <v>3044699.547</v>
      </c>
      <c r="B389" s="32">
        <v>401076.749</v>
      </c>
      <c r="C389" s="33">
        <v>905.05</v>
      </c>
      <c r="D389" s="11">
        <v>45313</v>
      </c>
      <c r="E389" s="26">
        <v>856.228</v>
      </c>
    </row>
    <row r="390" ht="15.75" spans="1:5">
      <c r="A390" s="32">
        <v>3044699.547</v>
      </c>
      <c r="B390" s="32">
        <v>401076.749</v>
      </c>
      <c r="C390" s="33">
        <v>905.05</v>
      </c>
      <c r="D390" s="11">
        <v>45314</v>
      </c>
      <c r="E390" s="26">
        <v>856.185</v>
      </c>
    </row>
    <row r="391" ht="15.75" spans="1:5">
      <c r="A391" s="32">
        <v>3044699.547</v>
      </c>
      <c r="B391" s="32">
        <v>401076.749</v>
      </c>
      <c r="C391" s="33">
        <v>905.05</v>
      </c>
      <c r="D391" s="11">
        <v>45315</v>
      </c>
      <c r="E391" s="26">
        <v>856.304</v>
      </c>
    </row>
    <row r="392" ht="15.75" spans="1:5">
      <c r="A392" s="32">
        <v>3044699.547</v>
      </c>
      <c r="B392" s="32">
        <v>401076.749</v>
      </c>
      <c r="C392" s="33">
        <v>905.05</v>
      </c>
      <c r="D392" s="11">
        <v>45316</v>
      </c>
      <c r="E392" s="26">
        <v>856.117</v>
      </c>
    </row>
    <row r="393" ht="15.75" spans="1:5">
      <c r="A393" s="32">
        <v>3044699.547</v>
      </c>
      <c r="B393" s="32">
        <v>401076.749</v>
      </c>
      <c r="C393" s="33">
        <v>905.05</v>
      </c>
      <c r="D393" s="11">
        <v>45317</v>
      </c>
      <c r="E393" s="26">
        <v>856.483</v>
      </c>
    </row>
    <row r="394" ht="15.75" spans="1:5">
      <c r="A394" s="32">
        <v>3044699.547</v>
      </c>
      <c r="B394" s="32">
        <v>401076.749</v>
      </c>
      <c r="C394" s="33">
        <v>905.05</v>
      </c>
      <c r="D394" s="11">
        <v>45318</v>
      </c>
      <c r="E394" s="26">
        <v>856.383</v>
      </c>
    </row>
    <row r="395" ht="15.75" spans="1:5">
      <c r="A395" s="32">
        <v>3044699.547</v>
      </c>
      <c r="B395" s="32">
        <v>401076.749</v>
      </c>
      <c r="C395" s="33">
        <v>905.05</v>
      </c>
      <c r="D395" s="11">
        <v>45319</v>
      </c>
      <c r="E395" s="26">
        <v>856.549</v>
      </c>
    </row>
    <row r="396" ht="15.75" spans="1:5">
      <c r="A396" s="32">
        <v>3044699.547</v>
      </c>
      <c r="B396" s="32">
        <v>401076.749</v>
      </c>
      <c r="C396" s="33">
        <v>905.05</v>
      </c>
      <c r="D396" s="11">
        <v>45320</v>
      </c>
      <c r="E396" s="26">
        <v>856.515</v>
      </c>
    </row>
    <row r="397" ht="15.75" spans="1:5">
      <c r="A397" s="32">
        <v>3044699.547</v>
      </c>
      <c r="B397" s="32">
        <v>401076.749</v>
      </c>
      <c r="C397" s="33">
        <v>905.05</v>
      </c>
      <c r="D397" s="11">
        <v>45321</v>
      </c>
      <c r="E397" s="26">
        <v>856.53</v>
      </c>
    </row>
    <row r="398" ht="15.75" spans="1:5">
      <c r="A398" s="32">
        <v>3044699.547</v>
      </c>
      <c r="B398" s="32">
        <v>401076.749</v>
      </c>
      <c r="C398" s="33">
        <v>905.05</v>
      </c>
      <c r="D398" s="11">
        <v>45322</v>
      </c>
      <c r="E398" s="26">
        <v>856.295</v>
      </c>
    </row>
    <row r="399" ht="15.75" spans="1:5">
      <c r="A399" s="32">
        <v>3044699.547</v>
      </c>
      <c r="B399" s="32">
        <v>401076.749</v>
      </c>
      <c r="C399" s="33">
        <v>905.05</v>
      </c>
      <c r="D399" s="11">
        <v>45323</v>
      </c>
      <c r="E399" s="26">
        <v>856.401</v>
      </c>
    </row>
    <row r="400" ht="15.75" spans="1:5">
      <c r="A400" s="32">
        <v>3044699.547</v>
      </c>
      <c r="B400" s="32">
        <v>401076.749</v>
      </c>
      <c r="C400" s="33">
        <v>905.05</v>
      </c>
      <c r="D400" s="11">
        <v>45324</v>
      </c>
      <c r="E400" s="26">
        <v>856.418</v>
      </c>
    </row>
    <row r="401" ht="15.75" spans="1:5">
      <c r="A401" s="32">
        <v>3044699.547</v>
      </c>
      <c r="B401" s="32">
        <v>401076.749</v>
      </c>
      <c r="C401" s="33">
        <v>905.05</v>
      </c>
      <c r="D401" s="11">
        <v>45325</v>
      </c>
      <c r="E401" s="26">
        <v>856.281</v>
      </c>
    </row>
    <row r="402" ht="15.75" spans="1:5">
      <c r="A402" s="32">
        <v>3044699.547</v>
      </c>
      <c r="B402" s="32">
        <v>401076.749</v>
      </c>
      <c r="C402" s="33">
        <v>905.05</v>
      </c>
      <c r="D402" s="11">
        <v>45326</v>
      </c>
      <c r="E402" s="26">
        <v>856.302</v>
      </c>
    </row>
    <row r="403" ht="15.75" spans="1:5">
      <c r="A403" s="32">
        <v>3044699.547</v>
      </c>
      <c r="B403" s="32">
        <v>401076.749</v>
      </c>
      <c r="C403" s="33">
        <v>905.05</v>
      </c>
      <c r="D403" s="11">
        <v>45327</v>
      </c>
      <c r="E403" s="26">
        <v>854.843</v>
      </c>
    </row>
    <row r="404" ht="15.75" spans="1:5">
      <c r="A404" s="32">
        <v>3044699.547</v>
      </c>
      <c r="B404" s="32">
        <v>401076.749</v>
      </c>
      <c r="C404" s="33">
        <v>905.05</v>
      </c>
      <c r="D404" s="11">
        <v>45328</v>
      </c>
      <c r="E404" s="26">
        <v>855.042</v>
      </c>
    </row>
    <row r="405" ht="15.75" spans="1:5">
      <c r="A405" s="32">
        <v>3044699.547</v>
      </c>
      <c r="B405" s="32">
        <v>401076.749</v>
      </c>
      <c r="C405" s="33">
        <v>905.05</v>
      </c>
      <c r="D405" s="11">
        <v>45329</v>
      </c>
      <c r="E405" s="26">
        <v>855.191</v>
      </c>
    </row>
    <row r="406" ht="15.75" spans="1:5">
      <c r="A406" s="32">
        <v>3044699.547</v>
      </c>
      <c r="B406" s="32">
        <v>401076.749</v>
      </c>
      <c r="C406" s="33">
        <v>905.05</v>
      </c>
      <c r="D406" s="11">
        <v>45330</v>
      </c>
      <c r="E406" s="26">
        <v>855.022</v>
      </c>
    </row>
    <row r="407" ht="15.75" spans="1:5">
      <c r="A407" s="32">
        <v>3044699.547</v>
      </c>
      <c r="B407" s="32">
        <v>401076.749</v>
      </c>
      <c r="C407" s="33">
        <v>905.05</v>
      </c>
      <c r="D407" s="11">
        <v>45331</v>
      </c>
      <c r="E407" s="26">
        <v>855.011</v>
      </c>
    </row>
    <row r="408" ht="15.75" spans="1:5">
      <c r="A408" s="32">
        <v>3044699.547</v>
      </c>
      <c r="B408" s="32">
        <v>401076.749</v>
      </c>
      <c r="C408" s="33">
        <v>905.05</v>
      </c>
      <c r="D408" s="11">
        <v>45332</v>
      </c>
      <c r="E408" s="26">
        <v>854.996</v>
      </c>
    </row>
    <row r="409" ht="15.75" spans="1:5">
      <c r="A409" s="32">
        <v>3044699.547</v>
      </c>
      <c r="B409" s="32">
        <v>401076.749</v>
      </c>
      <c r="C409" s="33">
        <v>905.05</v>
      </c>
      <c r="D409" s="11">
        <v>45333</v>
      </c>
      <c r="E409" s="26">
        <v>854.923</v>
      </c>
    </row>
    <row r="410" ht="15.75" spans="1:5">
      <c r="A410" s="32">
        <v>3044699.547</v>
      </c>
      <c r="B410" s="32">
        <v>401076.749</v>
      </c>
      <c r="C410" s="33">
        <v>905.05</v>
      </c>
      <c r="D410" s="11">
        <v>45334</v>
      </c>
      <c r="E410" s="26">
        <v>855.019</v>
      </c>
    </row>
    <row r="411" ht="15.75" spans="1:5">
      <c r="A411" s="32">
        <v>3044699.547</v>
      </c>
      <c r="B411" s="32">
        <v>401076.749</v>
      </c>
      <c r="C411" s="33">
        <v>905.05</v>
      </c>
      <c r="D411" s="11">
        <v>45335</v>
      </c>
      <c r="E411" s="26">
        <v>854.841</v>
      </c>
    </row>
    <row r="412" ht="15.75" spans="1:5">
      <c r="A412" s="32">
        <v>3044699.547</v>
      </c>
      <c r="B412" s="32">
        <v>401076.749</v>
      </c>
      <c r="C412" s="33">
        <v>905.05</v>
      </c>
      <c r="D412" s="11">
        <v>45336</v>
      </c>
      <c r="E412" s="28">
        <v>854.905</v>
      </c>
    </row>
    <row r="413" ht="15.75" spans="1:5">
      <c r="A413" s="32">
        <v>3044699.547</v>
      </c>
      <c r="B413" s="32">
        <v>401076.749</v>
      </c>
      <c r="C413" s="33">
        <v>905.05</v>
      </c>
      <c r="D413" s="11">
        <v>45337</v>
      </c>
      <c r="E413" s="22"/>
    </row>
    <row r="414" ht="15.75" spans="1:5">
      <c r="A414" s="32">
        <v>3044699.547</v>
      </c>
      <c r="B414" s="32">
        <v>401076.749</v>
      </c>
      <c r="C414" s="33">
        <v>905.05</v>
      </c>
      <c r="D414" s="11">
        <v>45338</v>
      </c>
      <c r="E414" s="22"/>
    </row>
    <row r="415" ht="15.75" spans="1:5">
      <c r="A415" s="32">
        <v>3044699.547</v>
      </c>
      <c r="B415" s="32">
        <v>401076.749</v>
      </c>
      <c r="C415" s="33">
        <v>905.05</v>
      </c>
      <c r="D415" s="11">
        <v>45339</v>
      </c>
      <c r="E415" s="22"/>
    </row>
    <row r="416" ht="15.75" spans="1:5">
      <c r="A416" s="32">
        <v>3044699.547</v>
      </c>
      <c r="B416" s="32">
        <v>401076.749</v>
      </c>
      <c r="C416" s="33">
        <v>905.05</v>
      </c>
      <c r="D416" s="11">
        <v>45340</v>
      </c>
      <c r="E416" s="22"/>
    </row>
    <row r="417" ht="15.75" spans="1:5">
      <c r="A417" s="32">
        <v>3044699.547</v>
      </c>
      <c r="B417" s="32">
        <v>401076.749</v>
      </c>
      <c r="C417" s="33">
        <v>905.05</v>
      </c>
      <c r="D417" s="11">
        <v>45341</v>
      </c>
      <c r="E417" s="26">
        <v>855.087</v>
      </c>
    </row>
    <row r="418" ht="15.75" spans="1:5">
      <c r="A418" s="32">
        <v>3044699.547</v>
      </c>
      <c r="B418" s="32">
        <v>401076.749</v>
      </c>
      <c r="C418" s="33">
        <v>905.05</v>
      </c>
      <c r="D418" s="11">
        <v>45342</v>
      </c>
      <c r="E418" s="26">
        <v>855.177</v>
      </c>
    </row>
    <row r="419" ht="15.75" spans="1:5">
      <c r="A419" s="32">
        <v>3044699.547</v>
      </c>
      <c r="B419" s="32">
        <v>401076.749</v>
      </c>
      <c r="C419" s="33">
        <v>905.05</v>
      </c>
      <c r="D419" s="11">
        <v>45343</v>
      </c>
      <c r="E419" s="26">
        <v>855.078</v>
      </c>
    </row>
    <row r="420" ht="15.75" spans="1:5">
      <c r="A420" s="32">
        <v>3044699.547</v>
      </c>
      <c r="B420" s="32">
        <v>401076.749</v>
      </c>
      <c r="C420" s="33">
        <v>905.05</v>
      </c>
      <c r="D420" s="11">
        <v>45344</v>
      </c>
      <c r="E420" s="26">
        <v>855.039</v>
      </c>
    </row>
    <row r="421" ht="15.75" spans="1:5">
      <c r="A421" s="32">
        <v>3044699.547</v>
      </c>
      <c r="B421" s="32">
        <v>401076.749</v>
      </c>
      <c r="C421" s="33">
        <v>905.05</v>
      </c>
      <c r="D421" s="11">
        <v>45345</v>
      </c>
      <c r="E421" s="26">
        <v>855.118</v>
      </c>
    </row>
    <row r="422" ht="15.75" spans="1:5">
      <c r="A422" s="32">
        <v>3044699.547</v>
      </c>
      <c r="B422" s="32">
        <v>401076.749</v>
      </c>
      <c r="C422" s="33">
        <v>905.05</v>
      </c>
      <c r="D422" s="11">
        <v>45346</v>
      </c>
      <c r="E422" s="26">
        <v>855.182</v>
      </c>
    </row>
    <row r="423" ht="15.75" spans="1:5">
      <c r="A423" s="32">
        <v>3044699.547</v>
      </c>
      <c r="B423" s="32">
        <v>401076.749</v>
      </c>
      <c r="C423" s="33">
        <v>905.05</v>
      </c>
      <c r="D423" s="11">
        <v>45347</v>
      </c>
      <c r="E423" s="26">
        <v>855.338</v>
      </c>
    </row>
    <row r="424" ht="15.75" spans="1:5">
      <c r="A424" s="32">
        <v>3044699.547</v>
      </c>
      <c r="B424" s="32">
        <v>401076.749</v>
      </c>
      <c r="C424" s="33">
        <v>905.05</v>
      </c>
      <c r="D424" s="11">
        <v>45348</v>
      </c>
      <c r="E424" s="26">
        <v>855.344</v>
      </c>
    </row>
    <row r="425" ht="15.75" spans="1:5">
      <c r="A425" s="32">
        <v>3044699.547</v>
      </c>
      <c r="B425" s="32">
        <v>401076.749</v>
      </c>
      <c r="C425" s="33">
        <v>905.05</v>
      </c>
      <c r="D425" s="11">
        <v>45349</v>
      </c>
      <c r="E425" s="26">
        <v>855.325</v>
      </c>
    </row>
    <row r="426" ht="15.75" spans="1:5">
      <c r="A426" s="32">
        <v>3044699.547</v>
      </c>
      <c r="B426" s="32">
        <v>401076.749</v>
      </c>
      <c r="C426" s="33">
        <v>905.05</v>
      </c>
      <c r="D426" s="11">
        <v>45350</v>
      </c>
      <c r="E426" s="26">
        <v>855.312</v>
      </c>
    </row>
    <row r="427" ht="15.75" spans="1:5">
      <c r="A427" s="32">
        <v>3044699.547</v>
      </c>
      <c r="B427" s="32">
        <v>401076.749</v>
      </c>
      <c r="C427" s="33">
        <v>905.05</v>
      </c>
      <c r="D427" s="11">
        <v>45351</v>
      </c>
      <c r="E427" s="26">
        <v>855.206</v>
      </c>
    </row>
    <row r="428" ht="15.75" spans="1:5">
      <c r="A428" s="32">
        <v>3044699.547</v>
      </c>
      <c r="B428" s="32">
        <v>401076.749</v>
      </c>
      <c r="C428" s="33">
        <v>905.05</v>
      </c>
      <c r="D428" s="11">
        <v>45352</v>
      </c>
      <c r="E428" s="26">
        <v>855.194</v>
      </c>
    </row>
    <row r="429" ht="15.75" spans="1:5">
      <c r="A429" s="32">
        <v>3044699.547</v>
      </c>
      <c r="B429" s="32">
        <v>401076.749</v>
      </c>
      <c r="C429" s="33">
        <v>905.05</v>
      </c>
      <c r="D429" s="11">
        <v>45353</v>
      </c>
      <c r="E429" s="26">
        <v>855.206</v>
      </c>
    </row>
    <row r="430" ht="15.75" spans="1:5">
      <c r="A430" s="32">
        <v>3044699.547</v>
      </c>
      <c r="B430" s="32">
        <v>401076.749</v>
      </c>
      <c r="C430" s="33">
        <v>905.05</v>
      </c>
      <c r="D430" s="11">
        <v>45354</v>
      </c>
      <c r="E430" s="26">
        <v>855.194</v>
      </c>
    </row>
    <row r="431" ht="15.75" spans="1:5">
      <c r="A431" s="32">
        <v>3044699.547</v>
      </c>
      <c r="B431" s="32">
        <v>401076.749</v>
      </c>
      <c r="C431" s="33">
        <v>905.05</v>
      </c>
      <c r="D431" s="11">
        <v>45355</v>
      </c>
      <c r="E431" s="26">
        <v>855.054</v>
      </c>
    </row>
    <row r="432" ht="15.75" spans="1:5">
      <c r="A432" s="32">
        <v>3044699.547</v>
      </c>
      <c r="B432" s="32">
        <v>401076.749</v>
      </c>
      <c r="C432" s="33">
        <v>905.05</v>
      </c>
      <c r="D432" s="11">
        <v>45356</v>
      </c>
      <c r="E432" s="26">
        <v>855.067</v>
      </c>
    </row>
    <row r="433" ht="15.75" spans="1:5">
      <c r="A433" s="32">
        <v>3044699.547</v>
      </c>
      <c r="B433" s="32">
        <v>401076.749</v>
      </c>
      <c r="C433" s="33">
        <v>905.05</v>
      </c>
      <c r="D433" s="11">
        <v>45357</v>
      </c>
      <c r="E433" s="26">
        <v>855.024</v>
      </c>
    </row>
    <row r="434" ht="15.75" spans="1:5">
      <c r="A434" s="32">
        <v>3044699.547</v>
      </c>
      <c r="B434" s="32">
        <v>401076.749</v>
      </c>
      <c r="C434" s="33">
        <v>905.05</v>
      </c>
      <c r="D434" s="11">
        <v>45358</v>
      </c>
      <c r="E434" s="26">
        <v>855.042</v>
      </c>
    </row>
    <row r="435" ht="15.75" spans="1:5">
      <c r="A435" s="32">
        <v>3044699.547</v>
      </c>
      <c r="B435" s="32">
        <v>401076.749</v>
      </c>
      <c r="C435" s="33">
        <v>905.05</v>
      </c>
      <c r="D435" s="11">
        <v>45359</v>
      </c>
      <c r="E435" s="26">
        <v>855.211</v>
      </c>
    </row>
    <row r="436" ht="15.75" spans="1:5">
      <c r="A436" s="32">
        <v>3044699.547</v>
      </c>
      <c r="B436" s="32">
        <v>401076.749</v>
      </c>
      <c r="C436" s="33">
        <v>905.05</v>
      </c>
      <c r="D436" s="11">
        <v>45360</v>
      </c>
      <c r="E436" s="26">
        <v>855.185</v>
      </c>
    </row>
    <row r="437" ht="15.75" spans="1:5">
      <c r="A437" s="32">
        <v>3044699.547</v>
      </c>
      <c r="B437" s="32">
        <v>401076.749</v>
      </c>
      <c r="C437" s="33">
        <v>905.05</v>
      </c>
      <c r="D437" s="11">
        <v>45361</v>
      </c>
      <c r="E437" s="26">
        <v>855.224</v>
      </c>
    </row>
    <row r="438" ht="15.75" spans="1:5">
      <c r="A438" s="32">
        <v>3044699.547</v>
      </c>
      <c r="B438" s="32">
        <v>401076.749</v>
      </c>
      <c r="C438" s="33">
        <v>905.05</v>
      </c>
      <c r="D438" s="11">
        <v>45362</v>
      </c>
      <c r="E438" s="26">
        <v>855.164</v>
      </c>
    </row>
    <row r="439" ht="15.75" spans="1:5">
      <c r="A439" s="32">
        <v>3044699.547</v>
      </c>
      <c r="B439" s="32">
        <v>401076.749</v>
      </c>
      <c r="C439" s="33">
        <v>905.05</v>
      </c>
      <c r="D439" s="11">
        <v>45363</v>
      </c>
      <c r="E439" s="26">
        <v>855.164</v>
      </c>
    </row>
    <row r="440" ht="15.75" spans="1:5">
      <c r="A440" s="32">
        <v>3044699.547</v>
      </c>
      <c r="B440" s="32">
        <v>401076.749</v>
      </c>
      <c r="C440" s="33">
        <v>905.05</v>
      </c>
      <c r="D440" s="11">
        <v>45364</v>
      </c>
      <c r="E440" s="26">
        <v>855.115</v>
      </c>
    </row>
    <row r="441" ht="15.75" spans="1:5">
      <c r="A441" s="32">
        <v>3044699.547</v>
      </c>
      <c r="B441" s="32">
        <v>401076.749</v>
      </c>
      <c r="C441" s="33">
        <v>905.05</v>
      </c>
      <c r="D441" s="11">
        <v>45365</v>
      </c>
      <c r="E441" s="26">
        <v>855.144</v>
      </c>
    </row>
    <row r="442" ht="15.75" spans="1:5">
      <c r="A442" s="32">
        <v>3044699.547</v>
      </c>
      <c r="B442" s="32">
        <v>401076.749</v>
      </c>
      <c r="C442" s="33">
        <v>905.05</v>
      </c>
      <c r="D442" s="11">
        <v>45366</v>
      </c>
      <c r="E442" s="26">
        <v>855.14</v>
      </c>
    </row>
    <row r="443" ht="15.75" spans="1:5">
      <c r="A443" s="32">
        <v>3044699.547</v>
      </c>
      <c r="B443" s="32">
        <v>401076.749</v>
      </c>
      <c r="C443" s="33">
        <v>905.05</v>
      </c>
      <c r="D443" s="11">
        <v>45367</v>
      </c>
      <c r="E443" s="26">
        <v>855.041</v>
      </c>
    </row>
    <row r="444" ht="15.75" spans="1:5">
      <c r="A444" s="32">
        <v>3044699.547</v>
      </c>
      <c r="B444" s="32">
        <v>401076.749</v>
      </c>
      <c r="C444" s="33">
        <v>905.05</v>
      </c>
      <c r="D444" s="11">
        <v>45368</v>
      </c>
      <c r="E444" s="26">
        <v>855.02</v>
      </c>
    </row>
    <row r="445" ht="15.75" spans="1:5">
      <c r="A445" s="32">
        <v>3044699.547</v>
      </c>
      <c r="B445" s="32">
        <v>401076.749</v>
      </c>
      <c r="C445" s="33">
        <v>905.05</v>
      </c>
      <c r="D445" s="11">
        <v>45369</v>
      </c>
      <c r="E445" s="26">
        <v>855.047</v>
      </c>
    </row>
    <row r="446" ht="15.75" spans="1:5">
      <c r="A446" s="32">
        <v>3044699.547</v>
      </c>
      <c r="B446" s="32">
        <v>401076.749</v>
      </c>
      <c r="C446" s="33">
        <v>905.05</v>
      </c>
      <c r="D446" s="11">
        <v>45370</v>
      </c>
      <c r="E446" s="26">
        <v>855.032</v>
      </c>
    </row>
    <row r="447" ht="15.75" spans="1:5">
      <c r="A447" s="32">
        <v>3044699.547</v>
      </c>
      <c r="B447" s="32">
        <v>401076.749</v>
      </c>
      <c r="C447" s="33">
        <v>905.05</v>
      </c>
      <c r="D447" s="11">
        <v>45371</v>
      </c>
      <c r="E447" s="26">
        <v>855.086</v>
      </c>
    </row>
    <row r="448" ht="15.75" spans="1:5">
      <c r="A448" s="32">
        <v>3044699.547</v>
      </c>
      <c r="B448" s="32">
        <v>401076.749</v>
      </c>
      <c r="C448" s="33">
        <v>905.05</v>
      </c>
      <c r="D448" s="11">
        <v>45372</v>
      </c>
      <c r="E448" s="26">
        <v>855.145</v>
      </c>
    </row>
    <row r="449" ht="15.75" spans="1:5">
      <c r="A449" s="32">
        <v>3044699.547</v>
      </c>
      <c r="B449" s="32">
        <v>401076.749</v>
      </c>
      <c r="C449" s="33">
        <v>905.05</v>
      </c>
      <c r="D449" s="11">
        <v>45373</v>
      </c>
      <c r="E449" s="26">
        <v>855.146</v>
      </c>
    </row>
    <row r="450" ht="15.75" spans="1:5">
      <c r="A450" s="32">
        <v>3044699.547</v>
      </c>
      <c r="B450" s="32">
        <v>401076.749</v>
      </c>
      <c r="C450" s="33">
        <v>905.05</v>
      </c>
      <c r="D450" s="11">
        <v>45374</v>
      </c>
      <c r="E450" s="26">
        <v>855.099</v>
      </c>
    </row>
    <row r="451" ht="15.75" spans="1:5">
      <c r="A451" s="32">
        <v>3044699.547</v>
      </c>
      <c r="B451" s="32">
        <v>401076.749</v>
      </c>
      <c r="C451" s="33">
        <v>905.05</v>
      </c>
      <c r="D451" s="11">
        <v>45375</v>
      </c>
      <c r="E451" s="26">
        <v>855.073</v>
      </c>
    </row>
    <row r="452" ht="15.75" spans="1:5">
      <c r="A452" s="32">
        <v>3044699.547</v>
      </c>
      <c r="B452" s="32">
        <v>401076.749</v>
      </c>
      <c r="C452" s="33">
        <v>905.05</v>
      </c>
      <c r="D452" s="11">
        <v>45376</v>
      </c>
      <c r="E452" s="26">
        <v>854.988</v>
      </c>
    </row>
    <row r="453" ht="15.75" spans="1:5">
      <c r="A453" s="32">
        <v>3044699.547</v>
      </c>
      <c r="B453" s="32">
        <v>401076.749</v>
      </c>
      <c r="C453" s="33">
        <v>905.05</v>
      </c>
      <c r="D453" s="11">
        <v>45377</v>
      </c>
      <c r="E453" s="26">
        <v>854.98</v>
      </c>
    </row>
    <row r="454" ht="15.75" spans="1:5">
      <c r="A454" s="32">
        <v>3044699.547</v>
      </c>
      <c r="B454" s="32">
        <v>401076.749</v>
      </c>
      <c r="C454" s="33">
        <v>905.05</v>
      </c>
      <c r="D454" s="11">
        <v>45378</v>
      </c>
      <c r="E454" s="26">
        <v>855.021</v>
      </c>
    </row>
    <row r="455" ht="15.75" spans="1:5">
      <c r="A455" s="32">
        <v>3044699.547</v>
      </c>
      <c r="B455" s="32">
        <v>401076.749</v>
      </c>
      <c r="C455" s="33">
        <v>905.05</v>
      </c>
      <c r="D455" s="11">
        <v>45379</v>
      </c>
      <c r="E455" s="26">
        <v>855.087</v>
      </c>
    </row>
    <row r="456" ht="15.75" spans="1:5">
      <c r="A456" s="32">
        <v>3044699.547</v>
      </c>
      <c r="B456" s="32">
        <v>401076.749</v>
      </c>
      <c r="C456" s="33">
        <v>905.05</v>
      </c>
      <c r="D456" s="11">
        <v>45380</v>
      </c>
      <c r="E456" s="26">
        <v>855.111</v>
      </c>
    </row>
    <row r="457" ht="15.75" spans="1:5">
      <c r="A457" s="32">
        <v>3044699.547</v>
      </c>
      <c r="B457" s="32">
        <v>401076.749</v>
      </c>
      <c r="C457" s="33">
        <v>905.05</v>
      </c>
      <c r="D457" s="11">
        <v>45381</v>
      </c>
      <c r="E457" s="26">
        <v>855.081</v>
      </c>
    </row>
    <row r="458" ht="15.75" spans="1:5">
      <c r="A458" s="32">
        <v>3044699.547</v>
      </c>
      <c r="B458" s="32">
        <v>401076.749</v>
      </c>
      <c r="C458" s="33">
        <v>905.05</v>
      </c>
      <c r="D458" s="11">
        <v>45382</v>
      </c>
      <c r="E458" s="26">
        <v>854.995</v>
      </c>
    </row>
    <row r="459" ht="15.75" spans="1:5">
      <c r="A459" s="32">
        <v>3044699.547</v>
      </c>
      <c r="B459" s="32">
        <v>401076.749</v>
      </c>
      <c r="C459" s="33">
        <v>905.05</v>
      </c>
      <c r="D459" s="11">
        <v>45383</v>
      </c>
      <c r="E459" s="26">
        <v>854.998</v>
      </c>
    </row>
    <row r="460" ht="15.75" spans="1:5">
      <c r="A460" s="32">
        <v>3044699.547</v>
      </c>
      <c r="B460" s="32">
        <v>401076.749</v>
      </c>
      <c r="C460" s="33">
        <v>905.05</v>
      </c>
      <c r="D460" s="11">
        <v>45384</v>
      </c>
      <c r="E460" s="26">
        <v>854.935</v>
      </c>
    </row>
    <row r="461" ht="15.75" spans="1:5">
      <c r="A461" s="32">
        <v>3044699.547</v>
      </c>
      <c r="B461" s="32">
        <v>401076.749</v>
      </c>
      <c r="C461" s="33">
        <v>905.05</v>
      </c>
      <c r="D461" s="11">
        <v>45385</v>
      </c>
      <c r="E461" s="26">
        <v>854.811</v>
      </c>
    </row>
    <row r="462" ht="15.75" spans="1:5">
      <c r="A462" s="32">
        <v>3044699.547</v>
      </c>
      <c r="B462" s="32">
        <v>401076.749</v>
      </c>
      <c r="C462" s="33">
        <v>905.05</v>
      </c>
      <c r="D462" s="11">
        <v>45386</v>
      </c>
      <c r="E462" s="26">
        <v>854.798</v>
      </c>
    </row>
    <row r="463" ht="15.75" spans="1:5">
      <c r="A463" s="32">
        <v>3044699.547</v>
      </c>
      <c r="B463" s="32">
        <v>401076.749</v>
      </c>
      <c r="C463" s="33">
        <v>905.05</v>
      </c>
      <c r="D463" s="11">
        <v>45387</v>
      </c>
      <c r="E463" s="26">
        <v>854.842</v>
      </c>
    </row>
    <row r="464" ht="15.75" spans="1:5">
      <c r="A464" s="32">
        <v>3044699.547</v>
      </c>
      <c r="B464" s="32">
        <v>401076.749</v>
      </c>
      <c r="C464" s="33">
        <v>905.05</v>
      </c>
      <c r="D464" s="11">
        <v>45388</v>
      </c>
      <c r="E464" s="26">
        <v>854.754</v>
      </c>
    </row>
    <row r="465" ht="15.75" spans="1:5">
      <c r="A465" s="32">
        <v>3044699.547</v>
      </c>
      <c r="B465" s="32">
        <v>401076.749</v>
      </c>
      <c r="C465" s="33">
        <v>905.05</v>
      </c>
      <c r="D465" s="11">
        <v>45389</v>
      </c>
      <c r="E465" s="26">
        <v>854.727</v>
      </c>
    </row>
    <row r="466" ht="15.75" spans="1:5">
      <c r="A466" s="32">
        <v>3044699.547</v>
      </c>
      <c r="B466" s="32">
        <v>401076.749</v>
      </c>
      <c r="C466" s="33">
        <v>905.05</v>
      </c>
      <c r="D466" s="11">
        <v>45390</v>
      </c>
      <c r="E466" s="26">
        <v>854.616</v>
      </c>
    </row>
    <row r="467" ht="15.75" spans="1:5">
      <c r="A467" s="32">
        <v>3044699.547</v>
      </c>
      <c r="B467" s="32">
        <v>401076.749</v>
      </c>
      <c r="C467" s="33">
        <v>905.05</v>
      </c>
      <c r="D467" s="11">
        <v>45391</v>
      </c>
      <c r="E467" s="26">
        <v>854.664</v>
      </c>
    </row>
    <row r="468" ht="15.75" spans="1:5">
      <c r="A468" s="32">
        <v>3044699.547</v>
      </c>
      <c r="B468" s="32">
        <v>401076.749</v>
      </c>
      <c r="C468" s="33">
        <v>905.05</v>
      </c>
      <c r="D468" s="11">
        <v>45392</v>
      </c>
      <c r="E468" s="26"/>
    </row>
    <row r="469" ht="15.75" spans="1:5">
      <c r="A469" s="32">
        <v>3044699.547</v>
      </c>
      <c r="B469" s="32">
        <v>401076.749</v>
      </c>
      <c r="C469" s="33">
        <v>905.05</v>
      </c>
      <c r="D469" s="11">
        <v>45393</v>
      </c>
      <c r="E469" s="26"/>
    </row>
    <row r="470" ht="15.75" spans="1:5">
      <c r="A470" s="32">
        <v>3044699.547</v>
      </c>
      <c r="B470" s="32">
        <v>401076.749</v>
      </c>
      <c r="C470" s="33">
        <v>905.05</v>
      </c>
      <c r="D470" s="11">
        <v>45394</v>
      </c>
      <c r="E470" s="26"/>
    </row>
    <row r="471" ht="15.75" spans="1:5">
      <c r="A471" s="32">
        <v>3044699.547</v>
      </c>
      <c r="B471" s="32">
        <v>401076.749</v>
      </c>
      <c r="C471" s="33">
        <v>905.05</v>
      </c>
      <c r="D471" s="11">
        <v>45395</v>
      </c>
      <c r="E471" s="26">
        <v>854.463</v>
      </c>
    </row>
    <row r="472" ht="15.75" spans="1:5">
      <c r="A472" s="32">
        <v>3044699.547</v>
      </c>
      <c r="B472" s="32">
        <v>401076.749</v>
      </c>
      <c r="C472" s="33">
        <v>905.05</v>
      </c>
      <c r="D472" s="11">
        <v>45396</v>
      </c>
      <c r="E472" s="26">
        <v>854.462</v>
      </c>
    </row>
    <row r="473" ht="15.75" spans="1:5">
      <c r="A473" s="32">
        <v>3044699.547</v>
      </c>
      <c r="B473" s="32">
        <v>401076.749</v>
      </c>
      <c r="C473" s="33">
        <v>905.05</v>
      </c>
      <c r="D473" s="11">
        <v>45397</v>
      </c>
      <c r="E473" s="26">
        <v>854.484</v>
      </c>
    </row>
    <row r="474" ht="15.75" spans="1:5">
      <c r="A474" s="32">
        <v>3044699.547</v>
      </c>
      <c r="B474" s="32">
        <v>401076.749</v>
      </c>
      <c r="C474" s="33">
        <v>905.05</v>
      </c>
      <c r="D474" s="11">
        <v>45398</v>
      </c>
      <c r="E474" s="26">
        <v>854.49</v>
      </c>
    </row>
    <row r="475" ht="15.75" spans="1:5">
      <c r="A475" s="32">
        <v>3044699.547</v>
      </c>
      <c r="B475" s="32">
        <v>401076.749</v>
      </c>
      <c r="C475" s="33">
        <v>905.05</v>
      </c>
      <c r="D475" s="11">
        <v>45399</v>
      </c>
      <c r="E475" s="26">
        <v>854.479</v>
      </c>
    </row>
    <row r="476" ht="15.75" spans="1:5">
      <c r="A476" s="32">
        <v>3044699.547</v>
      </c>
      <c r="B476" s="32">
        <v>401076.749</v>
      </c>
      <c r="C476" s="33">
        <v>905.05</v>
      </c>
      <c r="D476" s="11">
        <v>45400</v>
      </c>
      <c r="E476" s="26">
        <v>854.468</v>
      </c>
    </row>
    <row r="477" ht="15.75" spans="1:5">
      <c r="A477" s="32">
        <v>3044699.547</v>
      </c>
      <c r="B477" s="32">
        <v>401076.749</v>
      </c>
      <c r="C477" s="33">
        <v>905.05</v>
      </c>
      <c r="D477" s="11">
        <v>45401</v>
      </c>
      <c r="E477" s="26">
        <v>854.414</v>
      </c>
    </row>
    <row r="478" ht="15.75" spans="1:5">
      <c r="A478" s="32">
        <v>3044699.547</v>
      </c>
      <c r="B478" s="32">
        <v>401076.749</v>
      </c>
      <c r="C478" s="33">
        <v>905.05</v>
      </c>
      <c r="D478" s="11">
        <v>45402</v>
      </c>
      <c r="E478" s="26">
        <v>854.355</v>
      </c>
    </row>
    <row r="479" ht="15.75" spans="1:5">
      <c r="A479" s="32">
        <v>3044699.547</v>
      </c>
      <c r="B479" s="32">
        <v>401076.749</v>
      </c>
      <c r="C479" s="33">
        <v>905.05</v>
      </c>
      <c r="D479" s="11">
        <v>45403</v>
      </c>
      <c r="E479" s="26">
        <v>854.314</v>
      </c>
    </row>
    <row r="480" ht="15.75" spans="1:5">
      <c r="A480" s="32">
        <v>3044699.547</v>
      </c>
      <c r="B480" s="32">
        <v>401076.749</v>
      </c>
      <c r="C480" s="33">
        <v>905.05</v>
      </c>
      <c r="D480" s="11">
        <v>45404</v>
      </c>
      <c r="E480" s="26">
        <v>854.366</v>
      </c>
    </row>
    <row r="481" ht="15.75" spans="1:5">
      <c r="A481" s="32">
        <v>3044699.547</v>
      </c>
      <c r="B481" s="32">
        <v>401076.749</v>
      </c>
      <c r="C481" s="33">
        <v>905.05</v>
      </c>
      <c r="D481" s="11">
        <v>45405</v>
      </c>
      <c r="E481" s="26">
        <v>854.123</v>
      </c>
    </row>
    <row r="482" ht="15.75" spans="1:5">
      <c r="A482" s="32">
        <v>3044699.547</v>
      </c>
      <c r="B482" s="32">
        <v>401076.749</v>
      </c>
      <c r="C482" s="33">
        <v>905.05</v>
      </c>
      <c r="D482" s="11">
        <v>45406</v>
      </c>
      <c r="E482" s="26">
        <v>854.162</v>
      </c>
    </row>
    <row r="483" ht="15.75" spans="1:5">
      <c r="A483" s="32">
        <v>3044699.547</v>
      </c>
      <c r="B483" s="32">
        <v>401076.749</v>
      </c>
      <c r="C483" s="33">
        <v>905.05</v>
      </c>
      <c r="D483" s="11">
        <v>45407</v>
      </c>
      <c r="E483" s="26">
        <v>854.219</v>
      </c>
    </row>
    <row r="484" ht="15.75" spans="1:5">
      <c r="A484" s="32">
        <v>3044699.547</v>
      </c>
      <c r="B484" s="32">
        <v>401076.749</v>
      </c>
      <c r="C484" s="33">
        <v>905.05</v>
      </c>
      <c r="D484" s="11">
        <v>45408</v>
      </c>
      <c r="E484" s="26">
        <v>854.217</v>
      </c>
    </row>
    <row r="485" ht="15.75" spans="1:5">
      <c r="A485" s="32">
        <v>3044699.547</v>
      </c>
      <c r="B485" s="32">
        <v>401076.749</v>
      </c>
      <c r="C485" s="33">
        <v>905.05</v>
      </c>
      <c r="D485" s="11">
        <v>45409</v>
      </c>
      <c r="E485" s="26">
        <v>854.198</v>
      </c>
    </row>
    <row r="486" ht="15.75" spans="1:5">
      <c r="A486" s="32">
        <v>3044699.547</v>
      </c>
      <c r="B486" s="32">
        <v>401076.749</v>
      </c>
      <c r="C486" s="33">
        <v>905.05</v>
      </c>
      <c r="D486" s="11">
        <v>45410</v>
      </c>
      <c r="E486" s="26">
        <v>854.218</v>
      </c>
    </row>
    <row r="487" ht="15.75" spans="1:5">
      <c r="A487" s="32">
        <v>3044699.547</v>
      </c>
      <c r="B487" s="32">
        <v>401076.749</v>
      </c>
      <c r="C487" s="33">
        <v>905.05</v>
      </c>
      <c r="D487" s="11">
        <v>45411</v>
      </c>
      <c r="E487" s="26">
        <v>853.95</v>
      </c>
    </row>
    <row r="488" ht="15.75" spans="1:5">
      <c r="A488" s="32">
        <v>3044699.547</v>
      </c>
      <c r="B488" s="32">
        <v>401076.749</v>
      </c>
      <c r="C488" s="33">
        <v>905.05</v>
      </c>
      <c r="D488" s="11">
        <v>45412</v>
      </c>
      <c r="E488" s="26">
        <v>853.825</v>
      </c>
    </row>
    <row r="489" ht="15.75" spans="1:5">
      <c r="A489" s="32">
        <v>3044699.547</v>
      </c>
      <c r="B489" s="32">
        <v>401076.749</v>
      </c>
      <c r="C489" s="33">
        <v>905.05</v>
      </c>
      <c r="D489" s="11">
        <v>45413</v>
      </c>
      <c r="E489" s="26">
        <v>853.832</v>
      </c>
    </row>
    <row r="490" ht="15.75" spans="1:5">
      <c r="A490" s="32">
        <v>3044699.547</v>
      </c>
      <c r="B490" s="32">
        <v>401076.749</v>
      </c>
      <c r="C490" s="33">
        <v>905.05</v>
      </c>
      <c r="D490" s="11">
        <v>45414</v>
      </c>
      <c r="E490" s="26">
        <v>853.825</v>
      </c>
    </row>
    <row r="491" ht="15.75" spans="1:5">
      <c r="A491" s="32">
        <v>3044699.547</v>
      </c>
      <c r="B491" s="32">
        <v>401076.749</v>
      </c>
      <c r="C491" s="33">
        <v>905.05</v>
      </c>
      <c r="D491" s="11">
        <v>45415</v>
      </c>
      <c r="E491" s="26">
        <v>853.916</v>
      </c>
    </row>
    <row r="492" ht="15.75" spans="1:5">
      <c r="A492" s="32">
        <v>3044699.547</v>
      </c>
      <c r="B492" s="32">
        <v>401076.749</v>
      </c>
      <c r="C492" s="33">
        <v>905.05</v>
      </c>
      <c r="D492" s="11">
        <v>45416</v>
      </c>
      <c r="E492" s="26">
        <v>853.798</v>
      </c>
    </row>
    <row r="493" ht="15.75" spans="1:5">
      <c r="A493" s="32">
        <v>3044699.547</v>
      </c>
      <c r="B493" s="32">
        <v>401076.749</v>
      </c>
      <c r="C493" s="33">
        <v>905.05</v>
      </c>
      <c r="D493" s="11">
        <v>45417</v>
      </c>
      <c r="E493" s="26">
        <v>853.789</v>
      </c>
    </row>
    <row r="494" ht="15.75" spans="1:5">
      <c r="A494" s="32">
        <v>3044699.547</v>
      </c>
      <c r="B494" s="32">
        <v>401076.749</v>
      </c>
      <c r="C494" s="33">
        <v>905.05</v>
      </c>
      <c r="D494" s="11">
        <v>45418</v>
      </c>
      <c r="E494" s="26">
        <v>853.747</v>
      </c>
    </row>
    <row r="495" ht="15.75" spans="1:5">
      <c r="A495" s="32">
        <v>3044699.547</v>
      </c>
      <c r="B495" s="32">
        <v>401076.749</v>
      </c>
      <c r="C495" s="33">
        <v>905.05</v>
      </c>
      <c r="D495" s="11">
        <v>45419</v>
      </c>
      <c r="E495" s="26">
        <v>853.677</v>
      </c>
    </row>
    <row r="496" ht="15.75" spans="1:5">
      <c r="A496" s="32">
        <v>3044699.547</v>
      </c>
      <c r="B496" s="32">
        <v>401076.749</v>
      </c>
      <c r="C496" s="33">
        <v>905.05</v>
      </c>
      <c r="D496" s="11">
        <v>45420</v>
      </c>
      <c r="E496" s="26">
        <v>853.595</v>
      </c>
    </row>
    <row r="497" ht="15.75" spans="1:5">
      <c r="A497" s="32">
        <v>3044699.547</v>
      </c>
      <c r="B497" s="32">
        <v>401076.749</v>
      </c>
      <c r="C497" s="33">
        <v>905.05</v>
      </c>
      <c r="D497" s="11">
        <v>45421</v>
      </c>
      <c r="E497" s="26">
        <v>853.582</v>
      </c>
    </row>
    <row r="498" ht="15.75" spans="1:5">
      <c r="A498" s="32">
        <v>3044699.547</v>
      </c>
      <c r="B498" s="32">
        <v>401076.749</v>
      </c>
      <c r="C498" s="33">
        <v>905.05</v>
      </c>
      <c r="D498" s="11">
        <v>45422</v>
      </c>
      <c r="E498" s="26">
        <v>853.625</v>
      </c>
    </row>
    <row r="499" ht="15.75" spans="1:5">
      <c r="A499" s="32">
        <v>3044699.547</v>
      </c>
      <c r="B499" s="32">
        <v>401076.749</v>
      </c>
      <c r="C499" s="33">
        <v>905.05</v>
      </c>
      <c r="D499" s="11">
        <v>45423</v>
      </c>
      <c r="E499" s="26">
        <v>853.476</v>
      </c>
    </row>
  </sheetData>
  <mergeCells count="1">
    <mergeCell ref="A1:C1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5"/>
  <sheetViews>
    <sheetView workbookViewId="0">
      <selection activeCell="F3" sqref="F3"/>
    </sheetView>
  </sheetViews>
  <sheetFormatPr defaultColWidth="9" defaultRowHeight="14.25" outlineLevelCol="5"/>
  <cols>
    <col min="1" max="1" width="11.375" customWidth="1"/>
    <col min="2" max="2" width="12.375" customWidth="1"/>
    <col min="3" max="3" width="19.25" customWidth="1"/>
    <col min="4" max="4" width="17.25" customWidth="1"/>
    <col min="6" max="6" width="26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6.5" spans="1:6">
      <c r="A3" s="30">
        <v>3045947.737</v>
      </c>
      <c r="B3" s="30">
        <v>35400649.992</v>
      </c>
      <c r="C3" s="8">
        <v>911.063</v>
      </c>
      <c r="D3" s="9" t="s">
        <v>311</v>
      </c>
      <c r="E3" s="21"/>
      <c r="F3" t="s">
        <v>3068</v>
      </c>
    </row>
    <row r="4" ht="16.5" spans="1:5">
      <c r="A4" s="30">
        <v>3045947.737</v>
      </c>
      <c r="B4" s="30">
        <v>35400649.992</v>
      </c>
      <c r="C4" s="8">
        <v>911.063</v>
      </c>
      <c r="D4" s="9" t="s">
        <v>312</v>
      </c>
      <c r="E4" s="21"/>
    </row>
    <row r="5" ht="16.5" spans="1:5">
      <c r="A5" s="30">
        <v>3045947.737</v>
      </c>
      <c r="B5" s="30">
        <v>35400649.992</v>
      </c>
      <c r="C5" s="8">
        <v>911.063</v>
      </c>
      <c r="D5" s="9" t="s">
        <v>313</v>
      </c>
      <c r="E5" s="21"/>
    </row>
    <row r="6" ht="16.5" spans="1:5">
      <c r="A6" s="30">
        <v>3045947.737</v>
      </c>
      <c r="B6" s="30">
        <v>35400649.992</v>
      </c>
      <c r="C6" s="8">
        <v>911.063</v>
      </c>
      <c r="D6" s="9" t="s">
        <v>314</v>
      </c>
      <c r="E6" s="21"/>
    </row>
    <row r="7" ht="16.5" spans="1:5">
      <c r="A7" s="30">
        <v>3045947.737</v>
      </c>
      <c r="B7" s="30">
        <v>35400649.992</v>
      </c>
      <c r="C7" s="8">
        <v>911.063</v>
      </c>
      <c r="D7" s="9" t="s">
        <v>315</v>
      </c>
      <c r="E7" s="21"/>
    </row>
    <row r="8" ht="16.5" spans="1:5">
      <c r="A8" s="30">
        <v>3045947.737</v>
      </c>
      <c r="B8" s="30">
        <v>35400649.992</v>
      </c>
      <c r="C8" s="8">
        <v>911.063</v>
      </c>
      <c r="D8" s="9" t="s">
        <v>316</v>
      </c>
      <c r="E8" s="21"/>
    </row>
    <row r="9" ht="16.5" spans="1:5">
      <c r="A9" s="30">
        <v>3045947.737</v>
      </c>
      <c r="B9" s="30">
        <v>35400649.992</v>
      </c>
      <c r="C9" s="8">
        <v>911.063</v>
      </c>
      <c r="D9" s="9" t="s">
        <v>317</v>
      </c>
      <c r="E9" s="21"/>
    </row>
    <row r="10" ht="16.5" spans="1:5">
      <c r="A10" s="30">
        <v>3045947.737</v>
      </c>
      <c r="B10" s="30">
        <v>35400649.992</v>
      </c>
      <c r="C10" s="8">
        <v>911.063</v>
      </c>
      <c r="D10" s="9" t="s">
        <v>318</v>
      </c>
      <c r="E10" s="21"/>
    </row>
    <row r="11" ht="16.5" spans="1:5">
      <c r="A11" s="30">
        <v>3045947.737</v>
      </c>
      <c r="B11" s="30">
        <v>35400649.992</v>
      </c>
      <c r="C11" s="8">
        <v>911.063</v>
      </c>
      <c r="D11" s="9" t="s">
        <v>319</v>
      </c>
      <c r="E11" s="21"/>
    </row>
    <row r="12" ht="16.5" spans="1:5">
      <c r="A12" s="30">
        <v>3045947.737</v>
      </c>
      <c r="B12" s="30">
        <v>35400649.992</v>
      </c>
      <c r="C12" s="8">
        <v>911.063</v>
      </c>
      <c r="D12" s="9" t="s">
        <v>320</v>
      </c>
      <c r="E12" s="21"/>
    </row>
    <row r="13" ht="16.5" spans="1:5">
      <c r="A13" s="30">
        <v>3045947.737</v>
      </c>
      <c r="B13" s="30">
        <v>35400649.992</v>
      </c>
      <c r="C13" s="8">
        <v>911.063</v>
      </c>
      <c r="D13" s="9" t="s">
        <v>321</v>
      </c>
      <c r="E13" s="21"/>
    </row>
    <row r="14" ht="16.5" spans="1:5">
      <c r="A14" s="30">
        <v>3045947.737</v>
      </c>
      <c r="B14" s="30">
        <v>35400649.992</v>
      </c>
      <c r="C14" s="8">
        <v>911.063</v>
      </c>
      <c r="D14" s="9" t="s">
        <v>322</v>
      </c>
      <c r="E14" s="21"/>
    </row>
    <row r="15" ht="16.5" spans="1:5">
      <c r="A15" s="30">
        <v>3045947.737</v>
      </c>
      <c r="B15" s="30">
        <v>35400649.992</v>
      </c>
      <c r="C15" s="8">
        <v>911.063</v>
      </c>
      <c r="D15" s="9" t="s">
        <v>323</v>
      </c>
      <c r="E15" s="21"/>
    </row>
    <row r="16" ht="16.5" spans="1:5">
      <c r="A16" s="30">
        <v>3045947.737</v>
      </c>
      <c r="B16" s="30">
        <v>35400649.992</v>
      </c>
      <c r="C16" s="8">
        <v>911.063</v>
      </c>
      <c r="D16" s="9" t="s">
        <v>324</v>
      </c>
      <c r="E16" s="21"/>
    </row>
    <row r="17" ht="16.5" spans="1:5">
      <c r="A17" s="30">
        <v>3045947.737</v>
      </c>
      <c r="B17" s="30">
        <v>35400649.992</v>
      </c>
      <c r="C17" s="8">
        <v>911.063</v>
      </c>
      <c r="D17" s="9" t="s">
        <v>325</v>
      </c>
      <c r="E17" s="21"/>
    </row>
    <row r="18" ht="16.5" spans="1:5">
      <c r="A18" s="30">
        <v>3045947.737</v>
      </c>
      <c r="B18" s="30">
        <v>35400649.992</v>
      </c>
      <c r="C18" s="8">
        <v>911.063</v>
      </c>
      <c r="D18" s="9" t="s">
        <v>326</v>
      </c>
      <c r="E18" s="21">
        <v>881.063</v>
      </c>
    </row>
    <row r="19" ht="16.5" spans="1:5">
      <c r="A19" s="30">
        <v>3045947.737</v>
      </c>
      <c r="B19" s="30">
        <v>35400649.992</v>
      </c>
      <c r="C19" s="8">
        <v>911.063</v>
      </c>
      <c r="D19" s="9" t="s">
        <v>327</v>
      </c>
      <c r="E19" s="21"/>
    </row>
    <row r="20" ht="16.5" spans="1:5">
      <c r="A20" s="30">
        <v>3045947.737</v>
      </c>
      <c r="B20" s="30">
        <v>35400649.992</v>
      </c>
      <c r="C20" s="8">
        <v>911.063</v>
      </c>
      <c r="D20" s="9" t="s">
        <v>328</v>
      </c>
      <c r="E20" s="21"/>
    </row>
    <row r="21" ht="16.5" spans="1:5">
      <c r="A21" s="30">
        <v>3045947.737</v>
      </c>
      <c r="B21" s="30">
        <v>35400649.992</v>
      </c>
      <c r="C21" s="8">
        <v>911.063</v>
      </c>
      <c r="D21" s="9" t="s">
        <v>329</v>
      </c>
      <c r="E21" s="21"/>
    </row>
    <row r="22" ht="16.5" spans="1:5">
      <c r="A22" s="30">
        <v>3045947.737</v>
      </c>
      <c r="B22" s="30">
        <v>35400649.992</v>
      </c>
      <c r="C22" s="8">
        <v>911.063</v>
      </c>
      <c r="D22" s="9" t="s">
        <v>330</v>
      </c>
      <c r="E22" s="21"/>
    </row>
    <row r="23" ht="16.5" spans="1:5">
      <c r="A23" s="30">
        <v>3045947.737</v>
      </c>
      <c r="B23" s="30">
        <v>35400649.992</v>
      </c>
      <c r="C23" s="8">
        <v>911.063</v>
      </c>
      <c r="D23" s="9" t="s">
        <v>331</v>
      </c>
      <c r="E23" s="21"/>
    </row>
    <row r="24" ht="16.5" spans="1:5">
      <c r="A24" s="30">
        <v>3045947.737</v>
      </c>
      <c r="B24" s="30">
        <v>35400649.992</v>
      </c>
      <c r="C24" s="8">
        <v>911.063</v>
      </c>
      <c r="D24" s="9" t="s">
        <v>332</v>
      </c>
      <c r="E24" s="21"/>
    </row>
    <row r="25" ht="16.5" spans="1:5">
      <c r="A25" s="30">
        <v>3045947.737</v>
      </c>
      <c r="B25" s="30">
        <v>35400649.992</v>
      </c>
      <c r="C25" s="8">
        <v>911.063</v>
      </c>
      <c r="D25" s="9" t="s">
        <v>333</v>
      </c>
      <c r="E25" s="21"/>
    </row>
    <row r="26" ht="16.5" spans="1:5">
      <c r="A26" s="30">
        <v>3045947.737</v>
      </c>
      <c r="B26" s="30">
        <v>35400649.992</v>
      </c>
      <c r="C26" s="8">
        <v>911.063</v>
      </c>
      <c r="D26" s="9" t="s">
        <v>334</v>
      </c>
      <c r="E26" s="21"/>
    </row>
    <row r="27" ht="16.5" spans="1:5">
      <c r="A27" s="30">
        <v>3045947.737</v>
      </c>
      <c r="B27" s="30">
        <v>35400649.992</v>
      </c>
      <c r="C27" s="8">
        <v>911.063</v>
      </c>
      <c r="D27" s="9" t="s">
        <v>335</v>
      </c>
      <c r="E27" s="21">
        <v>880.163</v>
      </c>
    </row>
    <row r="28" ht="16.5" spans="1:5">
      <c r="A28" s="30">
        <v>3045947.737</v>
      </c>
      <c r="B28" s="30">
        <v>35400649.992</v>
      </c>
      <c r="C28" s="8">
        <v>911.063</v>
      </c>
      <c r="D28" s="9" t="s">
        <v>336</v>
      </c>
      <c r="E28" s="21"/>
    </row>
    <row r="29" ht="16.5" spans="1:5">
      <c r="A29" s="30">
        <v>3045947.737</v>
      </c>
      <c r="B29" s="30">
        <v>35400649.992</v>
      </c>
      <c r="C29" s="8">
        <v>911.063</v>
      </c>
      <c r="D29" s="9" t="s">
        <v>337</v>
      </c>
      <c r="E29" s="21"/>
    </row>
    <row r="30" ht="16.5" spans="1:5">
      <c r="A30" s="30">
        <v>3045947.737</v>
      </c>
      <c r="B30" s="30">
        <v>35400649.992</v>
      </c>
      <c r="C30" s="8">
        <v>911.063</v>
      </c>
      <c r="D30" s="9" t="s">
        <v>338</v>
      </c>
      <c r="E30" s="21"/>
    </row>
    <row r="31" ht="16.5" spans="1:5">
      <c r="A31" s="30">
        <v>3045947.737</v>
      </c>
      <c r="B31" s="30">
        <v>35400649.992</v>
      </c>
      <c r="C31" s="8">
        <v>911.063</v>
      </c>
      <c r="D31" s="9" t="s">
        <v>339</v>
      </c>
      <c r="E31" s="21"/>
    </row>
    <row r="32" ht="16.5" spans="1:5">
      <c r="A32" s="30">
        <v>3045947.737</v>
      </c>
      <c r="B32" s="30">
        <v>35400649.992</v>
      </c>
      <c r="C32" s="8">
        <v>911.063</v>
      </c>
      <c r="D32" s="9" t="s">
        <v>340</v>
      </c>
      <c r="E32" s="21">
        <v>879.863</v>
      </c>
    </row>
    <row r="33" ht="16.5" spans="1:5">
      <c r="A33" s="30">
        <v>3045947.737</v>
      </c>
      <c r="B33" s="30">
        <v>35400649.992</v>
      </c>
      <c r="C33" s="8">
        <v>911.063</v>
      </c>
      <c r="D33" s="9" t="s">
        <v>341</v>
      </c>
      <c r="E33" s="21"/>
    </row>
    <row r="34" ht="16.5" spans="1:5">
      <c r="A34" s="30">
        <v>3045947.737</v>
      </c>
      <c r="B34" s="30">
        <v>35400649.992</v>
      </c>
      <c r="C34" s="8">
        <v>911.063</v>
      </c>
      <c r="D34" s="9" t="s">
        <v>342</v>
      </c>
      <c r="E34" s="21"/>
    </row>
    <row r="35" ht="16.5" spans="1:5">
      <c r="A35" s="30">
        <v>3045947.737</v>
      </c>
      <c r="B35" s="30">
        <v>35400649.992</v>
      </c>
      <c r="C35" s="8">
        <v>911.063</v>
      </c>
      <c r="D35" s="9" t="s">
        <v>343</v>
      </c>
      <c r="E35" s="21"/>
    </row>
    <row r="36" ht="16.5" spans="1:5">
      <c r="A36" s="30">
        <v>3045947.737</v>
      </c>
      <c r="B36" s="30">
        <v>35400649.992</v>
      </c>
      <c r="C36" s="8">
        <v>911.063</v>
      </c>
      <c r="D36" s="9" t="s">
        <v>344</v>
      </c>
      <c r="E36" s="21"/>
    </row>
    <row r="37" ht="16.5" spans="1:5">
      <c r="A37" s="30">
        <v>3045947.737</v>
      </c>
      <c r="B37" s="30">
        <v>35400649.992</v>
      </c>
      <c r="C37" s="8">
        <v>911.063</v>
      </c>
      <c r="D37" s="9" t="s">
        <v>345</v>
      </c>
      <c r="E37" s="21"/>
    </row>
    <row r="38" ht="16.5" spans="1:5">
      <c r="A38" s="30">
        <v>3045947.737</v>
      </c>
      <c r="B38" s="30">
        <v>35400649.992</v>
      </c>
      <c r="C38" s="8">
        <v>911.063</v>
      </c>
      <c r="D38" s="9" t="s">
        <v>346</v>
      </c>
      <c r="E38" s="21"/>
    </row>
    <row r="39" ht="16.5" spans="1:5">
      <c r="A39" s="30">
        <v>3045947.737</v>
      </c>
      <c r="B39" s="30">
        <v>35400649.992</v>
      </c>
      <c r="C39" s="8">
        <v>911.063</v>
      </c>
      <c r="D39" s="9" t="s">
        <v>347</v>
      </c>
      <c r="E39" s="21"/>
    </row>
    <row r="40" ht="16.5" spans="1:5">
      <c r="A40" s="30">
        <v>3045947.737</v>
      </c>
      <c r="B40" s="30">
        <v>35400649.992</v>
      </c>
      <c r="C40" s="8">
        <v>911.063</v>
      </c>
      <c r="D40" s="9" t="s">
        <v>348</v>
      </c>
      <c r="E40" s="21"/>
    </row>
    <row r="41" ht="16.5" spans="1:5">
      <c r="A41" s="30">
        <v>3045947.737</v>
      </c>
      <c r="B41" s="30">
        <v>35400649.992</v>
      </c>
      <c r="C41" s="8">
        <v>911.063</v>
      </c>
      <c r="D41" s="9" t="s">
        <v>349</v>
      </c>
      <c r="E41" s="21"/>
    </row>
    <row r="42" ht="16.5" spans="1:5">
      <c r="A42" s="30">
        <v>3045947.737</v>
      </c>
      <c r="B42" s="30">
        <v>35400649.992</v>
      </c>
      <c r="C42" s="8">
        <v>911.063</v>
      </c>
      <c r="D42" s="9" t="s">
        <v>350</v>
      </c>
      <c r="E42" s="21">
        <v>879.723</v>
      </c>
    </row>
    <row r="43" ht="16.5" spans="1:5">
      <c r="A43" s="30">
        <v>3045947.737</v>
      </c>
      <c r="B43" s="30">
        <v>35400649.992</v>
      </c>
      <c r="C43" s="8">
        <v>911.063</v>
      </c>
      <c r="D43" s="9" t="s">
        <v>351</v>
      </c>
      <c r="E43" s="21"/>
    </row>
    <row r="44" ht="16.5" spans="1:5">
      <c r="A44" s="30">
        <v>3045947.737</v>
      </c>
      <c r="B44" s="30">
        <v>35400649.992</v>
      </c>
      <c r="C44" s="8">
        <v>911.063</v>
      </c>
      <c r="D44" s="9" t="s">
        <v>352</v>
      </c>
      <c r="E44" s="21"/>
    </row>
    <row r="45" ht="16.5" spans="1:5">
      <c r="A45" s="30">
        <v>3045947.737</v>
      </c>
      <c r="B45" s="30">
        <v>35400649.992</v>
      </c>
      <c r="C45" s="8">
        <v>911.063</v>
      </c>
      <c r="D45" s="9" t="s">
        <v>353</v>
      </c>
      <c r="E45" s="21">
        <v>878.043</v>
      </c>
    </row>
    <row r="46" ht="16.5" spans="1:5">
      <c r="A46" s="30">
        <v>3045947.737</v>
      </c>
      <c r="B46" s="30">
        <v>35400649.992</v>
      </c>
      <c r="C46" s="8">
        <v>911.063</v>
      </c>
      <c r="D46" s="9" t="s">
        <v>354</v>
      </c>
      <c r="E46" s="21"/>
    </row>
    <row r="47" ht="16.5" spans="1:5">
      <c r="A47" s="30">
        <v>3045947.737</v>
      </c>
      <c r="B47" s="30">
        <v>35400649.992</v>
      </c>
      <c r="C47" s="8">
        <v>911.063</v>
      </c>
      <c r="D47" s="9" t="s">
        <v>355</v>
      </c>
      <c r="E47" s="21"/>
    </row>
    <row r="48" ht="16.5" spans="1:5">
      <c r="A48" s="30">
        <v>3045947.737</v>
      </c>
      <c r="B48" s="30">
        <v>35400649.992</v>
      </c>
      <c r="C48" s="8">
        <v>911.063</v>
      </c>
      <c r="D48" s="9" t="s">
        <v>356</v>
      </c>
      <c r="E48" s="21"/>
    </row>
    <row r="49" ht="16.5" spans="1:5">
      <c r="A49" s="30">
        <v>3045947.737</v>
      </c>
      <c r="B49" s="30">
        <v>35400649.992</v>
      </c>
      <c r="C49" s="8">
        <v>911.063</v>
      </c>
      <c r="D49" s="9" t="s">
        <v>357</v>
      </c>
      <c r="E49" s="21"/>
    </row>
    <row r="50" ht="16.5" spans="1:5">
      <c r="A50" s="30">
        <v>3045947.737</v>
      </c>
      <c r="B50" s="30">
        <v>35400649.992</v>
      </c>
      <c r="C50" s="8">
        <v>911.063</v>
      </c>
      <c r="D50" s="9" t="s">
        <v>358</v>
      </c>
      <c r="E50" s="21"/>
    </row>
    <row r="51" ht="16.5" spans="1:5">
      <c r="A51" s="30">
        <v>3045947.737</v>
      </c>
      <c r="B51" s="30">
        <v>35400649.992</v>
      </c>
      <c r="C51" s="8">
        <v>911.063</v>
      </c>
      <c r="D51" s="9" t="s">
        <v>359</v>
      </c>
      <c r="E51" s="21"/>
    </row>
    <row r="52" ht="16.5" spans="1:5">
      <c r="A52" s="30">
        <v>3045947.737</v>
      </c>
      <c r="B52" s="30">
        <v>35400649.992</v>
      </c>
      <c r="C52" s="8">
        <v>911.063</v>
      </c>
      <c r="D52" s="9" t="s">
        <v>360</v>
      </c>
      <c r="E52" s="21"/>
    </row>
    <row r="53" ht="16.5" spans="1:5">
      <c r="A53" s="30">
        <v>3045947.737</v>
      </c>
      <c r="B53" s="30">
        <v>35400649.992</v>
      </c>
      <c r="C53" s="8">
        <v>911.063</v>
      </c>
      <c r="D53" s="9" t="s">
        <v>361</v>
      </c>
      <c r="E53" s="21"/>
    </row>
    <row r="54" ht="16.5" spans="1:5">
      <c r="A54" s="30">
        <v>3045947.737</v>
      </c>
      <c r="B54" s="30">
        <v>35400649.992</v>
      </c>
      <c r="C54" s="8">
        <v>911.063</v>
      </c>
      <c r="D54" s="9" t="s">
        <v>362</v>
      </c>
      <c r="E54" s="21"/>
    </row>
    <row r="55" ht="16.5" spans="1:5">
      <c r="A55" s="30">
        <v>3045947.737</v>
      </c>
      <c r="B55" s="30">
        <v>35400649.992</v>
      </c>
      <c r="C55" s="8">
        <v>911.063</v>
      </c>
      <c r="D55" s="9" t="s">
        <v>363</v>
      </c>
      <c r="E55" s="21">
        <v>879.863</v>
      </c>
    </row>
    <row r="56" ht="16.5" spans="1:5">
      <c r="A56" s="30">
        <v>3045947.737</v>
      </c>
      <c r="B56" s="30">
        <v>35400649.992</v>
      </c>
      <c r="C56" s="8">
        <v>911.063</v>
      </c>
      <c r="D56" s="9" t="s">
        <v>364</v>
      </c>
      <c r="E56" s="21"/>
    </row>
    <row r="57" ht="16.5" spans="1:5">
      <c r="A57" s="30">
        <v>3045947.737</v>
      </c>
      <c r="B57" s="30">
        <v>35400649.992</v>
      </c>
      <c r="C57" s="8">
        <v>911.063</v>
      </c>
      <c r="D57" s="9" t="s">
        <v>365</v>
      </c>
      <c r="E57" s="21"/>
    </row>
    <row r="58" ht="16.5" spans="1:5">
      <c r="A58" s="30">
        <v>3045947.737</v>
      </c>
      <c r="B58" s="30">
        <v>35400649.992</v>
      </c>
      <c r="C58" s="8">
        <v>911.063</v>
      </c>
      <c r="D58" s="9" t="s">
        <v>366</v>
      </c>
      <c r="E58" s="21"/>
    </row>
    <row r="59" ht="16.5" spans="1:5">
      <c r="A59" s="30">
        <v>3045947.737</v>
      </c>
      <c r="B59" s="30">
        <v>35400649.992</v>
      </c>
      <c r="C59" s="8">
        <v>911.063</v>
      </c>
      <c r="D59" s="9" t="s">
        <v>367</v>
      </c>
      <c r="E59" s="21"/>
    </row>
    <row r="60" ht="16.5" spans="1:5">
      <c r="A60" s="30">
        <v>3045947.737</v>
      </c>
      <c r="B60" s="30">
        <v>35400649.992</v>
      </c>
      <c r="C60" s="8">
        <v>911.063</v>
      </c>
      <c r="D60" s="9" t="s">
        <v>368</v>
      </c>
      <c r="E60" s="21"/>
    </row>
    <row r="61" ht="16.5" spans="1:5">
      <c r="A61" s="30">
        <v>3045947.737</v>
      </c>
      <c r="B61" s="30">
        <v>35400649.992</v>
      </c>
      <c r="C61" s="8">
        <v>911.063</v>
      </c>
      <c r="D61" s="9" t="s">
        <v>369</v>
      </c>
      <c r="E61" s="21"/>
    </row>
    <row r="62" ht="16.5" spans="1:5">
      <c r="A62" s="30">
        <v>3045947.737</v>
      </c>
      <c r="B62" s="30">
        <v>35400649.992</v>
      </c>
      <c r="C62" s="8">
        <v>911.063</v>
      </c>
      <c r="D62" s="9" t="s">
        <v>370</v>
      </c>
      <c r="E62" s="21"/>
    </row>
    <row r="63" ht="16.5" spans="1:5">
      <c r="A63" s="30">
        <v>3045947.737</v>
      </c>
      <c r="B63" s="30">
        <v>35400649.992</v>
      </c>
      <c r="C63" s="8">
        <v>911.063</v>
      </c>
      <c r="D63" s="9" t="s">
        <v>371</v>
      </c>
      <c r="E63" s="23"/>
    </row>
    <row r="64" ht="16.5" spans="1:5">
      <c r="A64" s="30">
        <v>3045947.737</v>
      </c>
      <c r="B64" s="30">
        <v>35400649.992</v>
      </c>
      <c r="C64" s="8">
        <v>911.063</v>
      </c>
      <c r="D64" s="9" t="s">
        <v>372</v>
      </c>
      <c r="E64" s="21"/>
    </row>
    <row r="65" ht="16.5" spans="1:5">
      <c r="A65" s="30">
        <v>3045947.737</v>
      </c>
      <c r="B65" s="30">
        <v>35400649.992</v>
      </c>
      <c r="C65" s="8">
        <v>911.063</v>
      </c>
      <c r="D65" s="9" t="s">
        <v>373</v>
      </c>
      <c r="E65" s="21"/>
    </row>
    <row r="66" ht="16.5" spans="1:5">
      <c r="A66" s="30">
        <v>3045947.737</v>
      </c>
      <c r="B66" s="30">
        <v>35400649.992</v>
      </c>
      <c r="C66" s="8">
        <v>911.063</v>
      </c>
      <c r="D66" s="9" t="s">
        <v>374</v>
      </c>
      <c r="E66" s="21"/>
    </row>
    <row r="67" ht="16.5" spans="1:5">
      <c r="A67" s="30">
        <v>3045947.737</v>
      </c>
      <c r="B67" s="30">
        <v>35400649.992</v>
      </c>
      <c r="C67" s="8">
        <v>911.063</v>
      </c>
      <c r="D67" s="9" t="s">
        <v>375</v>
      </c>
      <c r="E67" s="21"/>
    </row>
    <row r="68" ht="16.5" spans="1:5">
      <c r="A68" s="30">
        <v>3045947.737</v>
      </c>
      <c r="B68" s="30">
        <v>35400649.992</v>
      </c>
      <c r="C68" s="8">
        <v>911.063</v>
      </c>
      <c r="D68" s="9" t="s">
        <v>376</v>
      </c>
      <c r="E68" s="21"/>
    </row>
    <row r="69" ht="16.5" spans="1:5">
      <c r="A69" s="30">
        <v>3045947.737</v>
      </c>
      <c r="B69" s="30">
        <v>35400649.992</v>
      </c>
      <c r="C69" s="8">
        <v>911.063</v>
      </c>
      <c r="D69" s="9" t="s">
        <v>377</v>
      </c>
      <c r="E69" s="21"/>
    </row>
    <row r="70" ht="16.5" spans="1:5">
      <c r="A70" s="30">
        <v>3045947.737</v>
      </c>
      <c r="B70" s="30">
        <v>35400649.992</v>
      </c>
      <c r="C70" s="8">
        <v>911.063</v>
      </c>
      <c r="D70" s="9" t="s">
        <v>378</v>
      </c>
      <c r="E70" s="21"/>
    </row>
    <row r="71" ht="16.5" spans="1:5">
      <c r="A71" s="30">
        <v>3045947.737</v>
      </c>
      <c r="B71" s="30">
        <v>35400649.992</v>
      </c>
      <c r="C71" s="8">
        <v>911.063</v>
      </c>
      <c r="D71" s="9" t="s">
        <v>379</v>
      </c>
      <c r="E71" s="21"/>
    </row>
    <row r="72" ht="16.5" spans="1:5">
      <c r="A72" s="30">
        <v>3045947.737</v>
      </c>
      <c r="B72" s="30">
        <v>35400649.992</v>
      </c>
      <c r="C72" s="8">
        <v>911.063</v>
      </c>
      <c r="D72" s="9" t="s">
        <v>380</v>
      </c>
      <c r="E72" s="21"/>
    </row>
    <row r="73" ht="16.5" spans="1:5">
      <c r="A73" s="30">
        <v>3045947.737</v>
      </c>
      <c r="B73" s="30">
        <v>35400649.992</v>
      </c>
      <c r="C73" s="8">
        <v>911.063</v>
      </c>
      <c r="D73" s="9" t="s">
        <v>381</v>
      </c>
      <c r="E73" s="21"/>
    </row>
    <row r="74" ht="16.5" spans="1:5">
      <c r="A74" s="30">
        <v>3045947.737</v>
      </c>
      <c r="B74" s="30">
        <v>35400649.992</v>
      </c>
      <c r="C74" s="8">
        <v>911.063</v>
      </c>
      <c r="D74" s="9" t="s">
        <v>382</v>
      </c>
      <c r="E74" s="21">
        <v>876.963</v>
      </c>
    </row>
    <row r="75" ht="16.5" spans="1:5">
      <c r="A75" s="30">
        <v>3045947.737</v>
      </c>
      <c r="B75" s="30">
        <v>35400649.992</v>
      </c>
      <c r="C75" s="8">
        <v>911.063</v>
      </c>
      <c r="D75" s="9" t="s">
        <v>383</v>
      </c>
      <c r="E75" s="21"/>
    </row>
    <row r="76" ht="16.5" spans="1:5">
      <c r="A76" s="30">
        <v>3045947.737</v>
      </c>
      <c r="B76" s="30">
        <v>35400649.992</v>
      </c>
      <c r="C76" s="8">
        <v>911.063</v>
      </c>
      <c r="D76" s="9" t="s">
        <v>384</v>
      </c>
      <c r="E76" s="21"/>
    </row>
    <row r="77" ht="16.5" spans="1:5">
      <c r="A77" s="30">
        <v>3045947.737</v>
      </c>
      <c r="B77" s="30">
        <v>35400649.992</v>
      </c>
      <c r="C77" s="8">
        <v>911.063</v>
      </c>
      <c r="D77" s="9" t="s">
        <v>385</v>
      </c>
      <c r="E77" s="21"/>
    </row>
    <row r="78" ht="16.5" spans="1:5">
      <c r="A78" s="30">
        <v>3045947.737</v>
      </c>
      <c r="B78" s="30">
        <v>35400649.992</v>
      </c>
      <c r="C78" s="8">
        <v>911.063</v>
      </c>
      <c r="D78" s="9" t="s">
        <v>386</v>
      </c>
      <c r="E78" s="21"/>
    </row>
    <row r="79" ht="16.5" spans="1:5">
      <c r="A79" s="30">
        <v>3045947.737</v>
      </c>
      <c r="B79" s="30">
        <v>35400649.992</v>
      </c>
      <c r="C79" s="8">
        <v>911.063</v>
      </c>
      <c r="D79" s="9" t="s">
        <v>387</v>
      </c>
      <c r="E79" s="21">
        <v>877.893</v>
      </c>
    </row>
    <row r="80" ht="16.5" spans="1:5">
      <c r="A80" s="30">
        <v>3045947.737</v>
      </c>
      <c r="B80" s="30">
        <v>35400649.992</v>
      </c>
      <c r="C80" s="8">
        <v>911.063</v>
      </c>
      <c r="D80" s="9" t="s">
        <v>388</v>
      </c>
      <c r="E80" s="21"/>
    </row>
    <row r="81" ht="16.5" spans="1:5">
      <c r="A81" s="30">
        <v>3045947.737</v>
      </c>
      <c r="B81" s="30">
        <v>35400649.992</v>
      </c>
      <c r="C81" s="8">
        <v>911.063</v>
      </c>
      <c r="D81" s="9" t="s">
        <v>389</v>
      </c>
      <c r="E81" s="21"/>
    </row>
    <row r="82" ht="16.5" spans="1:5">
      <c r="A82" s="30">
        <v>3045947.737</v>
      </c>
      <c r="B82" s="30">
        <v>35400649.992</v>
      </c>
      <c r="C82" s="8">
        <v>911.063</v>
      </c>
      <c r="D82" s="9" t="s">
        <v>390</v>
      </c>
      <c r="E82" s="21"/>
    </row>
    <row r="83" ht="16.5" spans="1:5">
      <c r="A83" s="30">
        <v>3045947.737</v>
      </c>
      <c r="B83" s="30">
        <v>35400649.992</v>
      </c>
      <c r="C83" s="8">
        <v>911.063</v>
      </c>
      <c r="D83" s="9" t="s">
        <v>391</v>
      </c>
      <c r="E83" s="21"/>
    </row>
    <row r="84" ht="16.5" spans="1:5">
      <c r="A84" s="30">
        <v>3045947.737</v>
      </c>
      <c r="B84" s="30">
        <v>35400649.992</v>
      </c>
      <c r="C84" s="8">
        <v>911.063</v>
      </c>
      <c r="D84" s="9" t="s">
        <v>392</v>
      </c>
      <c r="E84" s="21"/>
    </row>
    <row r="85" ht="16.5" spans="1:5">
      <c r="A85" s="30">
        <v>3045947.737</v>
      </c>
      <c r="B85" s="30">
        <v>35400649.992</v>
      </c>
      <c r="C85" s="8">
        <v>911.063</v>
      </c>
      <c r="D85" s="9" t="s">
        <v>393</v>
      </c>
      <c r="E85" s="21"/>
    </row>
    <row r="86" ht="16.5" spans="1:5">
      <c r="A86" s="30">
        <v>3045947.737</v>
      </c>
      <c r="B86" s="30">
        <v>35400649.992</v>
      </c>
      <c r="C86" s="8">
        <v>911.063</v>
      </c>
      <c r="D86" s="9" t="s">
        <v>394</v>
      </c>
      <c r="E86" s="21"/>
    </row>
    <row r="87" ht="16.5" spans="1:5">
      <c r="A87" s="30">
        <v>3045947.737</v>
      </c>
      <c r="B87" s="30">
        <v>35400649.992</v>
      </c>
      <c r="C87" s="8">
        <v>911.063</v>
      </c>
      <c r="D87" s="9" t="s">
        <v>395</v>
      </c>
      <c r="E87" s="21"/>
    </row>
    <row r="88" ht="16.5" spans="1:5">
      <c r="A88" s="30">
        <v>3045947.737</v>
      </c>
      <c r="B88" s="30">
        <v>35400649.992</v>
      </c>
      <c r="C88" s="8">
        <v>911.063</v>
      </c>
      <c r="D88" s="9" t="s">
        <v>396</v>
      </c>
      <c r="E88" s="21"/>
    </row>
    <row r="89" ht="16.5" spans="1:5">
      <c r="A89" s="30">
        <v>3045947.737</v>
      </c>
      <c r="B89" s="30">
        <v>35400649.992</v>
      </c>
      <c r="C89" s="8">
        <v>911.063</v>
      </c>
      <c r="D89" s="9" t="s">
        <v>397</v>
      </c>
      <c r="E89" s="21">
        <v>876.363</v>
      </c>
    </row>
    <row r="90" ht="16.5" spans="1:5">
      <c r="A90" s="30">
        <v>3045947.737</v>
      </c>
      <c r="B90" s="30">
        <v>35400649.992</v>
      </c>
      <c r="C90" s="8">
        <v>911.063</v>
      </c>
      <c r="D90" s="9" t="s">
        <v>398</v>
      </c>
      <c r="E90" s="21"/>
    </row>
    <row r="91" ht="16.5" spans="1:5">
      <c r="A91" s="30">
        <v>3045947.737</v>
      </c>
      <c r="B91" s="30">
        <v>35400649.992</v>
      </c>
      <c r="C91" s="8">
        <v>911.063</v>
      </c>
      <c r="D91" s="9" t="s">
        <v>399</v>
      </c>
      <c r="E91" s="21"/>
    </row>
    <row r="92" ht="16.5" spans="1:5">
      <c r="A92" s="30">
        <v>3045947.737</v>
      </c>
      <c r="B92" s="30">
        <v>35400649.992</v>
      </c>
      <c r="C92" s="8">
        <v>911.063</v>
      </c>
      <c r="D92" s="9" t="s">
        <v>400</v>
      </c>
      <c r="E92" s="21"/>
    </row>
    <row r="93" ht="16.5" spans="1:5">
      <c r="A93" s="30">
        <v>3045947.737</v>
      </c>
      <c r="B93" s="30">
        <v>35400649.992</v>
      </c>
      <c r="C93" s="8">
        <v>911.063</v>
      </c>
      <c r="D93" s="9" t="s">
        <v>401</v>
      </c>
      <c r="E93" s="21"/>
    </row>
    <row r="94" ht="16.5" spans="1:5">
      <c r="A94" s="30">
        <v>3045947.737</v>
      </c>
      <c r="B94" s="30">
        <v>35400649.992</v>
      </c>
      <c r="C94" s="8">
        <v>911.063</v>
      </c>
      <c r="D94" s="9" t="s">
        <v>402</v>
      </c>
      <c r="E94" s="21"/>
    </row>
    <row r="95" ht="16.5" spans="1:5">
      <c r="A95" s="30">
        <v>3045947.737</v>
      </c>
      <c r="B95" s="30">
        <v>35400649.992</v>
      </c>
      <c r="C95" s="8">
        <v>911.063</v>
      </c>
      <c r="D95" s="9" t="s">
        <v>403</v>
      </c>
      <c r="E95" s="21"/>
    </row>
    <row r="96" ht="16.5" spans="1:5">
      <c r="A96" s="30">
        <v>3045947.737</v>
      </c>
      <c r="B96" s="30">
        <v>35400649.992</v>
      </c>
      <c r="C96" s="8">
        <v>911.063</v>
      </c>
      <c r="D96" s="9" t="s">
        <v>404</v>
      </c>
      <c r="E96" s="21"/>
    </row>
    <row r="97" ht="16.5" spans="1:5">
      <c r="A97" s="30">
        <v>3045947.737</v>
      </c>
      <c r="B97" s="30">
        <v>35400649.992</v>
      </c>
      <c r="C97" s="8">
        <v>911.063</v>
      </c>
      <c r="D97" s="9" t="s">
        <v>405</v>
      </c>
      <c r="E97" s="21"/>
    </row>
    <row r="98" ht="16.5" spans="1:5">
      <c r="A98" s="30">
        <v>3045947.737</v>
      </c>
      <c r="B98" s="30">
        <v>35400649.992</v>
      </c>
      <c r="C98" s="8">
        <v>911.063</v>
      </c>
      <c r="D98" s="9" t="s">
        <v>406</v>
      </c>
      <c r="E98" s="21"/>
    </row>
    <row r="99" ht="16.5" spans="1:5">
      <c r="A99" s="30">
        <v>3045947.737</v>
      </c>
      <c r="B99" s="30">
        <v>35400649.992</v>
      </c>
      <c r="C99" s="8">
        <v>911.063</v>
      </c>
      <c r="D99" s="9" t="s">
        <v>407</v>
      </c>
      <c r="E99" s="21"/>
    </row>
    <row r="100" ht="16.5" spans="1:5">
      <c r="A100" s="30">
        <v>3045947.737</v>
      </c>
      <c r="B100" s="30">
        <v>35400649.992</v>
      </c>
      <c r="C100" s="8">
        <v>911.063</v>
      </c>
      <c r="D100" s="9" t="s">
        <v>408</v>
      </c>
      <c r="E100" s="21"/>
    </row>
    <row r="101" ht="16.5" spans="1:5">
      <c r="A101" s="30">
        <v>3045947.737</v>
      </c>
      <c r="B101" s="30">
        <v>35400649.992</v>
      </c>
      <c r="C101" s="8">
        <v>911.063</v>
      </c>
      <c r="D101" s="9" t="s">
        <v>409</v>
      </c>
      <c r="E101" s="21">
        <v>876.113</v>
      </c>
    </row>
    <row r="102" ht="16.5" spans="1:5">
      <c r="A102" s="30">
        <v>3045947.737</v>
      </c>
      <c r="B102" s="30">
        <v>35400649.992</v>
      </c>
      <c r="C102" s="8">
        <v>911.063</v>
      </c>
      <c r="D102" s="9" t="s">
        <v>410</v>
      </c>
      <c r="E102" s="21"/>
    </row>
    <row r="103" ht="16.5" spans="1:5">
      <c r="A103" s="30">
        <v>3045947.737</v>
      </c>
      <c r="B103" s="30">
        <v>35400649.992</v>
      </c>
      <c r="C103" s="8">
        <v>911.063</v>
      </c>
      <c r="D103" s="9" t="s">
        <v>411</v>
      </c>
      <c r="E103" s="21"/>
    </row>
    <row r="104" ht="16.5" spans="1:5">
      <c r="A104" s="30">
        <v>3045947.737</v>
      </c>
      <c r="B104" s="30">
        <v>35400649.992</v>
      </c>
      <c r="C104" s="8">
        <v>911.063</v>
      </c>
      <c r="D104" s="9" t="s">
        <v>412</v>
      </c>
      <c r="E104" s="21"/>
    </row>
    <row r="105" ht="16.5" spans="1:5">
      <c r="A105" s="30">
        <v>3045947.737</v>
      </c>
      <c r="B105" s="30">
        <v>35400649.992</v>
      </c>
      <c r="C105" s="8">
        <v>911.063</v>
      </c>
      <c r="D105" s="9" t="s">
        <v>413</v>
      </c>
      <c r="E105" s="21"/>
    </row>
    <row r="106" ht="16.5" spans="1:5">
      <c r="A106" s="30">
        <v>3045947.737</v>
      </c>
      <c r="B106" s="30">
        <v>35400649.992</v>
      </c>
      <c r="C106" s="8">
        <v>911.063</v>
      </c>
      <c r="D106" s="9" t="s">
        <v>414</v>
      </c>
      <c r="E106" s="21"/>
    </row>
    <row r="107" ht="16.5" spans="1:5">
      <c r="A107" s="30">
        <v>3045947.737</v>
      </c>
      <c r="B107" s="30">
        <v>35400649.992</v>
      </c>
      <c r="C107" s="8">
        <v>911.063</v>
      </c>
      <c r="D107" s="9" t="s">
        <v>415</v>
      </c>
      <c r="E107" s="21"/>
    </row>
    <row r="108" ht="16.5" spans="1:5">
      <c r="A108" s="30">
        <v>3045947.737</v>
      </c>
      <c r="B108" s="30">
        <v>35400649.992</v>
      </c>
      <c r="C108" s="8">
        <v>911.063</v>
      </c>
      <c r="D108" s="9" t="s">
        <v>416</v>
      </c>
      <c r="E108" s="21"/>
    </row>
    <row r="109" ht="16.5" spans="1:5">
      <c r="A109" s="30">
        <v>3045947.737</v>
      </c>
      <c r="B109" s="30">
        <v>35400649.992</v>
      </c>
      <c r="C109" s="8">
        <v>911.063</v>
      </c>
      <c r="D109" s="9" t="s">
        <v>417</v>
      </c>
      <c r="E109" s="21"/>
    </row>
    <row r="110" ht="16.5" spans="1:5">
      <c r="A110" s="30">
        <v>3045947.737</v>
      </c>
      <c r="B110" s="30">
        <v>35400649.992</v>
      </c>
      <c r="C110" s="8">
        <v>911.063</v>
      </c>
      <c r="D110" s="9" t="s">
        <v>418</v>
      </c>
      <c r="E110" s="21"/>
    </row>
    <row r="111" ht="16.5" spans="1:5">
      <c r="A111" s="30">
        <v>3045947.737</v>
      </c>
      <c r="B111" s="30">
        <v>35400649.992</v>
      </c>
      <c r="C111" s="8">
        <v>911.063</v>
      </c>
      <c r="D111" s="9" t="s">
        <v>419</v>
      </c>
      <c r="E111" s="21"/>
    </row>
    <row r="112" ht="16.5" spans="1:5">
      <c r="A112" s="30">
        <v>3045947.737</v>
      </c>
      <c r="B112" s="30">
        <v>35400649.992</v>
      </c>
      <c r="C112" s="8">
        <v>911.063</v>
      </c>
      <c r="D112" s="9" t="s">
        <v>420</v>
      </c>
      <c r="E112" s="21"/>
    </row>
    <row r="113" ht="16.5" spans="1:5">
      <c r="A113" s="30">
        <v>3045947.737</v>
      </c>
      <c r="B113" s="30">
        <v>35400649.992</v>
      </c>
      <c r="C113" s="8">
        <v>911.063</v>
      </c>
      <c r="D113" s="9" t="s">
        <v>421</v>
      </c>
      <c r="E113" s="21"/>
    </row>
    <row r="114" ht="16.5" spans="1:5">
      <c r="A114" s="30">
        <v>3045947.737</v>
      </c>
      <c r="B114" s="30">
        <v>35400649.992</v>
      </c>
      <c r="C114" s="8">
        <v>911.063</v>
      </c>
      <c r="D114" s="9" t="s">
        <v>422</v>
      </c>
      <c r="E114" s="21"/>
    </row>
    <row r="115" ht="16.5" spans="1:5">
      <c r="A115" s="30">
        <v>3045947.737</v>
      </c>
      <c r="B115" s="30">
        <v>35400649.992</v>
      </c>
      <c r="C115" s="8">
        <v>911.063</v>
      </c>
      <c r="D115" s="9" t="s">
        <v>423</v>
      </c>
      <c r="E115" s="21"/>
    </row>
    <row r="116" ht="16.5" spans="1:5">
      <c r="A116" s="30">
        <v>3045947.737</v>
      </c>
      <c r="B116" s="30">
        <v>35400649.992</v>
      </c>
      <c r="C116" s="8">
        <v>911.063</v>
      </c>
      <c r="D116" s="9" t="s">
        <v>424</v>
      </c>
      <c r="E116" s="21"/>
    </row>
    <row r="117" ht="16.5" spans="1:5">
      <c r="A117" s="30">
        <v>3045947.737</v>
      </c>
      <c r="B117" s="30">
        <v>35400649.992</v>
      </c>
      <c r="C117" s="8">
        <v>911.063</v>
      </c>
      <c r="D117" s="9" t="s">
        <v>425</v>
      </c>
      <c r="E117" s="21">
        <v>876.933</v>
      </c>
    </row>
    <row r="118" ht="16.5" spans="1:5">
      <c r="A118" s="30">
        <v>3045947.737</v>
      </c>
      <c r="B118" s="30">
        <v>35400649.992</v>
      </c>
      <c r="C118" s="8">
        <v>911.063</v>
      </c>
      <c r="D118" s="9" t="s">
        <v>426</v>
      </c>
      <c r="E118" s="21"/>
    </row>
    <row r="119" ht="16.5" spans="1:5">
      <c r="A119" s="30">
        <v>3045947.737</v>
      </c>
      <c r="B119" s="30">
        <v>35400649.992</v>
      </c>
      <c r="C119" s="8">
        <v>911.063</v>
      </c>
      <c r="D119" s="9" t="s">
        <v>427</v>
      </c>
      <c r="E119" s="21"/>
    </row>
    <row r="120" ht="16.5" spans="1:5">
      <c r="A120" s="30">
        <v>3045947.737</v>
      </c>
      <c r="B120" s="30">
        <v>35400649.992</v>
      </c>
      <c r="C120" s="8">
        <v>911.063</v>
      </c>
      <c r="D120" s="9" t="s">
        <v>428</v>
      </c>
      <c r="E120" s="21"/>
    </row>
    <row r="121" ht="16.5" spans="1:5">
      <c r="A121" s="30">
        <v>3045947.737</v>
      </c>
      <c r="B121" s="30">
        <v>35400649.992</v>
      </c>
      <c r="C121" s="8">
        <v>911.063</v>
      </c>
      <c r="D121" s="9" t="s">
        <v>429</v>
      </c>
      <c r="E121" s="21"/>
    </row>
    <row r="122" ht="16.5" spans="1:5">
      <c r="A122" s="30">
        <v>3045947.737</v>
      </c>
      <c r="B122" s="30">
        <v>35400649.992</v>
      </c>
      <c r="C122" s="8">
        <v>911.063</v>
      </c>
      <c r="D122" s="9" t="s">
        <v>430</v>
      </c>
      <c r="E122" s="21"/>
    </row>
    <row r="123" ht="16.5" spans="1:5">
      <c r="A123" s="30">
        <v>3045947.737</v>
      </c>
      <c r="B123" s="30">
        <v>35400649.992</v>
      </c>
      <c r="C123" s="8">
        <v>911.063</v>
      </c>
      <c r="D123" s="9" t="s">
        <v>431</v>
      </c>
      <c r="E123" s="21"/>
    </row>
    <row r="124" ht="16.5" spans="1:5">
      <c r="A124" s="30">
        <v>3045947.737</v>
      </c>
      <c r="B124" s="30">
        <v>35400649.992</v>
      </c>
      <c r="C124" s="8">
        <v>911.063</v>
      </c>
      <c r="D124" s="9" t="s">
        <v>432</v>
      </c>
      <c r="E124" s="21"/>
    </row>
    <row r="125" ht="16.5" spans="1:5">
      <c r="A125" s="30">
        <v>3045947.737</v>
      </c>
      <c r="B125" s="30">
        <v>35400649.992</v>
      </c>
      <c r="C125" s="8">
        <v>911.063</v>
      </c>
      <c r="D125" s="9" t="s">
        <v>433</v>
      </c>
      <c r="E125" s="21">
        <v>876.663</v>
      </c>
    </row>
    <row r="126" ht="16.5" spans="1:5">
      <c r="A126" s="30">
        <v>3045947.737</v>
      </c>
      <c r="B126" s="30">
        <v>35400649.992</v>
      </c>
      <c r="C126" s="8">
        <v>911.063</v>
      </c>
      <c r="D126" s="9" t="s">
        <v>434</v>
      </c>
      <c r="E126" s="21"/>
    </row>
    <row r="127" ht="16.5" spans="1:5">
      <c r="A127" s="30">
        <v>3045947.737</v>
      </c>
      <c r="B127" s="30">
        <v>35400649.992</v>
      </c>
      <c r="C127" s="8">
        <v>911.063</v>
      </c>
      <c r="D127" s="9" t="s">
        <v>435</v>
      </c>
      <c r="E127" s="21"/>
    </row>
    <row r="128" ht="16.5" spans="1:5">
      <c r="A128" s="30">
        <v>3045947.737</v>
      </c>
      <c r="B128" s="30">
        <v>35400649.992</v>
      </c>
      <c r="C128" s="8">
        <v>911.063</v>
      </c>
      <c r="D128" s="9" t="s">
        <v>436</v>
      </c>
      <c r="E128" s="21"/>
    </row>
    <row r="129" ht="16.5" spans="1:5">
      <c r="A129" s="30">
        <v>3045947.737</v>
      </c>
      <c r="B129" s="30">
        <v>35400649.992</v>
      </c>
      <c r="C129" s="8">
        <v>911.063</v>
      </c>
      <c r="D129" s="9" t="s">
        <v>437</v>
      </c>
      <c r="E129" s="21">
        <v>876.793</v>
      </c>
    </row>
    <row r="130" ht="16.5" spans="1:5">
      <c r="A130" s="30">
        <v>3045947.737</v>
      </c>
      <c r="B130" s="30">
        <v>35400649.992</v>
      </c>
      <c r="C130" s="8">
        <v>911.063</v>
      </c>
      <c r="D130" s="9" t="s">
        <v>438</v>
      </c>
      <c r="E130" s="21"/>
    </row>
    <row r="131" ht="16.5" spans="1:5">
      <c r="A131" s="30">
        <v>3045947.737</v>
      </c>
      <c r="B131" s="30">
        <v>35400649.992</v>
      </c>
      <c r="C131" s="8">
        <v>911.063</v>
      </c>
      <c r="D131" s="9" t="s">
        <v>439</v>
      </c>
      <c r="E131" s="21"/>
    </row>
    <row r="132" ht="16.5" spans="1:5">
      <c r="A132" s="30">
        <v>3045947.737</v>
      </c>
      <c r="B132" s="30">
        <v>35400649.992</v>
      </c>
      <c r="C132" s="8">
        <v>911.063</v>
      </c>
      <c r="D132" s="9" t="s">
        <v>440</v>
      </c>
      <c r="E132" s="21"/>
    </row>
    <row r="133" ht="16.5" spans="1:5">
      <c r="A133" s="30">
        <v>3045947.737</v>
      </c>
      <c r="B133" s="30">
        <v>35400649.992</v>
      </c>
      <c r="C133" s="8">
        <v>911.063</v>
      </c>
      <c r="D133" s="9" t="s">
        <v>441</v>
      </c>
      <c r="E133" s="21"/>
    </row>
    <row r="134" ht="16.5" spans="1:5">
      <c r="A134" s="30">
        <v>3045947.737</v>
      </c>
      <c r="B134" s="30">
        <v>35400649.992</v>
      </c>
      <c r="C134" s="8">
        <v>911.063</v>
      </c>
      <c r="D134" s="9" t="s">
        <v>442</v>
      </c>
      <c r="E134" s="21"/>
    </row>
    <row r="135" ht="16.5" spans="1:5">
      <c r="A135" s="30">
        <v>3045947.737</v>
      </c>
      <c r="B135" s="30">
        <v>35400649.992</v>
      </c>
      <c r="C135" s="8">
        <v>911.063</v>
      </c>
      <c r="D135" s="9" t="s">
        <v>443</v>
      </c>
      <c r="E135" s="21"/>
    </row>
    <row r="136" ht="16.5" spans="1:5">
      <c r="A136" s="30">
        <v>3045947.737</v>
      </c>
      <c r="B136" s="30">
        <v>35400649.992</v>
      </c>
      <c r="C136" s="8">
        <v>911.063</v>
      </c>
      <c r="D136" s="9" t="s">
        <v>444</v>
      </c>
      <c r="E136" s="21"/>
    </row>
    <row r="137" ht="16.5" spans="1:5">
      <c r="A137" s="30">
        <v>3045947.737</v>
      </c>
      <c r="B137" s="30">
        <v>35400649.992</v>
      </c>
      <c r="C137" s="8">
        <v>911.063</v>
      </c>
      <c r="D137" s="9" t="s">
        <v>445</v>
      </c>
      <c r="E137" s="21"/>
    </row>
    <row r="138" ht="16.5" spans="1:5">
      <c r="A138" s="30">
        <v>3045947.737</v>
      </c>
      <c r="B138" s="30">
        <v>35400649.992</v>
      </c>
      <c r="C138" s="8">
        <v>911.063</v>
      </c>
      <c r="D138" s="9" t="s">
        <v>446</v>
      </c>
      <c r="E138" s="21"/>
    </row>
    <row r="139" ht="16.5" spans="1:5">
      <c r="A139" s="30">
        <v>3045947.737</v>
      </c>
      <c r="B139" s="30">
        <v>35400649.992</v>
      </c>
      <c r="C139" s="8">
        <v>911.063</v>
      </c>
      <c r="D139" s="9" t="s">
        <v>447</v>
      </c>
      <c r="E139" s="21">
        <v>876.763</v>
      </c>
    </row>
    <row r="140" ht="16.5" spans="1:5">
      <c r="A140" s="30">
        <v>3045947.737</v>
      </c>
      <c r="B140" s="30">
        <v>35400649.992</v>
      </c>
      <c r="C140" s="8">
        <v>911.063</v>
      </c>
      <c r="D140" s="9" t="s">
        <v>448</v>
      </c>
      <c r="E140" s="21"/>
    </row>
    <row r="141" ht="16.5" spans="1:5">
      <c r="A141" s="30">
        <v>3045947.737</v>
      </c>
      <c r="B141" s="30">
        <v>35400649.992</v>
      </c>
      <c r="C141" s="8">
        <v>911.063</v>
      </c>
      <c r="D141" s="9" t="s">
        <v>449</v>
      </c>
      <c r="E141" s="21"/>
    </row>
    <row r="142" ht="16.5" spans="1:5">
      <c r="A142" s="30">
        <v>3045947.737</v>
      </c>
      <c r="B142" s="30">
        <v>35400649.992</v>
      </c>
      <c r="C142" s="8">
        <v>911.063</v>
      </c>
      <c r="D142" s="9" t="s">
        <v>450</v>
      </c>
      <c r="E142" s="21"/>
    </row>
    <row r="143" ht="16.5" spans="1:5">
      <c r="A143" s="30">
        <v>3045947.737</v>
      </c>
      <c r="B143" s="30">
        <v>35400649.992</v>
      </c>
      <c r="C143" s="8">
        <v>911.063</v>
      </c>
      <c r="D143" s="9" t="s">
        <v>451</v>
      </c>
      <c r="E143" s="21"/>
    </row>
    <row r="144" ht="16.5" spans="1:5">
      <c r="A144" s="30">
        <v>3045947.737</v>
      </c>
      <c r="B144" s="30">
        <v>35400649.992</v>
      </c>
      <c r="C144" s="8">
        <v>911.063</v>
      </c>
      <c r="D144" s="9" t="s">
        <v>452</v>
      </c>
      <c r="E144" s="21"/>
    </row>
    <row r="145" ht="16.5" spans="1:5">
      <c r="A145" s="30">
        <v>3045947.737</v>
      </c>
      <c r="B145" s="30">
        <v>35400649.992</v>
      </c>
      <c r="C145" s="8">
        <v>911.063</v>
      </c>
      <c r="D145" s="9" t="s">
        <v>453</v>
      </c>
      <c r="E145" s="21"/>
    </row>
    <row r="146" ht="16.5" spans="1:5">
      <c r="A146" s="30">
        <v>3045947.737</v>
      </c>
      <c r="B146" s="30">
        <v>35400649.992</v>
      </c>
      <c r="C146" s="8">
        <v>911.063</v>
      </c>
      <c r="D146" s="9" t="s">
        <v>454</v>
      </c>
      <c r="E146" s="21"/>
    </row>
    <row r="147" ht="16.5" spans="1:5">
      <c r="A147" s="30">
        <v>3045947.737</v>
      </c>
      <c r="B147" s="30">
        <v>35400649.992</v>
      </c>
      <c r="C147" s="8">
        <v>911.063</v>
      </c>
      <c r="D147" s="9" t="s">
        <v>455</v>
      </c>
      <c r="E147" s="21"/>
    </row>
    <row r="148" ht="16.5" spans="1:5">
      <c r="A148" s="30">
        <v>3045947.737</v>
      </c>
      <c r="B148" s="30">
        <v>35400649.992</v>
      </c>
      <c r="C148" s="8">
        <v>911.063</v>
      </c>
      <c r="D148" s="9" t="s">
        <v>456</v>
      </c>
      <c r="E148" s="21"/>
    </row>
    <row r="149" ht="16.5" spans="1:5">
      <c r="A149" s="30">
        <v>3045947.737</v>
      </c>
      <c r="B149" s="30">
        <v>35400649.992</v>
      </c>
      <c r="C149" s="8">
        <v>911.063</v>
      </c>
      <c r="D149" s="9" t="s">
        <v>457</v>
      </c>
      <c r="E149" s="21"/>
    </row>
    <row r="150" ht="16.5" spans="1:5">
      <c r="A150" s="30">
        <v>3045947.737</v>
      </c>
      <c r="B150" s="30">
        <v>35400649.992</v>
      </c>
      <c r="C150" s="8">
        <v>911.063</v>
      </c>
      <c r="D150" s="9" t="s">
        <v>458</v>
      </c>
      <c r="E150" s="21"/>
    </row>
    <row r="151" ht="16.5" spans="1:5">
      <c r="A151" s="30">
        <v>3045947.737</v>
      </c>
      <c r="B151" s="30">
        <v>35400649.992</v>
      </c>
      <c r="C151" s="8">
        <v>911.063</v>
      </c>
      <c r="D151" s="9" t="s">
        <v>459</v>
      </c>
      <c r="E151" s="21">
        <v>877.063</v>
      </c>
    </row>
    <row r="152" ht="16.5" spans="1:5">
      <c r="A152" s="30">
        <v>3045947.737</v>
      </c>
      <c r="B152" s="30">
        <v>35400649.992</v>
      </c>
      <c r="C152" s="8">
        <v>911.063</v>
      </c>
      <c r="D152" s="9" t="s">
        <v>460</v>
      </c>
      <c r="E152" s="21"/>
    </row>
    <row r="153" ht="16.5" spans="1:5">
      <c r="A153" s="30">
        <v>3045947.737</v>
      </c>
      <c r="B153" s="30">
        <v>35400649.992</v>
      </c>
      <c r="C153" s="8">
        <v>911.063</v>
      </c>
      <c r="D153" s="9" t="s">
        <v>461</v>
      </c>
      <c r="E153" s="21"/>
    </row>
    <row r="154" ht="16.5" spans="1:5">
      <c r="A154" s="30">
        <v>3045947.737</v>
      </c>
      <c r="B154" s="30">
        <v>35400649.992</v>
      </c>
      <c r="C154" s="8">
        <v>911.063</v>
      </c>
      <c r="D154" s="9" t="s">
        <v>462</v>
      </c>
      <c r="E154" s="21"/>
    </row>
    <row r="155" ht="16.5" spans="1:5">
      <c r="A155" s="30">
        <v>3045947.737</v>
      </c>
      <c r="B155" s="30">
        <v>35400649.992</v>
      </c>
      <c r="C155" s="8">
        <v>911.063</v>
      </c>
      <c r="D155" s="9" t="s">
        <v>463</v>
      </c>
      <c r="E155" s="21">
        <v>876.933</v>
      </c>
    </row>
    <row r="156" ht="16.5" spans="1:5">
      <c r="A156" s="30">
        <v>3045947.737</v>
      </c>
      <c r="B156" s="30">
        <v>35400649.992</v>
      </c>
      <c r="C156" s="8">
        <v>911.063</v>
      </c>
      <c r="D156" s="9" t="s">
        <v>464</v>
      </c>
      <c r="E156" s="21">
        <v>877.003</v>
      </c>
    </row>
    <row r="157" ht="16.5" spans="1:5">
      <c r="A157" s="30">
        <v>3045947.737</v>
      </c>
      <c r="B157" s="30">
        <v>35400649.992</v>
      </c>
      <c r="C157" s="8">
        <v>911.063</v>
      </c>
      <c r="D157" s="9" t="s">
        <v>465</v>
      </c>
      <c r="E157" s="21"/>
    </row>
    <row r="158" ht="16.5" spans="1:5">
      <c r="A158" s="30">
        <v>3045947.737</v>
      </c>
      <c r="B158" s="30">
        <v>35400649.992</v>
      </c>
      <c r="C158" s="8">
        <v>911.063</v>
      </c>
      <c r="D158" s="9" t="s">
        <v>466</v>
      </c>
      <c r="E158" s="21">
        <v>876.913</v>
      </c>
    </row>
    <row r="159" ht="16.5" spans="1:5">
      <c r="A159" s="30">
        <v>3045947.737</v>
      </c>
      <c r="B159" s="30">
        <v>35400649.992</v>
      </c>
      <c r="C159" s="8">
        <v>911.063</v>
      </c>
      <c r="D159" s="9" t="s">
        <v>467</v>
      </c>
      <c r="E159" s="21"/>
    </row>
    <row r="160" ht="16.5" spans="1:5">
      <c r="A160" s="30">
        <v>3045947.737</v>
      </c>
      <c r="B160" s="30">
        <v>35400649.992</v>
      </c>
      <c r="C160" s="8">
        <v>911.063</v>
      </c>
      <c r="D160" s="9" t="s">
        <v>468</v>
      </c>
      <c r="E160" s="21">
        <v>876.443</v>
      </c>
    </row>
    <row r="161" ht="16.5" spans="1:5">
      <c r="A161" s="30">
        <v>3045947.737</v>
      </c>
      <c r="B161" s="30">
        <v>35400649.992</v>
      </c>
      <c r="C161" s="8">
        <v>911.063</v>
      </c>
      <c r="D161" s="9" t="s">
        <v>469</v>
      </c>
      <c r="E161" s="21">
        <v>876.503</v>
      </c>
    </row>
    <row r="162" ht="16.5" spans="1:5">
      <c r="A162" s="30">
        <v>3045947.737</v>
      </c>
      <c r="B162" s="30">
        <v>35400649.992</v>
      </c>
      <c r="C162" s="8">
        <v>911.063</v>
      </c>
      <c r="D162" s="9" t="s">
        <v>470</v>
      </c>
      <c r="E162" s="21">
        <v>876.483</v>
      </c>
    </row>
    <row r="163" ht="16.5" spans="1:5">
      <c r="A163" s="30">
        <v>3045947.737</v>
      </c>
      <c r="B163" s="30">
        <v>35400649.992</v>
      </c>
      <c r="C163" s="8">
        <v>911.063</v>
      </c>
      <c r="D163" s="9" t="s">
        <v>471</v>
      </c>
      <c r="E163" s="21">
        <v>876.973</v>
      </c>
    </row>
    <row r="164" ht="16.5" spans="1:5">
      <c r="A164" s="30">
        <v>3045947.737</v>
      </c>
      <c r="B164" s="30">
        <v>35400649.992</v>
      </c>
      <c r="C164" s="8">
        <v>911.063</v>
      </c>
      <c r="D164" s="9" t="s">
        <v>472</v>
      </c>
      <c r="E164" s="21">
        <v>877.003</v>
      </c>
    </row>
    <row r="165" ht="16.5" spans="1:5">
      <c r="A165" s="30">
        <v>3045947.737</v>
      </c>
      <c r="B165" s="30">
        <v>35400649.992</v>
      </c>
      <c r="C165" s="8">
        <v>911.063</v>
      </c>
      <c r="D165" s="9" t="s">
        <v>473</v>
      </c>
      <c r="E165" s="21">
        <v>876.943</v>
      </c>
    </row>
    <row r="166" ht="16.5" spans="1:5">
      <c r="A166" s="30">
        <v>3045947.737</v>
      </c>
      <c r="B166" s="30">
        <v>35400649.992</v>
      </c>
      <c r="C166" s="8">
        <v>911.063</v>
      </c>
      <c r="D166" s="9" t="s">
        <v>474</v>
      </c>
      <c r="E166" s="21">
        <v>876.903</v>
      </c>
    </row>
    <row r="167" ht="16.5" spans="1:5">
      <c r="A167" s="30">
        <v>3045947.737</v>
      </c>
      <c r="B167" s="30">
        <v>35400649.992</v>
      </c>
      <c r="C167" s="8">
        <v>911.063</v>
      </c>
      <c r="D167" s="9" t="s">
        <v>475</v>
      </c>
      <c r="E167" s="21">
        <v>876.873</v>
      </c>
    </row>
    <row r="168" ht="16.5" spans="1:5">
      <c r="A168" s="30">
        <v>3045947.737</v>
      </c>
      <c r="B168" s="30">
        <v>35400649.992</v>
      </c>
      <c r="C168" s="8">
        <v>911.063</v>
      </c>
      <c r="D168" s="9" t="s">
        <v>476</v>
      </c>
      <c r="E168" s="21">
        <v>876.893</v>
      </c>
    </row>
    <row r="169" ht="16.5" spans="1:5">
      <c r="A169" s="30">
        <v>3045947.737</v>
      </c>
      <c r="B169" s="30">
        <v>35400649.992</v>
      </c>
      <c r="C169" s="8">
        <v>911.063</v>
      </c>
      <c r="D169" s="9" t="s">
        <v>477</v>
      </c>
      <c r="E169" s="21">
        <v>876.883</v>
      </c>
    </row>
    <row r="170" ht="16.5" spans="1:5">
      <c r="A170" s="30">
        <v>3045947.737</v>
      </c>
      <c r="B170" s="30">
        <v>35400649.992</v>
      </c>
      <c r="C170" s="8">
        <v>911.063</v>
      </c>
      <c r="D170" s="9" t="s">
        <v>478</v>
      </c>
      <c r="E170" s="21">
        <v>876.963</v>
      </c>
    </row>
    <row r="171" ht="16.5" spans="1:5">
      <c r="A171" s="30">
        <v>3045947.737</v>
      </c>
      <c r="B171" s="30">
        <v>35400649.992</v>
      </c>
      <c r="C171" s="8">
        <v>911.063</v>
      </c>
      <c r="D171" s="9" t="s">
        <v>479</v>
      </c>
      <c r="E171" s="21">
        <v>876.923</v>
      </c>
    </row>
    <row r="172" ht="16.5" spans="1:5">
      <c r="A172" s="30">
        <v>3045947.737</v>
      </c>
      <c r="B172" s="30">
        <v>35400649.992</v>
      </c>
      <c r="C172" s="8">
        <v>911.063</v>
      </c>
      <c r="D172" s="9" t="s">
        <v>480</v>
      </c>
      <c r="E172" s="21">
        <v>876.973</v>
      </c>
    </row>
    <row r="173" ht="16.5" spans="1:5">
      <c r="A173" s="30">
        <v>3045947.737</v>
      </c>
      <c r="B173" s="30">
        <v>35400649.992</v>
      </c>
      <c r="C173" s="8">
        <v>911.063</v>
      </c>
      <c r="D173" s="9" t="s">
        <v>481</v>
      </c>
      <c r="E173" s="21">
        <v>876.943</v>
      </c>
    </row>
    <row r="174" ht="16.5" spans="1:5">
      <c r="A174" s="30">
        <v>3045947.737</v>
      </c>
      <c r="B174" s="30">
        <v>35400649.992</v>
      </c>
      <c r="C174" s="8">
        <v>911.063</v>
      </c>
      <c r="D174" s="9" t="s">
        <v>482</v>
      </c>
      <c r="E174" s="21">
        <v>876.923</v>
      </c>
    </row>
    <row r="175" ht="16.5" spans="1:5">
      <c r="A175" s="30">
        <v>3045947.737</v>
      </c>
      <c r="B175" s="30">
        <v>35400649.992</v>
      </c>
      <c r="C175" s="8">
        <v>911.063</v>
      </c>
      <c r="D175" s="9" t="s">
        <v>483</v>
      </c>
      <c r="E175" s="21">
        <v>876.993</v>
      </c>
    </row>
    <row r="176" ht="16.5" spans="1:5">
      <c r="A176" s="30">
        <v>3045947.737</v>
      </c>
      <c r="B176" s="30">
        <v>35400649.992</v>
      </c>
      <c r="C176" s="8">
        <v>911.063</v>
      </c>
      <c r="D176" s="9" t="s">
        <v>484</v>
      </c>
      <c r="E176" s="21">
        <v>876.903</v>
      </c>
    </row>
    <row r="177" ht="16.5" spans="1:5">
      <c r="A177" s="30">
        <v>3045947.737</v>
      </c>
      <c r="B177" s="30">
        <v>35400649.992</v>
      </c>
      <c r="C177" s="8">
        <v>911.063</v>
      </c>
      <c r="D177" s="9" t="s">
        <v>485</v>
      </c>
      <c r="E177" s="21">
        <v>876.743</v>
      </c>
    </row>
    <row r="178" ht="16.5" spans="1:5">
      <c r="A178" s="30">
        <v>3045947.737</v>
      </c>
      <c r="B178" s="30">
        <v>35400649.992</v>
      </c>
      <c r="C178" s="8">
        <v>911.063</v>
      </c>
      <c r="D178" s="9" t="s">
        <v>486</v>
      </c>
      <c r="E178" s="21">
        <v>876.723</v>
      </c>
    </row>
    <row r="179" ht="16.5" spans="1:5">
      <c r="A179" s="30">
        <v>3045947.737</v>
      </c>
      <c r="B179" s="30">
        <v>35400649.992</v>
      </c>
      <c r="C179" s="8">
        <v>911.063</v>
      </c>
      <c r="D179" s="9" t="s">
        <v>487</v>
      </c>
      <c r="E179" s="21">
        <v>876.513</v>
      </c>
    </row>
    <row r="180" ht="16.5" spans="1:5">
      <c r="A180" s="30">
        <v>3045947.737</v>
      </c>
      <c r="B180" s="30">
        <v>35400649.992</v>
      </c>
      <c r="C180" s="8">
        <v>911.063</v>
      </c>
      <c r="D180" s="9" t="s">
        <v>488</v>
      </c>
      <c r="E180" s="21">
        <v>876.593</v>
      </c>
    </row>
    <row r="181" ht="16.5" spans="1:5">
      <c r="A181" s="30">
        <v>3045947.737</v>
      </c>
      <c r="B181" s="30">
        <v>35400649.992</v>
      </c>
      <c r="C181" s="8">
        <v>911.063</v>
      </c>
      <c r="D181" s="9" t="s">
        <v>489</v>
      </c>
      <c r="E181" s="21">
        <v>876.673</v>
      </c>
    </row>
    <row r="182" ht="16.5" spans="1:5">
      <c r="A182" s="30">
        <v>3045947.737</v>
      </c>
      <c r="B182" s="30">
        <v>35400649.992</v>
      </c>
      <c r="C182" s="8">
        <v>911.063</v>
      </c>
      <c r="D182" s="9" t="s">
        <v>490</v>
      </c>
      <c r="E182" s="21">
        <v>876.283</v>
      </c>
    </row>
    <row r="183" ht="16.5" spans="1:5">
      <c r="A183" s="30">
        <v>3045947.737</v>
      </c>
      <c r="B183" s="30">
        <v>35400649.992</v>
      </c>
      <c r="C183" s="8">
        <v>911.063</v>
      </c>
      <c r="D183" s="9" t="s">
        <v>491</v>
      </c>
      <c r="E183" s="21">
        <v>876.293</v>
      </c>
    </row>
    <row r="184" ht="16.5" spans="1:5">
      <c r="A184" s="30">
        <v>3045947.737</v>
      </c>
      <c r="B184" s="30">
        <v>35400649.992</v>
      </c>
      <c r="C184" s="8">
        <v>911.063</v>
      </c>
      <c r="D184" s="11">
        <v>44682</v>
      </c>
      <c r="E184" s="21">
        <v>876.263</v>
      </c>
    </row>
    <row r="185" ht="16.5" spans="1:5">
      <c r="A185" s="30">
        <v>3045947.737</v>
      </c>
      <c r="B185" s="30">
        <v>35400649.992</v>
      </c>
      <c r="C185" s="8">
        <v>911.063</v>
      </c>
      <c r="D185" s="11">
        <v>44683</v>
      </c>
      <c r="E185" s="21"/>
    </row>
    <row r="186" ht="16.5" spans="1:5">
      <c r="A186" s="30">
        <v>3045947.737</v>
      </c>
      <c r="B186" s="30">
        <v>35400649.992</v>
      </c>
      <c r="C186" s="8">
        <v>911.063</v>
      </c>
      <c r="D186" s="11">
        <v>44684</v>
      </c>
      <c r="E186" s="21">
        <v>876.543</v>
      </c>
    </row>
    <row r="187" ht="16.5" spans="1:5">
      <c r="A187" s="30">
        <v>3045947.737</v>
      </c>
      <c r="B187" s="30">
        <v>35400649.992</v>
      </c>
      <c r="C187" s="8">
        <v>911.063</v>
      </c>
      <c r="D187" s="11">
        <v>44685</v>
      </c>
      <c r="E187" s="21"/>
    </row>
    <row r="188" ht="16.5" spans="1:5">
      <c r="A188" s="30">
        <v>3045947.737</v>
      </c>
      <c r="B188" s="30">
        <v>35400649.992</v>
      </c>
      <c r="C188" s="8">
        <v>911.063</v>
      </c>
      <c r="D188" s="11">
        <v>44686</v>
      </c>
      <c r="E188" s="21"/>
    </row>
    <row r="189" ht="16.5" spans="1:5">
      <c r="A189" s="30">
        <v>3045947.737</v>
      </c>
      <c r="B189" s="30">
        <v>35400649.992</v>
      </c>
      <c r="C189" s="8">
        <v>911.063</v>
      </c>
      <c r="D189" s="11">
        <v>44687</v>
      </c>
      <c r="E189" s="21">
        <v>876.733</v>
      </c>
    </row>
    <row r="190" ht="16.5" spans="1:5">
      <c r="A190" s="30">
        <v>3045947.737</v>
      </c>
      <c r="B190" s="30">
        <v>35400649.992</v>
      </c>
      <c r="C190" s="8">
        <v>911.063</v>
      </c>
      <c r="D190" s="11">
        <v>44688</v>
      </c>
      <c r="E190" s="21">
        <v>876.793</v>
      </c>
    </row>
    <row r="191" ht="16.5" spans="1:5">
      <c r="A191" s="30">
        <v>3045947.737</v>
      </c>
      <c r="B191" s="30">
        <v>35400649.992</v>
      </c>
      <c r="C191" s="8">
        <v>911.063</v>
      </c>
      <c r="D191" s="11">
        <v>44689</v>
      </c>
      <c r="E191" s="21"/>
    </row>
    <row r="192" ht="16.5" spans="1:5">
      <c r="A192" s="30">
        <v>3045947.737</v>
      </c>
      <c r="B192" s="30">
        <v>35400649.992</v>
      </c>
      <c r="C192" s="8">
        <v>911.063</v>
      </c>
      <c r="D192" s="11">
        <v>44690</v>
      </c>
      <c r="E192" s="21"/>
    </row>
    <row r="193" ht="16.5" spans="1:5">
      <c r="A193" s="30">
        <v>3045947.737</v>
      </c>
      <c r="B193" s="30">
        <v>35400649.992</v>
      </c>
      <c r="C193" s="8">
        <v>911.063</v>
      </c>
      <c r="D193" s="11">
        <v>44691</v>
      </c>
      <c r="E193" s="21">
        <v>876.813</v>
      </c>
    </row>
    <row r="194" ht="16.5" spans="1:5">
      <c r="A194" s="30">
        <v>3045947.737</v>
      </c>
      <c r="B194" s="30">
        <v>35400649.992</v>
      </c>
      <c r="C194" s="8">
        <v>911.063</v>
      </c>
      <c r="D194" s="11">
        <v>44692</v>
      </c>
      <c r="E194" s="21">
        <v>876.913</v>
      </c>
    </row>
    <row r="195" ht="16.5" spans="1:5">
      <c r="A195" s="30">
        <v>3045947.737</v>
      </c>
      <c r="B195" s="30">
        <v>35400649.992</v>
      </c>
      <c r="C195" s="8">
        <v>911.063</v>
      </c>
      <c r="D195" s="11">
        <v>44693</v>
      </c>
      <c r="E195" s="21">
        <v>876.923</v>
      </c>
    </row>
    <row r="196" ht="16.5" spans="1:5">
      <c r="A196" s="30">
        <v>3045947.737</v>
      </c>
      <c r="B196" s="30">
        <v>35400649.992</v>
      </c>
      <c r="C196" s="8">
        <v>911.063</v>
      </c>
      <c r="D196" s="11">
        <v>44694</v>
      </c>
      <c r="E196" s="21">
        <v>876.893</v>
      </c>
    </row>
    <row r="197" ht="16.5" spans="1:5">
      <c r="A197" s="30">
        <v>3045947.737</v>
      </c>
      <c r="B197" s="30">
        <v>35400649.992</v>
      </c>
      <c r="C197" s="8">
        <v>911.063</v>
      </c>
      <c r="D197" s="11">
        <v>44695</v>
      </c>
      <c r="E197" s="21"/>
    </row>
    <row r="198" ht="16.5" spans="1:5">
      <c r="A198" s="30">
        <v>3045947.737</v>
      </c>
      <c r="B198" s="30">
        <v>35400649.992</v>
      </c>
      <c r="C198" s="8">
        <v>911.063</v>
      </c>
      <c r="D198" s="11">
        <v>44696</v>
      </c>
      <c r="E198" s="21">
        <v>876.863</v>
      </c>
    </row>
    <row r="199" ht="16.5" spans="1:5">
      <c r="A199" s="30">
        <v>3045947.737</v>
      </c>
      <c r="B199" s="30">
        <v>35400649.992</v>
      </c>
      <c r="C199" s="8">
        <v>911.063</v>
      </c>
      <c r="D199" s="11">
        <v>44697</v>
      </c>
      <c r="E199" s="21">
        <v>877.023</v>
      </c>
    </row>
    <row r="200" ht="16.5" spans="1:5">
      <c r="A200" s="30">
        <v>3045947.737</v>
      </c>
      <c r="B200" s="30">
        <v>35400649.992</v>
      </c>
      <c r="C200" s="8">
        <v>911.063</v>
      </c>
      <c r="D200" s="11">
        <v>44698</v>
      </c>
      <c r="E200" s="21">
        <v>876.963</v>
      </c>
    </row>
    <row r="201" ht="16.5" spans="1:5">
      <c r="A201" s="30">
        <v>3045947.737</v>
      </c>
      <c r="B201" s="30">
        <v>35400649.992</v>
      </c>
      <c r="C201" s="8">
        <v>911.063</v>
      </c>
      <c r="D201" s="11">
        <v>44699</v>
      </c>
      <c r="E201" s="21">
        <v>876.913</v>
      </c>
    </row>
    <row r="202" ht="16.5" spans="1:5">
      <c r="A202" s="30">
        <v>3045947.737</v>
      </c>
      <c r="B202" s="30">
        <v>35400649.992</v>
      </c>
      <c r="C202" s="8">
        <v>911.063</v>
      </c>
      <c r="D202" s="11">
        <v>44700</v>
      </c>
      <c r="E202" s="21">
        <v>877.273</v>
      </c>
    </row>
    <row r="203" ht="16.5" spans="1:5">
      <c r="A203" s="30">
        <v>3045947.737</v>
      </c>
      <c r="B203" s="30">
        <v>35400649.992</v>
      </c>
      <c r="C203" s="8">
        <v>911.063</v>
      </c>
      <c r="D203" s="11">
        <v>44701</v>
      </c>
      <c r="E203" s="21">
        <v>877.203</v>
      </c>
    </row>
    <row r="204" ht="16.5" spans="1:5">
      <c r="A204" s="30">
        <v>3045947.737</v>
      </c>
      <c r="B204" s="30">
        <v>35400649.992</v>
      </c>
      <c r="C204" s="8">
        <v>911.063</v>
      </c>
      <c r="D204" s="11">
        <v>44702</v>
      </c>
      <c r="E204" s="21">
        <v>877.193</v>
      </c>
    </row>
    <row r="205" ht="16.5" spans="1:5">
      <c r="A205" s="30">
        <v>3045947.737</v>
      </c>
      <c r="B205" s="30">
        <v>35400649.992</v>
      </c>
      <c r="C205" s="8">
        <v>911.063</v>
      </c>
      <c r="D205" s="11">
        <v>44703</v>
      </c>
      <c r="E205" s="21">
        <v>877.323</v>
      </c>
    </row>
    <row r="206" ht="16.5" spans="1:5">
      <c r="A206" s="30">
        <v>3045947.737</v>
      </c>
      <c r="B206" s="30">
        <v>35400649.992</v>
      </c>
      <c r="C206" s="8">
        <v>911.063</v>
      </c>
      <c r="D206" s="11">
        <v>44704</v>
      </c>
      <c r="E206" s="21">
        <v>877.323</v>
      </c>
    </row>
    <row r="207" ht="16.5" spans="1:5">
      <c r="A207" s="30">
        <v>3045947.737</v>
      </c>
      <c r="B207" s="30">
        <v>35400649.992</v>
      </c>
      <c r="C207" s="8">
        <v>911.063</v>
      </c>
      <c r="D207" s="11">
        <v>44705</v>
      </c>
      <c r="E207" s="21">
        <v>877.373</v>
      </c>
    </row>
    <row r="208" ht="16.5" spans="1:5">
      <c r="A208" s="30">
        <v>3045947.737</v>
      </c>
      <c r="B208" s="30">
        <v>35400649.992</v>
      </c>
      <c r="C208" s="8">
        <v>911.063</v>
      </c>
      <c r="D208" s="11">
        <v>44706</v>
      </c>
      <c r="E208" s="21">
        <v>877.443</v>
      </c>
    </row>
    <row r="209" ht="16.5" spans="1:5">
      <c r="A209" s="30">
        <v>3045947.737</v>
      </c>
      <c r="B209" s="30">
        <v>35400649.992</v>
      </c>
      <c r="C209" s="8">
        <v>911.063</v>
      </c>
      <c r="D209" s="11">
        <v>44707</v>
      </c>
      <c r="E209" s="21">
        <v>877.333</v>
      </c>
    </row>
    <row r="210" ht="16.5" spans="1:5">
      <c r="A210" s="30">
        <v>3045947.737</v>
      </c>
      <c r="B210" s="30">
        <v>35400649.992</v>
      </c>
      <c r="C210" s="8">
        <v>911.063</v>
      </c>
      <c r="D210" s="11">
        <v>44708</v>
      </c>
      <c r="E210" s="21">
        <v>877.523</v>
      </c>
    </row>
    <row r="211" ht="16.5" spans="1:5">
      <c r="A211" s="30">
        <v>3045947.737</v>
      </c>
      <c r="B211" s="30">
        <v>35400649.992</v>
      </c>
      <c r="C211" s="8">
        <v>911.063</v>
      </c>
      <c r="D211" s="11">
        <v>44709</v>
      </c>
      <c r="E211" s="21">
        <v>877.873</v>
      </c>
    </row>
    <row r="212" ht="16.5" spans="1:5">
      <c r="A212" s="30">
        <v>3045947.737</v>
      </c>
      <c r="B212" s="30">
        <v>35400649.992</v>
      </c>
      <c r="C212" s="8">
        <v>911.063</v>
      </c>
      <c r="D212" s="11">
        <v>44710</v>
      </c>
      <c r="E212" s="21">
        <v>877.963</v>
      </c>
    </row>
    <row r="213" ht="16.5" spans="1:5">
      <c r="A213" s="30">
        <v>3045947.737</v>
      </c>
      <c r="B213" s="30">
        <v>35400649.992</v>
      </c>
      <c r="C213" s="8">
        <v>911.063</v>
      </c>
      <c r="D213" s="11">
        <v>44711</v>
      </c>
      <c r="E213" s="21">
        <v>878.253</v>
      </c>
    </row>
    <row r="214" ht="16.5" spans="1:5">
      <c r="A214" s="30">
        <v>3045947.737</v>
      </c>
      <c r="B214" s="30">
        <v>35400649.992</v>
      </c>
      <c r="C214" s="8">
        <v>911.063</v>
      </c>
      <c r="D214" s="11">
        <v>44712</v>
      </c>
      <c r="E214" s="21">
        <v>878.463</v>
      </c>
    </row>
    <row r="215" ht="16.5" spans="1:5">
      <c r="A215" s="30">
        <v>3045947.737</v>
      </c>
      <c r="B215" s="30">
        <v>35400649.992</v>
      </c>
      <c r="C215" s="8">
        <v>911.063</v>
      </c>
      <c r="D215" s="11">
        <v>44713</v>
      </c>
      <c r="E215" s="21">
        <v>878.673</v>
      </c>
    </row>
    <row r="216" ht="16.5" spans="1:5">
      <c r="A216" s="30">
        <v>3045947.737</v>
      </c>
      <c r="B216" s="30">
        <v>35400649.992</v>
      </c>
      <c r="C216" s="8">
        <v>911.063</v>
      </c>
      <c r="D216" s="11">
        <v>44714</v>
      </c>
      <c r="E216" s="21">
        <v>878.843</v>
      </c>
    </row>
    <row r="217" ht="16.5" spans="1:5">
      <c r="A217" s="30">
        <v>3045947.737</v>
      </c>
      <c r="B217" s="30">
        <v>35400649.992</v>
      </c>
      <c r="C217" s="8">
        <v>911.063</v>
      </c>
      <c r="D217" s="11">
        <v>44715</v>
      </c>
      <c r="E217" s="21">
        <v>879.043</v>
      </c>
    </row>
    <row r="218" ht="16.5" spans="1:5">
      <c r="A218" s="30">
        <v>3045947.737</v>
      </c>
      <c r="B218" s="30">
        <v>35400649.992</v>
      </c>
      <c r="C218" s="8">
        <v>911.063</v>
      </c>
      <c r="D218" s="11">
        <v>44716</v>
      </c>
      <c r="E218" s="21">
        <v>879.223</v>
      </c>
    </row>
    <row r="219" ht="16.5" spans="1:5">
      <c r="A219" s="30">
        <v>3045947.737</v>
      </c>
      <c r="B219" s="30">
        <v>35400649.992</v>
      </c>
      <c r="C219" s="8">
        <v>911.063</v>
      </c>
      <c r="D219" s="11">
        <v>44717</v>
      </c>
      <c r="E219" s="21">
        <v>879.313</v>
      </c>
    </row>
    <row r="220" ht="16.5" spans="1:5">
      <c r="A220" s="30">
        <v>3045947.737</v>
      </c>
      <c r="B220" s="30">
        <v>35400649.992</v>
      </c>
      <c r="C220" s="8">
        <v>911.063</v>
      </c>
      <c r="D220" s="11">
        <v>44718</v>
      </c>
      <c r="E220" s="21"/>
    </row>
    <row r="221" ht="16.5" spans="1:5">
      <c r="A221" s="30">
        <v>3045947.737</v>
      </c>
      <c r="B221" s="30">
        <v>35400649.992</v>
      </c>
      <c r="C221" s="8">
        <v>911.063</v>
      </c>
      <c r="D221" s="11">
        <v>44719</v>
      </c>
      <c r="E221" s="21">
        <v>879.523</v>
      </c>
    </row>
    <row r="222" ht="16.5" spans="1:5">
      <c r="A222" s="30">
        <v>3045947.737</v>
      </c>
      <c r="B222" s="30">
        <v>35400649.992</v>
      </c>
      <c r="C222" s="8">
        <v>911.063</v>
      </c>
      <c r="D222" s="11">
        <v>44720</v>
      </c>
      <c r="E222" s="21">
        <v>879.563</v>
      </c>
    </row>
    <row r="223" ht="16.5" spans="1:5">
      <c r="A223" s="30">
        <v>3045947.737</v>
      </c>
      <c r="B223" s="30">
        <v>35400649.992</v>
      </c>
      <c r="C223" s="8">
        <v>911.063</v>
      </c>
      <c r="D223" s="11">
        <v>44721</v>
      </c>
      <c r="E223" s="22"/>
    </row>
    <row r="224" ht="16.5" spans="1:5">
      <c r="A224" s="30">
        <v>3045947.737</v>
      </c>
      <c r="B224" s="30">
        <v>35400649.992</v>
      </c>
      <c r="C224" s="8">
        <v>911.063</v>
      </c>
      <c r="D224" s="11">
        <v>44722</v>
      </c>
      <c r="E224" s="22"/>
    </row>
    <row r="225" ht="16.5" spans="1:5">
      <c r="A225" s="30">
        <v>3045947.737</v>
      </c>
      <c r="B225" s="30">
        <v>35400649.992</v>
      </c>
      <c r="C225" s="8">
        <v>911.063</v>
      </c>
      <c r="D225" s="11">
        <v>44723</v>
      </c>
      <c r="E225" s="21">
        <v>879.623</v>
      </c>
    </row>
    <row r="226" ht="16.5" spans="1:5">
      <c r="A226" s="30">
        <v>3045947.737</v>
      </c>
      <c r="B226" s="30">
        <v>35400649.992</v>
      </c>
      <c r="C226" s="8">
        <v>911.063</v>
      </c>
      <c r="D226" s="11">
        <v>44724</v>
      </c>
      <c r="E226" s="21">
        <v>879.703</v>
      </c>
    </row>
    <row r="227" ht="16.5" spans="1:5">
      <c r="A227" s="30">
        <v>3045947.737</v>
      </c>
      <c r="B227" s="30">
        <v>35400649.992</v>
      </c>
      <c r="C227" s="8">
        <v>911.063</v>
      </c>
      <c r="D227" s="11">
        <v>44725</v>
      </c>
      <c r="E227" s="21"/>
    </row>
    <row r="228" ht="16.5" spans="1:5">
      <c r="A228" s="30">
        <v>3045947.737</v>
      </c>
      <c r="B228" s="30">
        <v>35400649.992</v>
      </c>
      <c r="C228" s="8">
        <v>911.063</v>
      </c>
      <c r="D228" s="11">
        <v>44726</v>
      </c>
      <c r="E228" s="21">
        <v>879.823</v>
      </c>
    </row>
    <row r="229" ht="16.5" spans="1:5">
      <c r="A229" s="30">
        <v>3045947.737</v>
      </c>
      <c r="B229" s="30">
        <v>35400649.992</v>
      </c>
      <c r="C229" s="8">
        <v>911.063</v>
      </c>
      <c r="D229" s="11">
        <v>44727</v>
      </c>
      <c r="E229" s="21"/>
    </row>
    <row r="230" ht="16.5" spans="1:5">
      <c r="A230" s="30">
        <v>3045947.737</v>
      </c>
      <c r="B230" s="30">
        <v>35400649.992</v>
      </c>
      <c r="C230" s="8">
        <v>911.063</v>
      </c>
      <c r="D230" s="11">
        <v>44728</v>
      </c>
      <c r="E230" s="21">
        <v>879.883</v>
      </c>
    </row>
    <row r="231" ht="16.5" spans="1:5">
      <c r="A231" s="30">
        <v>3045947.737</v>
      </c>
      <c r="B231" s="30">
        <v>35400649.992</v>
      </c>
      <c r="C231" s="8">
        <v>911.063</v>
      </c>
      <c r="D231" s="11">
        <v>44729</v>
      </c>
      <c r="E231" s="21"/>
    </row>
    <row r="232" ht="16.5" spans="1:5">
      <c r="A232" s="30">
        <v>3045947.737</v>
      </c>
      <c r="B232" s="30">
        <v>35400649.992</v>
      </c>
      <c r="C232" s="8">
        <v>911.063</v>
      </c>
      <c r="D232" s="11">
        <v>44730</v>
      </c>
      <c r="E232" s="21"/>
    </row>
    <row r="233" ht="16.5" spans="1:5">
      <c r="A233" s="30">
        <v>3045947.737</v>
      </c>
      <c r="B233" s="30">
        <v>35400649.992</v>
      </c>
      <c r="C233" s="8">
        <v>911.063</v>
      </c>
      <c r="D233" s="11">
        <v>44731</v>
      </c>
      <c r="E233" s="21"/>
    </row>
    <row r="234" ht="16.5" spans="1:5">
      <c r="A234" s="30">
        <v>3045947.737</v>
      </c>
      <c r="B234" s="30">
        <v>35400649.992</v>
      </c>
      <c r="C234" s="8">
        <v>911.063</v>
      </c>
      <c r="D234" s="13">
        <v>44732</v>
      </c>
      <c r="E234" s="21"/>
    </row>
    <row r="235" ht="16.5" spans="1:5">
      <c r="A235" s="30">
        <v>3045947.737</v>
      </c>
      <c r="B235" s="30">
        <v>35400649.992</v>
      </c>
      <c r="C235" s="8">
        <v>911.063</v>
      </c>
      <c r="D235" s="13">
        <v>44733</v>
      </c>
      <c r="E235" s="21"/>
    </row>
    <row r="236" ht="16.5" spans="1:5">
      <c r="A236" s="30">
        <v>3045947.737</v>
      </c>
      <c r="B236" s="30">
        <v>35400649.992</v>
      </c>
      <c r="C236" s="8">
        <v>911.063</v>
      </c>
      <c r="D236" s="13">
        <v>44734</v>
      </c>
      <c r="E236" s="21"/>
    </row>
    <row r="237" ht="16.5" spans="1:5">
      <c r="A237" s="30">
        <v>3045947.737</v>
      </c>
      <c r="B237" s="30">
        <v>35400649.992</v>
      </c>
      <c r="C237" s="8">
        <v>911.063</v>
      </c>
      <c r="D237" s="13">
        <v>44735</v>
      </c>
      <c r="E237" s="21"/>
    </row>
    <row r="238" ht="16.5" spans="1:5">
      <c r="A238" s="30">
        <v>3045947.737</v>
      </c>
      <c r="B238" s="30">
        <v>35400649.992</v>
      </c>
      <c r="C238" s="8">
        <v>911.063</v>
      </c>
      <c r="D238" s="13">
        <v>44736</v>
      </c>
      <c r="E238" s="21">
        <v>879.993</v>
      </c>
    </row>
    <row r="239" ht="16.5" spans="1:5">
      <c r="A239" s="30">
        <v>3045947.737</v>
      </c>
      <c r="B239" s="30">
        <v>35400649.992</v>
      </c>
      <c r="C239" s="8">
        <v>911.063</v>
      </c>
      <c r="D239" s="13">
        <v>44737</v>
      </c>
      <c r="E239" s="21"/>
    </row>
    <row r="240" ht="16.5" spans="1:5">
      <c r="A240" s="30">
        <v>3045947.737</v>
      </c>
      <c r="B240" s="30">
        <v>35400649.992</v>
      </c>
      <c r="C240" s="8">
        <v>911.063</v>
      </c>
      <c r="D240" s="13">
        <v>44738</v>
      </c>
      <c r="E240" s="21"/>
    </row>
    <row r="241" ht="16.5" spans="1:5">
      <c r="A241" s="30">
        <v>3045947.737</v>
      </c>
      <c r="B241" s="30">
        <v>35400649.992</v>
      </c>
      <c r="C241" s="8">
        <v>911.063</v>
      </c>
      <c r="D241" s="13">
        <v>44739</v>
      </c>
      <c r="E241" s="22"/>
    </row>
    <row r="242" ht="16.5" spans="1:5">
      <c r="A242" s="30">
        <v>3045947.737</v>
      </c>
      <c r="B242" s="30">
        <v>35400649.992</v>
      </c>
      <c r="C242" s="8">
        <v>911.063</v>
      </c>
      <c r="D242" s="13">
        <v>44740</v>
      </c>
      <c r="E242" s="22"/>
    </row>
    <row r="243" ht="16.5" spans="1:5">
      <c r="A243" s="30">
        <v>3045947.737</v>
      </c>
      <c r="B243" s="30">
        <v>35400649.992</v>
      </c>
      <c r="C243" s="8">
        <v>911.063</v>
      </c>
      <c r="D243" s="13">
        <v>44741</v>
      </c>
      <c r="E243" s="22"/>
    </row>
    <row r="244" ht="16.5" spans="1:5">
      <c r="A244" s="30">
        <v>3045947.737</v>
      </c>
      <c r="B244" s="30">
        <v>35400649.992</v>
      </c>
      <c r="C244" s="8">
        <v>911.063</v>
      </c>
      <c r="D244" s="13">
        <v>44742</v>
      </c>
      <c r="E244" s="22"/>
    </row>
    <row r="245" ht="16.5" spans="1:5">
      <c r="A245" s="30">
        <v>3045947.737</v>
      </c>
      <c r="B245" s="30">
        <v>35400649.992</v>
      </c>
      <c r="C245" s="8">
        <v>911.063</v>
      </c>
      <c r="D245" s="13">
        <v>44743</v>
      </c>
      <c r="E245" s="22"/>
    </row>
    <row r="246" ht="16.5" spans="1:5">
      <c r="A246" s="30">
        <v>3045947.737</v>
      </c>
      <c r="B246" s="30">
        <v>35400649.992</v>
      </c>
      <c r="C246" s="8">
        <v>911.063</v>
      </c>
      <c r="D246" s="13">
        <v>44744</v>
      </c>
      <c r="E246" s="22"/>
    </row>
    <row r="247" ht="16.5" spans="1:5">
      <c r="A247" s="30">
        <v>3045947.737</v>
      </c>
      <c r="B247" s="30">
        <v>35400649.992</v>
      </c>
      <c r="C247" s="8">
        <v>911.063</v>
      </c>
      <c r="D247" s="13">
        <v>44745</v>
      </c>
      <c r="E247" s="22"/>
    </row>
    <row r="248" ht="16.5" spans="1:5">
      <c r="A248" s="30">
        <v>3045947.737</v>
      </c>
      <c r="B248" s="30">
        <v>35400649.992</v>
      </c>
      <c r="C248" s="8">
        <v>911.063</v>
      </c>
      <c r="D248" s="13">
        <v>44746</v>
      </c>
      <c r="E248" s="21"/>
    </row>
    <row r="249" ht="16.5" spans="1:5">
      <c r="A249" s="30">
        <v>3045947.737</v>
      </c>
      <c r="B249" s="30">
        <v>35400649.992</v>
      </c>
      <c r="C249" s="8">
        <v>911.063</v>
      </c>
      <c r="D249" s="13">
        <v>44747</v>
      </c>
      <c r="E249" s="22"/>
    </row>
    <row r="250" ht="16.5" spans="1:5">
      <c r="A250" s="30">
        <v>3045947.737</v>
      </c>
      <c r="B250" s="30">
        <v>35400649.992</v>
      </c>
      <c r="C250" s="8">
        <v>911.063</v>
      </c>
      <c r="D250" s="13">
        <v>44748</v>
      </c>
      <c r="E250" s="21">
        <v>880.15</v>
      </c>
    </row>
    <row r="251" ht="16.5" spans="1:5">
      <c r="A251" s="30">
        <v>3045947.737</v>
      </c>
      <c r="B251" s="30">
        <v>35400649.992</v>
      </c>
      <c r="C251" s="8">
        <v>911.063</v>
      </c>
      <c r="D251" s="13">
        <v>44749</v>
      </c>
      <c r="E251" s="22"/>
    </row>
    <row r="252" ht="16.5" spans="1:5">
      <c r="A252" s="30">
        <v>3045947.737</v>
      </c>
      <c r="B252" s="30">
        <v>35400649.992</v>
      </c>
      <c r="C252" s="8">
        <v>911.063</v>
      </c>
      <c r="D252" s="13">
        <v>44750</v>
      </c>
      <c r="E252" s="22"/>
    </row>
    <row r="253" ht="16.5" spans="1:5">
      <c r="A253" s="30">
        <v>3045947.737</v>
      </c>
      <c r="B253" s="30">
        <v>35400649.992</v>
      </c>
      <c r="C253" s="8">
        <v>911.063</v>
      </c>
      <c r="D253" s="13">
        <v>44751</v>
      </c>
      <c r="E253" s="22"/>
    </row>
    <row r="254" ht="16.5" spans="1:5">
      <c r="A254" s="30">
        <v>3045947.737</v>
      </c>
      <c r="B254" s="30">
        <v>35400649.992</v>
      </c>
      <c r="C254" s="8">
        <v>911.063</v>
      </c>
      <c r="D254" s="13">
        <v>44752</v>
      </c>
      <c r="E254" s="22"/>
    </row>
    <row r="255" ht="16.5" spans="1:5">
      <c r="A255" s="30">
        <v>3045947.737</v>
      </c>
      <c r="B255" s="30">
        <v>35400649.992</v>
      </c>
      <c r="C255" s="8">
        <v>911.063</v>
      </c>
      <c r="D255" s="13">
        <v>44753</v>
      </c>
      <c r="E255" s="22"/>
    </row>
    <row r="256" ht="16.5" spans="1:5">
      <c r="A256" s="30">
        <v>3045947.737</v>
      </c>
      <c r="B256" s="30">
        <v>35400649.992</v>
      </c>
      <c r="C256" s="8">
        <v>911.063</v>
      </c>
      <c r="D256" s="13">
        <v>44754</v>
      </c>
      <c r="E256" s="22"/>
    </row>
    <row r="257" ht="16.5" spans="1:5">
      <c r="A257" s="30">
        <v>3045947.737</v>
      </c>
      <c r="B257" s="30">
        <v>35400649.992</v>
      </c>
      <c r="C257" s="8">
        <v>911.063</v>
      </c>
      <c r="D257" s="13">
        <v>44755</v>
      </c>
      <c r="E257" s="22"/>
    </row>
    <row r="258" ht="16.5" spans="1:5">
      <c r="A258" s="30">
        <v>3045947.737</v>
      </c>
      <c r="B258" s="30">
        <v>35400649.992</v>
      </c>
      <c r="C258" s="8">
        <v>911.063</v>
      </c>
      <c r="D258" s="13">
        <v>44756</v>
      </c>
      <c r="E258" s="22"/>
    </row>
    <row r="259" ht="16.5" spans="1:5">
      <c r="A259" s="30">
        <v>3045947.737</v>
      </c>
      <c r="B259" s="30">
        <v>35400649.992</v>
      </c>
      <c r="C259" s="8">
        <v>911.063</v>
      </c>
      <c r="D259" s="13">
        <v>44757</v>
      </c>
      <c r="E259" s="22"/>
    </row>
    <row r="260" ht="16.5" spans="1:5">
      <c r="A260" s="30">
        <v>3045947.737</v>
      </c>
      <c r="B260" s="30">
        <v>35400649.992</v>
      </c>
      <c r="C260" s="8">
        <v>911.063</v>
      </c>
      <c r="D260" s="13">
        <v>44758</v>
      </c>
      <c r="E260" s="22"/>
    </row>
    <row r="261" ht="16.5" spans="1:5">
      <c r="A261" s="30">
        <v>3045947.737</v>
      </c>
      <c r="B261" s="30">
        <v>35400649.992</v>
      </c>
      <c r="C261" s="8">
        <v>911.063</v>
      </c>
      <c r="D261" s="13">
        <v>44759</v>
      </c>
      <c r="E261" s="22"/>
    </row>
    <row r="262" ht="16.5" spans="1:5">
      <c r="A262" s="30">
        <v>3045947.737</v>
      </c>
      <c r="B262" s="30">
        <v>35400649.992</v>
      </c>
      <c r="C262" s="8">
        <v>911.063</v>
      </c>
      <c r="D262" s="13">
        <v>44760</v>
      </c>
      <c r="E262" s="22"/>
    </row>
    <row r="263" ht="16.5" spans="1:5">
      <c r="A263" s="30">
        <v>3045947.737</v>
      </c>
      <c r="B263" s="30">
        <v>35400649.992</v>
      </c>
      <c r="C263" s="8">
        <v>911.063</v>
      </c>
      <c r="D263" s="13">
        <v>44761</v>
      </c>
      <c r="E263" s="21">
        <v>880.463</v>
      </c>
    </row>
    <row r="264" ht="16.5" spans="1:5">
      <c r="A264" s="30">
        <v>3045947.737</v>
      </c>
      <c r="B264" s="30">
        <v>35400649.992</v>
      </c>
      <c r="C264" s="8">
        <v>911.063</v>
      </c>
      <c r="D264" s="13">
        <v>44762</v>
      </c>
      <c r="E264" s="21">
        <v>880.603</v>
      </c>
    </row>
    <row r="265" ht="16.5" spans="1:5">
      <c r="A265" s="30">
        <v>3045947.737</v>
      </c>
      <c r="B265" s="30">
        <v>35400649.992</v>
      </c>
      <c r="C265" s="8">
        <v>911.063</v>
      </c>
      <c r="D265" s="13">
        <v>44763</v>
      </c>
      <c r="E265" s="21">
        <v>880.553</v>
      </c>
    </row>
    <row r="266" ht="16.5" spans="1:5">
      <c r="A266" s="30">
        <v>3045947.737</v>
      </c>
      <c r="B266" s="30">
        <v>35400649.992</v>
      </c>
      <c r="C266" s="8">
        <v>911.063</v>
      </c>
      <c r="D266" s="13">
        <v>44764</v>
      </c>
      <c r="E266" s="21">
        <v>880.413</v>
      </c>
    </row>
    <row r="267" ht="16.5" spans="1:5">
      <c r="A267" s="30">
        <v>3045947.737</v>
      </c>
      <c r="B267" s="30">
        <v>35400649.992</v>
      </c>
      <c r="C267" s="8">
        <v>911.063</v>
      </c>
      <c r="D267" s="13">
        <v>44765</v>
      </c>
      <c r="E267" s="21">
        <v>880.433</v>
      </c>
    </row>
    <row r="268" ht="16.5" spans="1:5">
      <c r="A268" s="30">
        <v>3045947.737</v>
      </c>
      <c r="B268" s="30">
        <v>35400649.992</v>
      </c>
      <c r="C268" s="8">
        <v>911.063</v>
      </c>
      <c r="D268" s="13">
        <v>44766</v>
      </c>
      <c r="E268" s="21">
        <v>880.333</v>
      </c>
    </row>
    <row r="269" ht="16.5" spans="1:5">
      <c r="A269" s="30">
        <v>3045947.737</v>
      </c>
      <c r="B269" s="30">
        <v>35400649.992</v>
      </c>
      <c r="C269" s="8">
        <v>911.063</v>
      </c>
      <c r="D269" s="13">
        <v>44767</v>
      </c>
      <c r="E269" s="21">
        <v>880.143</v>
      </c>
    </row>
    <row r="270" ht="16.5" spans="1:5">
      <c r="A270" s="30">
        <v>3045947.737</v>
      </c>
      <c r="B270" s="30">
        <v>35400649.992</v>
      </c>
      <c r="C270" s="8">
        <v>911.063</v>
      </c>
      <c r="D270" s="13">
        <v>44768</v>
      </c>
      <c r="E270" s="21">
        <v>880.263</v>
      </c>
    </row>
    <row r="271" ht="16.5" spans="1:5">
      <c r="A271" s="30">
        <v>3045947.737</v>
      </c>
      <c r="B271" s="30">
        <v>35400649.992</v>
      </c>
      <c r="C271" s="8">
        <v>911.063</v>
      </c>
      <c r="D271" s="13">
        <v>44769</v>
      </c>
      <c r="E271" s="21">
        <v>880.213</v>
      </c>
    </row>
    <row r="272" ht="16.5" spans="1:5">
      <c r="A272" s="30">
        <v>3045947.737</v>
      </c>
      <c r="B272" s="30">
        <v>35400649.992</v>
      </c>
      <c r="C272" s="8">
        <v>911.063</v>
      </c>
      <c r="D272" s="13">
        <v>44770</v>
      </c>
      <c r="E272" s="21">
        <v>880.153</v>
      </c>
    </row>
    <row r="273" ht="16.5" spans="1:5">
      <c r="A273" s="30">
        <v>3045947.737</v>
      </c>
      <c r="B273" s="30">
        <v>35400649.992</v>
      </c>
      <c r="C273" s="8">
        <v>911.063</v>
      </c>
      <c r="D273" s="13">
        <v>44771</v>
      </c>
      <c r="E273" s="21">
        <v>880.263</v>
      </c>
    </row>
    <row r="274" ht="16.5" spans="1:5">
      <c r="A274" s="30">
        <v>3045947.737</v>
      </c>
      <c r="B274" s="30">
        <v>35400649.992</v>
      </c>
      <c r="C274" s="8">
        <v>911.063</v>
      </c>
      <c r="D274" s="13">
        <v>44772</v>
      </c>
      <c r="E274" s="21">
        <v>880.143</v>
      </c>
    </row>
    <row r="275" ht="16.5" spans="1:5">
      <c r="A275" s="30">
        <v>3045947.737</v>
      </c>
      <c r="B275" s="30">
        <v>35400649.992</v>
      </c>
      <c r="C275" s="8">
        <v>911.063</v>
      </c>
      <c r="D275" s="13">
        <v>44773</v>
      </c>
      <c r="E275" s="21">
        <v>880.183</v>
      </c>
    </row>
    <row r="276" ht="16.5" spans="1:5">
      <c r="A276" s="30">
        <v>3045947.737</v>
      </c>
      <c r="B276" s="30">
        <v>35400649.992</v>
      </c>
      <c r="C276" s="8">
        <v>911.063</v>
      </c>
      <c r="D276" s="13">
        <v>44774</v>
      </c>
      <c r="E276" s="21">
        <v>880.163</v>
      </c>
    </row>
    <row r="277" ht="16.5" spans="1:5">
      <c r="A277" s="30">
        <v>3045947.737</v>
      </c>
      <c r="B277" s="30">
        <v>35400649.992</v>
      </c>
      <c r="C277" s="8">
        <v>911.063</v>
      </c>
      <c r="D277" s="13">
        <v>44775</v>
      </c>
      <c r="E277" s="21">
        <v>880.163</v>
      </c>
    </row>
    <row r="278" ht="16.5" spans="1:5">
      <c r="A278" s="30">
        <v>3045947.737</v>
      </c>
      <c r="B278" s="30">
        <v>35400649.992</v>
      </c>
      <c r="C278" s="8">
        <v>911.063</v>
      </c>
      <c r="D278" s="13">
        <v>44776</v>
      </c>
      <c r="E278" s="21">
        <v>880.203</v>
      </c>
    </row>
    <row r="279" ht="16.5" spans="1:5">
      <c r="A279" s="30">
        <v>3045947.737</v>
      </c>
      <c r="B279" s="30">
        <v>35400649.992</v>
      </c>
      <c r="C279" s="8">
        <v>911.063</v>
      </c>
      <c r="D279" s="13">
        <v>44777</v>
      </c>
      <c r="E279" s="21">
        <v>880.503</v>
      </c>
    </row>
    <row r="280" ht="16.5" spans="1:5">
      <c r="A280" s="30">
        <v>3045947.737</v>
      </c>
      <c r="B280" s="30">
        <v>35400649.992</v>
      </c>
      <c r="C280" s="8">
        <v>911.063</v>
      </c>
      <c r="D280" s="13">
        <v>44778</v>
      </c>
      <c r="E280" s="21">
        <v>880.563</v>
      </c>
    </row>
    <row r="281" ht="16.5" spans="1:5">
      <c r="A281" s="30">
        <v>3045947.737</v>
      </c>
      <c r="B281" s="30">
        <v>35400649.992</v>
      </c>
      <c r="C281" s="8">
        <v>911.063</v>
      </c>
      <c r="D281" s="13">
        <v>44779</v>
      </c>
      <c r="E281" s="21">
        <v>880.583</v>
      </c>
    </row>
    <row r="282" ht="16.5" spans="1:5">
      <c r="A282" s="30">
        <v>3045947.737</v>
      </c>
      <c r="B282" s="30">
        <v>35400649.992</v>
      </c>
      <c r="C282" s="8">
        <v>911.063</v>
      </c>
      <c r="D282" s="13">
        <v>44780</v>
      </c>
      <c r="E282" s="21">
        <v>880.523</v>
      </c>
    </row>
    <row r="283" ht="16.5" spans="1:5">
      <c r="A283" s="30">
        <v>3045947.737</v>
      </c>
      <c r="B283" s="30">
        <v>35400649.992</v>
      </c>
      <c r="C283" s="8">
        <v>911.063</v>
      </c>
      <c r="D283" s="13">
        <v>44781</v>
      </c>
      <c r="E283" s="21"/>
    </row>
    <row r="284" ht="16.5" spans="1:5">
      <c r="A284" s="30">
        <v>3045947.737</v>
      </c>
      <c r="B284" s="30">
        <v>35400649.992</v>
      </c>
      <c r="C284" s="8">
        <v>911.063</v>
      </c>
      <c r="D284" s="13">
        <v>44782</v>
      </c>
      <c r="E284" s="21"/>
    </row>
    <row r="285" ht="16.5" spans="1:5">
      <c r="A285" s="30">
        <v>3045947.737</v>
      </c>
      <c r="B285" s="30">
        <v>35400649.992</v>
      </c>
      <c r="C285" s="8">
        <v>911.063</v>
      </c>
      <c r="D285" s="13">
        <v>44783</v>
      </c>
      <c r="E285" s="21">
        <v>880.593</v>
      </c>
    </row>
    <row r="286" ht="16.5" spans="1:5">
      <c r="A286" s="30">
        <v>3045947.737</v>
      </c>
      <c r="B286" s="30">
        <v>35400649.992</v>
      </c>
      <c r="C286" s="8">
        <v>911.063</v>
      </c>
      <c r="D286" s="13">
        <v>44784</v>
      </c>
      <c r="E286" s="21">
        <v>880.613</v>
      </c>
    </row>
    <row r="287" ht="16.5" spans="1:5">
      <c r="A287" s="30">
        <v>3045947.737</v>
      </c>
      <c r="B287" s="30">
        <v>35400649.992</v>
      </c>
      <c r="C287" s="8">
        <v>911.063</v>
      </c>
      <c r="D287" s="13">
        <v>44785</v>
      </c>
      <c r="E287" s="21">
        <v>880.243</v>
      </c>
    </row>
    <row r="288" ht="16.5" spans="1:5">
      <c r="A288" s="30">
        <v>3045947.737</v>
      </c>
      <c r="B288" s="30">
        <v>35400649.992</v>
      </c>
      <c r="C288" s="8">
        <v>911.063</v>
      </c>
      <c r="D288" s="13">
        <v>44786</v>
      </c>
      <c r="E288" s="21">
        <v>880.253</v>
      </c>
    </row>
    <row r="289" ht="16.5" spans="1:5">
      <c r="A289" s="30">
        <v>3045947.737</v>
      </c>
      <c r="B289" s="30">
        <v>35400649.992</v>
      </c>
      <c r="C289" s="8">
        <v>911.063</v>
      </c>
      <c r="D289" s="13">
        <v>44787</v>
      </c>
      <c r="E289" s="21">
        <v>880.223</v>
      </c>
    </row>
    <row r="290" ht="16.5" spans="1:5">
      <c r="A290" s="30">
        <v>3045947.737</v>
      </c>
      <c r="B290" s="30">
        <v>35400649.992</v>
      </c>
      <c r="C290" s="8">
        <v>911.063</v>
      </c>
      <c r="D290" s="13">
        <v>44788</v>
      </c>
      <c r="E290" s="21">
        <v>880.293</v>
      </c>
    </row>
    <row r="291" ht="16.5" spans="1:5">
      <c r="A291" s="30">
        <v>3045947.737</v>
      </c>
      <c r="B291" s="30">
        <v>35400649.992</v>
      </c>
      <c r="C291" s="8">
        <v>911.063</v>
      </c>
      <c r="D291" s="13">
        <v>44789</v>
      </c>
      <c r="E291" s="21">
        <v>880.183</v>
      </c>
    </row>
    <row r="292" ht="16.5" spans="1:5">
      <c r="A292" s="30">
        <v>3045947.737</v>
      </c>
      <c r="B292" s="30">
        <v>35400649.992</v>
      </c>
      <c r="C292" s="8">
        <v>911.063</v>
      </c>
      <c r="D292" s="13">
        <v>44790</v>
      </c>
      <c r="E292" s="21">
        <v>880.273</v>
      </c>
    </row>
    <row r="293" ht="16.5" spans="1:5">
      <c r="A293" s="30">
        <v>3045947.737</v>
      </c>
      <c r="B293" s="30">
        <v>35400649.992</v>
      </c>
      <c r="C293" s="8">
        <v>911.063</v>
      </c>
      <c r="D293" s="13">
        <v>44791</v>
      </c>
      <c r="E293" s="21">
        <v>880.293</v>
      </c>
    </row>
    <row r="294" ht="16.5" spans="1:5">
      <c r="A294" s="30">
        <v>3045947.737</v>
      </c>
      <c r="B294" s="30">
        <v>35400649.992</v>
      </c>
      <c r="C294" s="8">
        <v>911.063</v>
      </c>
      <c r="D294" s="13">
        <v>44792</v>
      </c>
      <c r="E294" s="21">
        <v>880.103</v>
      </c>
    </row>
    <row r="295" ht="16.5" spans="1:5">
      <c r="A295" s="30">
        <v>3045947.737</v>
      </c>
      <c r="B295" s="30">
        <v>35400649.992</v>
      </c>
      <c r="C295" s="8">
        <v>911.063</v>
      </c>
      <c r="D295" s="13">
        <v>44793</v>
      </c>
      <c r="E295" s="21">
        <v>879.993</v>
      </c>
    </row>
    <row r="296" ht="16.5" spans="1:5">
      <c r="A296" s="30">
        <v>3045947.737</v>
      </c>
      <c r="B296" s="30">
        <v>35400649.992</v>
      </c>
      <c r="C296" s="8">
        <v>911.063</v>
      </c>
      <c r="D296" s="13">
        <v>44794</v>
      </c>
      <c r="E296" s="21"/>
    </row>
    <row r="297" ht="16.5" spans="1:5">
      <c r="A297" s="30">
        <v>3045947.737</v>
      </c>
      <c r="B297" s="30">
        <v>35400649.992</v>
      </c>
      <c r="C297" s="8">
        <v>911.063</v>
      </c>
      <c r="D297" s="13">
        <v>44795</v>
      </c>
      <c r="E297" s="21"/>
    </row>
    <row r="298" ht="16.5" spans="1:5">
      <c r="A298" s="30">
        <v>3045947.737</v>
      </c>
      <c r="B298" s="30">
        <v>35400649.992</v>
      </c>
      <c r="C298" s="8">
        <v>911.063</v>
      </c>
      <c r="D298" s="13">
        <v>44796</v>
      </c>
      <c r="E298" s="21">
        <v>880.083</v>
      </c>
    </row>
    <row r="299" ht="16.5" spans="1:5">
      <c r="A299" s="30">
        <v>3045947.737</v>
      </c>
      <c r="B299" s="30">
        <v>35400649.992</v>
      </c>
      <c r="C299" s="8">
        <v>911.063</v>
      </c>
      <c r="D299" s="13">
        <v>44797</v>
      </c>
      <c r="E299" s="21">
        <v>879.863</v>
      </c>
    </row>
    <row r="300" ht="16.5" spans="1:5">
      <c r="A300" s="30">
        <v>3045947.737</v>
      </c>
      <c r="B300" s="30">
        <v>35400649.992</v>
      </c>
      <c r="C300" s="8">
        <v>911.063</v>
      </c>
      <c r="D300" s="13">
        <v>44798</v>
      </c>
      <c r="E300" s="21">
        <v>879.903</v>
      </c>
    </row>
    <row r="301" ht="16.5" spans="1:5">
      <c r="A301" s="30">
        <v>3045947.737</v>
      </c>
      <c r="B301" s="30">
        <v>35400649.992</v>
      </c>
      <c r="C301" s="8">
        <v>911.063</v>
      </c>
      <c r="D301" s="13">
        <v>44799</v>
      </c>
      <c r="E301" s="21">
        <v>879.853</v>
      </c>
    </row>
    <row r="302" ht="16.5" spans="1:5">
      <c r="A302" s="30">
        <v>3045947.737</v>
      </c>
      <c r="B302" s="30">
        <v>35400649.992</v>
      </c>
      <c r="C302" s="8">
        <v>911.063</v>
      </c>
      <c r="D302" s="13">
        <v>44800</v>
      </c>
      <c r="E302" s="21">
        <v>879.733</v>
      </c>
    </row>
    <row r="303" ht="16.5" spans="1:5">
      <c r="A303" s="30">
        <v>3045947.737</v>
      </c>
      <c r="B303" s="30">
        <v>35400649.992</v>
      </c>
      <c r="C303" s="8">
        <v>911.063</v>
      </c>
      <c r="D303" s="13">
        <v>44801</v>
      </c>
      <c r="E303" s="21">
        <v>879.753</v>
      </c>
    </row>
    <row r="304" ht="16.5" spans="1:5">
      <c r="A304" s="30">
        <v>3045947.737</v>
      </c>
      <c r="B304" s="30">
        <v>35400649.992</v>
      </c>
      <c r="C304" s="8">
        <v>911.063</v>
      </c>
      <c r="D304" s="13">
        <v>44802</v>
      </c>
      <c r="E304" s="21">
        <v>879.703</v>
      </c>
    </row>
    <row r="305" ht="16.5" spans="1:5">
      <c r="A305" s="30">
        <v>3045947.737</v>
      </c>
      <c r="B305" s="30">
        <v>35400649.992</v>
      </c>
      <c r="C305" s="8">
        <v>911.063</v>
      </c>
      <c r="D305" s="13">
        <v>44803</v>
      </c>
      <c r="E305" s="21">
        <v>879.643</v>
      </c>
    </row>
    <row r="306" ht="16.5" spans="1:5">
      <c r="A306" s="30">
        <v>3045947.737</v>
      </c>
      <c r="B306" s="30">
        <v>35400649.992</v>
      </c>
      <c r="C306" s="8">
        <v>911.063</v>
      </c>
      <c r="D306" s="13">
        <v>44804</v>
      </c>
      <c r="E306" s="21">
        <v>879.533</v>
      </c>
    </row>
    <row r="307" ht="16.5" spans="1:5">
      <c r="A307" s="30">
        <v>3045947.737</v>
      </c>
      <c r="B307" s="30">
        <v>35400649.992</v>
      </c>
      <c r="C307" s="8">
        <v>911.063</v>
      </c>
      <c r="D307" s="13">
        <v>44805</v>
      </c>
      <c r="E307" s="21">
        <v>879.483</v>
      </c>
    </row>
    <row r="308" ht="16.5" spans="1:5">
      <c r="A308" s="30">
        <v>3045947.737</v>
      </c>
      <c r="B308" s="30">
        <v>35400649.992</v>
      </c>
      <c r="C308" s="8">
        <v>911.063</v>
      </c>
      <c r="D308" s="13">
        <v>44806</v>
      </c>
      <c r="E308" s="21">
        <v>879.403</v>
      </c>
    </row>
    <row r="309" ht="16.5" spans="1:5">
      <c r="A309" s="30">
        <v>3045947.737</v>
      </c>
      <c r="B309" s="30">
        <v>35400649.992</v>
      </c>
      <c r="C309" s="8">
        <v>911.063</v>
      </c>
      <c r="D309" s="13">
        <v>44807</v>
      </c>
      <c r="E309" s="21">
        <v>879.363</v>
      </c>
    </row>
    <row r="310" ht="16.5" spans="1:5">
      <c r="A310" s="30">
        <v>3045947.737</v>
      </c>
      <c r="B310" s="30">
        <v>35400649.992</v>
      </c>
      <c r="C310" s="8">
        <v>911.063</v>
      </c>
      <c r="D310" s="13">
        <v>44808</v>
      </c>
      <c r="E310" s="21">
        <v>879.293</v>
      </c>
    </row>
    <row r="311" ht="16.5" spans="1:5">
      <c r="A311" s="30">
        <v>3045947.737</v>
      </c>
      <c r="B311" s="30">
        <v>35400649.992</v>
      </c>
      <c r="C311" s="8">
        <v>911.063</v>
      </c>
      <c r="D311" s="13">
        <v>44809</v>
      </c>
      <c r="E311" s="21">
        <v>879.313</v>
      </c>
    </row>
    <row r="312" ht="16.5" spans="1:5">
      <c r="A312" s="30">
        <v>3045947.737</v>
      </c>
      <c r="B312" s="30">
        <v>35400649.992</v>
      </c>
      <c r="C312" s="8">
        <v>911.063</v>
      </c>
      <c r="D312" s="13">
        <v>44810</v>
      </c>
      <c r="E312" s="21">
        <v>879.323</v>
      </c>
    </row>
    <row r="313" ht="16.5" spans="1:5">
      <c r="A313" s="30">
        <v>3045947.737</v>
      </c>
      <c r="B313" s="30">
        <v>35400649.992</v>
      </c>
      <c r="C313" s="8">
        <v>911.063</v>
      </c>
      <c r="D313" s="13">
        <v>44811</v>
      </c>
      <c r="E313" s="21">
        <v>879.213</v>
      </c>
    </row>
    <row r="314" ht="16.5" spans="1:5">
      <c r="A314" s="30">
        <v>3045947.737</v>
      </c>
      <c r="B314" s="30">
        <v>35400649.992</v>
      </c>
      <c r="C314" s="8">
        <v>911.063</v>
      </c>
      <c r="D314" s="13">
        <v>44812</v>
      </c>
      <c r="E314" s="21"/>
    </row>
    <row r="315" ht="16.5" spans="1:5">
      <c r="A315" s="30">
        <v>3045947.737</v>
      </c>
      <c r="B315" s="30">
        <v>35400649.992</v>
      </c>
      <c r="C315" s="8">
        <v>911.063</v>
      </c>
      <c r="D315" s="13">
        <v>44813</v>
      </c>
      <c r="E315" s="21">
        <v>879.103</v>
      </c>
    </row>
    <row r="316" ht="16.5" spans="1:5">
      <c r="A316" s="30">
        <v>3045947.737</v>
      </c>
      <c r="B316" s="30">
        <v>35400649.992</v>
      </c>
      <c r="C316" s="8">
        <v>911.063</v>
      </c>
      <c r="D316" s="13">
        <v>44814</v>
      </c>
      <c r="E316" s="21">
        <v>879.183</v>
      </c>
    </row>
    <row r="317" ht="16.5" spans="1:5">
      <c r="A317" s="30">
        <v>3045947.737</v>
      </c>
      <c r="B317" s="30">
        <v>35400649.992</v>
      </c>
      <c r="C317" s="8">
        <v>911.063</v>
      </c>
      <c r="D317" s="13">
        <v>44815</v>
      </c>
      <c r="E317" s="21">
        <v>879.063</v>
      </c>
    </row>
    <row r="318" ht="16.5" spans="1:5">
      <c r="A318" s="30">
        <v>3045947.737</v>
      </c>
      <c r="B318" s="30">
        <v>35400649.992</v>
      </c>
      <c r="C318" s="8">
        <v>911.063</v>
      </c>
      <c r="D318" s="13">
        <v>44816</v>
      </c>
      <c r="E318" s="21">
        <v>879.043</v>
      </c>
    </row>
    <row r="319" ht="16.5" spans="1:5">
      <c r="A319" s="30">
        <v>3045947.737</v>
      </c>
      <c r="B319" s="30">
        <v>35400649.992</v>
      </c>
      <c r="C319" s="8">
        <v>911.063</v>
      </c>
      <c r="D319" s="13">
        <v>44817</v>
      </c>
      <c r="E319" s="21">
        <v>878.953</v>
      </c>
    </row>
    <row r="320" ht="16.5" spans="1:5">
      <c r="A320" s="30">
        <v>3045947.737</v>
      </c>
      <c r="B320" s="30">
        <v>35400649.992</v>
      </c>
      <c r="C320" s="8">
        <v>911.063</v>
      </c>
      <c r="D320" s="13">
        <v>44818</v>
      </c>
      <c r="E320" s="21">
        <v>878.973</v>
      </c>
    </row>
    <row r="321" ht="16.5" spans="1:5">
      <c r="A321" s="30">
        <v>3045947.737</v>
      </c>
      <c r="B321" s="30">
        <v>35400649.992</v>
      </c>
      <c r="C321" s="8">
        <v>911.063</v>
      </c>
      <c r="D321" s="11">
        <v>44819</v>
      </c>
      <c r="E321" s="21">
        <v>878.953</v>
      </c>
    </row>
    <row r="322" ht="16.5" spans="1:5">
      <c r="A322" s="30">
        <v>3045947.737</v>
      </c>
      <c r="B322" s="30">
        <v>35400649.992</v>
      </c>
      <c r="C322" s="8">
        <v>911.063</v>
      </c>
      <c r="D322" s="11">
        <v>44820</v>
      </c>
      <c r="E322" s="21">
        <v>879.003</v>
      </c>
    </row>
    <row r="323" ht="16.5" spans="1:5">
      <c r="A323" s="30">
        <v>3045947.737</v>
      </c>
      <c r="B323" s="30">
        <v>35400649.992</v>
      </c>
      <c r="C323" s="8">
        <v>911.063</v>
      </c>
      <c r="D323" s="11">
        <v>44821</v>
      </c>
      <c r="E323" s="21">
        <v>879.513</v>
      </c>
    </row>
    <row r="324" ht="16.5" spans="1:5">
      <c r="A324" s="30">
        <v>3045947.737</v>
      </c>
      <c r="B324" s="30">
        <v>35400649.992</v>
      </c>
      <c r="C324" s="8">
        <v>911.063</v>
      </c>
      <c r="D324" s="11">
        <v>44822</v>
      </c>
      <c r="E324" s="21">
        <v>879.443</v>
      </c>
    </row>
    <row r="325" ht="16.5" spans="1:5">
      <c r="A325" s="30">
        <v>3045947.737</v>
      </c>
      <c r="B325" s="30">
        <v>35400649.992</v>
      </c>
      <c r="C325" s="8">
        <v>911.063</v>
      </c>
      <c r="D325" s="11">
        <v>44823</v>
      </c>
      <c r="E325" s="21">
        <v>879.433</v>
      </c>
    </row>
    <row r="326" ht="16.5" spans="1:5">
      <c r="A326" s="30">
        <v>3045947.737</v>
      </c>
      <c r="B326" s="30">
        <v>35400649.992</v>
      </c>
      <c r="C326" s="8">
        <v>911.063</v>
      </c>
      <c r="D326" s="11">
        <v>44824</v>
      </c>
      <c r="E326" s="21">
        <v>879.633</v>
      </c>
    </row>
    <row r="327" ht="16.5" spans="1:5">
      <c r="A327" s="30">
        <v>3045947.737</v>
      </c>
      <c r="B327" s="30">
        <v>35400649.992</v>
      </c>
      <c r="C327" s="8">
        <v>911.063</v>
      </c>
      <c r="D327" s="11">
        <v>44825</v>
      </c>
      <c r="E327" s="21">
        <v>879.563</v>
      </c>
    </row>
    <row r="328" ht="16.5" spans="1:5">
      <c r="A328" s="30">
        <v>3045947.737</v>
      </c>
      <c r="B328" s="30">
        <v>35400649.992</v>
      </c>
      <c r="C328" s="8">
        <v>911.063</v>
      </c>
      <c r="D328" s="11">
        <v>44826</v>
      </c>
      <c r="E328" s="21">
        <v>879.613</v>
      </c>
    </row>
    <row r="329" ht="16.5" spans="1:5">
      <c r="A329" s="30">
        <v>3045947.737</v>
      </c>
      <c r="B329" s="30">
        <v>35400649.992</v>
      </c>
      <c r="C329" s="8">
        <v>911.063</v>
      </c>
      <c r="D329" s="11">
        <v>44827</v>
      </c>
      <c r="E329" s="21"/>
    </row>
    <row r="330" ht="16.5" spans="1:5">
      <c r="A330" s="30">
        <v>3045947.737</v>
      </c>
      <c r="B330" s="30">
        <v>35400649.992</v>
      </c>
      <c r="C330" s="8">
        <v>911.063</v>
      </c>
      <c r="D330" s="11">
        <v>44828</v>
      </c>
      <c r="E330" s="21">
        <v>879.893</v>
      </c>
    </row>
    <row r="331" ht="16.5" spans="1:5">
      <c r="A331" s="30">
        <v>3045947.737</v>
      </c>
      <c r="B331" s="30">
        <v>35400649.992</v>
      </c>
      <c r="C331" s="8">
        <v>911.063</v>
      </c>
      <c r="D331" s="11">
        <v>44829</v>
      </c>
      <c r="E331" s="21">
        <v>879.753</v>
      </c>
    </row>
    <row r="332" ht="16.5" spans="1:5">
      <c r="A332" s="30">
        <v>3045947.737</v>
      </c>
      <c r="B332" s="30">
        <v>35400649.992</v>
      </c>
      <c r="C332" s="8">
        <v>911.063</v>
      </c>
      <c r="D332" s="11">
        <v>44830</v>
      </c>
      <c r="E332" s="21">
        <v>879.883</v>
      </c>
    </row>
    <row r="333" ht="16.5" spans="1:5">
      <c r="A333" s="30">
        <v>3045947.737</v>
      </c>
      <c r="B333" s="30">
        <v>35400649.992</v>
      </c>
      <c r="C333" s="8">
        <v>911.063</v>
      </c>
      <c r="D333" s="11">
        <v>44831</v>
      </c>
      <c r="E333" s="21">
        <v>879.913</v>
      </c>
    </row>
    <row r="334" ht="16.5" spans="1:5">
      <c r="A334" s="30">
        <v>3045947.737</v>
      </c>
      <c r="B334" s="30">
        <v>35400649.992</v>
      </c>
      <c r="C334" s="8">
        <v>911.063</v>
      </c>
      <c r="D334" s="11">
        <v>44832</v>
      </c>
      <c r="E334" s="21">
        <v>879.953</v>
      </c>
    </row>
    <row r="335" ht="16.5" spans="1:5">
      <c r="A335" s="30">
        <v>3045947.737</v>
      </c>
      <c r="B335" s="30">
        <v>35400649.992</v>
      </c>
      <c r="C335" s="8">
        <v>911.063</v>
      </c>
      <c r="D335" s="11">
        <v>44833</v>
      </c>
      <c r="E335" s="21">
        <v>879.853</v>
      </c>
    </row>
    <row r="336" ht="16.5" spans="1:5">
      <c r="A336" s="30">
        <v>3045947.737</v>
      </c>
      <c r="B336" s="30">
        <v>35400649.992</v>
      </c>
      <c r="C336" s="8">
        <v>911.063</v>
      </c>
      <c r="D336" s="11">
        <v>44834</v>
      </c>
      <c r="E336" s="21">
        <v>879.833</v>
      </c>
    </row>
    <row r="337" ht="16.5" spans="1:5">
      <c r="A337" s="30">
        <v>3045947.737</v>
      </c>
      <c r="B337" s="30">
        <v>35400649.992</v>
      </c>
      <c r="C337" s="8">
        <v>911.063</v>
      </c>
      <c r="D337" s="11">
        <v>44835</v>
      </c>
      <c r="E337" s="21">
        <v>879.893</v>
      </c>
    </row>
    <row r="338" ht="16.5" spans="1:5">
      <c r="A338" s="30">
        <v>3045947.737</v>
      </c>
      <c r="B338" s="30">
        <v>35400649.992</v>
      </c>
      <c r="C338" s="8">
        <v>911.063</v>
      </c>
      <c r="D338" s="11">
        <v>44836</v>
      </c>
      <c r="E338" s="21"/>
    </row>
    <row r="339" ht="16.5" spans="1:5">
      <c r="A339" s="30">
        <v>3045947.737</v>
      </c>
      <c r="B339" s="30">
        <v>35400649.992</v>
      </c>
      <c r="C339" s="8">
        <v>911.063</v>
      </c>
      <c r="D339" s="11">
        <v>44837</v>
      </c>
      <c r="E339" s="21">
        <v>879.903</v>
      </c>
    </row>
    <row r="340" ht="16.5" spans="1:5">
      <c r="A340" s="30">
        <v>3045947.737</v>
      </c>
      <c r="B340" s="30">
        <v>35400649.992</v>
      </c>
      <c r="C340" s="8">
        <v>911.063</v>
      </c>
      <c r="D340" s="11">
        <v>44838</v>
      </c>
      <c r="E340" s="21">
        <v>879.883</v>
      </c>
    </row>
    <row r="341" ht="16.5" spans="1:5">
      <c r="A341" s="30">
        <v>3045947.737</v>
      </c>
      <c r="B341" s="30">
        <v>35400649.992</v>
      </c>
      <c r="C341" s="8">
        <v>911.063</v>
      </c>
      <c r="D341" s="11">
        <v>44839</v>
      </c>
      <c r="E341" s="21">
        <v>879.863</v>
      </c>
    </row>
    <row r="342" ht="16.5" spans="1:5">
      <c r="A342" s="30">
        <v>3045947.737</v>
      </c>
      <c r="B342" s="30">
        <v>35400649.992</v>
      </c>
      <c r="C342" s="8">
        <v>911.063</v>
      </c>
      <c r="D342" s="11">
        <v>44840</v>
      </c>
      <c r="E342" s="21">
        <v>879.863</v>
      </c>
    </row>
    <row r="343" ht="16.5" spans="1:5">
      <c r="A343" s="30">
        <v>3045947.737</v>
      </c>
      <c r="B343" s="30">
        <v>35400649.992</v>
      </c>
      <c r="C343" s="8">
        <v>911.063</v>
      </c>
      <c r="D343" s="11">
        <v>44841</v>
      </c>
      <c r="E343" s="21">
        <v>879.953</v>
      </c>
    </row>
    <row r="344" ht="16.5" spans="1:5">
      <c r="A344" s="30">
        <v>3045947.737</v>
      </c>
      <c r="B344" s="30">
        <v>35400649.992</v>
      </c>
      <c r="C344" s="8">
        <v>911.063</v>
      </c>
      <c r="D344" s="11">
        <v>44842</v>
      </c>
      <c r="E344" s="21"/>
    </row>
    <row r="345" ht="16.5" spans="1:5">
      <c r="A345" s="30">
        <v>3045947.737</v>
      </c>
      <c r="B345" s="30">
        <v>35400649.992</v>
      </c>
      <c r="C345" s="8">
        <v>911.063</v>
      </c>
      <c r="D345" s="11">
        <v>44843</v>
      </c>
      <c r="E345" s="21"/>
    </row>
    <row r="346" ht="16.5" spans="1:5">
      <c r="A346" s="30">
        <v>3045947.737</v>
      </c>
      <c r="B346" s="30">
        <v>35400649.992</v>
      </c>
      <c r="C346" s="8">
        <v>911.063</v>
      </c>
      <c r="D346" s="11">
        <v>44844</v>
      </c>
      <c r="E346" s="21"/>
    </row>
    <row r="347" ht="16.5" spans="1:5">
      <c r="A347" s="30">
        <v>3045947.737</v>
      </c>
      <c r="B347" s="30">
        <v>35400649.992</v>
      </c>
      <c r="C347" s="8">
        <v>911.063</v>
      </c>
      <c r="D347" s="11">
        <v>44845</v>
      </c>
      <c r="E347" s="21"/>
    </row>
    <row r="348" ht="16.5" spans="1:5">
      <c r="A348" s="30">
        <v>3045947.737</v>
      </c>
      <c r="B348" s="30">
        <v>35400649.992</v>
      </c>
      <c r="C348" s="8">
        <v>911.063</v>
      </c>
      <c r="D348" s="11">
        <v>44846</v>
      </c>
      <c r="E348" s="21">
        <v>879.543</v>
      </c>
    </row>
    <row r="349" ht="16.5" spans="1:5">
      <c r="A349" s="30">
        <v>3045947.737</v>
      </c>
      <c r="B349" s="30">
        <v>35400649.992</v>
      </c>
      <c r="C349" s="8">
        <v>911.063</v>
      </c>
      <c r="D349" s="11">
        <v>44847</v>
      </c>
      <c r="E349" s="21">
        <v>879.463</v>
      </c>
    </row>
    <row r="350" ht="16.5" spans="1:5">
      <c r="A350" s="30">
        <v>3045947.737</v>
      </c>
      <c r="B350" s="30">
        <v>35400649.992</v>
      </c>
      <c r="C350" s="8">
        <v>911.063</v>
      </c>
      <c r="D350" s="11">
        <v>44848</v>
      </c>
      <c r="E350" s="21"/>
    </row>
    <row r="351" ht="16.5" spans="1:5">
      <c r="A351" s="30">
        <v>3045947.737</v>
      </c>
      <c r="B351" s="30">
        <v>35400649.992</v>
      </c>
      <c r="C351" s="8">
        <v>911.063</v>
      </c>
      <c r="D351" s="11">
        <v>44849</v>
      </c>
      <c r="E351" s="21"/>
    </row>
    <row r="352" ht="16.5" spans="1:5">
      <c r="A352" s="30">
        <v>3045947.737</v>
      </c>
      <c r="B352" s="30">
        <v>35400649.992</v>
      </c>
      <c r="C352" s="8">
        <v>911.063</v>
      </c>
      <c r="D352" s="11">
        <v>44850</v>
      </c>
      <c r="E352" s="21"/>
    </row>
    <row r="353" ht="16.5" spans="1:5">
      <c r="A353" s="30">
        <v>3045947.737</v>
      </c>
      <c r="B353" s="30">
        <v>35400649.992</v>
      </c>
      <c r="C353" s="8">
        <v>911.063</v>
      </c>
      <c r="D353" s="11">
        <v>44851</v>
      </c>
      <c r="E353" s="21"/>
    </row>
    <row r="354" ht="16.5" spans="1:5">
      <c r="A354" s="30">
        <v>3045947.737</v>
      </c>
      <c r="B354" s="30">
        <v>35400649.992</v>
      </c>
      <c r="C354" s="8">
        <v>911.063</v>
      </c>
      <c r="D354" s="11">
        <v>44852</v>
      </c>
      <c r="E354" s="21">
        <v>879.193</v>
      </c>
    </row>
    <row r="355" ht="16.5" spans="1:5">
      <c r="A355" s="30">
        <v>3045947.737</v>
      </c>
      <c r="B355" s="30">
        <v>35400649.992</v>
      </c>
      <c r="C355" s="8">
        <v>911.063</v>
      </c>
      <c r="D355" s="11">
        <v>44853</v>
      </c>
      <c r="E355" s="21">
        <v>879.203</v>
      </c>
    </row>
    <row r="356" ht="16.5" spans="1:5">
      <c r="A356" s="30">
        <v>3045947.737</v>
      </c>
      <c r="B356" s="30">
        <v>35400649.992</v>
      </c>
      <c r="C356" s="8">
        <v>911.063</v>
      </c>
      <c r="D356" s="11">
        <v>44854</v>
      </c>
      <c r="E356" s="21">
        <v>879.123</v>
      </c>
    </row>
    <row r="357" ht="16.5" spans="1:5">
      <c r="A357" s="30">
        <v>3045947.737</v>
      </c>
      <c r="B357" s="30">
        <v>35400649.992</v>
      </c>
      <c r="C357" s="8">
        <v>911.063</v>
      </c>
      <c r="D357" s="11">
        <v>44855</v>
      </c>
      <c r="E357" s="21">
        <v>879.173</v>
      </c>
    </row>
    <row r="358" ht="16.5" spans="1:5">
      <c r="A358" s="30">
        <v>3045947.737</v>
      </c>
      <c r="B358" s="30">
        <v>35400649.992</v>
      </c>
      <c r="C358" s="8">
        <v>911.063</v>
      </c>
      <c r="D358" s="11">
        <v>44856</v>
      </c>
      <c r="E358" s="21">
        <v>879.223</v>
      </c>
    </row>
    <row r="359" ht="16.5" spans="1:5">
      <c r="A359" s="30">
        <v>3045947.737</v>
      </c>
      <c r="B359" s="30">
        <v>35400649.992</v>
      </c>
      <c r="C359" s="8">
        <v>911.063</v>
      </c>
      <c r="D359" s="11">
        <v>44857</v>
      </c>
      <c r="E359" s="21">
        <v>879.123</v>
      </c>
    </row>
    <row r="360" ht="16.5" spans="1:5">
      <c r="A360" s="30">
        <v>3045947.737</v>
      </c>
      <c r="B360" s="30">
        <v>35400649.992</v>
      </c>
      <c r="C360" s="8">
        <v>911.063</v>
      </c>
      <c r="D360" s="11">
        <v>44858</v>
      </c>
      <c r="E360" s="21">
        <v>879.083</v>
      </c>
    </row>
    <row r="361" ht="16.5" spans="1:5">
      <c r="A361" s="30">
        <v>3045947.737</v>
      </c>
      <c r="B361" s="30">
        <v>35400649.992</v>
      </c>
      <c r="C361" s="8">
        <v>911.063</v>
      </c>
      <c r="D361" s="11">
        <v>44859</v>
      </c>
      <c r="E361" s="21">
        <v>878.993</v>
      </c>
    </row>
    <row r="362" ht="16.5" spans="1:5">
      <c r="A362" s="30">
        <v>3045947.737</v>
      </c>
      <c r="B362" s="30">
        <v>35400649.992</v>
      </c>
      <c r="C362" s="8">
        <v>911.063</v>
      </c>
      <c r="D362" s="11">
        <v>44860</v>
      </c>
      <c r="E362" s="21">
        <v>878.933</v>
      </c>
    </row>
    <row r="363" ht="16.5" spans="1:5">
      <c r="A363" s="30">
        <v>3045947.737</v>
      </c>
      <c r="B363" s="30">
        <v>35400649.992</v>
      </c>
      <c r="C363" s="8">
        <v>911.063</v>
      </c>
      <c r="D363" s="11">
        <v>44861</v>
      </c>
      <c r="E363" s="21">
        <v>878.913</v>
      </c>
    </row>
    <row r="364" ht="16.5" spans="1:5">
      <c r="A364" s="30">
        <v>3045947.737</v>
      </c>
      <c r="B364" s="30">
        <v>35400649.992</v>
      </c>
      <c r="C364" s="8">
        <v>911.063</v>
      </c>
      <c r="D364" s="11">
        <v>44862</v>
      </c>
      <c r="E364" s="21">
        <v>878.793</v>
      </c>
    </row>
    <row r="365" ht="16.5" spans="1:5">
      <c r="A365" s="30">
        <v>3045947.737</v>
      </c>
      <c r="B365" s="30">
        <v>35400649.992</v>
      </c>
      <c r="C365" s="8">
        <v>911.063</v>
      </c>
      <c r="D365" s="11">
        <v>44863</v>
      </c>
      <c r="E365" s="21">
        <v>878.753</v>
      </c>
    </row>
    <row r="366" ht="16.5" spans="1:5">
      <c r="A366" s="30">
        <v>3045947.737</v>
      </c>
      <c r="B366" s="30">
        <v>35400649.992</v>
      </c>
      <c r="C366" s="8">
        <v>911.063</v>
      </c>
      <c r="D366" s="11">
        <v>44864</v>
      </c>
      <c r="E366" s="21">
        <v>878.723</v>
      </c>
    </row>
    <row r="367" ht="16.5" spans="1:5">
      <c r="A367" s="30">
        <v>3045947.737</v>
      </c>
      <c r="B367" s="30">
        <v>35400649.992</v>
      </c>
      <c r="C367" s="8">
        <v>911.063</v>
      </c>
      <c r="D367" s="11">
        <v>44865</v>
      </c>
      <c r="E367" s="21">
        <v>878.743</v>
      </c>
    </row>
    <row r="368" ht="16.5" spans="1:5">
      <c r="A368" s="30">
        <v>3045947.737</v>
      </c>
      <c r="B368" s="30">
        <v>35400649.992</v>
      </c>
      <c r="C368" s="8">
        <v>911.063</v>
      </c>
      <c r="D368" s="11">
        <v>44866</v>
      </c>
      <c r="E368" s="21">
        <v>878.773</v>
      </c>
    </row>
    <row r="369" ht="16.5" spans="1:5">
      <c r="A369" s="30">
        <v>3045947.737</v>
      </c>
      <c r="B369" s="30">
        <v>35400649.992</v>
      </c>
      <c r="C369" s="8">
        <v>911.063</v>
      </c>
      <c r="D369" s="11">
        <v>44867</v>
      </c>
      <c r="E369" s="21">
        <v>878.753</v>
      </c>
    </row>
    <row r="370" ht="16.5" spans="1:5">
      <c r="A370" s="30">
        <v>3045947.737</v>
      </c>
      <c r="B370" s="30">
        <v>35400649.992</v>
      </c>
      <c r="C370" s="8">
        <v>911.063</v>
      </c>
      <c r="D370" s="11">
        <v>44868</v>
      </c>
      <c r="E370" s="21">
        <v>878.633</v>
      </c>
    </row>
    <row r="371" ht="16.5" spans="1:5">
      <c r="A371" s="30">
        <v>3045947.737</v>
      </c>
      <c r="B371" s="30">
        <v>35400649.992</v>
      </c>
      <c r="C371" s="8">
        <v>911.063</v>
      </c>
      <c r="D371" s="11">
        <v>44869</v>
      </c>
      <c r="E371" s="21">
        <v>878.563</v>
      </c>
    </row>
    <row r="372" ht="16.5" spans="1:5">
      <c r="A372" s="30">
        <v>3045947.737</v>
      </c>
      <c r="B372" s="30">
        <v>35400649.992</v>
      </c>
      <c r="C372" s="8">
        <v>911.063</v>
      </c>
      <c r="D372" s="11">
        <v>44870</v>
      </c>
      <c r="E372" s="21">
        <v>878.713</v>
      </c>
    </row>
    <row r="373" ht="16.5" spans="1:5">
      <c r="A373" s="30">
        <v>3045947.737</v>
      </c>
      <c r="B373" s="30">
        <v>35400649.992</v>
      </c>
      <c r="C373" s="8">
        <v>911.063</v>
      </c>
      <c r="D373" s="11">
        <v>44871</v>
      </c>
      <c r="E373" s="21">
        <v>878.683</v>
      </c>
    </row>
    <row r="374" ht="16.5" spans="1:5">
      <c r="A374" s="30">
        <v>3045947.737</v>
      </c>
      <c r="B374" s="30">
        <v>35400649.992</v>
      </c>
      <c r="C374" s="8">
        <v>911.063</v>
      </c>
      <c r="D374" s="11">
        <v>44872</v>
      </c>
      <c r="E374" s="21">
        <v>878.643</v>
      </c>
    </row>
    <row r="375" ht="16.5" spans="1:5">
      <c r="A375" s="30">
        <v>3045947.737</v>
      </c>
      <c r="B375" s="30">
        <v>35400649.992</v>
      </c>
      <c r="C375" s="8">
        <v>911.063</v>
      </c>
      <c r="D375" s="11">
        <v>44873</v>
      </c>
      <c r="E375" s="21">
        <v>878.533</v>
      </c>
    </row>
    <row r="376" ht="16.5" spans="1:5">
      <c r="A376" s="30">
        <v>3045947.737</v>
      </c>
      <c r="B376" s="30">
        <v>35400649.992</v>
      </c>
      <c r="C376" s="8">
        <v>911.063</v>
      </c>
      <c r="D376" s="11">
        <v>44874</v>
      </c>
      <c r="E376" s="21">
        <v>878.443</v>
      </c>
    </row>
    <row r="377" ht="16.5" spans="1:5">
      <c r="A377" s="30">
        <v>3045947.737</v>
      </c>
      <c r="B377" s="30">
        <v>35400649.992</v>
      </c>
      <c r="C377" s="8">
        <v>911.063</v>
      </c>
      <c r="D377" s="11">
        <v>44875</v>
      </c>
      <c r="E377" s="21">
        <v>878.413</v>
      </c>
    </row>
    <row r="378" ht="16.5" spans="1:5">
      <c r="A378" s="30">
        <v>3045947.737</v>
      </c>
      <c r="B378" s="30">
        <v>35400649.992</v>
      </c>
      <c r="C378" s="8">
        <v>911.063</v>
      </c>
      <c r="D378" s="11">
        <v>44876</v>
      </c>
      <c r="E378" s="21">
        <v>878.323</v>
      </c>
    </row>
    <row r="379" ht="16.5" spans="1:5">
      <c r="A379" s="30">
        <v>3045947.737</v>
      </c>
      <c r="B379" s="30">
        <v>35400649.992</v>
      </c>
      <c r="C379" s="8">
        <v>911.063</v>
      </c>
      <c r="D379" s="11">
        <v>44877</v>
      </c>
      <c r="E379" s="21">
        <v>878.253</v>
      </c>
    </row>
    <row r="380" ht="16.5" spans="1:5">
      <c r="A380" s="30">
        <v>3045947.737</v>
      </c>
      <c r="B380" s="30">
        <v>35400649.992</v>
      </c>
      <c r="C380" s="8">
        <v>911.063</v>
      </c>
      <c r="D380" s="11">
        <v>44878</v>
      </c>
      <c r="E380" s="21">
        <v>877.963</v>
      </c>
    </row>
    <row r="381" ht="16.5" spans="1:5">
      <c r="A381" s="30">
        <v>3045947.737</v>
      </c>
      <c r="B381" s="30">
        <v>35400649.992</v>
      </c>
      <c r="C381" s="8">
        <v>911.063</v>
      </c>
      <c r="D381" s="11">
        <v>44879</v>
      </c>
      <c r="E381" s="21">
        <v>877.853</v>
      </c>
    </row>
    <row r="382" ht="16.5" spans="1:5">
      <c r="A382" s="30">
        <v>3045947.737</v>
      </c>
      <c r="B382" s="30">
        <v>35400649.992</v>
      </c>
      <c r="C382" s="8">
        <v>911.063</v>
      </c>
      <c r="D382" s="11">
        <v>44880</v>
      </c>
      <c r="E382" s="21">
        <v>877.823</v>
      </c>
    </row>
    <row r="383" ht="16.5" spans="1:5">
      <c r="A383" s="30">
        <v>3045947.737</v>
      </c>
      <c r="B383" s="30">
        <v>35400649.992</v>
      </c>
      <c r="C383" s="8">
        <v>911.063</v>
      </c>
      <c r="D383" s="11">
        <v>44881</v>
      </c>
      <c r="E383" s="21">
        <v>877.803</v>
      </c>
    </row>
    <row r="384" ht="16.5" spans="1:5">
      <c r="A384" s="30">
        <v>3045947.737</v>
      </c>
      <c r="B384" s="30">
        <v>35400649.992</v>
      </c>
      <c r="C384" s="8">
        <v>911.063</v>
      </c>
      <c r="D384" s="11">
        <v>44882</v>
      </c>
      <c r="E384" s="21">
        <v>877.773</v>
      </c>
    </row>
    <row r="385" ht="16.5" spans="1:5">
      <c r="A385" s="30">
        <v>3045947.737</v>
      </c>
      <c r="B385" s="30">
        <v>35400649.992</v>
      </c>
      <c r="C385" s="8">
        <v>911.063</v>
      </c>
      <c r="D385" s="11">
        <v>44883</v>
      </c>
      <c r="E385" s="21">
        <v>877.743</v>
      </c>
    </row>
    <row r="386" ht="16.5" spans="1:5">
      <c r="A386" s="30">
        <v>3045947.737</v>
      </c>
      <c r="B386" s="30">
        <v>35400649.992</v>
      </c>
      <c r="C386" s="8">
        <v>911.063</v>
      </c>
      <c r="D386" s="11">
        <v>44884</v>
      </c>
      <c r="E386" s="21">
        <v>878.093</v>
      </c>
    </row>
    <row r="387" ht="16.5" spans="1:5">
      <c r="A387" s="30">
        <v>3045947.737</v>
      </c>
      <c r="B387" s="30">
        <v>35400649.992</v>
      </c>
      <c r="C387" s="8">
        <v>911.063</v>
      </c>
      <c r="D387" s="11">
        <v>44885</v>
      </c>
      <c r="E387" s="21">
        <v>878.293</v>
      </c>
    </row>
    <row r="388" ht="16.5" spans="1:5">
      <c r="A388" s="30">
        <v>3045947.737</v>
      </c>
      <c r="B388" s="30">
        <v>35400649.992</v>
      </c>
      <c r="C388" s="8">
        <v>911.063</v>
      </c>
      <c r="D388" s="11">
        <v>44886</v>
      </c>
      <c r="E388" s="21">
        <v>878.043</v>
      </c>
    </row>
    <row r="389" ht="16.5" spans="1:5">
      <c r="A389" s="30">
        <v>3045947.737</v>
      </c>
      <c r="B389" s="30">
        <v>35400649.992</v>
      </c>
      <c r="C389" s="8">
        <v>911.063</v>
      </c>
      <c r="D389" s="11">
        <v>44887</v>
      </c>
      <c r="E389" s="23">
        <v>877.853</v>
      </c>
    </row>
    <row r="390" ht="16.5" spans="1:5">
      <c r="A390" s="30">
        <v>3045947.737</v>
      </c>
      <c r="B390" s="30">
        <v>35400649.992</v>
      </c>
      <c r="C390" s="8">
        <v>911.063</v>
      </c>
      <c r="D390" s="11">
        <v>44888</v>
      </c>
      <c r="E390" s="21">
        <v>877.723</v>
      </c>
    </row>
    <row r="391" ht="16.5" spans="1:5">
      <c r="A391" s="30">
        <v>3045947.737</v>
      </c>
      <c r="B391" s="30">
        <v>35400649.992</v>
      </c>
      <c r="C391" s="8">
        <v>911.063</v>
      </c>
      <c r="D391" s="11">
        <v>44889</v>
      </c>
      <c r="E391" s="21">
        <v>877.653</v>
      </c>
    </row>
    <row r="392" ht="16.5" spans="1:5">
      <c r="A392" s="30">
        <v>3045947.737</v>
      </c>
      <c r="B392" s="30">
        <v>35400649.992</v>
      </c>
      <c r="C392" s="8">
        <v>911.063</v>
      </c>
      <c r="D392" s="11">
        <v>44890</v>
      </c>
      <c r="E392" s="21">
        <v>877.683</v>
      </c>
    </row>
    <row r="393" ht="16.5" spans="1:5">
      <c r="A393" s="30">
        <v>3045947.737</v>
      </c>
      <c r="B393" s="30">
        <v>35400649.992</v>
      </c>
      <c r="C393" s="8">
        <v>911.063</v>
      </c>
      <c r="D393" s="11">
        <v>44891</v>
      </c>
      <c r="E393" s="21">
        <v>877.673</v>
      </c>
    </row>
    <row r="394" ht="16.5" spans="1:5">
      <c r="A394" s="30">
        <v>3045947.737</v>
      </c>
      <c r="B394" s="30">
        <v>35400649.992</v>
      </c>
      <c r="C394" s="8">
        <v>911.063</v>
      </c>
      <c r="D394" s="11">
        <v>44892</v>
      </c>
      <c r="E394" s="21">
        <v>877.603</v>
      </c>
    </row>
    <row r="395" ht="16.5" spans="1:5">
      <c r="A395" s="30">
        <v>3045947.737</v>
      </c>
      <c r="B395" s="30">
        <v>35400649.992</v>
      </c>
      <c r="C395" s="8">
        <v>911.063</v>
      </c>
      <c r="D395" s="11">
        <v>44893</v>
      </c>
      <c r="E395" s="21">
        <v>877.503</v>
      </c>
    </row>
    <row r="396" ht="16.5" spans="1:5">
      <c r="A396" s="30">
        <v>3045947.737</v>
      </c>
      <c r="B396" s="30">
        <v>35400649.992</v>
      </c>
      <c r="C396" s="8">
        <v>911.063</v>
      </c>
      <c r="D396" s="11">
        <v>44894</v>
      </c>
      <c r="E396" s="21">
        <v>877.413</v>
      </c>
    </row>
    <row r="397" ht="16.5" spans="1:5">
      <c r="A397" s="30">
        <v>3045947.737</v>
      </c>
      <c r="B397" s="30">
        <v>35400649.992</v>
      </c>
      <c r="C397" s="8">
        <v>911.063</v>
      </c>
      <c r="D397" s="11">
        <v>44895</v>
      </c>
      <c r="E397" s="21">
        <v>877.323</v>
      </c>
    </row>
    <row r="398" ht="16.5" spans="1:5">
      <c r="A398" s="30">
        <v>3045947.737</v>
      </c>
      <c r="B398" s="30">
        <v>35400649.992</v>
      </c>
      <c r="C398" s="8">
        <v>911.063</v>
      </c>
      <c r="D398" s="11">
        <v>44896</v>
      </c>
      <c r="E398" s="21">
        <v>877.363</v>
      </c>
    </row>
    <row r="399" ht="16.5" spans="1:5">
      <c r="A399" s="30">
        <v>3045947.737</v>
      </c>
      <c r="B399" s="30">
        <v>35400649.992</v>
      </c>
      <c r="C399" s="8">
        <v>911.063</v>
      </c>
      <c r="D399" s="11">
        <v>44897</v>
      </c>
      <c r="E399" s="21">
        <v>877.363</v>
      </c>
    </row>
    <row r="400" ht="16.5" spans="1:5">
      <c r="A400" s="30">
        <v>3045947.737</v>
      </c>
      <c r="B400" s="30">
        <v>35400649.992</v>
      </c>
      <c r="C400" s="8">
        <v>911.063</v>
      </c>
      <c r="D400" s="11">
        <v>44898</v>
      </c>
      <c r="E400" s="21">
        <v>877.273</v>
      </c>
    </row>
    <row r="401" ht="16.5" spans="1:5">
      <c r="A401" s="30">
        <v>3045947.737</v>
      </c>
      <c r="B401" s="30">
        <v>35400649.992</v>
      </c>
      <c r="C401" s="8">
        <v>911.063</v>
      </c>
      <c r="D401" s="11">
        <v>44899</v>
      </c>
      <c r="E401" s="21">
        <v>877.213</v>
      </c>
    </row>
    <row r="402" ht="16.5" spans="1:5">
      <c r="A402" s="30">
        <v>3045947.737</v>
      </c>
      <c r="B402" s="30">
        <v>35400649.992</v>
      </c>
      <c r="C402" s="8">
        <v>911.063</v>
      </c>
      <c r="D402" s="11">
        <v>44900</v>
      </c>
      <c r="E402" s="21">
        <v>877.153</v>
      </c>
    </row>
    <row r="403" ht="16.5" spans="1:5">
      <c r="A403" s="30">
        <v>3045947.737</v>
      </c>
      <c r="B403" s="30">
        <v>35400649.992</v>
      </c>
      <c r="C403" s="8">
        <v>911.063</v>
      </c>
      <c r="D403" s="11">
        <v>44901</v>
      </c>
      <c r="E403" s="21">
        <v>877.123</v>
      </c>
    </row>
    <row r="404" ht="16.5" spans="1:5">
      <c r="A404" s="30">
        <v>3045947.737</v>
      </c>
      <c r="B404" s="30">
        <v>35400649.992</v>
      </c>
      <c r="C404" s="8">
        <v>911.063</v>
      </c>
      <c r="D404" s="11">
        <v>44902</v>
      </c>
      <c r="E404" s="21">
        <v>877.083</v>
      </c>
    </row>
    <row r="405" ht="16.5" spans="1:5">
      <c r="A405" s="30">
        <v>3045947.737</v>
      </c>
      <c r="B405" s="30">
        <v>35400649.992</v>
      </c>
      <c r="C405" s="8">
        <v>911.063</v>
      </c>
      <c r="D405" s="11">
        <v>44903</v>
      </c>
      <c r="E405" s="21">
        <v>877.053</v>
      </c>
    </row>
    <row r="406" ht="16.5" spans="1:5">
      <c r="A406" s="30">
        <v>3045947.737</v>
      </c>
      <c r="B406" s="30">
        <v>35400649.992</v>
      </c>
      <c r="C406" s="8">
        <v>911.063</v>
      </c>
      <c r="D406" s="11">
        <v>44904</v>
      </c>
      <c r="E406" s="21">
        <v>877.013</v>
      </c>
    </row>
    <row r="407" ht="16.5" spans="1:5">
      <c r="A407" s="30">
        <v>3045947.737</v>
      </c>
      <c r="B407" s="30">
        <v>35400649.992</v>
      </c>
      <c r="C407" s="8">
        <v>911.063</v>
      </c>
      <c r="D407" s="11">
        <v>44905</v>
      </c>
      <c r="E407" s="21">
        <v>876.993</v>
      </c>
    </row>
    <row r="408" ht="16.5" spans="1:5">
      <c r="A408" s="30">
        <v>3045947.737</v>
      </c>
      <c r="B408" s="30">
        <v>35400649.992</v>
      </c>
      <c r="C408" s="8">
        <v>911.063</v>
      </c>
      <c r="D408" s="11">
        <v>44906</v>
      </c>
      <c r="E408" s="21">
        <v>876.963</v>
      </c>
    </row>
    <row r="409" ht="16.5" spans="1:5">
      <c r="A409" s="30">
        <v>3045947.737</v>
      </c>
      <c r="B409" s="30">
        <v>35400649.992</v>
      </c>
      <c r="C409" s="8">
        <v>911.063</v>
      </c>
      <c r="D409" s="11">
        <v>44907</v>
      </c>
      <c r="E409" s="21">
        <v>876.963</v>
      </c>
    </row>
    <row r="410" ht="16.5" spans="1:5">
      <c r="A410" s="30">
        <v>3045947.737</v>
      </c>
      <c r="B410" s="30">
        <v>35400649.992</v>
      </c>
      <c r="C410" s="8">
        <v>911.063</v>
      </c>
      <c r="D410" s="11">
        <v>44908</v>
      </c>
      <c r="E410" s="21">
        <v>876.893</v>
      </c>
    </row>
    <row r="411" ht="16.5" spans="1:5">
      <c r="A411" s="30">
        <v>3045947.737</v>
      </c>
      <c r="B411" s="30">
        <v>35400649.992</v>
      </c>
      <c r="C411" s="8">
        <v>911.063</v>
      </c>
      <c r="D411" s="11">
        <v>44909</v>
      </c>
      <c r="E411" s="21">
        <v>876.783</v>
      </c>
    </row>
    <row r="412" ht="16.5" spans="1:5">
      <c r="A412" s="30">
        <v>3045947.737</v>
      </c>
      <c r="B412" s="30">
        <v>35400649.992</v>
      </c>
      <c r="C412" s="8">
        <v>911.063</v>
      </c>
      <c r="D412" s="11">
        <v>44910</v>
      </c>
      <c r="E412" s="21">
        <v>876.723</v>
      </c>
    </row>
    <row r="413" ht="16.5" spans="1:5">
      <c r="A413" s="30">
        <v>3045947.737</v>
      </c>
      <c r="B413" s="30">
        <v>35400649.992</v>
      </c>
      <c r="C413" s="8">
        <v>911.063</v>
      </c>
      <c r="D413" s="11">
        <v>44911</v>
      </c>
      <c r="E413" s="21">
        <v>876.653</v>
      </c>
    </row>
    <row r="414" ht="16.5" spans="1:5">
      <c r="A414" s="30">
        <v>3045947.737</v>
      </c>
      <c r="B414" s="30">
        <v>35400649.992</v>
      </c>
      <c r="C414" s="8">
        <v>911.063</v>
      </c>
      <c r="D414" s="11">
        <v>44912</v>
      </c>
      <c r="E414" s="21">
        <v>876.573</v>
      </c>
    </row>
    <row r="415" ht="16.5" spans="1:5">
      <c r="A415" s="30">
        <v>3045947.737</v>
      </c>
      <c r="B415" s="30">
        <v>35400649.992</v>
      </c>
      <c r="C415" s="8">
        <v>911.063</v>
      </c>
      <c r="D415" s="11">
        <v>44913</v>
      </c>
      <c r="E415" s="21">
        <v>876.543</v>
      </c>
    </row>
    <row r="416" ht="16.5" spans="1:5">
      <c r="A416" s="30">
        <v>3045947.737</v>
      </c>
      <c r="B416" s="30">
        <v>35400649.992</v>
      </c>
      <c r="C416" s="8">
        <v>911.063</v>
      </c>
      <c r="D416" s="11">
        <v>44914</v>
      </c>
      <c r="E416" s="21">
        <v>876.513</v>
      </c>
    </row>
    <row r="417" ht="16.5" spans="1:5">
      <c r="A417" s="30">
        <v>3045947.737</v>
      </c>
      <c r="B417" s="30">
        <v>35400649.992</v>
      </c>
      <c r="C417" s="8">
        <v>911.063</v>
      </c>
      <c r="D417" s="11">
        <v>44915</v>
      </c>
      <c r="E417" s="21">
        <v>876.473</v>
      </c>
    </row>
    <row r="418" ht="16.5" spans="1:5">
      <c r="A418" s="30">
        <v>3045947.737</v>
      </c>
      <c r="B418" s="30">
        <v>35400649.992</v>
      </c>
      <c r="C418" s="8">
        <v>911.063</v>
      </c>
      <c r="D418" s="11">
        <v>44916</v>
      </c>
      <c r="E418" s="21">
        <v>876.423</v>
      </c>
    </row>
    <row r="419" ht="16.5" spans="1:5">
      <c r="A419" s="30">
        <v>3045947.737</v>
      </c>
      <c r="B419" s="30">
        <v>35400649.992</v>
      </c>
      <c r="C419" s="8">
        <v>911.063</v>
      </c>
      <c r="D419" s="11">
        <v>44917</v>
      </c>
      <c r="E419" s="21">
        <v>876.383</v>
      </c>
    </row>
    <row r="420" ht="16.5" spans="1:5">
      <c r="A420" s="30">
        <v>3045947.737</v>
      </c>
      <c r="B420" s="30">
        <v>35400649.992</v>
      </c>
      <c r="C420" s="8">
        <v>911.063</v>
      </c>
      <c r="D420" s="11">
        <v>44918</v>
      </c>
      <c r="E420" s="21">
        <v>876.363</v>
      </c>
    </row>
    <row r="421" ht="16.5" spans="1:5">
      <c r="A421" s="30">
        <v>3045947.737</v>
      </c>
      <c r="B421" s="30">
        <v>35400649.992</v>
      </c>
      <c r="C421" s="8">
        <v>911.063</v>
      </c>
      <c r="D421" s="11">
        <v>44919</v>
      </c>
      <c r="E421" s="21">
        <v>876.333</v>
      </c>
    </row>
    <row r="422" ht="16.5" spans="1:5">
      <c r="A422" s="30">
        <v>3045947.737</v>
      </c>
      <c r="B422" s="30">
        <v>35400649.992</v>
      </c>
      <c r="C422" s="8">
        <v>911.063</v>
      </c>
      <c r="D422" s="11">
        <v>44920</v>
      </c>
      <c r="E422" s="21">
        <v>876.313</v>
      </c>
    </row>
    <row r="423" ht="16.5" spans="1:5">
      <c r="A423" s="30">
        <v>3045947.737</v>
      </c>
      <c r="B423" s="30">
        <v>35400649.992</v>
      </c>
      <c r="C423" s="8">
        <v>911.063</v>
      </c>
      <c r="D423" s="11">
        <v>44921</v>
      </c>
      <c r="E423" s="21">
        <v>876.263</v>
      </c>
    </row>
    <row r="424" ht="16.5" spans="1:5">
      <c r="A424" s="30">
        <v>3045947.737</v>
      </c>
      <c r="B424" s="30">
        <v>35400649.992</v>
      </c>
      <c r="C424" s="8">
        <v>911.063</v>
      </c>
      <c r="D424" s="11">
        <v>44922</v>
      </c>
      <c r="E424" s="21">
        <v>876.223</v>
      </c>
    </row>
    <row r="425" ht="16.5" spans="1:5">
      <c r="A425" s="30">
        <v>3045947.737</v>
      </c>
      <c r="B425" s="30">
        <v>35400649.992</v>
      </c>
      <c r="C425" s="8">
        <v>911.063</v>
      </c>
      <c r="D425" s="11">
        <v>44923</v>
      </c>
      <c r="E425" s="21">
        <v>876.183</v>
      </c>
    </row>
    <row r="426" ht="16.5" spans="1:5">
      <c r="A426" s="30">
        <v>3045947.737</v>
      </c>
      <c r="B426" s="30">
        <v>35400649.992</v>
      </c>
      <c r="C426" s="8">
        <v>911.063</v>
      </c>
      <c r="D426" s="11">
        <v>44924</v>
      </c>
      <c r="E426" s="21">
        <v>876.163</v>
      </c>
    </row>
    <row r="427" ht="16.5" spans="1:5">
      <c r="A427" s="30">
        <v>3045947.737</v>
      </c>
      <c r="B427" s="30">
        <v>35400649.992</v>
      </c>
      <c r="C427" s="8">
        <v>911.063</v>
      </c>
      <c r="D427" s="11">
        <v>44925</v>
      </c>
      <c r="E427" s="21">
        <v>876.133</v>
      </c>
    </row>
    <row r="428" ht="16.5" spans="1:5">
      <c r="A428" s="30">
        <v>3045947.737</v>
      </c>
      <c r="B428" s="30">
        <v>35400649.992</v>
      </c>
      <c r="C428" s="8">
        <v>911.063</v>
      </c>
      <c r="D428" s="11">
        <v>44926</v>
      </c>
      <c r="E428" s="21">
        <v>876.083</v>
      </c>
    </row>
    <row r="429" ht="16.5" spans="1:5">
      <c r="A429" s="30">
        <v>3045947.737</v>
      </c>
      <c r="B429" s="30">
        <v>35400649.992</v>
      </c>
      <c r="C429" s="8">
        <v>911.063</v>
      </c>
      <c r="D429" s="11">
        <v>44927</v>
      </c>
      <c r="E429" s="21">
        <v>876.073</v>
      </c>
    </row>
    <row r="430" ht="16.5" spans="1:5">
      <c r="A430" s="30">
        <v>3045947.737</v>
      </c>
      <c r="B430" s="30">
        <v>35400649.992</v>
      </c>
      <c r="C430" s="8">
        <v>911.063</v>
      </c>
      <c r="D430" s="11">
        <v>44928</v>
      </c>
      <c r="E430" s="21">
        <v>876.043</v>
      </c>
    </row>
    <row r="431" ht="16.5" spans="1:5">
      <c r="A431" s="30">
        <v>3045947.737</v>
      </c>
      <c r="B431" s="30">
        <v>35400649.992</v>
      </c>
      <c r="C431" s="8">
        <v>911.063</v>
      </c>
      <c r="D431" s="11">
        <v>44929</v>
      </c>
      <c r="E431" s="21">
        <v>876.013</v>
      </c>
    </row>
    <row r="432" ht="16.5" spans="1:5">
      <c r="A432" s="30">
        <v>3045947.737</v>
      </c>
      <c r="B432" s="30">
        <v>35400649.992</v>
      </c>
      <c r="C432" s="8">
        <v>911.063</v>
      </c>
      <c r="D432" s="11">
        <v>44930</v>
      </c>
      <c r="E432" s="22"/>
    </row>
    <row r="433" ht="16.5" spans="1:5">
      <c r="A433" s="30">
        <v>3045947.737</v>
      </c>
      <c r="B433" s="30">
        <v>35400649.992</v>
      </c>
      <c r="C433" s="8">
        <v>911.063</v>
      </c>
      <c r="D433" s="11">
        <v>44931</v>
      </c>
      <c r="E433" s="29"/>
    </row>
    <row r="434" ht="16.5" spans="1:5">
      <c r="A434" s="30">
        <v>3045947.737</v>
      </c>
      <c r="B434" s="30">
        <v>35400649.992</v>
      </c>
      <c r="C434" s="8">
        <v>911.063</v>
      </c>
      <c r="D434" s="11">
        <v>44932</v>
      </c>
      <c r="E434" s="21"/>
    </row>
    <row r="435" ht="16.5" spans="1:5">
      <c r="A435" s="30">
        <v>3045947.737</v>
      </c>
      <c r="B435" s="30">
        <v>35400649.992</v>
      </c>
      <c r="C435" s="8">
        <v>911.063</v>
      </c>
      <c r="D435" s="11">
        <v>44933</v>
      </c>
      <c r="E435" s="21"/>
    </row>
    <row r="436" ht="16.5" spans="1:5">
      <c r="A436" s="30">
        <v>3045947.737</v>
      </c>
      <c r="B436" s="30">
        <v>35400649.992</v>
      </c>
      <c r="C436" s="8">
        <v>911.063</v>
      </c>
      <c r="D436" s="11">
        <v>44934</v>
      </c>
      <c r="E436" s="21">
        <v>875.933</v>
      </c>
    </row>
    <row r="437" ht="16.5" spans="1:5">
      <c r="A437" s="30">
        <v>3045947.737</v>
      </c>
      <c r="B437" s="30">
        <v>35400649.992</v>
      </c>
      <c r="C437" s="8">
        <v>911.063</v>
      </c>
      <c r="D437" s="11">
        <v>44935</v>
      </c>
      <c r="E437" s="21">
        <v>875.903</v>
      </c>
    </row>
    <row r="438" ht="16.5" spans="1:5">
      <c r="A438" s="30">
        <v>3045947.737</v>
      </c>
      <c r="B438" s="30">
        <v>35400649.992</v>
      </c>
      <c r="C438" s="8">
        <v>911.063</v>
      </c>
      <c r="D438" s="11">
        <v>44936</v>
      </c>
      <c r="E438" s="21">
        <v>875.893</v>
      </c>
    </row>
    <row r="439" ht="16.5" spans="1:5">
      <c r="A439" s="30">
        <v>3045947.737</v>
      </c>
      <c r="B439" s="30">
        <v>35400649.992</v>
      </c>
      <c r="C439" s="8">
        <v>911.063</v>
      </c>
      <c r="D439" s="11">
        <v>44937</v>
      </c>
      <c r="E439" s="21">
        <v>875.883</v>
      </c>
    </row>
    <row r="440" ht="16.5" spans="1:5">
      <c r="A440" s="30">
        <v>3045947.737</v>
      </c>
      <c r="B440" s="30">
        <v>35400649.992</v>
      </c>
      <c r="C440" s="8">
        <v>911.063</v>
      </c>
      <c r="D440" s="11">
        <v>44938</v>
      </c>
      <c r="E440" s="22"/>
    </row>
    <row r="441" ht="16.5" spans="1:5">
      <c r="A441" s="30">
        <v>3045947.737</v>
      </c>
      <c r="B441" s="30">
        <v>35400649.992</v>
      </c>
      <c r="C441" s="8">
        <v>911.063</v>
      </c>
      <c r="D441" s="11">
        <v>44939</v>
      </c>
      <c r="E441" s="22"/>
    </row>
    <row r="442" ht="16.5" spans="1:5">
      <c r="A442" s="30">
        <v>3045947.737</v>
      </c>
      <c r="B442" s="30">
        <v>35400649.992</v>
      </c>
      <c r="C442" s="8">
        <v>911.063</v>
      </c>
      <c r="D442" s="11">
        <v>44940</v>
      </c>
      <c r="E442" s="22"/>
    </row>
    <row r="443" ht="16.5" spans="1:5">
      <c r="A443" s="30">
        <v>3045947.737</v>
      </c>
      <c r="B443" s="30">
        <v>35400649.992</v>
      </c>
      <c r="C443" s="8">
        <v>911.063</v>
      </c>
      <c r="D443" s="11">
        <v>44941</v>
      </c>
      <c r="E443" s="22"/>
    </row>
    <row r="444" ht="16.5" spans="1:5">
      <c r="A444" s="30">
        <v>3045947.737</v>
      </c>
      <c r="B444" s="30">
        <v>35400649.992</v>
      </c>
      <c r="C444" s="8">
        <v>911.063</v>
      </c>
      <c r="D444" s="11">
        <v>44942</v>
      </c>
      <c r="E444" s="21">
        <v>875.793</v>
      </c>
    </row>
    <row r="445" ht="16.5" spans="1:5">
      <c r="A445" s="30">
        <v>3045947.737</v>
      </c>
      <c r="B445" s="30">
        <v>35400649.992</v>
      </c>
      <c r="C445" s="8">
        <v>911.063</v>
      </c>
      <c r="D445" s="11">
        <v>44943</v>
      </c>
      <c r="E445" s="21">
        <v>875.773</v>
      </c>
    </row>
    <row r="446" ht="16.5" spans="1:5">
      <c r="A446" s="30">
        <v>3045947.737</v>
      </c>
      <c r="B446" s="30">
        <v>35400649.992</v>
      </c>
      <c r="C446" s="8">
        <v>911.063</v>
      </c>
      <c r="D446" s="11">
        <v>44944</v>
      </c>
      <c r="E446" s="21">
        <v>875.763</v>
      </c>
    </row>
    <row r="447" ht="16.5" spans="1:5">
      <c r="A447" s="30">
        <v>3045947.737</v>
      </c>
      <c r="B447" s="30">
        <v>35400649.992</v>
      </c>
      <c r="C447" s="8">
        <v>911.063</v>
      </c>
      <c r="D447" s="11">
        <v>44945</v>
      </c>
      <c r="E447" s="21">
        <v>875.733</v>
      </c>
    </row>
    <row r="448" ht="16.5" spans="1:5">
      <c r="A448" s="30">
        <v>3045947.737</v>
      </c>
      <c r="B448" s="30">
        <v>35400649.992</v>
      </c>
      <c r="C448" s="8">
        <v>911.063</v>
      </c>
      <c r="D448" s="11">
        <v>44946</v>
      </c>
      <c r="E448" s="21">
        <v>875.713</v>
      </c>
    </row>
    <row r="449" ht="16.5" spans="1:5">
      <c r="A449" s="30">
        <v>3045947.737</v>
      </c>
      <c r="B449" s="30">
        <v>35400649.992</v>
      </c>
      <c r="C449" s="8">
        <v>911.063</v>
      </c>
      <c r="D449" s="11">
        <v>44947</v>
      </c>
      <c r="E449" s="21">
        <v>875.703</v>
      </c>
    </row>
    <row r="450" ht="16.5" spans="1:5">
      <c r="A450" s="30">
        <v>3045947.737</v>
      </c>
      <c r="B450" s="30">
        <v>35400649.992</v>
      </c>
      <c r="C450" s="8">
        <v>911.063</v>
      </c>
      <c r="D450" s="11">
        <v>44948</v>
      </c>
      <c r="E450" s="21">
        <v>875.673</v>
      </c>
    </row>
    <row r="451" ht="16.5" spans="1:5">
      <c r="A451" s="30">
        <v>3045947.737</v>
      </c>
      <c r="B451" s="30">
        <v>35400649.992</v>
      </c>
      <c r="C451" s="8">
        <v>911.063</v>
      </c>
      <c r="D451" s="11">
        <v>44949</v>
      </c>
      <c r="E451" s="21">
        <v>875.643</v>
      </c>
    </row>
    <row r="452" ht="16.5" spans="1:5">
      <c r="A452" s="30">
        <v>3045947.737</v>
      </c>
      <c r="B452" s="30">
        <v>35400649.992</v>
      </c>
      <c r="C452" s="8">
        <v>911.063</v>
      </c>
      <c r="D452" s="11">
        <v>44950</v>
      </c>
      <c r="E452" s="21">
        <v>875.623</v>
      </c>
    </row>
    <row r="453" ht="16.5" spans="1:5">
      <c r="A453" s="30">
        <v>3045947.737</v>
      </c>
      <c r="B453" s="30">
        <v>35400649.992</v>
      </c>
      <c r="C453" s="8">
        <v>911.063</v>
      </c>
      <c r="D453" s="11">
        <v>44951</v>
      </c>
      <c r="E453" s="21">
        <v>875.623</v>
      </c>
    </row>
    <row r="454" ht="16.5" spans="1:5">
      <c r="A454" s="30">
        <v>3045947.737</v>
      </c>
      <c r="B454" s="30">
        <v>35400649.992</v>
      </c>
      <c r="C454" s="8">
        <v>911.063</v>
      </c>
      <c r="D454" s="11">
        <v>44952</v>
      </c>
      <c r="E454" s="21">
        <v>875.593</v>
      </c>
    </row>
    <row r="455" ht="16.5" spans="1:5">
      <c r="A455" s="30">
        <v>3045947.737</v>
      </c>
      <c r="B455" s="30">
        <v>35400649.992</v>
      </c>
      <c r="C455" s="8">
        <v>911.063</v>
      </c>
      <c r="D455" s="11">
        <v>44953</v>
      </c>
      <c r="E455" s="21">
        <v>875.563</v>
      </c>
    </row>
    <row r="456" ht="16.5" spans="1:5">
      <c r="A456" s="30">
        <v>3045947.737</v>
      </c>
      <c r="B456" s="30">
        <v>35400649.992</v>
      </c>
      <c r="C456" s="8">
        <v>911.063</v>
      </c>
      <c r="D456" s="11">
        <v>44954</v>
      </c>
      <c r="E456" s="21">
        <v>875.553</v>
      </c>
    </row>
    <row r="457" ht="16.5" spans="1:5">
      <c r="A457" s="30">
        <v>3045947.737</v>
      </c>
      <c r="B457" s="30">
        <v>35400649.992</v>
      </c>
      <c r="C457" s="8">
        <v>911.063</v>
      </c>
      <c r="D457" s="11">
        <v>44955</v>
      </c>
      <c r="E457" s="21">
        <v>875.543</v>
      </c>
    </row>
    <row r="458" ht="16.5" spans="1:5">
      <c r="A458" s="30">
        <v>3045947.737</v>
      </c>
      <c r="B458" s="30">
        <v>35400649.992</v>
      </c>
      <c r="C458" s="8">
        <v>911.063</v>
      </c>
      <c r="D458" s="11">
        <v>44956</v>
      </c>
      <c r="E458" s="21">
        <v>875.533</v>
      </c>
    </row>
    <row r="459" ht="16.5" spans="1:5">
      <c r="A459" s="30">
        <v>3045947.737</v>
      </c>
      <c r="B459" s="30">
        <v>35400649.992</v>
      </c>
      <c r="C459" s="8">
        <v>911.063</v>
      </c>
      <c r="D459" s="11">
        <v>44957</v>
      </c>
      <c r="E459" s="21">
        <v>875.523</v>
      </c>
    </row>
    <row r="460" ht="16.5" spans="1:5">
      <c r="A460" s="30">
        <v>3045947.737</v>
      </c>
      <c r="B460" s="30">
        <v>35400649.992</v>
      </c>
      <c r="C460" s="8">
        <v>911.063</v>
      </c>
      <c r="D460" s="11">
        <v>44958</v>
      </c>
      <c r="E460" s="21">
        <v>875.493</v>
      </c>
    </row>
    <row r="461" ht="16.5" spans="1:5">
      <c r="A461" s="30">
        <v>3045947.737</v>
      </c>
      <c r="B461" s="30">
        <v>35400649.992</v>
      </c>
      <c r="C461" s="8">
        <v>911.063</v>
      </c>
      <c r="D461" s="11">
        <v>44959</v>
      </c>
      <c r="E461" s="23">
        <v>875.473</v>
      </c>
    </row>
    <row r="462" ht="16.5" spans="1:5">
      <c r="A462" s="30">
        <v>3045947.737</v>
      </c>
      <c r="B462" s="30">
        <v>35400649.992</v>
      </c>
      <c r="C462" s="8">
        <v>911.063</v>
      </c>
      <c r="D462" s="11">
        <v>44960</v>
      </c>
      <c r="E462" s="21">
        <v>875.483</v>
      </c>
    </row>
    <row r="463" ht="16.5" spans="1:5">
      <c r="A463" s="30">
        <v>3045947.737</v>
      </c>
      <c r="B463" s="30">
        <v>35400649.992</v>
      </c>
      <c r="C463" s="8">
        <v>911.063</v>
      </c>
      <c r="D463" s="11">
        <v>44961</v>
      </c>
      <c r="E463" s="21">
        <v>875.503</v>
      </c>
    </row>
    <row r="464" ht="16.5" spans="1:5">
      <c r="A464" s="30">
        <v>3045947.737</v>
      </c>
      <c r="B464" s="30">
        <v>35400649.992</v>
      </c>
      <c r="C464" s="8">
        <v>911.063</v>
      </c>
      <c r="D464" s="11">
        <v>44962</v>
      </c>
      <c r="E464" s="21">
        <v>875.513</v>
      </c>
    </row>
    <row r="465" ht="16.5" spans="1:5">
      <c r="A465" s="30">
        <v>3045947.737</v>
      </c>
      <c r="B465" s="30">
        <v>35400649.992</v>
      </c>
      <c r="C465" s="8">
        <v>911.063</v>
      </c>
      <c r="D465" s="11">
        <v>44963</v>
      </c>
      <c r="E465" s="21">
        <v>875.503</v>
      </c>
    </row>
    <row r="466" ht="16.5" spans="1:5">
      <c r="A466" s="30">
        <v>3045947.737</v>
      </c>
      <c r="B466" s="30">
        <v>35400649.992</v>
      </c>
      <c r="C466" s="8">
        <v>911.063</v>
      </c>
      <c r="D466" s="11">
        <v>44964</v>
      </c>
      <c r="E466" s="21">
        <v>875.473</v>
      </c>
    </row>
    <row r="467" ht="16.5" spans="1:5">
      <c r="A467" s="30">
        <v>3045947.737</v>
      </c>
      <c r="B467" s="30">
        <v>35400649.992</v>
      </c>
      <c r="C467" s="8">
        <v>911.063</v>
      </c>
      <c r="D467" s="11">
        <v>44965</v>
      </c>
      <c r="E467" s="21">
        <v>875.473</v>
      </c>
    </row>
    <row r="468" ht="16.5" spans="1:5">
      <c r="A468" s="30">
        <v>3045947.737</v>
      </c>
      <c r="B468" s="30">
        <v>35400649.992</v>
      </c>
      <c r="C468" s="8">
        <v>911.063</v>
      </c>
      <c r="D468" s="11">
        <v>44966</v>
      </c>
      <c r="E468" s="21">
        <v>875.443</v>
      </c>
    </row>
    <row r="469" ht="16.5" spans="1:5">
      <c r="A469" s="30">
        <v>3045947.737</v>
      </c>
      <c r="B469" s="30">
        <v>35400649.992</v>
      </c>
      <c r="C469" s="8">
        <v>911.063</v>
      </c>
      <c r="D469" s="11">
        <v>44967</v>
      </c>
      <c r="E469" s="21">
        <v>875.443</v>
      </c>
    </row>
    <row r="470" ht="16.5" spans="1:5">
      <c r="A470" s="30">
        <v>3045947.737</v>
      </c>
      <c r="B470" s="30">
        <v>35400649.992</v>
      </c>
      <c r="C470" s="8">
        <v>911.063</v>
      </c>
      <c r="D470" s="11">
        <v>44968</v>
      </c>
      <c r="E470" s="21">
        <v>875.423</v>
      </c>
    </row>
    <row r="471" ht="16.5" spans="1:5">
      <c r="A471" s="30">
        <v>3045947.737</v>
      </c>
      <c r="B471" s="30">
        <v>35400649.992</v>
      </c>
      <c r="C471" s="8">
        <v>911.063</v>
      </c>
      <c r="D471" s="11">
        <v>44969</v>
      </c>
      <c r="E471" s="21">
        <v>875.413</v>
      </c>
    </row>
    <row r="472" ht="16.5" spans="1:5">
      <c r="A472" s="30">
        <v>3045947.737</v>
      </c>
      <c r="B472" s="30">
        <v>35400649.992</v>
      </c>
      <c r="C472" s="8">
        <v>911.063</v>
      </c>
      <c r="D472" s="11">
        <v>44970</v>
      </c>
      <c r="E472" s="23">
        <v>875.393</v>
      </c>
    </row>
    <row r="473" ht="16.5" spans="1:5">
      <c r="A473" s="30">
        <v>3045947.737</v>
      </c>
      <c r="B473" s="30">
        <v>35400649.992</v>
      </c>
      <c r="C473" s="8">
        <v>911.063</v>
      </c>
      <c r="D473" s="11">
        <v>44971</v>
      </c>
      <c r="E473" s="21">
        <v>875.383</v>
      </c>
    </row>
    <row r="474" ht="16.5" spans="1:5">
      <c r="A474" s="30">
        <v>3045947.737</v>
      </c>
      <c r="B474" s="30">
        <v>35400649.992</v>
      </c>
      <c r="C474" s="8">
        <v>911.063</v>
      </c>
      <c r="D474" s="11">
        <v>44972</v>
      </c>
      <c r="E474" s="21">
        <v>875.383</v>
      </c>
    </row>
    <row r="475" ht="16.5" spans="1:5">
      <c r="A475" s="30">
        <v>3045947.737</v>
      </c>
      <c r="B475" s="30">
        <v>35400649.992</v>
      </c>
      <c r="C475" s="8">
        <v>911.063</v>
      </c>
      <c r="D475" s="11">
        <v>44973</v>
      </c>
      <c r="E475" s="21">
        <v>875.363</v>
      </c>
    </row>
    <row r="476" ht="16.5" spans="1:5">
      <c r="A476" s="30">
        <v>3045947.737</v>
      </c>
      <c r="B476" s="30">
        <v>35400649.992</v>
      </c>
      <c r="C476" s="8">
        <v>911.063</v>
      </c>
      <c r="D476" s="11">
        <v>44974</v>
      </c>
      <c r="E476" s="21">
        <v>875.363</v>
      </c>
    </row>
    <row r="477" ht="16.5" spans="1:5">
      <c r="A477" s="30">
        <v>3045947.737</v>
      </c>
      <c r="B477" s="30">
        <v>35400649.992</v>
      </c>
      <c r="C477" s="8">
        <v>911.063</v>
      </c>
      <c r="D477" s="11">
        <v>44975</v>
      </c>
      <c r="E477" s="21">
        <v>875.353</v>
      </c>
    </row>
    <row r="478" ht="16.5" spans="1:5">
      <c r="A478" s="30">
        <v>3045947.737</v>
      </c>
      <c r="B478" s="30">
        <v>35400649.992</v>
      </c>
      <c r="C478" s="8">
        <v>911.063</v>
      </c>
      <c r="D478" s="11">
        <v>44976</v>
      </c>
      <c r="E478" s="21">
        <v>875.343</v>
      </c>
    </row>
    <row r="479" ht="16.5" spans="1:5">
      <c r="A479" s="30">
        <v>3045947.737</v>
      </c>
      <c r="B479" s="30">
        <v>35400649.992</v>
      </c>
      <c r="C479" s="8">
        <v>911.063</v>
      </c>
      <c r="D479" s="11">
        <v>44977</v>
      </c>
      <c r="E479" s="21">
        <v>875.323</v>
      </c>
    </row>
    <row r="480" ht="16.5" spans="1:5">
      <c r="A480" s="30">
        <v>3045947.737</v>
      </c>
      <c r="B480" s="30">
        <v>35400649.992</v>
      </c>
      <c r="C480" s="8">
        <v>911.063</v>
      </c>
      <c r="D480" s="11">
        <v>44978</v>
      </c>
      <c r="E480" s="21">
        <v>875.313</v>
      </c>
    </row>
    <row r="481" ht="16.5" spans="1:5">
      <c r="A481" s="30">
        <v>3045947.737</v>
      </c>
      <c r="B481" s="30">
        <v>35400649.992</v>
      </c>
      <c r="C481" s="8">
        <v>911.063</v>
      </c>
      <c r="D481" s="11">
        <v>44979</v>
      </c>
      <c r="E481" s="21">
        <v>875.283</v>
      </c>
    </row>
    <row r="482" ht="16.5" spans="1:5">
      <c r="A482" s="30">
        <v>3045947.737</v>
      </c>
      <c r="B482" s="30">
        <v>35400649.992</v>
      </c>
      <c r="C482" s="8">
        <v>911.063</v>
      </c>
      <c r="D482" s="11">
        <v>44980</v>
      </c>
      <c r="E482" s="21">
        <v>875.273</v>
      </c>
    </row>
    <row r="483" ht="16.5" spans="1:5">
      <c r="A483" s="30">
        <v>3045947.737</v>
      </c>
      <c r="B483" s="30">
        <v>35400649.992</v>
      </c>
      <c r="C483" s="8">
        <v>911.063</v>
      </c>
      <c r="D483" s="11">
        <v>44981</v>
      </c>
      <c r="E483" s="21">
        <v>875.243</v>
      </c>
    </row>
    <row r="484" ht="16.5" spans="1:5">
      <c r="A484" s="30">
        <v>3045947.737</v>
      </c>
      <c r="B484" s="30">
        <v>35400649.992</v>
      </c>
      <c r="C484" s="8">
        <v>911.063</v>
      </c>
      <c r="D484" s="11">
        <v>44982</v>
      </c>
      <c r="E484" s="21">
        <v>875.233</v>
      </c>
    </row>
    <row r="485" ht="16.5" spans="1:5">
      <c r="A485" s="30">
        <v>3045947.737</v>
      </c>
      <c r="B485" s="30">
        <v>35400649.992</v>
      </c>
      <c r="C485" s="8">
        <v>911.063</v>
      </c>
      <c r="D485" s="11">
        <v>44983</v>
      </c>
      <c r="E485" s="21">
        <v>875.203</v>
      </c>
    </row>
    <row r="486" ht="16.5" spans="1:5">
      <c r="A486" s="30">
        <v>3045947.737</v>
      </c>
      <c r="B486" s="30">
        <v>35400649.992</v>
      </c>
      <c r="C486" s="8">
        <v>911.063</v>
      </c>
      <c r="D486" s="11">
        <v>44984</v>
      </c>
      <c r="E486" s="21">
        <v>875.153</v>
      </c>
    </row>
    <row r="487" ht="16.5" spans="1:5">
      <c r="A487" s="30">
        <v>3045947.737</v>
      </c>
      <c r="B487" s="30">
        <v>35400649.992</v>
      </c>
      <c r="C487" s="8">
        <v>911.063</v>
      </c>
      <c r="D487" s="11">
        <v>44985</v>
      </c>
      <c r="E487" s="21">
        <v>875.083</v>
      </c>
    </row>
    <row r="488" ht="16.5" spans="1:5">
      <c r="A488" s="30">
        <v>3045947.737</v>
      </c>
      <c r="B488" s="30">
        <v>35400649.992</v>
      </c>
      <c r="C488" s="8">
        <v>911.063</v>
      </c>
      <c r="D488" s="11">
        <v>44986</v>
      </c>
      <c r="E488" s="21">
        <v>875.033</v>
      </c>
    </row>
    <row r="489" ht="16.5" spans="1:5">
      <c r="A489" s="30">
        <v>3045947.737</v>
      </c>
      <c r="B489" s="30">
        <v>35400649.992</v>
      </c>
      <c r="C489" s="8">
        <v>911.063</v>
      </c>
      <c r="D489" s="11">
        <v>44987</v>
      </c>
      <c r="E489" s="21">
        <v>874.993</v>
      </c>
    </row>
    <row r="490" ht="16.5" spans="1:5">
      <c r="A490" s="30">
        <v>3045947.737</v>
      </c>
      <c r="B490" s="30">
        <v>35400649.992</v>
      </c>
      <c r="C490" s="8">
        <v>911.063</v>
      </c>
      <c r="D490" s="11">
        <v>44988</v>
      </c>
      <c r="E490" s="21">
        <v>874.953</v>
      </c>
    </row>
    <row r="491" ht="16.5" spans="1:5">
      <c r="A491" s="30">
        <v>3045947.737</v>
      </c>
      <c r="B491" s="30">
        <v>35400649.992</v>
      </c>
      <c r="C491" s="8">
        <v>911.063</v>
      </c>
      <c r="D491" s="11">
        <v>44989</v>
      </c>
      <c r="E491" s="21">
        <v>874.923</v>
      </c>
    </row>
    <row r="492" ht="16.5" spans="1:5">
      <c r="A492" s="30">
        <v>3045947.737</v>
      </c>
      <c r="B492" s="30">
        <v>35400649.992</v>
      </c>
      <c r="C492" s="8">
        <v>911.063</v>
      </c>
      <c r="D492" s="11">
        <v>44990</v>
      </c>
      <c r="E492" s="21">
        <v>874.893</v>
      </c>
    </row>
    <row r="493" ht="16.5" spans="1:5">
      <c r="A493" s="30">
        <v>3045947.737</v>
      </c>
      <c r="B493" s="30">
        <v>35400649.992</v>
      </c>
      <c r="C493" s="8">
        <v>911.063</v>
      </c>
      <c r="D493" s="11">
        <v>44991</v>
      </c>
      <c r="E493" s="21">
        <v>874.873</v>
      </c>
    </row>
    <row r="494" ht="16.5" spans="1:5">
      <c r="A494" s="30">
        <v>3045947.737</v>
      </c>
      <c r="B494" s="30">
        <v>35400649.992</v>
      </c>
      <c r="C494" s="8">
        <v>911.063</v>
      </c>
      <c r="D494" s="11">
        <v>44992</v>
      </c>
      <c r="E494" s="21">
        <v>874.843</v>
      </c>
    </row>
    <row r="495" ht="16.5" spans="1:5">
      <c r="A495" s="30">
        <v>3045947.737</v>
      </c>
      <c r="B495" s="30">
        <v>35400649.992</v>
      </c>
      <c r="C495" s="8">
        <v>911.063</v>
      </c>
      <c r="D495" s="11">
        <v>44993</v>
      </c>
      <c r="E495" s="21">
        <v>874.813</v>
      </c>
    </row>
    <row r="496" ht="16.5" spans="1:5">
      <c r="A496" s="30">
        <v>3045947.737</v>
      </c>
      <c r="B496" s="30">
        <v>35400649.992</v>
      </c>
      <c r="C496" s="8">
        <v>911.063</v>
      </c>
      <c r="D496" s="11">
        <v>44994</v>
      </c>
      <c r="E496" s="21">
        <v>874.76</v>
      </c>
    </row>
    <row r="497" ht="16.5" spans="1:5">
      <c r="A497" s="30">
        <v>3045947.737</v>
      </c>
      <c r="B497" s="30">
        <v>35400649.992</v>
      </c>
      <c r="C497" s="8">
        <v>911.063</v>
      </c>
      <c r="D497" s="11">
        <v>44995</v>
      </c>
      <c r="E497" s="21">
        <v>874.75</v>
      </c>
    </row>
    <row r="498" ht="16.5" spans="1:5">
      <c r="A498" s="30">
        <v>3045947.737</v>
      </c>
      <c r="B498" s="30">
        <v>35400649.992</v>
      </c>
      <c r="C498" s="8">
        <v>911.063</v>
      </c>
      <c r="D498" s="11">
        <v>44996</v>
      </c>
      <c r="E498" s="21">
        <v>874.73</v>
      </c>
    </row>
    <row r="499" ht="16.5" spans="1:5">
      <c r="A499" s="30">
        <v>3045947.737</v>
      </c>
      <c r="B499" s="30">
        <v>35400649.992</v>
      </c>
      <c r="C499" s="8">
        <v>911.063</v>
      </c>
      <c r="D499" s="11">
        <v>44997</v>
      </c>
      <c r="E499" s="21">
        <v>874.6</v>
      </c>
    </row>
    <row r="500" ht="16.5" spans="1:5">
      <c r="A500" s="30">
        <v>3045947.737</v>
      </c>
      <c r="B500" s="30">
        <v>35400649.992</v>
      </c>
      <c r="C500" s="8">
        <v>911.063</v>
      </c>
      <c r="D500" s="11">
        <v>44998</v>
      </c>
      <c r="E500" s="21">
        <v>874.41</v>
      </c>
    </row>
    <row r="501" ht="16.5" spans="1:5">
      <c r="A501" s="30">
        <v>3045947.737</v>
      </c>
      <c r="B501" s="30">
        <v>35400649.992</v>
      </c>
      <c r="C501" s="8">
        <v>911.063</v>
      </c>
      <c r="D501" s="11">
        <v>44999</v>
      </c>
      <c r="E501" s="21">
        <v>874.29</v>
      </c>
    </row>
    <row r="502" ht="16.5" spans="1:5">
      <c r="A502" s="30">
        <v>3045947.737</v>
      </c>
      <c r="B502" s="30">
        <v>35400649.992</v>
      </c>
      <c r="C502" s="8">
        <v>911.063</v>
      </c>
      <c r="D502" s="11">
        <v>45000</v>
      </c>
      <c r="E502" s="21">
        <v>874.24</v>
      </c>
    </row>
    <row r="503" ht="16.5" spans="1:5">
      <c r="A503" s="30">
        <v>3045947.737</v>
      </c>
      <c r="B503" s="30">
        <v>35400649.992</v>
      </c>
      <c r="C503" s="8">
        <v>911.063</v>
      </c>
      <c r="D503" s="11">
        <v>45001</v>
      </c>
      <c r="E503" s="21">
        <v>874.2</v>
      </c>
    </row>
    <row r="504" ht="16.5" spans="1:5">
      <c r="A504" s="30">
        <v>3045947.737</v>
      </c>
      <c r="B504" s="30">
        <v>35400649.992</v>
      </c>
      <c r="C504" s="8">
        <v>911.063</v>
      </c>
      <c r="D504" s="11">
        <v>45002</v>
      </c>
      <c r="E504" s="24"/>
    </row>
    <row r="505" ht="16.5" spans="1:5">
      <c r="A505" s="30">
        <v>3045947.737</v>
      </c>
      <c r="B505" s="30">
        <v>35400649.992</v>
      </c>
      <c r="C505" s="8">
        <v>911.063</v>
      </c>
      <c r="D505" s="11">
        <v>45003</v>
      </c>
      <c r="E505" s="21"/>
    </row>
    <row r="506" ht="16.5" spans="1:5">
      <c r="A506" s="30">
        <v>3045947.737</v>
      </c>
      <c r="B506" s="30">
        <v>35400649.992</v>
      </c>
      <c r="C506" s="8">
        <v>911.063</v>
      </c>
      <c r="D506" s="11">
        <v>45004</v>
      </c>
      <c r="E506" s="21">
        <v>874.22</v>
      </c>
    </row>
    <row r="507" ht="16.5" spans="1:5">
      <c r="A507" s="30">
        <v>3045947.737</v>
      </c>
      <c r="B507" s="30">
        <v>35400649.992</v>
      </c>
      <c r="C507" s="8">
        <v>911.063</v>
      </c>
      <c r="D507" s="11">
        <v>45005</v>
      </c>
      <c r="E507" s="21">
        <v>874.24</v>
      </c>
    </row>
    <row r="508" ht="16.5" spans="1:5">
      <c r="A508" s="30">
        <v>3045947.737</v>
      </c>
      <c r="B508" s="30">
        <v>35400649.992</v>
      </c>
      <c r="C508" s="8">
        <v>911.063</v>
      </c>
      <c r="D508" s="11">
        <v>45006</v>
      </c>
      <c r="E508" s="21">
        <v>874.29</v>
      </c>
    </row>
    <row r="509" ht="16.5" spans="1:5">
      <c r="A509" s="30">
        <v>3045947.737</v>
      </c>
      <c r="B509" s="30">
        <v>35400649.992</v>
      </c>
      <c r="C509" s="8">
        <v>911.063</v>
      </c>
      <c r="D509" s="11">
        <v>45007</v>
      </c>
      <c r="E509" s="21">
        <v>874.3</v>
      </c>
    </row>
    <row r="510" ht="16.5" spans="1:5">
      <c r="A510" s="30">
        <v>3045947.737</v>
      </c>
      <c r="B510" s="30">
        <v>35400649.992</v>
      </c>
      <c r="C510" s="8">
        <v>911.063</v>
      </c>
      <c r="D510" s="11">
        <v>45008</v>
      </c>
      <c r="E510" s="21">
        <v>874.34</v>
      </c>
    </row>
    <row r="511" ht="16.5" spans="1:5">
      <c r="A511" s="30">
        <v>3045947.737</v>
      </c>
      <c r="B511" s="30">
        <v>35400649.992</v>
      </c>
      <c r="C511" s="8">
        <v>911.063</v>
      </c>
      <c r="D511" s="11">
        <v>45009</v>
      </c>
      <c r="E511" s="21">
        <v>874.31</v>
      </c>
    </row>
    <row r="512" ht="16.5" spans="1:5">
      <c r="A512" s="30">
        <v>3045947.737</v>
      </c>
      <c r="B512" s="30">
        <v>35400649.992</v>
      </c>
      <c r="C512" s="8">
        <v>911.063</v>
      </c>
      <c r="D512" s="11">
        <v>45010</v>
      </c>
      <c r="E512" s="22"/>
    </row>
    <row r="513" ht="16.5" spans="1:5">
      <c r="A513" s="30">
        <v>3045947.737</v>
      </c>
      <c r="B513" s="30">
        <v>35400649.992</v>
      </c>
      <c r="C513" s="8">
        <v>911.063</v>
      </c>
      <c r="D513" s="11">
        <v>45011</v>
      </c>
      <c r="E513" s="22"/>
    </row>
    <row r="514" ht="16.5" spans="1:5">
      <c r="A514" s="30">
        <v>3045947.737</v>
      </c>
      <c r="B514" s="30">
        <v>35400649.992</v>
      </c>
      <c r="C514" s="8">
        <v>911.063</v>
      </c>
      <c r="D514" s="11">
        <v>45012</v>
      </c>
      <c r="E514" s="22"/>
    </row>
    <row r="515" ht="16.5" spans="1:5">
      <c r="A515" s="30">
        <v>3045947.737</v>
      </c>
      <c r="B515" s="30">
        <v>35400649.992</v>
      </c>
      <c r="C515" s="8">
        <v>911.063</v>
      </c>
      <c r="D515" s="11">
        <v>45013</v>
      </c>
      <c r="E515" s="22"/>
    </row>
    <row r="516" ht="16.5" spans="1:5">
      <c r="A516" s="30">
        <v>3045947.737</v>
      </c>
      <c r="B516" s="30">
        <v>35400649.992</v>
      </c>
      <c r="C516" s="8">
        <v>911.063</v>
      </c>
      <c r="D516" s="11">
        <v>45014</v>
      </c>
      <c r="E516" s="22"/>
    </row>
    <row r="517" ht="16.5" spans="1:5">
      <c r="A517" s="30">
        <v>3045947.737</v>
      </c>
      <c r="B517" s="30">
        <v>35400649.992</v>
      </c>
      <c r="C517" s="8">
        <v>911.063</v>
      </c>
      <c r="D517" s="11">
        <v>45015</v>
      </c>
      <c r="E517" s="25">
        <v>874.29</v>
      </c>
    </row>
    <row r="518" ht="16.5" spans="1:5">
      <c r="A518" s="30">
        <v>3045947.737</v>
      </c>
      <c r="B518" s="30">
        <v>35400649.992</v>
      </c>
      <c r="C518" s="8">
        <v>911.063</v>
      </c>
      <c r="D518" s="11">
        <v>45016</v>
      </c>
      <c r="E518" s="22"/>
    </row>
    <row r="519" ht="16.5" spans="1:5">
      <c r="A519" s="30">
        <v>3045947.737</v>
      </c>
      <c r="B519" s="30">
        <v>35400649.992</v>
      </c>
      <c r="C519" s="8">
        <v>911.063</v>
      </c>
      <c r="D519" s="11">
        <v>45017</v>
      </c>
      <c r="E519" s="21">
        <v>874.31</v>
      </c>
    </row>
    <row r="520" ht="16.5" spans="1:5">
      <c r="A520" s="30">
        <v>3045947.737</v>
      </c>
      <c r="B520" s="30">
        <v>35400649.992</v>
      </c>
      <c r="C520" s="8">
        <v>911.063</v>
      </c>
      <c r="D520" s="11">
        <v>45018</v>
      </c>
      <c r="E520" s="21">
        <v>874.31</v>
      </c>
    </row>
    <row r="521" ht="16.5" spans="1:5">
      <c r="A521" s="30">
        <v>3045947.737</v>
      </c>
      <c r="B521" s="30">
        <v>35400649.992</v>
      </c>
      <c r="C521" s="8">
        <v>911.063</v>
      </c>
      <c r="D521" s="11">
        <v>45019</v>
      </c>
      <c r="E521" s="21">
        <v>874.31</v>
      </c>
    </row>
    <row r="522" ht="16.5" spans="1:5">
      <c r="A522" s="30">
        <v>3045947.737</v>
      </c>
      <c r="B522" s="30">
        <v>35400649.992</v>
      </c>
      <c r="C522" s="8">
        <v>911.063</v>
      </c>
      <c r="D522" s="11">
        <v>45020</v>
      </c>
      <c r="E522" s="21">
        <v>874.29</v>
      </c>
    </row>
    <row r="523" ht="16.5" spans="1:5">
      <c r="A523" s="30">
        <v>3045947.737</v>
      </c>
      <c r="B523" s="30">
        <v>35400649.992</v>
      </c>
      <c r="C523" s="8">
        <v>911.063</v>
      </c>
      <c r="D523" s="11">
        <v>45021</v>
      </c>
      <c r="E523" s="21">
        <v>874.28</v>
      </c>
    </row>
    <row r="524" ht="16.5" spans="1:5">
      <c r="A524" s="30">
        <v>3045947.737</v>
      </c>
      <c r="B524" s="30">
        <v>35400649.992</v>
      </c>
      <c r="C524" s="8">
        <v>911.063</v>
      </c>
      <c r="D524" s="11">
        <v>45022</v>
      </c>
      <c r="E524" s="21">
        <v>874.25</v>
      </c>
    </row>
    <row r="525" ht="16.5" spans="1:5">
      <c r="A525" s="30">
        <v>3045947.737</v>
      </c>
      <c r="B525" s="30">
        <v>35400649.992</v>
      </c>
      <c r="C525" s="8">
        <v>911.063</v>
      </c>
      <c r="D525" s="11">
        <v>45023</v>
      </c>
      <c r="E525" s="21">
        <v>874.26</v>
      </c>
    </row>
    <row r="526" ht="16.5" spans="1:5">
      <c r="A526" s="30">
        <v>3045947.737</v>
      </c>
      <c r="B526" s="30">
        <v>35400649.992</v>
      </c>
      <c r="C526" s="8">
        <v>911.063</v>
      </c>
      <c r="D526" s="11">
        <v>45024</v>
      </c>
      <c r="E526" s="21">
        <v>874.25</v>
      </c>
    </row>
    <row r="527" ht="16.5" spans="1:5">
      <c r="A527" s="30">
        <v>3045947.737</v>
      </c>
      <c r="B527" s="30">
        <v>35400649.992</v>
      </c>
      <c r="C527" s="8">
        <v>911.063</v>
      </c>
      <c r="D527" s="11">
        <v>45025</v>
      </c>
      <c r="E527" s="21">
        <v>874.28</v>
      </c>
    </row>
    <row r="528" ht="16.5" spans="1:5">
      <c r="A528" s="30">
        <v>3045947.737</v>
      </c>
      <c r="B528" s="30">
        <v>35400649.992</v>
      </c>
      <c r="C528" s="8">
        <v>911.063</v>
      </c>
      <c r="D528" s="11">
        <v>45026</v>
      </c>
      <c r="E528" s="21">
        <v>874.29</v>
      </c>
    </row>
    <row r="529" ht="16.5" spans="1:5">
      <c r="A529" s="30">
        <v>3045947.737</v>
      </c>
      <c r="B529" s="30">
        <v>35400649.992</v>
      </c>
      <c r="C529" s="8">
        <v>911.063</v>
      </c>
      <c r="D529" s="11">
        <v>45027</v>
      </c>
      <c r="E529" s="21">
        <v>874.3</v>
      </c>
    </row>
    <row r="530" ht="16.5" spans="1:5">
      <c r="A530" s="30">
        <v>3045947.737</v>
      </c>
      <c r="B530" s="30">
        <v>35400649.992</v>
      </c>
      <c r="C530" s="8">
        <v>911.063</v>
      </c>
      <c r="D530" s="11">
        <v>45028</v>
      </c>
      <c r="E530" s="21">
        <v>874.32</v>
      </c>
    </row>
    <row r="531" ht="16.5" spans="1:5">
      <c r="A531" s="30">
        <v>3045947.737</v>
      </c>
      <c r="B531" s="30">
        <v>35400649.992</v>
      </c>
      <c r="C531" s="8">
        <v>911.063</v>
      </c>
      <c r="D531" s="11">
        <v>45029</v>
      </c>
      <c r="E531" s="21">
        <v>874.36</v>
      </c>
    </row>
    <row r="532" ht="16.5" spans="1:5">
      <c r="A532" s="30">
        <v>3045947.737</v>
      </c>
      <c r="B532" s="30">
        <v>35400649.992</v>
      </c>
      <c r="C532" s="8">
        <v>911.063</v>
      </c>
      <c r="D532" s="11">
        <v>45030</v>
      </c>
      <c r="E532" s="21">
        <v>874.31</v>
      </c>
    </row>
    <row r="533" ht="16.5" spans="1:5">
      <c r="A533" s="30">
        <v>3045947.737</v>
      </c>
      <c r="B533" s="30">
        <v>35400649.992</v>
      </c>
      <c r="C533" s="8">
        <v>911.063</v>
      </c>
      <c r="D533" s="11">
        <v>45031</v>
      </c>
      <c r="E533" s="21">
        <v>874.31</v>
      </c>
    </row>
    <row r="534" ht="16.5" spans="1:5">
      <c r="A534" s="30">
        <v>3045947.737</v>
      </c>
      <c r="B534" s="30">
        <v>35400649.992</v>
      </c>
      <c r="C534" s="8">
        <v>911.063</v>
      </c>
      <c r="D534" s="11">
        <v>45032</v>
      </c>
      <c r="E534" s="21">
        <v>874.36</v>
      </c>
    </row>
    <row r="535" ht="16.5" spans="1:5">
      <c r="A535" s="30">
        <v>3045947.737</v>
      </c>
      <c r="B535" s="30">
        <v>35400649.992</v>
      </c>
      <c r="C535" s="8">
        <v>911.063</v>
      </c>
      <c r="D535" s="11">
        <v>45033</v>
      </c>
      <c r="E535" s="21">
        <v>874.37</v>
      </c>
    </row>
    <row r="536" ht="16.5" spans="1:5">
      <c r="A536" s="30">
        <v>3045947.737</v>
      </c>
      <c r="B536" s="30">
        <v>35400649.992</v>
      </c>
      <c r="C536" s="8">
        <v>911.063</v>
      </c>
      <c r="D536" s="11">
        <v>45034</v>
      </c>
      <c r="E536" s="21">
        <v>874.35</v>
      </c>
    </row>
    <row r="537" ht="16.5" spans="1:5">
      <c r="A537" s="30">
        <v>3045947.737</v>
      </c>
      <c r="B537" s="30">
        <v>35400649.992</v>
      </c>
      <c r="C537" s="8">
        <v>911.063</v>
      </c>
      <c r="D537" s="11">
        <v>45035</v>
      </c>
      <c r="E537" s="21">
        <v>874.33</v>
      </c>
    </row>
    <row r="538" ht="16.5" spans="1:5">
      <c r="A538" s="30">
        <v>3045947.737</v>
      </c>
      <c r="B538" s="30">
        <v>35400649.992</v>
      </c>
      <c r="C538" s="8">
        <v>911.063</v>
      </c>
      <c r="D538" s="11">
        <v>45036</v>
      </c>
      <c r="E538" s="21">
        <v>874.33</v>
      </c>
    </row>
    <row r="539" ht="16.5" spans="1:5">
      <c r="A539" s="30">
        <v>3045947.737</v>
      </c>
      <c r="B539" s="30">
        <v>35400649.992</v>
      </c>
      <c r="C539" s="8">
        <v>911.063</v>
      </c>
      <c r="D539" s="11">
        <v>45037</v>
      </c>
      <c r="E539" s="21">
        <v>874.32</v>
      </c>
    </row>
    <row r="540" ht="16.5" spans="1:5">
      <c r="A540" s="30">
        <v>3045947.737</v>
      </c>
      <c r="B540" s="30">
        <v>35400649.992</v>
      </c>
      <c r="C540" s="8">
        <v>911.063</v>
      </c>
      <c r="D540" s="11">
        <v>45038</v>
      </c>
      <c r="E540" s="21">
        <v>874.29</v>
      </c>
    </row>
    <row r="541" ht="16.5" spans="1:5">
      <c r="A541" s="30">
        <v>3045947.737</v>
      </c>
      <c r="B541" s="30">
        <v>35400649.992</v>
      </c>
      <c r="C541" s="8">
        <v>911.063</v>
      </c>
      <c r="D541" s="11">
        <v>45039</v>
      </c>
      <c r="E541" s="21">
        <v>874.27</v>
      </c>
    </row>
    <row r="542" ht="16.5" spans="1:5">
      <c r="A542" s="30">
        <v>3045947.737</v>
      </c>
      <c r="B542" s="30">
        <v>35400649.992</v>
      </c>
      <c r="C542" s="8">
        <v>911.063</v>
      </c>
      <c r="D542" s="11">
        <v>45040</v>
      </c>
      <c r="E542" s="21">
        <v>874.25</v>
      </c>
    </row>
    <row r="543" ht="16.5" spans="1:5">
      <c r="A543" s="30">
        <v>3045947.737</v>
      </c>
      <c r="B543" s="30">
        <v>35400649.992</v>
      </c>
      <c r="C543" s="8">
        <v>911.063</v>
      </c>
      <c r="D543" s="11">
        <v>45041</v>
      </c>
      <c r="E543" s="21">
        <v>874.23</v>
      </c>
    </row>
    <row r="544" ht="16.5" spans="1:5">
      <c r="A544" s="30">
        <v>3045947.737</v>
      </c>
      <c r="B544" s="30">
        <v>35400649.992</v>
      </c>
      <c r="C544" s="8">
        <v>911.063</v>
      </c>
      <c r="D544" s="11">
        <v>45042</v>
      </c>
      <c r="E544" s="21">
        <v>874.22</v>
      </c>
    </row>
    <row r="545" ht="16.5" spans="1:5">
      <c r="A545" s="30">
        <v>3045947.737</v>
      </c>
      <c r="B545" s="30">
        <v>35400649.992</v>
      </c>
      <c r="C545" s="8">
        <v>911.063</v>
      </c>
      <c r="D545" s="11">
        <v>45043</v>
      </c>
      <c r="E545" s="21">
        <v>874.21</v>
      </c>
    </row>
    <row r="546" ht="16.5" spans="1:5">
      <c r="A546" s="30">
        <v>3045947.737</v>
      </c>
      <c r="B546" s="30">
        <v>35400649.992</v>
      </c>
      <c r="C546" s="8">
        <v>911.063</v>
      </c>
      <c r="D546" s="11">
        <v>45044</v>
      </c>
      <c r="E546" s="21">
        <v>874.18</v>
      </c>
    </row>
    <row r="547" ht="16.5" spans="1:5">
      <c r="A547" s="30">
        <v>3045947.737</v>
      </c>
      <c r="B547" s="30">
        <v>35400649.992</v>
      </c>
      <c r="C547" s="8">
        <v>911.063</v>
      </c>
      <c r="D547" s="11">
        <v>45045</v>
      </c>
      <c r="E547" s="21">
        <v>874.15</v>
      </c>
    </row>
    <row r="548" ht="16.5" spans="1:5">
      <c r="A548" s="30">
        <v>3045947.737</v>
      </c>
      <c r="B548" s="30">
        <v>35400649.992</v>
      </c>
      <c r="C548" s="8">
        <v>911.063</v>
      </c>
      <c r="D548" s="11">
        <v>45046</v>
      </c>
      <c r="E548" s="21">
        <v>874.17</v>
      </c>
    </row>
    <row r="549" ht="16.5" spans="1:5">
      <c r="A549" s="30">
        <v>3045947.737</v>
      </c>
      <c r="B549" s="30">
        <v>35400649.992</v>
      </c>
      <c r="C549" s="8">
        <v>911.063</v>
      </c>
      <c r="D549" s="11">
        <v>45047</v>
      </c>
      <c r="E549" s="21">
        <v>874.18</v>
      </c>
    </row>
    <row r="550" ht="16.5" spans="1:5">
      <c r="A550" s="30">
        <v>3045947.737</v>
      </c>
      <c r="B550" s="30">
        <v>35400649.992</v>
      </c>
      <c r="C550" s="8">
        <v>911.063</v>
      </c>
      <c r="D550" s="11">
        <v>45048</v>
      </c>
      <c r="E550" s="21">
        <v>874.15</v>
      </c>
    </row>
    <row r="551" ht="16.5" spans="1:5">
      <c r="A551" s="30">
        <v>3045947.737</v>
      </c>
      <c r="B551" s="30">
        <v>35400649.992</v>
      </c>
      <c r="C551" s="8">
        <v>911.063</v>
      </c>
      <c r="D551" s="11">
        <v>45049</v>
      </c>
      <c r="E551" s="21">
        <v>874.15</v>
      </c>
    </row>
    <row r="552" ht="16.5" spans="1:5">
      <c r="A552" s="30">
        <v>3045947.737</v>
      </c>
      <c r="B552" s="30">
        <v>35400649.992</v>
      </c>
      <c r="C552" s="8">
        <v>911.063</v>
      </c>
      <c r="D552" s="11">
        <v>45050</v>
      </c>
      <c r="E552" s="21">
        <v>874.13</v>
      </c>
    </row>
    <row r="553" ht="16.5" spans="1:5">
      <c r="A553" s="30">
        <v>3045947.737</v>
      </c>
      <c r="B553" s="30">
        <v>35400649.992</v>
      </c>
      <c r="C553" s="8">
        <v>911.063</v>
      </c>
      <c r="D553" s="11">
        <v>45051</v>
      </c>
      <c r="E553" s="21">
        <v>874.12</v>
      </c>
    </row>
    <row r="554" ht="16.5" spans="1:5">
      <c r="A554" s="30">
        <v>3045947.737</v>
      </c>
      <c r="B554" s="30">
        <v>35400649.992</v>
      </c>
      <c r="C554" s="8">
        <v>911.063</v>
      </c>
      <c r="D554" s="11">
        <v>45052</v>
      </c>
      <c r="E554" s="21">
        <v>874.09</v>
      </c>
    </row>
    <row r="555" ht="16.5" spans="1:5">
      <c r="A555" s="30">
        <v>3045947.737</v>
      </c>
      <c r="B555" s="30">
        <v>35400649.992</v>
      </c>
      <c r="C555" s="8">
        <v>911.063</v>
      </c>
      <c r="D555" s="11">
        <v>45053</v>
      </c>
      <c r="E555" s="21">
        <v>874.08</v>
      </c>
    </row>
    <row r="556" ht="16.5" spans="1:5">
      <c r="A556" s="30">
        <v>3045947.737</v>
      </c>
      <c r="B556" s="30">
        <v>35400649.992</v>
      </c>
      <c r="C556" s="8">
        <v>911.063</v>
      </c>
      <c r="D556" s="11">
        <v>45054</v>
      </c>
      <c r="E556" s="21">
        <v>874.09</v>
      </c>
    </row>
    <row r="557" ht="16.5" spans="1:5">
      <c r="A557" s="30">
        <v>3045947.737</v>
      </c>
      <c r="B557" s="30">
        <v>35400649.992</v>
      </c>
      <c r="C557" s="8">
        <v>911.063</v>
      </c>
      <c r="D557" s="11">
        <v>45055</v>
      </c>
      <c r="E557" s="21">
        <v>874.1</v>
      </c>
    </row>
    <row r="558" ht="16.5" spans="1:5">
      <c r="A558" s="30">
        <v>3045947.737</v>
      </c>
      <c r="B558" s="30">
        <v>35400649.992</v>
      </c>
      <c r="C558" s="8">
        <v>911.063</v>
      </c>
      <c r="D558" s="11">
        <v>45056</v>
      </c>
      <c r="E558" s="21">
        <v>874.09</v>
      </c>
    </row>
    <row r="559" ht="16.5" spans="1:5">
      <c r="A559" s="30">
        <v>3045947.737</v>
      </c>
      <c r="B559" s="30">
        <v>35400649.992</v>
      </c>
      <c r="C559" s="8">
        <v>911.063</v>
      </c>
      <c r="D559" s="11">
        <v>45057</v>
      </c>
      <c r="E559" s="21">
        <v>874.09</v>
      </c>
    </row>
    <row r="560" ht="16.5" spans="1:5">
      <c r="A560" s="30">
        <v>3045947.737</v>
      </c>
      <c r="B560" s="30">
        <v>35400649.992</v>
      </c>
      <c r="C560" s="8">
        <v>911.063</v>
      </c>
      <c r="D560" s="11">
        <v>45058</v>
      </c>
      <c r="E560" s="21"/>
    </row>
    <row r="561" ht="16.5" spans="1:5">
      <c r="A561" s="30">
        <v>3045947.737</v>
      </c>
      <c r="B561" s="30">
        <v>35400649.992</v>
      </c>
      <c r="C561" s="8">
        <v>911.063</v>
      </c>
      <c r="D561" s="11">
        <v>45059</v>
      </c>
      <c r="E561" s="21">
        <v>874.13</v>
      </c>
    </row>
    <row r="562" ht="16.5" spans="1:5">
      <c r="A562" s="30">
        <v>3045947.737</v>
      </c>
      <c r="B562" s="30">
        <v>35400649.992</v>
      </c>
      <c r="C562" s="8">
        <v>911.063</v>
      </c>
      <c r="D562" s="11">
        <v>45060</v>
      </c>
      <c r="E562" s="21">
        <v>874.13</v>
      </c>
    </row>
    <row r="563" ht="16.5" spans="1:5">
      <c r="A563" s="30">
        <v>3045947.737</v>
      </c>
      <c r="B563" s="30">
        <v>35400649.992</v>
      </c>
      <c r="C563" s="8">
        <v>911.063</v>
      </c>
      <c r="D563" s="11">
        <v>45061</v>
      </c>
      <c r="E563" s="21">
        <v>874.12</v>
      </c>
    </row>
    <row r="564" ht="16.5" spans="1:5">
      <c r="A564" s="30">
        <v>3045947.737</v>
      </c>
      <c r="B564" s="30">
        <v>35400649.992</v>
      </c>
      <c r="C564" s="8">
        <v>911.063</v>
      </c>
      <c r="D564" s="11">
        <v>45062</v>
      </c>
      <c r="E564" s="21">
        <v>874.1</v>
      </c>
    </row>
    <row r="565" ht="16.5" spans="1:5">
      <c r="A565" s="30">
        <v>3045947.737</v>
      </c>
      <c r="B565" s="30">
        <v>35400649.992</v>
      </c>
      <c r="C565" s="8">
        <v>911.063</v>
      </c>
      <c r="D565" s="11">
        <v>45063</v>
      </c>
      <c r="E565" s="21">
        <v>874.09</v>
      </c>
    </row>
    <row r="566" ht="16.5" spans="1:5">
      <c r="A566" s="30">
        <v>3045947.737</v>
      </c>
      <c r="B566" s="30">
        <v>35400649.992</v>
      </c>
      <c r="C566" s="8">
        <v>911.063</v>
      </c>
      <c r="D566" s="11">
        <v>45064</v>
      </c>
      <c r="E566" s="21">
        <v>874.07</v>
      </c>
    </row>
    <row r="567" ht="16.5" spans="1:5">
      <c r="A567" s="30">
        <v>3045947.737</v>
      </c>
      <c r="B567" s="30">
        <v>35400649.992</v>
      </c>
      <c r="C567" s="8">
        <v>911.063</v>
      </c>
      <c r="D567" s="11">
        <v>45065</v>
      </c>
      <c r="E567" s="21">
        <v>874.11</v>
      </c>
    </row>
    <row r="568" ht="16.5" spans="1:5">
      <c r="A568" s="30">
        <v>3045947.737</v>
      </c>
      <c r="B568" s="30">
        <v>35400649.992</v>
      </c>
      <c r="C568" s="8">
        <v>911.063</v>
      </c>
      <c r="D568" s="11">
        <v>45066</v>
      </c>
      <c r="E568" s="21">
        <v>874.14</v>
      </c>
    </row>
    <row r="569" ht="16.5" spans="1:5">
      <c r="A569" s="30">
        <v>3045947.737</v>
      </c>
      <c r="B569" s="30">
        <v>35400649.992</v>
      </c>
      <c r="C569" s="8">
        <v>911.063</v>
      </c>
      <c r="D569" s="11">
        <v>45067</v>
      </c>
      <c r="E569" s="21">
        <v>874.23</v>
      </c>
    </row>
    <row r="570" ht="16.5" spans="1:5">
      <c r="A570" s="30">
        <v>3045947.737</v>
      </c>
      <c r="B570" s="30">
        <v>35400649.992</v>
      </c>
      <c r="C570" s="8">
        <v>911.063</v>
      </c>
      <c r="D570" s="11">
        <v>45068</v>
      </c>
      <c r="E570" s="21">
        <v>874.23</v>
      </c>
    </row>
    <row r="571" ht="16.5" spans="1:5">
      <c r="A571" s="30">
        <v>3045947.737</v>
      </c>
      <c r="B571" s="30">
        <v>35400649.992</v>
      </c>
      <c r="C571" s="8">
        <v>911.063</v>
      </c>
      <c r="D571" s="11">
        <v>45069</v>
      </c>
      <c r="E571" s="21">
        <v>874.22</v>
      </c>
    </row>
    <row r="572" ht="16.5" spans="1:5">
      <c r="A572" s="30">
        <v>3045947.737</v>
      </c>
      <c r="B572" s="30">
        <v>35400649.992</v>
      </c>
      <c r="C572" s="8">
        <v>911.063</v>
      </c>
      <c r="D572" s="11">
        <v>45070</v>
      </c>
      <c r="E572" s="21">
        <v>874.19</v>
      </c>
    </row>
    <row r="573" ht="16.5" spans="1:5">
      <c r="A573" s="30">
        <v>3045947.737</v>
      </c>
      <c r="B573" s="30">
        <v>35400649.992</v>
      </c>
      <c r="C573" s="8">
        <v>911.063</v>
      </c>
      <c r="D573" s="11">
        <v>45071</v>
      </c>
      <c r="E573" s="21">
        <v>874.15</v>
      </c>
    </row>
    <row r="574" ht="16.5" spans="1:5">
      <c r="A574" s="30">
        <v>3045947.737</v>
      </c>
      <c r="B574" s="30">
        <v>35400649.992</v>
      </c>
      <c r="C574" s="8">
        <v>911.063</v>
      </c>
      <c r="D574" s="11">
        <v>45072</v>
      </c>
      <c r="E574" s="21">
        <v>874.12</v>
      </c>
    </row>
    <row r="575" ht="16.5" spans="1:5">
      <c r="A575" s="30">
        <v>3045947.737</v>
      </c>
      <c r="B575" s="30">
        <v>35400649.992</v>
      </c>
      <c r="C575" s="8">
        <v>911.063</v>
      </c>
      <c r="D575" s="11">
        <v>45073</v>
      </c>
      <c r="E575" s="21">
        <v>874.11</v>
      </c>
    </row>
    <row r="576" ht="16.5" spans="1:5">
      <c r="A576" s="30">
        <v>3045947.737</v>
      </c>
      <c r="B576" s="30">
        <v>35400649.992</v>
      </c>
      <c r="C576" s="8">
        <v>911.063</v>
      </c>
      <c r="D576" s="11">
        <v>45074</v>
      </c>
      <c r="E576" s="21">
        <v>874.08</v>
      </c>
    </row>
    <row r="577" ht="16.5" spans="1:5">
      <c r="A577" s="30">
        <v>3045947.737</v>
      </c>
      <c r="B577" s="30">
        <v>35400649.992</v>
      </c>
      <c r="C577" s="8">
        <v>911.063</v>
      </c>
      <c r="D577" s="11">
        <v>45075</v>
      </c>
      <c r="E577" s="21">
        <v>874.05</v>
      </c>
    </row>
    <row r="578" ht="16.5" spans="1:5">
      <c r="A578" s="30">
        <v>3045947.737</v>
      </c>
      <c r="B578" s="30">
        <v>35400649.992</v>
      </c>
      <c r="C578" s="8">
        <v>911.063</v>
      </c>
      <c r="D578" s="11">
        <v>45076</v>
      </c>
      <c r="E578" s="21">
        <v>874</v>
      </c>
    </row>
    <row r="579" ht="16.5" spans="1:5">
      <c r="A579" s="30">
        <v>3045947.737</v>
      </c>
      <c r="B579" s="30">
        <v>35400649.992</v>
      </c>
      <c r="C579" s="8">
        <v>911.063</v>
      </c>
      <c r="D579" s="11">
        <v>45077</v>
      </c>
      <c r="E579" s="21">
        <v>873.97</v>
      </c>
    </row>
    <row r="580" ht="16.5" spans="1:5">
      <c r="A580" s="30">
        <v>3045947.737</v>
      </c>
      <c r="B580" s="30">
        <v>35400649.992</v>
      </c>
      <c r="C580" s="8">
        <v>911.063</v>
      </c>
      <c r="D580" s="11">
        <v>45078</v>
      </c>
      <c r="E580" s="21">
        <v>873.94</v>
      </c>
    </row>
    <row r="581" ht="16.5" spans="1:5">
      <c r="A581" s="30">
        <v>3045947.737</v>
      </c>
      <c r="B581" s="30">
        <v>35400649.992</v>
      </c>
      <c r="C581" s="8">
        <v>911.063</v>
      </c>
      <c r="D581" s="11">
        <v>45079</v>
      </c>
      <c r="E581" s="21">
        <v>873.89</v>
      </c>
    </row>
    <row r="582" ht="16.5" spans="1:5">
      <c r="A582" s="30">
        <v>3045947.737</v>
      </c>
      <c r="B582" s="30">
        <v>35400649.992</v>
      </c>
      <c r="C582" s="8">
        <v>911.063</v>
      </c>
      <c r="D582" s="11">
        <v>45080</v>
      </c>
      <c r="E582" s="21">
        <v>873.86</v>
      </c>
    </row>
    <row r="583" ht="16.5" spans="1:5">
      <c r="A583" s="30">
        <v>3045947.737</v>
      </c>
      <c r="B583" s="30">
        <v>35400649.992</v>
      </c>
      <c r="C583" s="8">
        <v>911.063</v>
      </c>
      <c r="D583" s="11">
        <v>45081</v>
      </c>
      <c r="E583" s="21">
        <v>873.82</v>
      </c>
    </row>
    <row r="584" ht="16.5" spans="1:5">
      <c r="A584" s="30">
        <v>3045947.737</v>
      </c>
      <c r="B584" s="30">
        <v>35400649.992</v>
      </c>
      <c r="C584" s="8">
        <v>911.063</v>
      </c>
      <c r="D584" s="11">
        <v>45082</v>
      </c>
      <c r="E584" s="21">
        <v>873.76</v>
      </c>
    </row>
    <row r="585" ht="16.5" spans="1:5">
      <c r="A585" s="30">
        <v>3045947.737</v>
      </c>
      <c r="B585" s="30">
        <v>35400649.992</v>
      </c>
      <c r="C585" s="8">
        <v>911.063</v>
      </c>
      <c r="D585" s="11">
        <v>45083</v>
      </c>
      <c r="E585" s="21">
        <v>873.69</v>
      </c>
    </row>
    <row r="586" ht="16.5" spans="1:5">
      <c r="A586" s="30">
        <v>3045947.737</v>
      </c>
      <c r="B586" s="30">
        <v>35400649.992</v>
      </c>
      <c r="C586" s="8">
        <v>911.063</v>
      </c>
      <c r="D586" s="11">
        <v>45084</v>
      </c>
      <c r="E586" s="21">
        <v>873.61</v>
      </c>
    </row>
    <row r="587" ht="16.5" spans="1:5">
      <c r="A587" s="30">
        <v>3045947.737</v>
      </c>
      <c r="B587" s="30">
        <v>35400649.992</v>
      </c>
      <c r="C587" s="8">
        <v>911.063</v>
      </c>
      <c r="D587" s="11">
        <v>45085</v>
      </c>
      <c r="E587" s="21">
        <v>873.46</v>
      </c>
    </row>
    <row r="588" ht="16.5" spans="1:5">
      <c r="A588" s="30">
        <v>3045947.737</v>
      </c>
      <c r="B588" s="30">
        <v>35400649.992</v>
      </c>
      <c r="C588" s="8">
        <v>911.063</v>
      </c>
      <c r="D588" s="11">
        <v>45086</v>
      </c>
      <c r="E588" s="21">
        <v>873.35</v>
      </c>
    </row>
    <row r="589" ht="16.5" spans="1:5">
      <c r="A589" s="30">
        <v>3045947.737</v>
      </c>
      <c r="B589" s="30">
        <v>35400649.992</v>
      </c>
      <c r="C589" s="8">
        <v>911.063</v>
      </c>
      <c r="D589" s="11">
        <v>45087</v>
      </c>
      <c r="E589" s="21">
        <v>873.24</v>
      </c>
    </row>
    <row r="590" ht="16.5" spans="1:5">
      <c r="A590" s="30">
        <v>3045947.737</v>
      </c>
      <c r="B590" s="30">
        <v>35400649.992</v>
      </c>
      <c r="C590" s="8">
        <v>911.063</v>
      </c>
      <c r="D590" s="11">
        <v>45088</v>
      </c>
      <c r="E590" s="21">
        <v>873.13</v>
      </c>
    </row>
    <row r="591" ht="16.5" spans="1:5">
      <c r="A591" s="30">
        <v>3045947.737</v>
      </c>
      <c r="B591" s="30">
        <v>35400649.992</v>
      </c>
      <c r="C591" s="8">
        <v>911.063</v>
      </c>
      <c r="D591" s="11">
        <v>45089</v>
      </c>
      <c r="E591" s="21">
        <v>873.01</v>
      </c>
    </row>
    <row r="592" ht="16.5" spans="1:5">
      <c r="A592" s="30">
        <v>3045947.737</v>
      </c>
      <c r="B592" s="30">
        <v>35400649.992</v>
      </c>
      <c r="C592" s="8">
        <v>911.063</v>
      </c>
      <c r="D592" s="11">
        <v>45090</v>
      </c>
      <c r="E592" s="21">
        <v>872.9</v>
      </c>
    </row>
    <row r="593" ht="16.5" spans="1:5">
      <c r="A593" s="30">
        <v>3045947.737</v>
      </c>
      <c r="B593" s="30">
        <v>35400649.992</v>
      </c>
      <c r="C593" s="8">
        <v>911.063</v>
      </c>
      <c r="D593" s="11">
        <v>45091</v>
      </c>
      <c r="E593" s="21">
        <v>872.8</v>
      </c>
    </row>
    <row r="594" ht="16.5" spans="1:5">
      <c r="A594" s="30">
        <v>3045947.737</v>
      </c>
      <c r="B594" s="30">
        <v>35400649.992</v>
      </c>
      <c r="C594" s="8">
        <v>911.063</v>
      </c>
      <c r="D594" s="11">
        <v>45092</v>
      </c>
      <c r="E594" s="21">
        <v>872.73</v>
      </c>
    </row>
    <row r="595" ht="16.5" spans="1:5">
      <c r="A595" s="30">
        <v>3045947.737</v>
      </c>
      <c r="B595" s="30">
        <v>35400649.992</v>
      </c>
      <c r="C595" s="8">
        <v>911.063</v>
      </c>
      <c r="D595" s="11">
        <v>45093</v>
      </c>
      <c r="E595" s="21">
        <v>872.69</v>
      </c>
    </row>
    <row r="596" ht="16.5" spans="1:5">
      <c r="A596" s="30">
        <v>3045947.737</v>
      </c>
      <c r="B596" s="30">
        <v>35400649.992</v>
      </c>
      <c r="C596" s="8">
        <v>911.063</v>
      </c>
      <c r="D596" s="11">
        <v>45094</v>
      </c>
      <c r="E596" s="21">
        <v>872.67</v>
      </c>
    </row>
    <row r="597" ht="16.5" spans="1:5">
      <c r="A597" s="30">
        <v>3045947.737</v>
      </c>
      <c r="B597" s="30">
        <v>35400649.992</v>
      </c>
      <c r="C597" s="8">
        <v>911.063</v>
      </c>
      <c r="D597" s="11">
        <v>45095</v>
      </c>
      <c r="E597" s="21">
        <v>872.63</v>
      </c>
    </row>
    <row r="598" ht="16.5" spans="1:5">
      <c r="A598" s="30">
        <v>3045947.737</v>
      </c>
      <c r="B598" s="30">
        <v>35400649.992</v>
      </c>
      <c r="C598" s="8">
        <v>911.063</v>
      </c>
      <c r="D598" s="11">
        <v>45096</v>
      </c>
      <c r="E598" s="21">
        <v>872.61</v>
      </c>
    </row>
    <row r="599" ht="16.5" spans="1:5">
      <c r="A599" s="30">
        <v>3045947.737</v>
      </c>
      <c r="B599" s="30">
        <v>35400649.992</v>
      </c>
      <c r="C599" s="8">
        <v>911.063</v>
      </c>
      <c r="D599" s="11">
        <v>45097</v>
      </c>
      <c r="E599" s="21">
        <v>872.7</v>
      </c>
    </row>
    <row r="600" ht="16.5" spans="1:5">
      <c r="A600" s="30">
        <v>3045947.737</v>
      </c>
      <c r="B600" s="30">
        <v>35400649.992</v>
      </c>
      <c r="C600" s="8">
        <v>911.063</v>
      </c>
      <c r="D600" s="11">
        <v>45098</v>
      </c>
      <c r="E600" s="21">
        <v>872.61</v>
      </c>
    </row>
    <row r="601" ht="16.5" spans="1:5">
      <c r="A601" s="30">
        <v>3045947.737</v>
      </c>
      <c r="B601" s="30">
        <v>35400649.992</v>
      </c>
      <c r="C601" s="8">
        <v>911.063</v>
      </c>
      <c r="D601" s="11">
        <v>45099</v>
      </c>
      <c r="E601" s="21">
        <v>872.69</v>
      </c>
    </row>
    <row r="602" ht="16.5" spans="1:5">
      <c r="A602" s="30">
        <v>3045947.737</v>
      </c>
      <c r="B602" s="30">
        <v>35400649.992</v>
      </c>
      <c r="C602" s="8">
        <v>911.063</v>
      </c>
      <c r="D602" s="11">
        <v>45100</v>
      </c>
      <c r="E602" s="21">
        <v>872.67</v>
      </c>
    </row>
    <row r="603" ht="16.5" spans="1:5">
      <c r="A603" s="30">
        <v>3045947.737</v>
      </c>
      <c r="B603" s="30">
        <v>35400649.992</v>
      </c>
      <c r="C603" s="8">
        <v>911.063</v>
      </c>
      <c r="D603" s="11">
        <v>45101</v>
      </c>
      <c r="E603" s="21">
        <v>872.63</v>
      </c>
    </row>
    <row r="604" ht="16.5" spans="1:5">
      <c r="A604" s="30">
        <v>3045947.737</v>
      </c>
      <c r="B604" s="30">
        <v>35400649.992</v>
      </c>
      <c r="C604" s="8">
        <v>911.063</v>
      </c>
      <c r="D604" s="11">
        <v>45102</v>
      </c>
      <c r="E604" s="21">
        <v>872.85</v>
      </c>
    </row>
    <row r="605" ht="16.5" spans="1:5">
      <c r="A605" s="30">
        <v>3045947.737</v>
      </c>
      <c r="B605" s="30">
        <v>35400649.992</v>
      </c>
      <c r="C605" s="8">
        <v>911.063</v>
      </c>
      <c r="D605" s="11">
        <v>45103</v>
      </c>
      <c r="E605" s="21">
        <v>872.78</v>
      </c>
    </row>
    <row r="606" ht="16.5" spans="1:5">
      <c r="A606" s="30">
        <v>3045947.737</v>
      </c>
      <c r="B606" s="30">
        <v>35400649.992</v>
      </c>
      <c r="C606" s="8">
        <v>911.063</v>
      </c>
      <c r="D606" s="11">
        <v>45104</v>
      </c>
      <c r="E606" s="21">
        <v>872.72</v>
      </c>
    </row>
    <row r="607" ht="16.5" spans="1:5">
      <c r="A607" s="30">
        <v>3045947.737</v>
      </c>
      <c r="B607" s="30">
        <v>35400649.992</v>
      </c>
      <c r="C607" s="8">
        <v>911.063</v>
      </c>
      <c r="D607" s="11">
        <v>45105</v>
      </c>
      <c r="E607" s="21">
        <v>872.68</v>
      </c>
    </row>
    <row r="608" ht="16.5" spans="1:5">
      <c r="A608" s="30">
        <v>3045947.737</v>
      </c>
      <c r="B608" s="30">
        <v>35400649.992</v>
      </c>
      <c r="C608" s="8">
        <v>911.063</v>
      </c>
      <c r="D608" s="11">
        <v>45106</v>
      </c>
      <c r="E608" s="21">
        <v>872.65</v>
      </c>
    </row>
    <row r="609" ht="16.5" spans="1:5">
      <c r="A609" s="30">
        <v>3045947.737</v>
      </c>
      <c r="B609" s="30">
        <v>35400649.992</v>
      </c>
      <c r="C609" s="8">
        <v>911.063</v>
      </c>
      <c r="D609" s="11">
        <v>45107</v>
      </c>
      <c r="E609" s="21">
        <v>872.63</v>
      </c>
    </row>
    <row r="610" ht="16.5" spans="1:5">
      <c r="A610" s="30">
        <v>3045947.737</v>
      </c>
      <c r="B610" s="30">
        <v>35400649.992</v>
      </c>
      <c r="C610" s="8">
        <v>911.063</v>
      </c>
      <c r="D610" s="11">
        <v>45108</v>
      </c>
      <c r="E610" s="21">
        <v>872.34</v>
      </c>
    </row>
    <row r="611" ht="16.5" spans="1:5">
      <c r="A611" s="30">
        <v>3045947.737</v>
      </c>
      <c r="B611" s="30">
        <v>35400649.992</v>
      </c>
      <c r="C611" s="8">
        <v>911.063</v>
      </c>
      <c r="D611" s="11">
        <v>45109</v>
      </c>
      <c r="E611" s="21">
        <v>872.15</v>
      </c>
    </row>
    <row r="612" ht="16.5" spans="1:5">
      <c r="A612" s="30">
        <v>3045947.737</v>
      </c>
      <c r="B612" s="30">
        <v>35400649.992</v>
      </c>
      <c r="C612" s="8">
        <v>911.063</v>
      </c>
      <c r="D612" s="11">
        <v>45110</v>
      </c>
      <c r="E612" s="21">
        <v>872.03</v>
      </c>
    </row>
    <row r="613" ht="16.5" spans="1:5">
      <c r="A613" s="30">
        <v>3045947.737</v>
      </c>
      <c r="B613" s="30">
        <v>35400649.992</v>
      </c>
      <c r="C613" s="8">
        <v>911.063</v>
      </c>
      <c r="D613" s="11">
        <v>45111</v>
      </c>
      <c r="E613" s="21">
        <v>872.02</v>
      </c>
    </row>
    <row r="614" ht="16.5" spans="1:5">
      <c r="A614" s="30">
        <v>3045947.737</v>
      </c>
      <c r="B614" s="30">
        <v>35400649.992</v>
      </c>
      <c r="C614" s="8">
        <v>911.063</v>
      </c>
      <c r="D614" s="11">
        <v>45112</v>
      </c>
      <c r="E614" s="21">
        <v>872.33</v>
      </c>
    </row>
    <row r="615" ht="16.5" spans="1:5">
      <c r="A615" s="30">
        <v>3045947.737</v>
      </c>
      <c r="B615" s="30">
        <v>35400649.992</v>
      </c>
      <c r="C615" s="8">
        <v>911.063</v>
      </c>
      <c r="D615" s="11">
        <v>45113</v>
      </c>
      <c r="E615" s="21">
        <v>872.44</v>
      </c>
    </row>
    <row r="616" ht="16.5" spans="1:5">
      <c r="A616" s="30">
        <v>3045947.737</v>
      </c>
      <c r="B616" s="30">
        <v>35400649.992</v>
      </c>
      <c r="C616" s="8">
        <v>911.063</v>
      </c>
      <c r="D616" s="11">
        <v>45114</v>
      </c>
      <c r="E616" s="21">
        <v>872.31</v>
      </c>
    </row>
    <row r="617" ht="16.5" spans="1:5">
      <c r="A617" s="30">
        <v>3045947.737</v>
      </c>
      <c r="B617" s="30">
        <v>35400649.992</v>
      </c>
      <c r="C617" s="8">
        <v>911.063</v>
      </c>
      <c r="D617" s="11">
        <v>45115</v>
      </c>
      <c r="E617" s="21">
        <v>872.39</v>
      </c>
    </row>
    <row r="618" ht="16.5" spans="1:5">
      <c r="A618" s="30">
        <v>3045947.737</v>
      </c>
      <c r="B618" s="30">
        <v>35400649.992</v>
      </c>
      <c r="C618" s="8">
        <v>911.063</v>
      </c>
      <c r="D618" s="11">
        <v>45116</v>
      </c>
      <c r="E618" s="21">
        <v>872.5</v>
      </c>
    </row>
    <row r="619" ht="16.5" spans="1:5">
      <c r="A619" s="30">
        <v>3045947.737</v>
      </c>
      <c r="B619" s="30">
        <v>35400649.992</v>
      </c>
      <c r="C619" s="8">
        <v>911.063</v>
      </c>
      <c r="D619" s="11">
        <v>45117</v>
      </c>
      <c r="E619" s="21">
        <v>872.62</v>
      </c>
    </row>
    <row r="620" ht="16.5" spans="1:5">
      <c r="A620" s="30">
        <v>3045947.737</v>
      </c>
      <c r="B620" s="30">
        <v>35400649.992</v>
      </c>
      <c r="C620" s="8">
        <v>911.063</v>
      </c>
      <c r="D620" s="11">
        <v>45118</v>
      </c>
      <c r="E620" s="21">
        <v>872.69</v>
      </c>
    </row>
    <row r="621" ht="16.5" spans="1:5">
      <c r="A621" s="30">
        <v>3045947.737</v>
      </c>
      <c r="B621" s="30">
        <v>35400649.992</v>
      </c>
      <c r="C621" s="8">
        <v>911.063</v>
      </c>
      <c r="D621" s="11">
        <v>45119</v>
      </c>
      <c r="E621" s="21">
        <v>872.67</v>
      </c>
    </row>
    <row r="622" ht="16.5" spans="1:5">
      <c r="A622" s="30">
        <v>3045947.737</v>
      </c>
      <c r="B622" s="30">
        <v>35400649.992</v>
      </c>
      <c r="C622" s="8">
        <v>911.063</v>
      </c>
      <c r="D622" s="11">
        <v>45120</v>
      </c>
      <c r="E622" s="21">
        <v>872.61</v>
      </c>
    </row>
    <row r="623" ht="16.5" spans="1:5">
      <c r="A623" s="30">
        <v>3045947.737</v>
      </c>
      <c r="B623" s="30">
        <v>35400649.992</v>
      </c>
      <c r="C623" s="8">
        <v>911.063</v>
      </c>
      <c r="D623" s="11">
        <v>45121</v>
      </c>
      <c r="E623" s="21">
        <v>872.62</v>
      </c>
    </row>
    <row r="624" ht="16.5" spans="1:5">
      <c r="A624" s="30">
        <v>3045947.737</v>
      </c>
      <c r="B624" s="30">
        <v>35400649.992</v>
      </c>
      <c r="C624" s="8">
        <v>911.063</v>
      </c>
      <c r="D624" s="11">
        <v>45122</v>
      </c>
      <c r="E624" s="21">
        <v>872.93</v>
      </c>
    </row>
    <row r="625" ht="16.5" spans="1:5">
      <c r="A625" s="30">
        <v>3045947.737</v>
      </c>
      <c r="B625" s="30">
        <v>35400649.992</v>
      </c>
      <c r="C625" s="8">
        <v>911.063</v>
      </c>
      <c r="D625" s="11">
        <v>45123</v>
      </c>
      <c r="E625" s="21">
        <v>873.07</v>
      </c>
    </row>
    <row r="626" ht="16.5" spans="1:5">
      <c r="A626" s="30">
        <v>3045947.737</v>
      </c>
      <c r="B626" s="30">
        <v>35400649.992</v>
      </c>
      <c r="C626" s="8">
        <v>911.063</v>
      </c>
      <c r="D626" s="11">
        <v>45124</v>
      </c>
      <c r="E626" s="21">
        <v>873.13</v>
      </c>
    </row>
    <row r="627" ht="16.5" spans="1:5">
      <c r="A627" s="30">
        <v>3045947.737</v>
      </c>
      <c r="B627" s="30">
        <v>35400649.992</v>
      </c>
      <c r="C627" s="8">
        <v>911.063</v>
      </c>
      <c r="D627" s="11">
        <v>45125</v>
      </c>
      <c r="E627" s="21">
        <v>873.16</v>
      </c>
    </row>
    <row r="628" ht="16.5" spans="1:5">
      <c r="A628" s="30">
        <v>3045947.737</v>
      </c>
      <c r="B628" s="30">
        <v>35400649.992</v>
      </c>
      <c r="C628" s="8">
        <v>911.063</v>
      </c>
      <c r="D628" s="11">
        <v>45126</v>
      </c>
      <c r="E628" s="21">
        <v>873.16</v>
      </c>
    </row>
    <row r="629" ht="16.5" spans="1:5">
      <c r="A629" s="30">
        <v>3045947.737</v>
      </c>
      <c r="B629" s="30">
        <v>35400649.992</v>
      </c>
      <c r="C629" s="8">
        <v>911.063</v>
      </c>
      <c r="D629" s="11">
        <v>45127</v>
      </c>
      <c r="E629" s="21">
        <v>873.18</v>
      </c>
    </row>
    <row r="630" ht="16.5" spans="1:5">
      <c r="A630" s="30">
        <v>3045947.737</v>
      </c>
      <c r="B630" s="30">
        <v>35400649.992</v>
      </c>
      <c r="C630" s="8">
        <v>911.063</v>
      </c>
      <c r="D630" s="11">
        <v>45128</v>
      </c>
      <c r="E630" s="21">
        <v>873.25</v>
      </c>
    </row>
    <row r="631" ht="16.5" spans="1:5">
      <c r="A631" s="30">
        <v>3045947.737</v>
      </c>
      <c r="B631" s="30">
        <v>35400649.992</v>
      </c>
      <c r="C631" s="8">
        <v>911.063</v>
      </c>
      <c r="D631" s="11">
        <v>45129</v>
      </c>
      <c r="E631" s="21">
        <v>873.33</v>
      </c>
    </row>
    <row r="632" ht="16.5" spans="1:5">
      <c r="A632" s="30">
        <v>3045947.737</v>
      </c>
      <c r="B632" s="30">
        <v>35400649.992</v>
      </c>
      <c r="C632" s="8">
        <v>911.063</v>
      </c>
      <c r="D632" s="11">
        <v>45130</v>
      </c>
      <c r="E632" s="21">
        <v>873.4</v>
      </c>
    </row>
    <row r="633" ht="16.5" spans="1:5">
      <c r="A633" s="30">
        <v>3045947.737</v>
      </c>
      <c r="B633" s="30">
        <v>35400649.992</v>
      </c>
      <c r="C633" s="8">
        <v>911.063</v>
      </c>
      <c r="D633" s="11">
        <v>45131</v>
      </c>
      <c r="E633" s="21">
        <v>873.41</v>
      </c>
    </row>
    <row r="634" ht="16.5" spans="1:5">
      <c r="A634" s="30">
        <v>3045947.737</v>
      </c>
      <c r="B634" s="30">
        <v>35400649.992</v>
      </c>
      <c r="C634" s="8">
        <v>911.063</v>
      </c>
      <c r="D634" s="11">
        <v>45132</v>
      </c>
      <c r="E634" s="21">
        <v>873.4</v>
      </c>
    </row>
    <row r="635" ht="16.5" spans="1:5">
      <c r="A635" s="30">
        <v>3045947.737</v>
      </c>
      <c r="B635" s="30">
        <v>35400649.992</v>
      </c>
      <c r="C635" s="8">
        <v>911.063</v>
      </c>
      <c r="D635" s="11">
        <v>45133</v>
      </c>
      <c r="E635" s="21">
        <v>873.42</v>
      </c>
    </row>
    <row r="636" ht="16.5" spans="1:5">
      <c r="A636" s="30">
        <v>3045947.737</v>
      </c>
      <c r="B636" s="30">
        <v>35400649.992</v>
      </c>
      <c r="C636" s="8">
        <v>911.063</v>
      </c>
      <c r="D636" s="11">
        <v>45134</v>
      </c>
      <c r="E636" s="21">
        <v>873.52</v>
      </c>
    </row>
    <row r="637" ht="16.5" spans="1:5">
      <c r="A637" s="30">
        <v>3045947.737</v>
      </c>
      <c r="B637" s="30">
        <v>35400649.992</v>
      </c>
      <c r="C637" s="8">
        <v>911.063</v>
      </c>
      <c r="D637" s="11">
        <v>45135</v>
      </c>
      <c r="E637" s="21">
        <v>873.96</v>
      </c>
    </row>
    <row r="638" ht="16.5" spans="1:5">
      <c r="A638" s="30">
        <v>3045947.737</v>
      </c>
      <c r="B638" s="30">
        <v>35400649.992</v>
      </c>
      <c r="C638" s="8">
        <v>911.063</v>
      </c>
      <c r="D638" s="11">
        <v>45136</v>
      </c>
      <c r="E638" s="21">
        <v>874.29</v>
      </c>
    </row>
    <row r="639" ht="16.5" spans="1:5">
      <c r="A639" s="30">
        <v>3045947.737</v>
      </c>
      <c r="B639" s="30">
        <v>35400649.992</v>
      </c>
      <c r="C639" s="8">
        <v>911.063</v>
      </c>
      <c r="D639" s="11">
        <v>45137</v>
      </c>
      <c r="E639" s="21">
        <v>874.36</v>
      </c>
    </row>
    <row r="640" ht="16.5" spans="1:5">
      <c r="A640" s="30">
        <v>3045947.737</v>
      </c>
      <c r="B640" s="30">
        <v>35400649.992</v>
      </c>
      <c r="C640" s="8">
        <v>911.063</v>
      </c>
      <c r="D640" s="11">
        <v>45138</v>
      </c>
      <c r="E640" s="21">
        <v>874.31</v>
      </c>
    </row>
    <row r="641" ht="16.5" spans="1:5">
      <c r="A641" s="30">
        <v>3045947.737</v>
      </c>
      <c r="B641" s="30">
        <v>35400649.992</v>
      </c>
      <c r="C641" s="8">
        <v>911.063</v>
      </c>
      <c r="D641" s="11">
        <v>45139</v>
      </c>
      <c r="E641" s="21">
        <v>874.27</v>
      </c>
    </row>
    <row r="642" ht="16.5" spans="1:5">
      <c r="A642" s="30">
        <v>3045947.737</v>
      </c>
      <c r="B642" s="30">
        <v>35400649.992</v>
      </c>
      <c r="C642" s="8">
        <v>911.063</v>
      </c>
      <c r="D642" s="11">
        <v>45140</v>
      </c>
      <c r="E642" s="21">
        <v>874.26</v>
      </c>
    </row>
    <row r="643" ht="16.5" spans="1:5">
      <c r="A643" s="30">
        <v>3045947.737</v>
      </c>
      <c r="B643" s="30">
        <v>35400649.992</v>
      </c>
      <c r="C643" s="8">
        <v>911.063</v>
      </c>
      <c r="D643" s="11">
        <v>45141</v>
      </c>
      <c r="E643" s="21">
        <v>874.328</v>
      </c>
    </row>
    <row r="644" ht="16.5" spans="1:5">
      <c r="A644" s="30">
        <v>3045947.737</v>
      </c>
      <c r="B644" s="30">
        <v>35400649.992</v>
      </c>
      <c r="C644" s="8">
        <v>911.063</v>
      </c>
      <c r="D644" s="11">
        <v>45142</v>
      </c>
      <c r="E644" s="21">
        <v>874.398</v>
      </c>
    </row>
    <row r="645" ht="16.5" spans="1:5">
      <c r="A645" s="30">
        <v>3045947.737</v>
      </c>
      <c r="B645" s="30">
        <v>35400649.992</v>
      </c>
      <c r="C645" s="8">
        <v>911.063</v>
      </c>
      <c r="D645" s="11">
        <v>45143</v>
      </c>
      <c r="E645" s="21">
        <v>874.691</v>
      </c>
    </row>
    <row r="646" ht="16.5" spans="1:5">
      <c r="A646" s="30">
        <v>3045947.737</v>
      </c>
      <c r="B646" s="30">
        <v>35400649.992</v>
      </c>
      <c r="C646" s="8">
        <v>911.063</v>
      </c>
      <c r="D646" s="11">
        <v>45144</v>
      </c>
      <c r="E646" s="21">
        <v>875.003</v>
      </c>
    </row>
    <row r="647" ht="16.5" spans="1:5">
      <c r="A647" s="30">
        <v>3045947.737</v>
      </c>
      <c r="B647" s="30">
        <v>35400649.992</v>
      </c>
      <c r="C647" s="8">
        <v>911.063</v>
      </c>
      <c r="D647" s="11">
        <v>45145</v>
      </c>
      <c r="E647" s="21">
        <v>875.254</v>
      </c>
    </row>
    <row r="648" ht="16.5" spans="1:5">
      <c r="A648" s="30">
        <v>3045947.737</v>
      </c>
      <c r="B648" s="30">
        <v>35400649.992</v>
      </c>
      <c r="C648" s="8">
        <v>911.063</v>
      </c>
      <c r="D648" s="11">
        <v>45146</v>
      </c>
      <c r="E648" s="21">
        <v>875.497</v>
      </c>
    </row>
    <row r="649" ht="16.5" spans="1:5">
      <c r="A649" s="30">
        <v>3045947.737</v>
      </c>
      <c r="B649" s="30">
        <v>35400649.992</v>
      </c>
      <c r="C649" s="8">
        <v>911.063</v>
      </c>
      <c r="D649" s="11">
        <v>45147</v>
      </c>
      <c r="E649" s="21">
        <v>875.722</v>
      </c>
    </row>
    <row r="650" ht="16.5" spans="1:5">
      <c r="A650" s="30">
        <v>3045947.737</v>
      </c>
      <c r="B650" s="30">
        <v>35400649.992</v>
      </c>
      <c r="C650" s="8">
        <v>911.063</v>
      </c>
      <c r="D650" s="11">
        <v>45148</v>
      </c>
      <c r="E650" s="22"/>
    </row>
    <row r="651" ht="16.5" spans="1:5">
      <c r="A651" s="30">
        <v>3045947.737</v>
      </c>
      <c r="B651" s="30">
        <v>35400649.992</v>
      </c>
      <c r="C651" s="8">
        <v>911.063</v>
      </c>
      <c r="D651" s="11">
        <v>45149</v>
      </c>
      <c r="E651" s="21">
        <v>876.064</v>
      </c>
    </row>
    <row r="652" ht="16.5" spans="1:5">
      <c r="A652" s="30">
        <v>3045947.737</v>
      </c>
      <c r="B652" s="30">
        <v>35400649.992</v>
      </c>
      <c r="C652" s="8">
        <v>911.063</v>
      </c>
      <c r="D652" s="11">
        <v>45150</v>
      </c>
      <c r="E652" s="21">
        <v>876.203</v>
      </c>
    </row>
    <row r="653" ht="16.5" spans="1:5">
      <c r="A653" s="30">
        <v>3045947.737</v>
      </c>
      <c r="B653" s="30">
        <v>35400649.992</v>
      </c>
      <c r="C653" s="8">
        <v>911.063</v>
      </c>
      <c r="D653" s="11">
        <v>45151</v>
      </c>
      <c r="E653" s="21">
        <v>876.342</v>
      </c>
    </row>
    <row r="654" ht="16.5" spans="1:5">
      <c r="A654" s="30">
        <v>3045947.737</v>
      </c>
      <c r="B654" s="30">
        <v>35400649.992</v>
      </c>
      <c r="C654" s="8">
        <v>911.063</v>
      </c>
      <c r="D654" s="11">
        <v>45152</v>
      </c>
      <c r="E654" s="21">
        <v>876.437</v>
      </c>
    </row>
    <row r="655" ht="16.5" spans="1:5">
      <c r="A655" s="30">
        <v>3045947.737</v>
      </c>
      <c r="B655" s="30">
        <v>35400649.992</v>
      </c>
      <c r="C655" s="8">
        <v>911.063</v>
      </c>
      <c r="D655" s="11">
        <v>45153</v>
      </c>
      <c r="E655" s="25">
        <v>876.487</v>
      </c>
    </row>
    <row r="656" ht="16.5" spans="1:5">
      <c r="A656" s="30">
        <v>3045947.737</v>
      </c>
      <c r="B656" s="30">
        <v>35400649.992</v>
      </c>
      <c r="C656" s="8">
        <v>911.063</v>
      </c>
      <c r="D656" s="11">
        <v>45154</v>
      </c>
      <c r="E656" s="21">
        <v>876.525</v>
      </c>
    </row>
    <row r="657" ht="16.5" spans="1:5">
      <c r="A657" s="30">
        <v>3045947.737</v>
      </c>
      <c r="B657" s="30">
        <v>35400649.992</v>
      </c>
      <c r="C657" s="8">
        <v>911.063</v>
      </c>
      <c r="D657" s="11">
        <v>45155</v>
      </c>
      <c r="E657" s="21">
        <v>876.544</v>
      </c>
    </row>
    <row r="658" ht="16.5" spans="1:5">
      <c r="A658" s="30">
        <v>3045947.737</v>
      </c>
      <c r="B658" s="30">
        <v>35400649.992</v>
      </c>
      <c r="C658" s="8">
        <v>911.063</v>
      </c>
      <c r="D658" s="11">
        <v>45156</v>
      </c>
      <c r="E658" s="21">
        <v>876.555</v>
      </c>
    </row>
    <row r="659" ht="16.5" spans="1:5">
      <c r="A659" s="30">
        <v>3045947.737</v>
      </c>
      <c r="B659" s="30">
        <v>35400649.992</v>
      </c>
      <c r="C659" s="8">
        <v>911.063</v>
      </c>
      <c r="D659" s="11">
        <v>45157</v>
      </c>
      <c r="E659" s="21">
        <v>876.66</v>
      </c>
    </row>
    <row r="660" ht="16.5" spans="1:5">
      <c r="A660" s="30">
        <v>3045947.737</v>
      </c>
      <c r="B660" s="30">
        <v>35400649.992</v>
      </c>
      <c r="C660" s="8">
        <v>911.063</v>
      </c>
      <c r="D660" s="11">
        <v>45158</v>
      </c>
      <c r="E660" s="21">
        <v>876.766</v>
      </c>
    </row>
    <row r="661" ht="16.5" spans="1:5">
      <c r="A661" s="30">
        <v>3045947.737</v>
      </c>
      <c r="B661" s="30">
        <v>35400649.992</v>
      </c>
      <c r="C661" s="8">
        <v>911.063</v>
      </c>
      <c r="D661" s="11">
        <v>45159</v>
      </c>
      <c r="E661" s="21">
        <v>876.821</v>
      </c>
    </row>
    <row r="662" ht="16.5" spans="1:5">
      <c r="A662" s="30">
        <v>3045947.737</v>
      </c>
      <c r="B662" s="30">
        <v>35400649.992</v>
      </c>
      <c r="C662" s="8">
        <v>911.063</v>
      </c>
      <c r="D662" s="11">
        <v>45160</v>
      </c>
      <c r="E662" s="21">
        <v>876.864</v>
      </c>
    </row>
    <row r="663" ht="16.5" spans="1:5">
      <c r="A663" s="30">
        <v>3045947.737</v>
      </c>
      <c r="B663" s="30">
        <v>35400649.992</v>
      </c>
      <c r="C663" s="8">
        <v>911.063</v>
      </c>
      <c r="D663" s="11">
        <v>45161</v>
      </c>
      <c r="E663" s="21">
        <v>876.858</v>
      </c>
    </row>
    <row r="664" ht="16.5" spans="1:5">
      <c r="A664" s="30">
        <v>3045947.737</v>
      </c>
      <c r="B664" s="30">
        <v>35400649.992</v>
      </c>
      <c r="C664" s="8">
        <v>911.063</v>
      </c>
      <c r="D664" s="11">
        <v>45162</v>
      </c>
      <c r="E664" s="21">
        <v>876.928</v>
      </c>
    </row>
    <row r="665" ht="16.5" spans="1:5">
      <c r="A665" s="30">
        <v>3045947.737</v>
      </c>
      <c r="B665" s="30">
        <v>35400649.992</v>
      </c>
      <c r="C665" s="8">
        <v>911.063</v>
      </c>
      <c r="D665" s="11">
        <v>45163</v>
      </c>
      <c r="E665" s="21">
        <v>877.245</v>
      </c>
    </row>
    <row r="666" ht="16.5" spans="1:5">
      <c r="A666" s="30">
        <v>3045947.737</v>
      </c>
      <c r="B666" s="30">
        <v>35400649.992</v>
      </c>
      <c r="C666" s="8">
        <v>911.063</v>
      </c>
      <c r="D666" s="11">
        <v>45164</v>
      </c>
      <c r="E666" s="21">
        <v>877.4</v>
      </c>
    </row>
    <row r="667" ht="16.5" spans="1:5">
      <c r="A667" s="30">
        <v>3045947.737</v>
      </c>
      <c r="B667" s="30">
        <v>35400649.992</v>
      </c>
      <c r="C667" s="8">
        <v>911.063</v>
      </c>
      <c r="D667" s="11">
        <v>45165</v>
      </c>
      <c r="E667" s="21">
        <v>877.481</v>
      </c>
    </row>
    <row r="668" ht="16.5" spans="1:5">
      <c r="A668" s="30">
        <v>3045947.737</v>
      </c>
      <c r="B668" s="30">
        <v>35400649.992</v>
      </c>
      <c r="C668" s="8">
        <v>911.063</v>
      </c>
      <c r="D668" s="11">
        <v>45166</v>
      </c>
      <c r="E668" s="21">
        <v>877.579</v>
      </c>
    </row>
    <row r="669" ht="16.5" spans="1:5">
      <c r="A669" s="30">
        <v>3045947.737</v>
      </c>
      <c r="B669" s="30">
        <v>35400649.992</v>
      </c>
      <c r="C669" s="8">
        <v>911.063</v>
      </c>
      <c r="D669" s="11">
        <v>45167</v>
      </c>
      <c r="E669" s="21">
        <v>877.686</v>
      </c>
    </row>
    <row r="670" ht="16.5" spans="1:5">
      <c r="A670" s="30">
        <v>3045947.737</v>
      </c>
      <c r="B670" s="30">
        <v>35400649.992</v>
      </c>
      <c r="C670" s="8">
        <v>911.063</v>
      </c>
      <c r="D670" s="11">
        <v>45168</v>
      </c>
      <c r="E670" s="21">
        <v>877.758</v>
      </c>
    </row>
    <row r="671" ht="16.5" spans="1:5">
      <c r="A671" s="30">
        <v>3045947.737</v>
      </c>
      <c r="B671" s="30">
        <v>35400649.992</v>
      </c>
      <c r="C671" s="8">
        <v>911.063</v>
      </c>
      <c r="D671" s="11">
        <v>45169</v>
      </c>
      <c r="E671" s="21">
        <v>877.85</v>
      </c>
    </row>
    <row r="672" ht="16.5" spans="1:5">
      <c r="A672" s="30">
        <v>3045947.737</v>
      </c>
      <c r="B672" s="30">
        <v>35400649.992</v>
      </c>
      <c r="C672" s="8">
        <v>911.063</v>
      </c>
      <c r="D672" s="11">
        <v>45170</v>
      </c>
      <c r="E672" s="21">
        <v>877.916</v>
      </c>
    </row>
    <row r="673" ht="16.5" spans="1:5">
      <c r="A673" s="30">
        <v>3045947.737</v>
      </c>
      <c r="B673" s="30">
        <v>35400649.992</v>
      </c>
      <c r="C673" s="8">
        <v>911.063</v>
      </c>
      <c r="D673" s="11">
        <v>45171</v>
      </c>
      <c r="E673" s="21">
        <v>877.99</v>
      </c>
    </row>
    <row r="674" ht="16.5" spans="1:5">
      <c r="A674" s="30">
        <v>3045947.737</v>
      </c>
      <c r="B674" s="30">
        <v>35400649.992</v>
      </c>
      <c r="C674" s="8">
        <v>911.063</v>
      </c>
      <c r="D674" s="11">
        <v>45172</v>
      </c>
      <c r="E674" s="21">
        <v>878.06</v>
      </c>
    </row>
    <row r="675" ht="16.5" spans="1:5">
      <c r="A675" s="30">
        <v>3045947.737</v>
      </c>
      <c r="B675" s="30">
        <v>35400649.992</v>
      </c>
      <c r="C675" s="8">
        <v>911.063</v>
      </c>
      <c r="D675" s="11">
        <v>45173</v>
      </c>
      <c r="E675" s="21">
        <v>878.123</v>
      </c>
    </row>
    <row r="676" ht="16.5" spans="1:5">
      <c r="A676" s="30">
        <v>3045947.737</v>
      </c>
      <c r="B676" s="30">
        <v>35400649.992</v>
      </c>
      <c r="C676" s="8">
        <v>911.063</v>
      </c>
      <c r="D676" s="11">
        <v>45174</v>
      </c>
      <c r="E676" s="21">
        <v>878.169</v>
      </c>
    </row>
    <row r="677" ht="16.5" spans="1:5">
      <c r="A677" s="30">
        <v>3045947.737</v>
      </c>
      <c r="B677" s="30">
        <v>35400649.992</v>
      </c>
      <c r="C677" s="8">
        <v>911.063</v>
      </c>
      <c r="D677" s="11">
        <v>45175</v>
      </c>
      <c r="E677" s="21">
        <v>878.208</v>
      </c>
    </row>
    <row r="678" ht="16.5" spans="1:5">
      <c r="A678" s="30">
        <v>3045947.737</v>
      </c>
      <c r="B678" s="30">
        <v>35400649.992</v>
      </c>
      <c r="C678" s="8">
        <v>911.063</v>
      </c>
      <c r="D678" s="11">
        <v>45176</v>
      </c>
      <c r="E678" s="21">
        <v>878.246</v>
      </c>
    </row>
    <row r="679" ht="16.5" spans="1:5">
      <c r="A679" s="30">
        <v>3045947.737</v>
      </c>
      <c r="B679" s="30">
        <v>35400649.992</v>
      </c>
      <c r="C679" s="8">
        <v>911.063</v>
      </c>
      <c r="D679" s="11">
        <v>45177</v>
      </c>
      <c r="E679" s="21">
        <v>878.269</v>
      </c>
    </row>
    <row r="680" ht="16.5" spans="1:5">
      <c r="A680" s="30">
        <v>3045947.737</v>
      </c>
      <c r="B680" s="30">
        <v>35400649.992</v>
      </c>
      <c r="C680" s="8">
        <v>911.063</v>
      </c>
      <c r="D680" s="11">
        <v>45178</v>
      </c>
      <c r="E680" s="21">
        <v>878.291</v>
      </c>
    </row>
    <row r="681" ht="16.5" spans="1:5">
      <c r="A681" s="30">
        <v>3045947.737</v>
      </c>
      <c r="B681" s="30">
        <v>35400649.992</v>
      </c>
      <c r="C681" s="8">
        <v>911.063</v>
      </c>
      <c r="D681" s="11">
        <v>45179</v>
      </c>
      <c r="E681" s="21">
        <v>878.326</v>
      </c>
    </row>
    <row r="682" ht="16.5" spans="1:5">
      <c r="A682" s="30">
        <v>3045947.737</v>
      </c>
      <c r="B682" s="30">
        <v>35400649.992</v>
      </c>
      <c r="C682" s="8">
        <v>911.063</v>
      </c>
      <c r="D682" s="11">
        <v>45180</v>
      </c>
      <c r="E682" s="21"/>
    </row>
    <row r="683" ht="16.5" spans="1:5">
      <c r="A683" s="30">
        <v>3045947.737</v>
      </c>
      <c r="B683" s="30">
        <v>35400649.992</v>
      </c>
      <c r="C683" s="8">
        <v>911.063</v>
      </c>
      <c r="D683" s="11">
        <v>45181</v>
      </c>
      <c r="E683" s="21"/>
    </row>
    <row r="684" ht="16.5" spans="1:5">
      <c r="A684" s="30">
        <v>3045947.737</v>
      </c>
      <c r="B684" s="30">
        <v>35400649.992</v>
      </c>
      <c r="C684" s="8">
        <v>911.063</v>
      </c>
      <c r="D684" s="11">
        <v>45182</v>
      </c>
      <c r="E684" s="21"/>
    </row>
    <row r="685" ht="16.5" spans="1:5">
      <c r="A685" s="30">
        <v>3045947.737</v>
      </c>
      <c r="B685" s="30">
        <v>35400649.992</v>
      </c>
      <c r="C685" s="8">
        <v>911.063</v>
      </c>
      <c r="D685" s="11">
        <v>45183</v>
      </c>
      <c r="E685" s="21">
        <v>878.28</v>
      </c>
    </row>
    <row r="686" ht="16.5" spans="1:5">
      <c r="A686" s="30">
        <v>3045947.737</v>
      </c>
      <c r="B686" s="30">
        <v>35400649.992</v>
      </c>
      <c r="C686" s="8">
        <v>911.063</v>
      </c>
      <c r="D686" s="11">
        <v>45184</v>
      </c>
      <c r="E686" s="22"/>
    </row>
    <row r="687" ht="16.5" spans="1:5">
      <c r="A687" s="30">
        <v>3045947.737</v>
      </c>
      <c r="B687" s="30">
        <v>35400649.992</v>
      </c>
      <c r="C687" s="8">
        <v>911.063</v>
      </c>
      <c r="D687" s="11">
        <v>45185</v>
      </c>
      <c r="E687" s="22"/>
    </row>
    <row r="688" ht="16.5" spans="1:5">
      <c r="A688" s="30">
        <v>3045947.737</v>
      </c>
      <c r="B688" s="30">
        <v>35400649.992</v>
      </c>
      <c r="C688" s="8">
        <v>911.063</v>
      </c>
      <c r="D688" s="11">
        <v>45186</v>
      </c>
      <c r="E688" s="22"/>
    </row>
    <row r="689" ht="16.5" spans="1:5">
      <c r="A689" s="30">
        <v>3045947.737</v>
      </c>
      <c r="B689" s="30">
        <v>35400649.992</v>
      </c>
      <c r="C689" s="8">
        <v>911.063</v>
      </c>
      <c r="D689" s="11">
        <v>45187</v>
      </c>
      <c r="E689" s="22"/>
    </row>
    <row r="690" ht="16.5" spans="1:5">
      <c r="A690" s="30">
        <v>3045947.737</v>
      </c>
      <c r="B690" s="30">
        <v>35400649.992</v>
      </c>
      <c r="C690" s="8">
        <v>911.063</v>
      </c>
      <c r="D690" s="11">
        <v>45188</v>
      </c>
      <c r="E690" s="22"/>
    </row>
    <row r="691" ht="16.5" spans="1:5">
      <c r="A691" s="30">
        <v>3045947.737</v>
      </c>
      <c r="B691" s="30">
        <v>35400649.992</v>
      </c>
      <c r="C691" s="8">
        <v>911.063</v>
      </c>
      <c r="D691" s="11">
        <v>45189</v>
      </c>
      <c r="E691" s="21">
        <v>877.962</v>
      </c>
    </row>
    <row r="692" ht="16.5" spans="1:5">
      <c r="A692" s="30">
        <v>3045947.737</v>
      </c>
      <c r="B692" s="30">
        <v>35400649.992</v>
      </c>
      <c r="C692" s="8">
        <v>911.063</v>
      </c>
      <c r="D692" s="11">
        <v>45190</v>
      </c>
      <c r="E692" s="21">
        <v>877.863</v>
      </c>
    </row>
    <row r="693" ht="16.5" spans="1:5">
      <c r="A693" s="30">
        <v>3045947.737</v>
      </c>
      <c r="B693" s="30">
        <v>35400649.992</v>
      </c>
      <c r="C693" s="8">
        <v>911.063</v>
      </c>
      <c r="D693" s="11">
        <v>45191</v>
      </c>
      <c r="E693" s="21">
        <v>877.824</v>
      </c>
    </row>
    <row r="694" ht="16.5" spans="1:5">
      <c r="A694" s="30">
        <v>3045947.737</v>
      </c>
      <c r="B694" s="30">
        <v>35400649.992</v>
      </c>
      <c r="C694" s="8">
        <v>911.063</v>
      </c>
      <c r="D694" s="11">
        <v>45192</v>
      </c>
      <c r="E694" s="21">
        <v>877.755</v>
      </c>
    </row>
    <row r="695" ht="16.5" spans="1:5">
      <c r="A695" s="30">
        <v>3045947.737</v>
      </c>
      <c r="B695" s="30">
        <v>35400649.992</v>
      </c>
      <c r="C695" s="8">
        <v>911.063</v>
      </c>
      <c r="D695" s="11">
        <v>45193</v>
      </c>
      <c r="E695" s="21">
        <v>877.669</v>
      </c>
    </row>
    <row r="696" ht="16.5" spans="1:5">
      <c r="A696" s="30">
        <v>3045947.737</v>
      </c>
      <c r="B696" s="30">
        <v>35400649.992</v>
      </c>
      <c r="C696" s="8">
        <v>911.063</v>
      </c>
      <c r="D696" s="11">
        <v>45194</v>
      </c>
      <c r="E696" s="21">
        <v>877.574</v>
      </c>
    </row>
    <row r="697" ht="16.5" spans="1:5">
      <c r="A697" s="30">
        <v>3045947.737</v>
      </c>
      <c r="B697" s="30">
        <v>35400649.992</v>
      </c>
      <c r="C697" s="8">
        <v>911.063</v>
      </c>
      <c r="D697" s="11">
        <v>45195</v>
      </c>
      <c r="E697" s="21">
        <v>877.47</v>
      </c>
    </row>
    <row r="698" ht="16.5" spans="1:5">
      <c r="A698" s="30">
        <v>3045947.737</v>
      </c>
      <c r="B698" s="30">
        <v>35400649.992</v>
      </c>
      <c r="C698" s="8">
        <v>911.063</v>
      </c>
      <c r="D698" s="11">
        <v>45196</v>
      </c>
      <c r="E698" s="21">
        <v>877.394</v>
      </c>
    </row>
    <row r="699" ht="16.5" spans="1:5">
      <c r="A699" s="30">
        <v>3045947.737</v>
      </c>
      <c r="B699" s="30">
        <v>35400649.992</v>
      </c>
      <c r="C699" s="8">
        <v>911.063</v>
      </c>
      <c r="D699" s="11">
        <v>45197</v>
      </c>
      <c r="E699" s="21">
        <v>877.311</v>
      </c>
    </row>
    <row r="700" ht="16.5" spans="1:5">
      <c r="A700" s="30">
        <v>3045947.737</v>
      </c>
      <c r="B700" s="30">
        <v>35400649.992</v>
      </c>
      <c r="C700" s="8">
        <v>911.063</v>
      </c>
      <c r="D700" s="11">
        <v>45198</v>
      </c>
      <c r="E700" s="21"/>
    </row>
    <row r="701" ht="16.5" spans="1:5">
      <c r="A701" s="30">
        <v>3045947.737</v>
      </c>
      <c r="B701" s="30">
        <v>35400649.992</v>
      </c>
      <c r="C701" s="8">
        <v>911.063</v>
      </c>
      <c r="D701" s="11">
        <v>45199</v>
      </c>
      <c r="E701" s="21"/>
    </row>
    <row r="702" ht="16.5" spans="1:5">
      <c r="A702" s="30">
        <v>3045947.737</v>
      </c>
      <c r="B702" s="30">
        <v>35400649.992</v>
      </c>
      <c r="C702" s="8">
        <v>911.063</v>
      </c>
      <c r="D702" s="11">
        <v>45200</v>
      </c>
      <c r="E702" s="21"/>
    </row>
    <row r="703" ht="16.5" spans="1:5">
      <c r="A703" s="30">
        <v>3045947.737</v>
      </c>
      <c r="B703" s="30">
        <v>35400649.992</v>
      </c>
      <c r="C703" s="8">
        <v>911.063</v>
      </c>
      <c r="D703" s="11">
        <v>45201</v>
      </c>
      <c r="E703" s="21"/>
    </row>
    <row r="704" ht="16.5" spans="1:5">
      <c r="A704" s="30">
        <v>3045947.737</v>
      </c>
      <c r="B704" s="30">
        <v>35400649.992</v>
      </c>
      <c r="C704" s="8">
        <v>911.063</v>
      </c>
      <c r="D704" s="11">
        <v>45202</v>
      </c>
      <c r="E704" s="21"/>
    </row>
    <row r="705" ht="16.5" spans="1:5">
      <c r="A705" s="30">
        <v>3045947.737</v>
      </c>
      <c r="B705" s="30">
        <v>35400649.992</v>
      </c>
      <c r="C705" s="8">
        <v>911.063</v>
      </c>
      <c r="D705" s="11">
        <v>45203</v>
      </c>
      <c r="E705" s="21"/>
    </row>
    <row r="706" ht="16.5" spans="1:5">
      <c r="A706" s="30">
        <v>3045947.737</v>
      </c>
      <c r="B706" s="30">
        <v>35400649.992</v>
      </c>
      <c r="C706" s="8">
        <v>911.063</v>
      </c>
      <c r="D706" s="11">
        <v>45204</v>
      </c>
      <c r="E706" s="21">
        <v>876.723</v>
      </c>
    </row>
    <row r="707" ht="16.5" spans="1:5">
      <c r="A707" s="30">
        <v>3045947.737</v>
      </c>
      <c r="B707" s="30">
        <v>35400649.992</v>
      </c>
      <c r="C707" s="8">
        <v>911.063</v>
      </c>
      <c r="D707" s="11">
        <v>45205</v>
      </c>
      <c r="E707" s="21"/>
    </row>
    <row r="708" ht="16.5" spans="1:5">
      <c r="A708" s="30">
        <v>3045947.737</v>
      </c>
      <c r="B708" s="30">
        <v>35400649.992</v>
      </c>
      <c r="C708" s="8">
        <v>911.063</v>
      </c>
      <c r="D708" s="11">
        <v>45206</v>
      </c>
      <c r="E708" s="21"/>
    </row>
    <row r="709" ht="16.5" spans="1:5">
      <c r="A709" s="30">
        <v>3045947.737</v>
      </c>
      <c r="B709" s="30">
        <v>35400649.992</v>
      </c>
      <c r="C709" s="8">
        <v>911.063</v>
      </c>
      <c r="D709" s="11">
        <v>45207</v>
      </c>
      <c r="E709" s="21"/>
    </row>
    <row r="710" ht="16.5" spans="1:5">
      <c r="A710" s="30">
        <v>3045947.737</v>
      </c>
      <c r="B710" s="30">
        <v>35400649.992</v>
      </c>
      <c r="C710" s="8">
        <v>911.063</v>
      </c>
      <c r="D710" s="11">
        <v>45208</v>
      </c>
      <c r="E710" s="21">
        <v>876.5</v>
      </c>
    </row>
    <row r="711" ht="16.5" spans="1:5">
      <c r="A711" s="30">
        <v>3045947.737</v>
      </c>
      <c r="B711" s="30">
        <v>35400649.992</v>
      </c>
      <c r="C711" s="8">
        <v>911.063</v>
      </c>
      <c r="D711" s="11">
        <v>45209</v>
      </c>
      <c r="E711" s="21">
        <v>876.457</v>
      </c>
    </row>
    <row r="712" ht="16.5" spans="1:5">
      <c r="A712" s="30">
        <v>3045947.737</v>
      </c>
      <c r="B712" s="30">
        <v>35400649.992</v>
      </c>
      <c r="C712" s="8">
        <v>911.063</v>
      </c>
      <c r="D712" s="11">
        <v>45210</v>
      </c>
      <c r="E712" s="21">
        <v>876.485</v>
      </c>
    </row>
    <row r="713" ht="16.5" spans="1:5">
      <c r="A713" s="30">
        <v>3045947.737</v>
      </c>
      <c r="B713" s="30">
        <v>35400649.992</v>
      </c>
      <c r="C713" s="8">
        <v>911.063</v>
      </c>
      <c r="D713" s="11">
        <v>45211</v>
      </c>
      <c r="E713" s="21">
        <v>876.455</v>
      </c>
    </row>
    <row r="714" ht="16.5" spans="1:5">
      <c r="A714" s="30">
        <v>3045947.737</v>
      </c>
      <c r="B714" s="30">
        <v>35400649.992</v>
      </c>
      <c r="C714" s="8">
        <v>911.063</v>
      </c>
      <c r="D714" s="11">
        <v>45212</v>
      </c>
      <c r="E714" s="21">
        <v>876.407</v>
      </c>
    </row>
    <row r="715" ht="16.5" spans="1:5">
      <c r="A715" s="30">
        <v>3045947.737</v>
      </c>
      <c r="B715" s="30">
        <v>35400649.992</v>
      </c>
      <c r="C715" s="8">
        <v>911.063</v>
      </c>
      <c r="D715" s="11">
        <v>45213</v>
      </c>
      <c r="E715" s="21">
        <v>876.398</v>
      </c>
    </row>
    <row r="716" ht="16.5" spans="1:5">
      <c r="A716" s="30">
        <v>3045947.737</v>
      </c>
      <c r="B716" s="30">
        <v>35400649.992</v>
      </c>
      <c r="C716" s="8">
        <v>911.063</v>
      </c>
      <c r="D716" s="11">
        <v>45214</v>
      </c>
      <c r="E716" s="21">
        <v>876.392</v>
      </c>
    </row>
    <row r="717" ht="16.5" spans="1:5">
      <c r="A717" s="30">
        <v>3045947.737</v>
      </c>
      <c r="B717" s="30">
        <v>35400649.992</v>
      </c>
      <c r="C717" s="8">
        <v>911.063</v>
      </c>
      <c r="D717" s="11">
        <v>45215</v>
      </c>
      <c r="E717" s="21">
        <v>876.364</v>
      </c>
    </row>
    <row r="718" ht="16.5" spans="1:5">
      <c r="A718" s="30">
        <v>3045947.737</v>
      </c>
      <c r="B718" s="30">
        <v>35400649.992</v>
      </c>
      <c r="C718" s="8">
        <v>911.063</v>
      </c>
      <c r="D718" s="11">
        <v>45216</v>
      </c>
      <c r="E718" s="21">
        <v>876.324</v>
      </c>
    </row>
    <row r="719" ht="16.5" spans="1:5">
      <c r="A719" s="30">
        <v>3045947.737</v>
      </c>
      <c r="B719" s="30">
        <v>35400649.992</v>
      </c>
      <c r="C719" s="8">
        <v>911.063</v>
      </c>
      <c r="D719" s="11">
        <v>45217</v>
      </c>
      <c r="E719" s="21">
        <v>876.274</v>
      </c>
    </row>
    <row r="720" ht="16.5" spans="1:5">
      <c r="A720" s="30">
        <v>3045947.737</v>
      </c>
      <c r="B720" s="30">
        <v>35400649.992</v>
      </c>
      <c r="C720" s="8">
        <v>911.063</v>
      </c>
      <c r="D720" s="11">
        <v>45218</v>
      </c>
      <c r="E720" s="21"/>
    </row>
    <row r="721" ht="16.5" spans="1:5">
      <c r="A721" s="30">
        <v>3045947.737</v>
      </c>
      <c r="B721" s="30">
        <v>35400649.992</v>
      </c>
      <c r="C721" s="8">
        <v>911.063</v>
      </c>
      <c r="D721" s="11">
        <v>45219</v>
      </c>
      <c r="E721" s="21">
        <v>876.169</v>
      </c>
    </row>
    <row r="722" ht="16.5" spans="1:5">
      <c r="A722" s="30">
        <v>3045947.737</v>
      </c>
      <c r="B722" s="30">
        <v>35400649.992</v>
      </c>
      <c r="C722" s="8">
        <v>911.063</v>
      </c>
      <c r="D722" s="11">
        <v>45220</v>
      </c>
      <c r="E722" s="21">
        <v>876.129</v>
      </c>
    </row>
    <row r="723" ht="16.5" spans="1:5">
      <c r="A723" s="30">
        <v>3045947.737</v>
      </c>
      <c r="B723" s="30">
        <v>35400649.992</v>
      </c>
      <c r="C723" s="8">
        <v>911.063</v>
      </c>
      <c r="D723" s="11">
        <v>45221</v>
      </c>
      <c r="E723" s="21">
        <v>876.094</v>
      </c>
    </row>
    <row r="724" ht="16.5" spans="1:5">
      <c r="A724" s="30">
        <v>3045947.737</v>
      </c>
      <c r="B724" s="30">
        <v>35400649.992</v>
      </c>
      <c r="C724" s="8">
        <v>911.063</v>
      </c>
      <c r="D724" s="11">
        <v>45222</v>
      </c>
      <c r="E724" s="21">
        <v>876.046</v>
      </c>
    </row>
    <row r="725" ht="16.5" spans="1:5">
      <c r="A725" s="30">
        <v>3045947.737</v>
      </c>
      <c r="B725" s="30">
        <v>35400649.992</v>
      </c>
      <c r="C725" s="8">
        <v>911.063</v>
      </c>
      <c r="D725" s="11">
        <v>45223</v>
      </c>
      <c r="E725" s="21">
        <v>876.01</v>
      </c>
    </row>
    <row r="726" ht="16.5" spans="1:5">
      <c r="A726" s="30">
        <v>3045947.737</v>
      </c>
      <c r="B726" s="30">
        <v>35400649.992</v>
      </c>
      <c r="C726" s="8">
        <v>911.063</v>
      </c>
      <c r="D726" s="11">
        <v>45224</v>
      </c>
      <c r="E726" s="21">
        <v>875.967</v>
      </c>
    </row>
    <row r="727" ht="16.5" spans="1:5">
      <c r="A727" s="30">
        <v>3045947.737</v>
      </c>
      <c r="B727" s="30">
        <v>35400649.992</v>
      </c>
      <c r="C727" s="8">
        <v>911.063</v>
      </c>
      <c r="D727" s="11">
        <v>45225</v>
      </c>
      <c r="E727" s="21">
        <v>875.928</v>
      </c>
    </row>
    <row r="728" ht="16.5" spans="1:5">
      <c r="A728" s="30">
        <v>3045947.737</v>
      </c>
      <c r="B728" s="30">
        <v>35400649.992</v>
      </c>
      <c r="C728" s="8">
        <v>911.063</v>
      </c>
      <c r="D728" s="11">
        <v>45226</v>
      </c>
      <c r="E728" s="21">
        <v>875.89</v>
      </c>
    </row>
    <row r="729" ht="16.5" spans="1:5">
      <c r="A729" s="30">
        <v>3045947.737</v>
      </c>
      <c r="B729" s="30">
        <v>35400649.992</v>
      </c>
      <c r="C729" s="8">
        <v>911.063</v>
      </c>
      <c r="D729" s="11">
        <v>45227</v>
      </c>
      <c r="E729" s="21">
        <v>875.86</v>
      </c>
    </row>
    <row r="730" ht="16.5" spans="1:5">
      <c r="A730" s="30">
        <v>3045947.737</v>
      </c>
      <c r="B730" s="30">
        <v>35400649.992</v>
      </c>
      <c r="C730" s="8">
        <v>911.063</v>
      </c>
      <c r="D730" s="11">
        <v>45228</v>
      </c>
      <c r="E730" s="21">
        <v>875.83</v>
      </c>
    </row>
    <row r="731" ht="16.5" spans="1:5">
      <c r="A731" s="30">
        <v>3045947.737</v>
      </c>
      <c r="B731" s="30">
        <v>35400649.992</v>
      </c>
      <c r="C731" s="8">
        <v>911.063</v>
      </c>
      <c r="D731" s="11">
        <v>45229</v>
      </c>
      <c r="E731" s="21">
        <v>875.79</v>
      </c>
    </row>
    <row r="732" ht="16.5" spans="1:5">
      <c r="A732" s="30">
        <v>3045947.737</v>
      </c>
      <c r="B732" s="30">
        <v>35400649.992</v>
      </c>
      <c r="C732" s="8">
        <v>911.063</v>
      </c>
      <c r="D732" s="11">
        <v>45230</v>
      </c>
      <c r="E732" s="21">
        <v>875.76</v>
      </c>
    </row>
    <row r="733" ht="16.5" spans="1:5">
      <c r="A733" s="30">
        <v>3045947.737</v>
      </c>
      <c r="B733" s="30">
        <v>35400649.992</v>
      </c>
      <c r="C733" s="8">
        <v>911.063</v>
      </c>
      <c r="D733" s="11">
        <v>45231</v>
      </c>
      <c r="E733" s="21">
        <v>875.74</v>
      </c>
    </row>
    <row r="734" ht="16.5" spans="1:5">
      <c r="A734" s="30">
        <v>3045947.737</v>
      </c>
      <c r="B734" s="30">
        <v>35400649.992</v>
      </c>
      <c r="C734" s="8">
        <v>911.063</v>
      </c>
      <c r="D734" s="11">
        <v>45232</v>
      </c>
      <c r="E734" s="21">
        <v>875.715</v>
      </c>
    </row>
    <row r="735" ht="16.5" spans="1:5">
      <c r="A735" s="30">
        <v>3045947.737</v>
      </c>
      <c r="B735" s="30">
        <v>35400649.992</v>
      </c>
      <c r="C735" s="8">
        <v>911.063</v>
      </c>
      <c r="D735" s="11">
        <v>45233</v>
      </c>
      <c r="E735" s="21">
        <v>875.66</v>
      </c>
    </row>
    <row r="736" ht="16.5" spans="1:5">
      <c r="A736" s="30">
        <v>3045947.737</v>
      </c>
      <c r="B736" s="30">
        <v>35400649.992</v>
      </c>
      <c r="C736" s="8">
        <v>911.063</v>
      </c>
      <c r="D736" s="11">
        <v>45234</v>
      </c>
      <c r="E736" s="21">
        <v>875.62</v>
      </c>
    </row>
    <row r="737" ht="16.5" spans="1:5">
      <c r="A737" s="30">
        <v>3045947.737</v>
      </c>
      <c r="B737" s="30">
        <v>35400649.992</v>
      </c>
      <c r="C737" s="8">
        <v>911.063</v>
      </c>
      <c r="D737" s="11">
        <v>45235</v>
      </c>
      <c r="E737" s="21">
        <v>875.57</v>
      </c>
    </row>
    <row r="738" ht="16.5" spans="1:5">
      <c r="A738" s="30">
        <v>3045947.737</v>
      </c>
      <c r="B738" s="30">
        <v>35400649.992</v>
      </c>
      <c r="C738" s="8">
        <v>911.063</v>
      </c>
      <c r="D738" s="11">
        <v>45236</v>
      </c>
      <c r="E738" s="21">
        <v>875.52</v>
      </c>
    </row>
    <row r="739" ht="16.5" spans="1:5">
      <c r="A739" s="30">
        <v>3045947.737</v>
      </c>
      <c r="B739" s="30">
        <v>35400649.992</v>
      </c>
      <c r="C739" s="8">
        <v>911.063</v>
      </c>
      <c r="D739" s="11">
        <v>45237</v>
      </c>
      <c r="E739" s="21">
        <v>875.46</v>
      </c>
    </row>
    <row r="740" ht="16.5" spans="1:5">
      <c r="A740" s="30">
        <v>3045947.737</v>
      </c>
      <c r="B740" s="30">
        <v>35400649.992</v>
      </c>
      <c r="C740" s="8">
        <v>911.063</v>
      </c>
      <c r="D740" s="11">
        <v>45238</v>
      </c>
      <c r="E740" s="21">
        <v>875.4</v>
      </c>
    </row>
    <row r="741" ht="16.5" spans="1:5">
      <c r="A741" s="30">
        <v>3045947.737</v>
      </c>
      <c r="B741" s="30">
        <v>35400649.992</v>
      </c>
      <c r="C741" s="8">
        <v>911.063</v>
      </c>
      <c r="D741" s="11">
        <v>45239</v>
      </c>
      <c r="E741" s="21">
        <v>875.33</v>
      </c>
    </row>
    <row r="742" ht="16.5" spans="1:5">
      <c r="A742" s="30">
        <v>3045947.737</v>
      </c>
      <c r="B742" s="30">
        <v>35400649.992</v>
      </c>
      <c r="C742" s="8">
        <v>911.063</v>
      </c>
      <c r="D742" s="11">
        <v>45240</v>
      </c>
      <c r="E742" s="21">
        <v>875.28</v>
      </c>
    </row>
    <row r="743" ht="16.5" spans="1:5">
      <c r="A743" s="30">
        <v>3045947.737</v>
      </c>
      <c r="B743" s="30">
        <v>35400649.992</v>
      </c>
      <c r="C743" s="8">
        <v>911.063</v>
      </c>
      <c r="D743" s="11">
        <v>45241</v>
      </c>
      <c r="E743" s="21">
        <v>875.2</v>
      </c>
    </row>
    <row r="744" ht="16.5" spans="1:5">
      <c r="A744" s="30">
        <v>3045947.737</v>
      </c>
      <c r="B744" s="30">
        <v>35400649.992</v>
      </c>
      <c r="C744" s="8">
        <v>911.063</v>
      </c>
      <c r="D744" s="11">
        <v>45242</v>
      </c>
      <c r="E744" s="21">
        <v>875.12</v>
      </c>
    </row>
    <row r="745" ht="16.5" spans="1:5">
      <c r="A745" s="30">
        <v>3045947.737</v>
      </c>
      <c r="B745" s="30">
        <v>35400649.992</v>
      </c>
      <c r="C745" s="8">
        <v>911.063</v>
      </c>
      <c r="D745" s="11">
        <v>45243</v>
      </c>
      <c r="E745" s="21">
        <v>875.06</v>
      </c>
    </row>
    <row r="746" ht="16.5" spans="1:5">
      <c r="A746" s="30">
        <v>3045947.737</v>
      </c>
      <c r="B746" s="30">
        <v>35400649.992</v>
      </c>
      <c r="C746" s="8">
        <v>911.063</v>
      </c>
      <c r="D746" s="11">
        <v>45244</v>
      </c>
      <c r="E746" s="21">
        <v>875</v>
      </c>
    </row>
    <row r="747" ht="16.5" spans="1:5">
      <c r="A747" s="30">
        <v>3045947.737</v>
      </c>
      <c r="B747" s="30">
        <v>35400649.992</v>
      </c>
      <c r="C747" s="8">
        <v>911.063</v>
      </c>
      <c r="D747" s="11">
        <v>45245</v>
      </c>
      <c r="E747" s="21">
        <v>874.96</v>
      </c>
    </row>
    <row r="748" ht="16.5" spans="1:5">
      <c r="A748" s="30">
        <v>3045947.737</v>
      </c>
      <c r="B748" s="30">
        <v>35400649.992</v>
      </c>
      <c r="C748" s="8">
        <v>911.063</v>
      </c>
      <c r="D748" s="11">
        <v>45246</v>
      </c>
      <c r="E748" s="21">
        <v>874.88</v>
      </c>
    </row>
    <row r="749" ht="16.5" spans="1:5">
      <c r="A749" s="30">
        <v>3045947.737</v>
      </c>
      <c r="B749" s="30">
        <v>35400649.992</v>
      </c>
      <c r="C749" s="8">
        <v>911.063</v>
      </c>
      <c r="D749" s="11">
        <v>45247</v>
      </c>
      <c r="E749" s="21">
        <v>874.86</v>
      </c>
    </row>
    <row r="750" ht="16.5" spans="1:5">
      <c r="A750" s="30">
        <v>3045947.737</v>
      </c>
      <c r="B750" s="30">
        <v>35400649.992</v>
      </c>
      <c r="C750" s="8">
        <v>911.063</v>
      </c>
      <c r="D750" s="11">
        <v>45248</v>
      </c>
      <c r="E750" s="21">
        <v>874.82</v>
      </c>
    </row>
    <row r="751" ht="16.5" spans="1:5">
      <c r="A751" s="30">
        <v>3045947.737</v>
      </c>
      <c r="B751" s="30">
        <v>35400649.992</v>
      </c>
      <c r="C751" s="8">
        <v>911.063</v>
      </c>
      <c r="D751" s="11">
        <v>45249</v>
      </c>
      <c r="E751" s="21">
        <v>874.8</v>
      </c>
    </row>
    <row r="752" ht="16.5" spans="1:5">
      <c r="A752" s="30">
        <v>3045947.737</v>
      </c>
      <c r="B752" s="30">
        <v>35400649.992</v>
      </c>
      <c r="C752" s="8">
        <v>911.063</v>
      </c>
      <c r="D752" s="11">
        <v>45250</v>
      </c>
      <c r="E752" s="21">
        <v>874.78</v>
      </c>
    </row>
    <row r="753" ht="16.5" spans="1:5">
      <c r="A753" s="30">
        <v>3045947.737</v>
      </c>
      <c r="B753" s="30">
        <v>35400649.992</v>
      </c>
      <c r="C753" s="8">
        <v>911.063</v>
      </c>
      <c r="D753" s="11">
        <v>45251</v>
      </c>
      <c r="E753" s="21">
        <v>874.76</v>
      </c>
    </row>
    <row r="754" ht="16.5" spans="1:5">
      <c r="A754" s="30">
        <v>3045947.737</v>
      </c>
      <c r="B754" s="30">
        <v>35400649.992</v>
      </c>
      <c r="C754" s="8">
        <v>911.063</v>
      </c>
      <c r="D754" s="11">
        <v>45252</v>
      </c>
      <c r="E754" s="21">
        <v>874.74</v>
      </c>
    </row>
    <row r="755" ht="16.5" spans="1:5">
      <c r="A755" s="30">
        <v>3045947.737</v>
      </c>
      <c r="B755" s="30">
        <v>35400649.992</v>
      </c>
      <c r="C755" s="8">
        <v>911.063</v>
      </c>
      <c r="D755" s="11">
        <v>45253</v>
      </c>
      <c r="E755" s="21">
        <v>874.63</v>
      </c>
    </row>
    <row r="756" ht="16.5" spans="1:5">
      <c r="A756" s="30">
        <v>3045947.737</v>
      </c>
      <c r="B756" s="30">
        <v>35400649.992</v>
      </c>
      <c r="C756" s="8">
        <v>911.063</v>
      </c>
      <c r="D756" s="11">
        <v>45254</v>
      </c>
      <c r="E756" s="21">
        <v>874.59</v>
      </c>
    </row>
    <row r="757" ht="16.5" spans="1:5">
      <c r="A757" s="30">
        <v>3045947.737</v>
      </c>
      <c r="B757" s="30">
        <v>35400649.992</v>
      </c>
      <c r="C757" s="8">
        <v>911.063</v>
      </c>
      <c r="D757" s="11">
        <v>45255</v>
      </c>
      <c r="E757" s="21"/>
    </row>
    <row r="758" ht="16.5" spans="1:5">
      <c r="A758" s="30">
        <v>3045947.737</v>
      </c>
      <c r="B758" s="30">
        <v>35400649.992</v>
      </c>
      <c r="C758" s="8">
        <v>911.063</v>
      </c>
      <c r="D758" s="11">
        <v>45256</v>
      </c>
      <c r="E758" s="21"/>
    </row>
    <row r="759" ht="16.5" spans="1:5">
      <c r="A759" s="30">
        <v>3045947.737</v>
      </c>
      <c r="B759" s="30">
        <v>35400649.992</v>
      </c>
      <c r="C759" s="8">
        <v>911.063</v>
      </c>
      <c r="D759" s="11">
        <v>45257</v>
      </c>
      <c r="E759" s="21"/>
    </row>
    <row r="760" ht="16.5" spans="1:5">
      <c r="A760" s="30">
        <v>3045947.737</v>
      </c>
      <c r="B760" s="30">
        <v>35400649.992</v>
      </c>
      <c r="C760" s="8">
        <v>911.063</v>
      </c>
      <c r="D760" s="11">
        <v>45258</v>
      </c>
      <c r="E760" s="21">
        <v>874.43</v>
      </c>
    </row>
    <row r="761" ht="16.5" spans="1:5">
      <c r="A761" s="30">
        <v>3045947.737</v>
      </c>
      <c r="B761" s="30">
        <v>35400649.992</v>
      </c>
      <c r="C761" s="8">
        <v>911.063</v>
      </c>
      <c r="D761" s="11">
        <v>45259</v>
      </c>
      <c r="E761" s="21">
        <v>874.38</v>
      </c>
    </row>
    <row r="762" ht="16.5" spans="1:5">
      <c r="A762" s="30">
        <v>3045947.737</v>
      </c>
      <c r="B762" s="30">
        <v>35400649.992</v>
      </c>
      <c r="C762" s="8">
        <v>911.063</v>
      </c>
      <c r="D762" s="11">
        <v>45260</v>
      </c>
      <c r="E762" s="21">
        <v>874.35</v>
      </c>
    </row>
    <row r="763" ht="16.5" spans="1:5">
      <c r="A763" s="30">
        <v>3045947.737</v>
      </c>
      <c r="B763" s="30">
        <v>35400649.992</v>
      </c>
      <c r="C763" s="8">
        <v>911.063</v>
      </c>
      <c r="D763" s="11">
        <v>45261</v>
      </c>
      <c r="E763" s="21">
        <v>874.32</v>
      </c>
    </row>
    <row r="764" ht="16.5" spans="1:5">
      <c r="A764" s="30">
        <v>3045947.737</v>
      </c>
      <c r="B764" s="30">
        <v>35400649.992</v>
      </c>
      <c r="C764" s="8">
        <v>911.063</v>
      </c>
      <c r="D764" s="11">
        <v>45262</v>
      </c>
      <c r="E764" s="21">
        <v>874.28</v>
      </c>
    </row>
    <row r="765" ht="16.5" spans="1:5">
      <c r="A765" s="30">
        <v>3045947.737</v>
      </c>
      <c r="B765" s="30">
        <v>35400649.992</v>
      </c>
      <c r="C765" s="8">
        <v>911.063</v>
      </c>
      <c r="D765" s="11">
        <v>45263</v>
      </c>
      <c r="E765" s="21">
        <v>874.25</v>
      </c>
    </row>
    <row r="766" ht="16.5" spans="1:5">
      <c r="A766" s="30">
        <v>3045947.737</v>
      </c>
      <c r="B766" s="30">
        <v>35400649.992</v>
      </c>
      <c r="C766" s="8">
        <v>911.063</v>
      </c>
      <c r="D766" s="11">
        <v>45264</v>
      </c>
      <c r="E766" s="21">
        <v>874.24</v>
      </c>
    </row>
    <row r="767" ht="16.5" spans="1:5">
      <c r="A767" s="30">
        <v>3045947.737</v>
      </c>
      <c r="B767" s="30">
        <v>35400649.992</v>
      </c>
      <c r="C767" s="8">
        <v>911.063</v>
      </c>
      <c r="D767" s="11">
        <v>45265</v>
      </c>
      <c r="E767" s="21">
        <v>874.24</v>
      </c>
    </row>
    <row r="768" ht="16.5" spans="1:5">
      <c r="A768" s="30">
        <v>3045947.737</v>
      </c>
      <c r="B768" s="30">
        <v>35400649.992</v>
      </c>
      <c r="C768" s="8">
        <v>911.063</v>
      </c>
      <c r="D768" s="11">
        <v>45266</v>
      </c>
      <c r="E768" s="21">
        <v>874.2</v>
      </c>
    </row>
    <row r="769" ht="16.5" spans="1:5">
      <c r="A769" s="30">
        <v>3045947.737</v>
      </c>
      <c r="B769" s="30">
        <v>35400649.992</v>
      </c>
      <c r="C769" s="8">
        <v>911.063</v>
      </c>
      <c r="D769" s="11">
        <v>45267</v>
      </c>
      <c r="E769" s="21">
        <v>874.2</v>
      </c>
    </row>
    <row r="770" ht="16.5" spans="1:5">
      <c r="A770" s="30">
        <v>3045947.737</v>
      </c>
      <c r="B770" s="30">
        <v>35400649.992</v>
      </c>
      <c r="C770" s="8">
        <v>911.063</v>
      </c>
      <c r="D770" s="11">
        <v>45268</v>
      </c>
      <c r="E770" s="21"/>
    </row>
    <row r="771" ht="16.5" spans="1:5">
      <c r="A771" s="30">
        <v>3045947.737</v>
      </c>
      <c r="B771" s="30">
        <v>35400649.992</v>
      </c>
      <c r="C771" s="8">
        <v>911.063</v>
      </c>
      <c r="D771" s="11">
        <v>45269</v>
      </c>
      <c r="E771" s="21"/>
    </row>
    <row r="772" ht="16.5" spans="1:5">
      <c r="A772" s="30">
        <v>3045947.737</v>
      </c>
      <c r="B772" s="30">
        <v>35400649.992</v>
      </c>
      <c r="C772" s="8">
        <v>911.063</v>
      </c>
      <c r="D772" s="11">
        <v>45270</v>
      </c>
      <c r="E772" s="21">
        <v>874.193</v>
      </c>
    </row>
    <row r="773" ht="16.5" spans="1:5">
      <c r="A773" s="30">
        <v>3045947.737</v>
      </c>
      <c r="B773" s="30">
        <v>35400649.992</v>
      </c>
      <c r="C773" s="8">
        <v>911.063</v>
      </c>
      <c r="D773" s="11">
        <v>45271</v>
      </c>
      <c r="E773" s="21">
        <v>874.178</v>
      </c>
    </row>
    <row r="774" ht="16.5" spans="1:5">
      <c r="A774" s="30">
        <v>3045947.737</v>
      </c>
      <c r="B774" s="30">
        <v>35400649.992</v>
      </c>
      <c r="C774" s="8">
        <v>911.063</v>
      </c>
      <c r="D774" s="11">
        <v>45272</v>
      </c>
      <c r="E774" s="21">
        <v>874.172</v>
      </c>
    </row>
    <row r="775" ht="16.5" spans="1:5">
      <c r="A775" s="30">
        <v>3045947.737</v>
      </c>
      <c r="B775" s="30">
        <v>35400649.992</v>
      </c>
      <c r="C775" s="8">
        <v>911.063</v>
      </c>
      <c r="D775" s="11">
        <v>45273</v>
      </c>
      <c r="E775" s="21">
        <v>874.135</v>
      </c>
    </row>
    <row r="776" ht="16.5" spans="1:5">
      <c r="A776" s="30">
        <v>3045947.737</v>
      </c>
      <c r="B776" s="30">
        <v>35400649.992</v>
      </c>
      <c r="C776" s="8">
        <v>911.063</v>
      </c>
      <c r="D776" s="11">
        <v>45274</v>
      </c>
      <c r="E776" s="21">
        <v>874.112</v>
      </c>
    </row>
    <row r="777" ht="16.5" spans="1:5">
      <c r="A777" s="30">
        <v>3045947.737</v>
      </c>
      <c r="B777" s="30">
        <v>35400649.992</v>
      </c>
      <c r="C777" s="8">
        <v>911.063</v>
      </c>
      <c r="D777" s="11">
        <v>45275</v>
      </c>
      <c r="E777" s="21">
        <v>874.072</v>
      </c>
    </row>
    <row r="778" ht="16.5" spans="1:5">
      <c r="A778" s="30">
        <v>3045947.737</v>
      </c>
      <c r="B778" s="30">
        <v>35400649.992</v>
      </c>
      <c r="C778" s="8">
        <v>911.063</v>
      </c>
      <c r="D778" s="11">
        <v>45276</v>
      </c>
      <c r="E778" s="21">
        <v>874.008</v>
      </c>
    </row>
    <row r="779" ht="16.5" spans="1:5">
      <c r="A779" s="30">
        <v>3045947.737</v>
      </c>
      <c r="B779" s="30">
        <v>35400649.992</v>
      </c>
      <c r="C779" s="8">
        <v>911.063</v>
      </c>
      <c r="D779" s="11">
        <v>45277</v>
      </c>
      <c r="E779" s="21">
        <v>874.08</v>
      </c>
    </row>
    <row r="780" ht="16.5" spans="1:5">
      <c r="A780" s="30">
        <v>3045947.737</v>
      </c>
      <c r="B780" s="30">
        <v>35400649.992</v>
      </c>
      <c r="C780" s="8">
        <v>911.063</v>
      </c>
      <c r="D780" s="11">
        <v>45278</v>
      </c>
      <c r="E780" s="21">
        <v>874.097</v>
      </c>
    </row>
    <row r="781" ht="16.5" spans="1:5">
      <c r="A781" s="30">
        <v>3045947.737</v>
      </c>
      <c r="B781" s="30">
        <v>35400649.992</v>
      </c>
      <c r="C781" s="8">
        <v>911.063</v>
      </c>
      <c r="D781" s="11">
        <v>45279</v>
      </c>
      <c r="E781" s="21">
        <v>874.16</v>
      </c>
    </row>
    <row r="782" ht="16.5" spans="1:5">
      <c r="A782" s="30">
        <v>3045947.737</v>
      </c>
      <c r="B782" s="30">
        <v>35400649.992</v>
      </c>
      <c r="C782" s="8">
        <v>911.063</v>
      </c>
      <c r="D782" s="11">
        <v>45280</v>
      </c>
      <c r="E782" s="21">
        <v>874.154</v>
      </c>
    </row>
    <row r="783" ht="16.5" spans="1:5">
      <c r="A783" s="30">
        <v>3045947.737</v>
      </c>
      <c r="B783" s="30">
        <v>35400649.992</v>
      </c>
      <c r="C783" s="8">
        <v>911.063</v>
      </c>
      <c r="D783" s="11">
        <v>45281</v>
      </c>
      <c r="E783" s="21">
        <v>874.122</v>
      </c>
    </row>
    <row r="784" ht="16.5" spans="1:5">
      <c r="A784" s="30">
        <v>3045947.737</v>
      </c>
      <c r="B784" s="30">
        <v>35400649.992</v>
      </c>
      <c r="C784" s="8">
        <v>911.063</v>
      </c>
      <c r="D784" s="11">
        <v>45282</v>
      </c>
      <c r="E784" s="21">
        <v>874.095</v>
      </c>
    </row>
    <row r="785" ht="16.5" spans="1:5">
      <c r="A785" s="30">
        <v>3045947.737</v>
      </c>
      <c r="B785" s="30">
        <v>35400649.992</v>
      </c>
      <c r="C785" s="8">
        <v>911.063</v>
      </c>
      <c r="D785" s="11">
        <v>45283</v>
      </c>
      <c r="E785" s="21">
        <v>874.062</v>
      </c>
    </row>
    <row r="786" ht="16.5" spans="1:5">
      <c r="A786" s="30">
        <v>3045947.737</v>
      </c>
      <c r="B786" s="30">
        <v>35400649.992</v>
      </c>
      <c r="C786" s="8">
        <v>911.063</v>
      </c>
      <c r="D786" s="11">
        <v>45284</v>
      </c>
      <c r="E786" s="21">
        <v>874.017</v>
      </c>
    </row>
    <row r="787" ht="16.5" spans="1:5">
      <c r="A787" s="30">
        <v>3045947.737</v>
      </c>
      <c r="B787" s="30">
        <v>35400649.992</v>
      </c>
      <c r="C787" s="8">
        <v>911.063</v>
      </c>
      <c r="D787" s="11">
        <v>45285</v>
      </c>
      <c r="E787" s="21">
        <v>873.993</v>
      </c>
    </row>
    <row r="788" ht="16.5" spans="1:5">
      <c r="A788" s="30">
        <v>3045947.737</v>
      </c>
      <c r="B788" s="30">
        <v>35400649.992</v>
      </c>
      <c r="C788" s="8">
        <v>911.063</v>
      </c>
      <c r="D788" s="11">
        <v>45286</v>
      </c>
      <c r="E788" s="21">
        <v>873.97</v>
      </c>
    </row>
    <row r="789" ht="16.5" spans="1:5">
      <c r="A789" s="30">
        <v>3045947.737</v>
      </c>
      <c r="B789" s="30">
        <v>35400649.992</v>
      </c>
      <c r="C789" s="8">
        <v>911.063</v>
      </c>
      <c r="D789" s="11">
        <v>45287</v>
      </c>
      <c r="E789" s="21">
        <v>873.941</v>
      </c>
    </row>
    <row r="790" ht="16.5" spans="1:5">
      <c r="A790" s="30">
        <v>3045947.737</v>
      </c>
      <c r="B790" s="30">
        <v>35400649.992</v>
      </c>
      <c r="C790" s="8">
        <v>911.063</v>
      </c>
      <c r="D790" s="11">
        <v>45288</v>
      </c>
      <c r="E790" s="21">
        <v>873.919</v>
      </c>
    </row>
    <row r="791" ht="16.5" spans="1:5">
      <c r="A791" s="30">
        <v>3045947.737</v>
      </c>
      <c r="B791" s="30">
        <v>35400649.992</v>
      </c>
      <c r="C791" s="8">
        <v>911.063</v>
      </c>
      <c r="D791" s="11">
        <v>45289</v>
      </c>
      <c r="E791" s="21">
        <v>873.872</v>
      </c>
    </row>
    <row r="792" ht="16.5" spans="1:5">
      <c r="A792" s="30">
        <v>3045947.737</v>
      </c>
      <c r="B792" s="30">
        <v>35400649.992</v>
      </c>
      <c r="C792" s="8">
        <v>911.063</v>
      </c>
      <c r="D792" s="11">
        <v>45290</v>
      </c>
      <c r="E792" s="21">
        <v>873.819</v>
      </c>
    </row>
    <row r="793" ht="16.5" spans="1:5">
      <c r="A793" s="30">
        <v>3045947.737</v>
      </c>
      <c r="B793" s="30">
        <v>35400649.992</v>
      </c>
      <c r="C793" s="8">
        <v>911.063</v>
      </c>
      <c r="D793" s="11">
        <v>45291</v>
      </c>
      <c r="E793" s="21">
        <v>873.811</v>
      </c>
    </row>
    <row r="794" ht="16.5" spans="1:5">
      <c r="A794" s="30">
        <v>3045947.737</v>
      </c>
      <c r="B794" s="30">
        <v>35400649.992</v>
      </c>
      <c r="C794" s="8">
        <v>911.063</v>
      </c>
      <c r="D794" s="11">
        <v>45292</v>
      </c>
      <c r="E794" s="21">
        <v>873.803</v>
      </c>
    </row>
    <row r="795" ht="16.5" spans="1:5">
      <c r="A795" s="30">
        <v>3045947.737</v>
      </c>
      <c r="B795" s="30">
        <v>35400649.992</v>
      </c>
      <c r="C795" s="8">
        <v>911.063</v>
      </c>
      <c r="D795" s="11">
        <v>45293</v>
      </c>
      <c r="E795" s="21">
        <v>873.824</v>
      </c>
    </row>
    <row r="796" ht="16.5" spans="1:5">
      <c r="A796" s="30">
        <v>3045947.737</v>
      </c>
      <c r="B796" s="30">
        <v>35400649.992</v>
      </c>
      <c r="C796" s="8">
        <v>911.063</v>
      </c>
      <c r="D796" s="11">
        <v>45294</v>
      </c>
      <c r="E796" s="21">
        <v>873.836</v>
      </c>
    </row>
    <row r="797" ht="16.5" spans="1:5">
      <c r="A797" s="30">
        <v>3045947.737</v>
      </c>
      <c r="B797" s="30">
        <v>35400649.992</v>
      </c>
      <c r="C797" s="8">
        <v>911.063</v>
      </c>
      <c r="D797" s="11">
        <v>45295</v>
      </c>
      <c r="E797" s="26">
        <v>873.848</v>
      </c>
    </row>
    <row r="798" ht="16.5" spans="1:5">
      <c r="A798" s="30">
        <v>3045947.737</v>
      </c>
      <c r="B798" s="30">
        <v>35400649.992</v>
      </c>
      <c r="C798" s="8">
        <v>911.063</v>
      </c>
      <c r="D798" s="11">
        <v>45296</v>
      </c>
      <c r="E798" s="26">
        <v>873.843</v>
      </c>
    </row>
    <row r="799" ht="16.5" spans="1:5">
      <c r="A799" s="30">
        <v>3045947.737</v>
      </c>
      <c r="B799" s="30">
        <v>35400649.992</v>
      </c>
      <c r="C799" s="8">
        <v>911.063</v>
      </c>
      <c r="D799" s="11">
        <v>45297</v>
      </c>
      <c r="E799" s="26">
        <v>873.839</v>
      </c>
    </row>
    <row r="800" ht="16.5" spans="1:5">
      <c r="A800" s="30">
        <v>3045947.737</v>
      </c>
      <c r="B800" s="30">
        <v>35400649.992</v>
      </c>
      <c r="C800" s="8">
        <v>911.063</v>
      </c>
      <c r="D800" s="11">
        <v>45298</v>
      </c>
      <c r="E800" s="26">
        <v>873.833</v>
      </c>
    </row>
    <row r="801" ht="16.5" spans="1:5">
      <c r="A801" s="30">
        <v>3045947.737</v>
      </c>
      <c r="B801" s="30">
        <v>35400649.992</v>
      </c>
      <c r="C801" s="8">
        <v>911.063</v>
      </c>
      <c r="D801" s="11">
        <v>45299</v>
      </c>
      <c r="E801" s="26">
        <v>873.825</v>
      </c>
    </row>
    <row r="802" ht="16.5" spans="1:5">
      <c r="A802" s="30">
        <v>3045947.737</v>
      </c>
      <c r="B802" s="30">
        <v>35400649.992</v>
      </c>
      <c r="C802" s="8">
        <v>911.063</v>
      </c>
      <c r="D802" s="11">
        <v>45300</v>
      </c>
      <c r="E802" s="26">
        <v>873.81</v>
      </c>
    </row>
    <row r="803" ht="16.5" spans="1:5">
      <c r="A803" s="30">
        <v>3045947.737</v>
      </c>
      <c r="B803" s="30">
        <v>35400649.992</v>
      </c>
      <c r="C803" s="8">
        <v>911.063</v>
      </c>
      <c r="D803" s="11">
        <v>45301</v>
      </c>
      <c r="E803" s="26">
        <v>873.797</v>
      </c>
    </row>
    <row r="804" ht="16.5" spans="1:5">
      <c r="A804" s="30">
        <v>3045947.737</v>
      </c>
      <c r="B804" s="30">
        <v>35400649.992</v>
      </c>
      <c r="C804" s="8">
        <v>911.063</v>
      </c>
      <c r="D804" s="11">
        <v>45302</v>
      </c>
      <c r="E804" s="26">
        <v>873.782</v>
      </c>
    </row>
    <row r="805" ht="16.5" spans="1:5">
      <c r="A805" s="30">
        <v>3045947.737</v>
      </c>
      <c r="B805" s="30">
        <v>35400649.992</v>
      </c>
      <c r="C805" s="8">
        <v>911.063</v>
      </c>
      <c r="D805" s="11">
        <v>45303</v>
      </c>
      <c r="E805" s="26">
        <v>873.773</v>
      </c>
    </row>
    <row r="806" ht="16.5" spans="1:5">
      <c r="A806" s="30">
        <v>3045947.737</v>
      </c>
      <c r="B806" s="30">
        <v>35400649.992</v>
      </c>
      <c r="C806" s="8">
        <v>911.063</v>
      </c>
      <c r="D806" s="11">
        <v>45304</v>
      </c>
      <c r="E806" s="26">
        <v>873.751</v>
      </c>
    </row>
    <row r="807" ht="16.5" spans="1:5">
      <c r="A807" s="30">
        <v>3045947.737</v>
      </c>
      <c r="B807" s="30">
        <v>35400649.992</v>
      </c>
      <c r="C807" s="8">
        <v>911.063</v>
      </c>
      <c r="D807" s="11">
        <v>45305</v>
      </c>
      <c r="E807" s="27">
        <v>873.732</v>
      </c>
    </row>
    <row r="808" ht="16.5" spans="1:5">
      <c r="A808" s="30">
        <v>3045947.737</v>
      </c>
      <c r="B808" s="30">
        <v>35400649.992</v>
      </c>
      <c r="C808" s="8">
        <v>911.063</v>
      </c>
      <c r="D808" s="11">
        <v>45306</v>
      </c>
      <c r="E808" s="27">
        <v>873.578</v>
      </c>
    </row>
    <row r="809" ht="16.5" spans="1:5">
      <c r="A809" s="30">
        <v>3045947.737</v>
      </c>
      <c r="B809" s="30">
        <v>35400649.992</v>
      </c>
      <c r="C809" s="8">
        <v>911.063</v>
      </c>
      <c r="D809" s="11">
        <v>45307</v>
      </c>
      <c r="E809" s="27">
        <v>873.414</v>
      </c>
    </row>
    <row r="810" ht="16.5" spans="1:5">
      <c r="A810" s="30">
        <v>3045947.737</v>
      </c>
      <c r="B810" s="30">
        <v>35400649.992</v>
      </c>
      <c r="C810" s="8">
        <v>911.063</v>
      </c>
      <c r="D810" s="11">
        <v>45308</v>
      </c>
      <c r="E810" s="27">
        <v>873.275</v>
      </c>
    </row>
    <row r="811" ht="16.5" spans="1:5">
      <c r="A811" s="30">
        <v>3045947.737</v>
      </c>
      <c r="B811" s="30">
        <v>35400649.992</v>
      </c>
      <c r="C811" s="8">
        <v>911.063</v>
      </c>
      <c r="D811" s="11">
        <v>45309</v>
      </c>
      <c r="E811" s="27">
        <v>873.161</v>
      </c>
    </row>
    <row r="812" ht="16.5" spans="1:5">
      <c r="A812" s="30">
        <v>3045947.737</v>
      </c>
      <c r="B812" s="30">
        <v>35400649.992</v>
      </c>
      <c r="C812" s="8">
        <v>911.063</v>
      </c>
      <c r="D812" s="11">
        <v>45310</v>
      </c>
      <c r="E812" s="27">
        <v>873.065</v>
      </c>
    </row>
    <row r="813" ht="16.5" spans="1:5">
      <c r="A813" s="30">
        <v>3045947.737</v>
      </c>
      <c r="B813" s="30">
        <v>35400649.992</v>
      </c>
      <c r="C813" s="8">
        <v>911.063</v>
      </c>
      <c r="D813" s="11">
        <v>45311</v>
      </c>
      <c r="E813" s="27">
        <v>872.978</v>
      </c>
    </row>
    <row r="814" ht="16.5" spans="1:5">
      <c r="A814" s="30">
        <v>3045947.737</v>
      </c>
      <c r="B814" s="30">
        <v>35400649.992</v>
      </c>
      <c r="C814" s="8">
        <v>911.063</v>
      </c>
      <c r="D814" s="11">
        <v>45312</v>
      </c>
      <c r="E814" s="31">
        <v>872.908</v>
      </c>
    </row>
    <row r="815" ht="16.5" spans="1:5">
      <c r="A815" s="30">
        <v>3045947.737</v>
      </c>
      <c r="B815" s="30">
        <v>35400649.992</v>
      </c>
      <c r="C815" s="8">
        <v>911.063</v>
      </c>
      <c r="D815" s="11">
        <v>45313</v>
      </c>
      <c r="E815" s="26">
        <v>872.835</v>
      </c>
    </row>
    <row r="816" ht="16.5" spans="1:5">
      <c r="A816" s="30">
        <v>3045947.737</v>
      </c>
      <c r="B816" s="30">
        <v>35400649.992</v>
      </c>
      <c r="C816" s="8">
        <v>911.063</v>
      </c>
      <c r="D816" s="11">
        <v>45314</v>
      </c>
      <c r="E816" s="26">
        <v>872.791</v>
      </c>
    </row>
    <row r="817" ht="16.5" spans="1:5">
      <c r="A817" s="30">
        <v>3045947.737</v>
      </c>
      <c r="B817" s="30">
        <v>35400649.992</v>
      </c>
      <c r="C817" s="8">
        <v>911.063</v>
      </c>
      <c r="D817" s="11">
        <v>45315</v>
      </c>
      <c r="E817" s="26">
        <v>872.745</v>
      </c>
    </row>
    <row r="818" ht="16.5" spans="1:5">
      <c r="A818" s="30">
        <v>3045947.737</v>
      </c>
      <c r="B818" s="30">
        <v>35400649.992</v>
      </c>
      <c r="C818" s="8">
        <v>911.063</v>
      </c>
      <c r="D818" s="11">
        <v>45316</v>
      </c>
      <c r="E818" s="26">
        <v>872.702</v>
      </c>
    </row>
    <row r="819" ht="16.5" spans="1:5">
      <c r="A819" s="30">
        <v>3045947.737</v>
      </c>
      <c r="B819" s="30">
        <v>35400649.992</v>
      </c>
      <c r="C819" s="8">
        <v>911.063</v>
      </c>
      <c r="D819" s="11">
        <v>45317</v>
      </c>
      <c r="E819" s="26">
        <v>872.617</v>
      </c>
    </row>
    <row r="820" ht="16.5" spans="1:5">
      <c r="A820" s="30">
        <v>3045947.737</v>
      </c>
      <c r="B820" s="30">
        <v>35400649.992</v>
      </c>
      <c r="C820" s="8">
        <v>911.063</v>
      </c>
      <c r="D820" s="11">
        <v>45318</v>
      </c>
      <c r="E820" s="26">
        <v>872.563</v>
      </c>
    </row>
    <row r="821" ht="16.5" spans="1:5">
      <c r="A821" s="30">
        <v>3045947.737</v>
      </c>
      <c r="B821" s="30">
        <v>35400649.992</v>
      </c>
      <c r="C821" s="8">
        <v>911.063</v>
      </c>
      <c r="D821" s="11">
        <v>45319</v>
      </c>
      <c r="E821" s="26">
        <v>872.533</v>
      </c>
    </row>
    <row r="822" ht="16.5" spans="1:5">
      <c r="A822" s="30">
        <v>3045947.737</v>
      </c>
      <c r="B822" s="30">
        <v>35400649.992</v>
      </c>
      <c r="C822" s="8">
        <v>911.063</v>
      </c>
      <c r="D822" s="11">
        <v>45320</v>
      </c>
      <c r="E822" s="26">
        <v>872.624</v>
      </c>
    </row>
    <row r="823" ht="16.5" spans="1:5">
      <c r="A823" s="30">
        <v>3045947.737</v>
      </c>
      <c r="B823" s="30">
        <v>35400649.992</v>
      </c>
      <c r="C823" s="8">
        <v>911.063</v>
      </c>
      <c r="D823" s="11">
        <v>45321</v>
      </c>
      <c r="E823" s="26">
        <v>872.734</v>
      </c>
    </row>
    <row r="824" ht="16.5" spans="1:5">
      <c r="A824" s="30">
        <v>3045947.737</v>
      </c>
      <c r="B824" s="30">
        <v>35400649.992</v>
      </c>
      <c r="C824" s="8">
        <v>911.063</v>
      </c>
      <c r="D824" s="11">
        <v>45322</v>
      </c>
      <c r="E824" s="26">
        <v>872.834</v>
      </c>
    </row>
    <row r="825" ht="16.5" spans="1:5">
      <c r="A825" s="30">
        <v>3045947.737</v>
      </c>
      <c r="B825" s="30">
        <v>35400649.992</v>
      </c>
      <c r="C825" s="8">
        <v>911.063</v>
      </c>
      <c r="D825" s="11">
        <v>45323</v>
      </c>
      <c r="E825" s="26">
        <v>872.909</v>
      </c>
    </row>
    <row r="826" ht="16.5" spans="1:5">
      <c r="A826" s="30">
        <v>3045947.737</v>
      </c>
      <c r="B826" s="30">
        <v>35400649.992</v>
      </c>
      <c r="C826" s="8">
        <v>911.063</v>
      </c>
      <c r="D826" s="11">
        <v>45324</v>
      </c>
      <c r="E826" s="26">
        <v>872.976</v>
      </c>
    </row>
    <row r="827" ht="16.5" spans="1:5">
      <c r="A827" s="30">
        <v>3045947.737</v>
      </c>
      <c r="B827" s="30">
        <v>35400649.992</v>
      </c>
      <c r="C827" s="8">
        <v>911.063</v>
      </c>
      <c r="D827" s="11">
        <v>45325</v>
      </c>
      <c r="E827" s="26">
        <v>872.893</v>
      </c>
    </row>
    <row r="828" ht="16.5" spans="1:5">
      <c r="A828" s="30">
        <v>3045947.737</v>
      </c>
      <c r="B828" s="30">
        <v>35400649.992</v>
      </c>
      <c r="C828" s="8">
        <v>911.063</v>
      </c>
      <c r="D828" s="11">
        <v>45326</v>
      </c>
      <c r="E828" s="26">
        <v>872.81</v>
      </c>
    </row>
    <row r="829" ht="16.5" spans="1:5">
      <c r="A829" s="30">
        <v>3045947.737</v>
      </c>
      <c r="B829" s="30">
        <v>35400649.992</v>
      </c>
      <c r="C829" s="8">
        <v>911.063</v>
      </c>
      <c r="D829" s="11">
        <v>45327</v>
      </c>
      <c r="E829" s="26">
        <v>872.753</v>
      </c>
    </row>
    <row r="830" ht="16.5" spans="1:5">
      <c r="A830" s="30">
        <v>3045947.737</v>
      </c>
      <c r="B830" s="30">
        <v>35400649.992</v>
      </c>
      <c r="C830" s="8">
        <v>911.063</v>
      </c>
      <c r="D830" s="11">
        <v>45328</v>
      </c>
      <c r="E830" s="26">
        <v>872.709</v>
      </c>
    </row>
    <row r="831" ht="16.5" spans="1:5">
      <c r="A831" s="30">
        <v>3045947.737</v>
      </c>
      <c r="B831" s="30">
        <v>35400649.992</v>
      </c>
      <c r="C831" s="8">
        <v>911.063</v>
      </c>
      <c r="D831" s="11">
        <v>45329</v>
      </c>
      <c r="E831" s="26">
        <v>872.69</v>
      </c>
    </row>
    <row r="832" ht="16.5" spans="1:5">
      <c r="A832" s="30">
        <v>3045947.737</v>
      </c>
      <c r="B832" s="30">
        <v>35400649.992</v>
      </c>
      <c r="C832" s="8">
        <v>911.063</v>
      </c>
      <c r="D832" s="11">
        <v>45330</v>
      </c>
      <c r="E832" s="26">
        <v>872.663</v>
      </c>
    </row>
    <row r="833" ht="16.5" spans="1:5">
      <c r="A833" s="30">
        <v>3045947.737</v>
      </c>
      <c r="B833" s="30">
        <v>35400649.992</v>
      </c>
      <c r="C833" s="8">
        <v>911.063</v>
      </c>
      <c r="D833" s="11">
        <v>45331</v>
      </c>
      <c r="E833" s="26">
        <v>872.633</v>
      </c>
    </row>
    <row r="834" ht="16.5" spans="1:5">
      <c r="A834" s="30">
        <v>3045947.737</v>
      </c>
      <c r="B834" s="30">
        <v>35400649.992</v>
      </c>
      <c r="C834" s="8">
        <v>911.063</v>
      </c>
      <c r="D834" s="11">
        <v>45332</v>
      </c>
      <c r="E834" s="26">
        <v>872.612</v>
      </c>
    </row>
    <row r="835" ht="16.5" spans="1:5">
      <c r="A835" s="30">
        <v>3045947.737</v>
      </c>
      <c r="B835" s="30">
        <v>35400649.992</v>
      </c>
      <c r="C835" s="8">
        <v>911.063</v>
      </c>
      <c r="D835" s="11">
        <v>45333</v>
      </c>
      <c r="E835" s="26">
        <v>872.672</v>
      </c>
    </row>
    <row r="836" ht="16.5" spans="1:5">
      <c r="A836" s="30">
        <v>3045947.737</v>
      </c>
      <c r="B836" s="30">
        <v>35400649.992</v>
      </c>
      <c r="C836" s="8">
        <v>911.063</v>
      </c>
      <c r="D836" s="11">
        <v>45334</v>
      </c>
      <c r="E836" s="26">
        <v>872.783</v>
      </c>
    </row>
    <row r="837" ht="16.5" spans="1:5">
      <c r="A837" s="30">
        <v>3045947.737</v>
      </c>
      <c r="B837" s="30">
        <v>35400649.992</v>
      </c>
      <c r="C837" s="8">
        <v>911.063</v>
      </c>
      <c r="D837" s="11">
        <v>45335</v>
      </c>
      <c r="E837" s="26">
        <v>872.867</v>
      </c>
    </row>
    <row r="838" ht="16.5" spans="1:5">
      <c r="A838" s="30">
        <v>3045947.737</v>
      </c>
      <c r="B838" s="30">
        <v>35400649.992</v>
      </c>
      <c r="C838" s="8">
        <v>911.063</v>
      </c>
      <c r="D838" s="11">
        <v>45336</v>
      </c>
      <c r="E838" s="28">
        <v>872.93</v>
      </c>
    </row>
    <row r="839" ht="16.5" spans="1:5">
      <c r="A839" s="30">
        <v>3045947.737</v>
      </c>
      <c r="B839" s="30">
        <v>35400649.992</v>
      </c>
      <c r="C839" s="8">
        <v>911.063</v>
      </c>
      <c r="D839" s="11">
        <v>45337</v>
      </c>
      <c r="E839" s="22"/>
    </row>
    <row r="840" ht="16.5" spans="1:5">
      <c r="A840" s="30">
        <v>3045947.737</v>
      </c>
      <c r="B840" s="30">
        <v>35400649.992</v>
      </c>
      <c r="C840" s="8">
        <v>911.063</v>
      </c>
      <c r="D840" s="11">
        <v>45338</v>
      </c>
      <c r="E840" s="22"/>
    </row>
    <row r="841" ht="16.5" spans="1:5">
      <c r="A841" s="30">
        <v>3045947.737</v>
      </c>
      <c r="B841" s="30">
        <v>35400649.992</v>
      </c>
      <c r="C841" s="8">
        <v>911.063</v>
      </c>
      <c r="D841" s="11">
        <v>45339</v>
      </c>
      <c r="E841" s="22"/>
    </row>
    <row r="842" ht="16.5" spans="1:5">
      <c r="A842" s="30">
        <v>3045947.737</v>
      </c>
      <c r="B842" s="30">
        <v>35400649.992</v>
      </c>
      <c r="C842" s="8">
        <v>911.063</v>
      </c>
      <c r="D842" s="11">
        <v>45340</v>
      </c>
      <c r="E842" s="22"/>
    </row>
    <row r="843" ht="16.5" spans="1:5">
      <c r="A843" s="30">
        <v>3045947.737</v>
      </c>
      <c r="B843" s="30">
        <v>35400649.992</v>
      </c>
      <c r="C843" s="8">
        <v>911.063</v>
      </c>
      <c r="D843" s="11">
        <v>45341</v>
      </c>
      <c r="E843" s="26">
        <v>873.046</v>
      </c>
    </row>
    <row r="844" ht="16.5" spans="1:5">
      <c r="A844" s="30">
        <v>3045947.737</v>
      </c>
      <c r="B844" s="30">
        <v>35400649.992</v>
      </c>
      <c r="C844" s="8">
        <v>911.063</v>
      </c>
      <c r="D844" s="11">
        <v>45342</v>
      </c>
      <c r="E844" s="26">
        <v>873.077</v>
      </c>
    </row>
    <row r="845" ht="16.5" spans="1:5">
      <c r="A845" s="30">
        <v>3045947.737</v>
      </c>
      <c r="B845" s="30">
        <v>35400649.992</v>
      </c>
      <c r="C845" s="8">
        <v>911.063</v>
      </c>
      <c r="D845" s="11">
        <v>45343</v>
      </c>
      <c r="E845" s="26">
        <v>872.94</v>
      </c>
    </row>
    <row r="846" ht="16.5" spans="1:5">
      <c r="A846" s="30">
        <v>3045947.737</v>
      </c>
      <c r="B846" s="30">
        <v>35400649.992</v>
      </c>
      <c r="C846" s="8">
        <v>911.063</v>
      </c>
      <c r="D846" s="11">
        <v>45344</v>
      </c>
      <c r="E846" s="26">
        <v>872.77</v>
      </c>
    </row>
    <row r="847" ht="16.5" spans="1:5">
      <c r="A847" s="30">
        <v>3045947.737</v>
      </c>
      <c r="B847" s="30">
        <v>35400649.992</v>
      </c>
      <c r="C847" s="8">
        <v>911.063</v>
      </c>
      <c r="D847" s="11">
        <v>45345</v>
      </c>
      <c r="E847" s="26">
        <v>872.74</v>
      </c>
    </row>
    <row r="848" ht="16.5" spans="1:5">
      <c r="A848" s="30">
        <v>3045947.737</v>
      </c>
      <c r="B848" s="30">
        <v>35400649.992</v>
      </c>
      <c r="C848" s="8">
        <v>911.063</v>
      </c>
      <c r="D848" s="11">
        <v>45346</v>
      </c>
      <c r="E848" s="26">
        <v>872.797</v>
      </c>
    </row>
    <row r="849" ht="16.5" spans="1:5">
      <c r="A849" s="30">
        <v>3045947.737</v>
      </c>
      <c r="B849" s="30">
        <v>35400649.992</v>
      </c>
      <c r="C849" s="8">
        <v>911.063</v>
      </c>
      <c r="D849" s="11">
        <v>45347</v>
      </c>
      <c r="E849" s="26">
        <v>872.822</v>
      </c>
    </row>
    <row r="850" ht="16.5" spans="1:5">
      <c r="A850" s="30">
        <v>3045947.737</v>
      </c>
      <c r="B850" s="30">
        <v>35400649.992</v>
      </c>
      <c r="C850" s="8">
        <v>911.063</v>
      </c>
      <c r="D850" s="11">
        <v>45348</v>
      </c>
      <c r="E850" s="26">
        <v>872.816</v>
      </c>
    </row>
    <row r="851" ht="16.5" spans="1:5">
      <c r="A851" s="30">
        <v>3045947.737</v>
      </c>
      <c r="B851" s="30">
        <v>35400649.992</v>
      </c>
      <c r="C851" s="8">
        <v>911.063</v>
      </c>
      <c r="D851" s="11">
        <v>45349</v>
      </c>
      <c r="E851" s="26">
        <v>872.726</v>
      </c>
    </row>
    <row r="852" ht="16.5" spans="1:5">
      <c r="A852" s="30">
        <v>3045947.737</v>
      </c>
      <c r="B852" s="30">
        <v>35400649.992</v>
      </c>
      <c r="C852" s="8">
        <v>911.063</v>
      </c>
      <c r="D852" s="11">
        <v>45350</v>
      </c>
      <c r="E852" s="26">
        <v>872.789</v>
      </c>
    </row>
    <row r="853" ht="16.5" spans="1:5">
      <c r="A853" s="30">
        <v>3045947.737</v>
      </c>
      <c r="B853" s="30">
        <v>35400649.992</v>
      </c>
      <c r="C853" s="8">
        <v>911.063</v>
      </c>
      <c r="D853" s="11">
        <v>45351</v>
      </c>
      <c r="E853" s="26">
        <v>872.867</v>
      </c>
    </row>
    <row r="854" ht="16.5" spans="1:5">
      <c r="A854" s="30">
        <v>3045947.737</v>
      </c>
      <c r="B854" s="30">
        <v>35400649.992</v>
      </c>
      <c r="C854" s="8">
        <v>911.063</v>
      </c>
      <c r="D854" s="11">
        <v>45352</v>
      </c>
      <c r="E854" s="26">
        <v>872.927</v>
      </c>
    </row>
    <row r="855" ht="16.5" spans="1:5">
      <c r="A855" s="30">
        <v>3045947.737</v>
      </c>
      <c r="B855" s="30">
        <v>35400649.992</v>
      </c>
      <c r="C855" s="8">
        <v>911.063</v>
      </c>
      <c r="D855" s="11">
        <v>45353</v>
      </c>
      <c r="E855" s="26">
        <v>872.867</v>
      </c>
    </row>
    <row r="856" ht="16.5" spans="1:5">
      <c r="A856" s="30">
        <v>3045947.737</v>
      </c>
      <c r="B856" s="30">
        <v>35400649.992</v>
      </c>
      <c r="C856" s="8">
        <v>911.063</v>
      </c>
      <c r="D856" s="11">
        <v>45354</v>
      </c>
      <c r="E856" s="26">
        <v>872.927</v>
      </c>
    </row>
    <row r="857" ht="16.5" spans="1:5">
      <c r="A857" s="30">
        <v>3045947.737</v>
      </c>
      <c r="B857" s="30">
        <v>35400649.992</v>
      </c>
      <c r="C857" s="8">
        <v>911.063</v>
      </c>
      <c r="D857" s="11">
        <v>45355</v>
      </c>
      <c r="E857" s="26">
        <v>872.962</v>
      </c>
    </row>
    <row r="858" ht="16.5" spans="1:5">
      <c r="A858" s="30">
        <v>3045947.737</v>
      </c>
      <c r="B858" s="30">
        <v>35400649.992</v>
      </c>
      <c r="C858" s="8">
        <v>911.063</v>
      </c>
      <c r="D858" s="11">
        <v>45356</v>
      </c>
      <c r="E858" s="26">
        <v>872.972</v>
      </c>
    </row>
    <row r="859" ht="16.5" spans="1:5">
      <c r="A859" s="30">
        <v>3045947.737</v>
      </c>
      <c r="B859" s="30">
        <v>35400649.992</v>
      </c>
      <c r="C859" s="8">
        <v>911.063</v>
      </c>
      <c r="D859" s="11">
        <v>45357</v>
      </c>
      <c r="E859" s="26">
        <v>872.968</v>
      </c>
    </row>
    <row r="860" ht="16.5" spans="1:5">
      <c r="A860" s="30">
        <v>3045947.737</v>
      </c>
      <c r="B860" s="30">
        <v>35400649.992</v>
      </c>
      <c r="C860" s="8">
        <v>911.063</v>
      </c>
      <c r="D860" s="11">
        <v>45358</v>
      </c>
      <c r="E860" s="26">
        <v>872.973</v>
      </c>
    </row>
    <row r="861" ht="16.5" spans="1:5">
      <c r="A861" s="30">
        <v>3045947.737</v>
      </c>
      <c r="B861" s="30">
        <v>35400649.992</v>
      </c>
      <c r="C861" s="8">
        <v>911.063</v>
      </c>
      <c r="D861" s="11">
        <v>45359</v>
      </c>
      <c r="E861" s="26">
        <v>872.989</v>
      </c>
    </row>
    <row r="862" ht="16.5" spans="1:5">
      <c r="A862" s="30">
        <v>3045947.737</v>
      </c>
      <c r="B862" s="30">
        <v>35400649.992</v>
      </c>
      <c r="C862" s="8">
        <v>911.063</v>
      </c>
      <c r="D862" s="11">
        <v>45360</v>
      </c>
      <c r="E862" s="26">
        <v>872.986</v>
      </c>
    </row>
    <row r="863" ht="16.5" spans="1:5">
      <c r="A863" s="30">
        <v>3045947.737</v>
      </c>
      <c r="B863" s="30">
        <v>35400649.992</v>
      </c>
      <c r="C863" s="8">
        <v>911.063</v>
      </c>
      <c r="D863" s="11">
        <v>45361</v>
      </c>
      <c r="E863" s="26">
        <v>872.97</v>
      </c>
    </row>
    <row r="864" ht="16.5" spans="1:5">
      <c r="A864" s="30">
        <v>3045947.737</v>
      </c>
      <c r="B864" s="30">
        <v>35400649.992</v>
      </c>
      <c r="C864" s="8">
        <v>911.063</v>
      </c>
      <c r="D864" s="11">
        <v>45362</v>
      </c>
      <c r="E864" s="26">
        <v>872.945</v>
      </c>
    </row>
    <row r="865" ht="16.5" spans="1:5">
      <c r="A865" s="30">
        <v>3045947.737</v>
      </c>
      <c r="B865" s="30">
        <v>35400649.992</v>
      </c>
      <c r="C865" s="8">
        <v>911.063</v>
      </c>
      <c r="D865" s="11">
        <v>45363</v>
      </c>
      <c r="E865" s="26">
        <v>872.956</v>
      </c>
    </row>
    <row r="866" ht="16.5" spans="1:5">
      <c r="A866" s="30">
        <v>3045947.737</v>
      </c>
      <c r="B866" s="30">
        <v>35400649.992</v>
      </c>
      <c r="C866" s="8">
        <v>911.063</v>
      </c>
      <c r="D866" s="11">
        <v>45364</v>
      </c>
      <c r="E866" s="26">
        <v>872.94</v>
      </c>
    </row>
    <row r="867" ht="16.5" spans="1:5">
      <c r="A867" s="30">
        <v>3045947.737</v>
      </c>
      <c r="B867" s="30">
        <v>35400649.992</v>
      </c>
      <c r="C867" s="8">
        <v>911.063</v>
      </c>
      <c r="D867" s="11">
        <v>45365</v>
      </c>
      <c r="E867" s="26">
        <v>872.938</v>
      </c>
    </row>
    <row r="868" ht="16.5" spans="1:5">
      <c r="A868" s="30">
        <v>3045947.737</v>
      </c>
      <c r="B868" s="30">
        <v>35400649.992</v>
      </c>
      <c r="C868" s="8">
        <v>911.063</v>
      </c>
      <c r="D868" s="11">
        <v>45366</v>
      </c>
      <c r="E868" s="26">
        <v>872.812</v>
      </c>
    </row>
    <row r="869" ht="16.5" spans="1:5">
      <c r="A869" s="30">
        <v>3045947.737</v>
      </c>
      <c r="B869" s="30">
        <v>35400649.992</v>
      </c>
      <c r="C869" s="8">
        <v>911.063</v>
      </c>
      <c r="D869" s="11">
        <v>45367</v>
      </c>
      <c r="E869" s="26">
        <v>872.676</v>
      </c>
    </row>
    <row r="870" ht="16.5" spans="1:5">
      <c r="A870" s="30">
        <v>3045947.737</v>
      </c>
      <c r="B870" s="30">
        <v>35400649.992</v>
      </c>
      <c r="C870" s="8">
        <v>911.063</v>
      </c>
      <c r="D870" s="11">
        <v>45368</v>
      </c>
      <c r="E870" s="26">
        <v>872.582</v>
      </c>
    </row>
    <row r="871" ht="16.5" spans="1:5">
      <c r="A871" s="30">
        <v>3045947.737</v>
      </c>
      <c r="B871" s="30">
        <v>35400649.992</v>
      </c>
      <c r="C871" s="8">
        <v>911.063</v>
      </c>
      <c r="D871" s="11">
        <v>45369</v>
      </c>
      <c r="E871" s="26">
        <v>872.503</v>
      </c>
    </row>
    <row r="872" ht="16.5" spans="1:5">
      <c r="A872" s="30">
        <v>3045947.737</v>
      </c>
      <c r="B872" s="30">
        <v>35400649.992</v>
      </c>
      <c r="C872" s="8">
        <v>911.063</v>
      </c>
      <c r="D872" s="11">
        <v>45370</v>
      </c>
      <c r="E872" s="26">
        <v>872.452</v>
      </c>
    </row>
    <row r="873" ht="16.5" spans="1:5">
      <c r="A873" s="30">
        <v>3045947.737</v>
      </c>
      <c r="B873" s="30">
        <v>35400649.992</v>
      </c>
      <c r="C873" s="8">
        <v>911.063</v>
      </c>
      <c r="D873" s="11">
        <v>45371</v>
      </c>
      <c r="E873" s="26">
        <v>872.407</v>
      </c>
    </row>
    <row r="874" ht="16.5" spans="1:5">
      <c r="A874" s="30">
        <v>3045947.737</v>
      </c>
      <c r="B874" s="30">
        <v>35400649.992</v>
      </c>
      <c r="C874" s="8">
        <v>911.063</v>
      </c>
      <c r="D874" s="11">
        <v>45372</v>
      </c>
      <c r="E874" s="26">
        <v>872.391</v>
      </c>
    </row>
    <row r="875" ht="16.5" spans="1:5">
      <c r="A875" s="30">
        <v>3045947.737</v>
      </c>
      <c r="B875" s="30">
        <v>35400649.992</v>
      </c>
      <c r="C875" s="8">
        <v>911.063</v>
      </c>
      <c r="D875" s="11">
        <v>45373</v>
      </c>
      <c r="E875" s="26">
        <v>872.362</v>
      </c>
    </row>
    <row r="876" ht="16.5" spans="1:5">
      <c r="A876" s="30">
        <v>3045947.737</v>
      </c>
      <c r="B876" s="30">
        <v>35400649.992</v>
      </c>
      <c r="C876" s="8">
        <v>911.063</v>
      </c>
      <c r="D876" s="11">
        <v>45374</v>
      </c>
      <c r="E876" s="26">
        <v>872.332</v>
      </c>
    </row>
    <row r="877" ht="16.5" spans="1:5">
      <c r="A877" s="30">
        <v>3045947.737</v>
      </c>
      <c r="B877" s="30">
        <v>35400649.992</v>
      </c>
      <c r="C877" s="8">
        <v>911.063</v>
      </c>
      <c r="D877" s="11">
        <v>45375</v>
      </c>
      <c r="E877" s="26">
        <v>872.301</v>
      </c>
    </row>
    <row r="878" ht="16.5" spans="1:5">
      <c r="A878" s="30">
        <v>3045947.737</v>
      </c>
      <c r="B878" s="30">
        <v>35400649.992</v>
      </c>
      <c r="C878" s="8">
        <v>911.063</v>
      </c>
      <c r="D878" s="11">
        <v>45376</v>
      </c>
      <c r="E878" s="26">
        <v>872.247</v>
      </c>
    </row>
    <row r="879" ht="16.5" spans="1:5">
      <c r="A879" s="30">
        <v>3045947.737</v>
      </c>
      <c r="B879" s="30">
        <v>35400649.992</v>
      </c>
      <c r="C879" s="8">
        <v>911.063</v>
      </c>
      <c r="D879" s="11">
        <v>45377</v>
      </c>
      <c r="E879" s="26">
        <v>872.207</v>
      </c>
    </row>
    <row r="880" ht="16.5" spans="1:5">
      <c r="A880" s="30">
        <v>3045947.737</v>
      </c>
      <c r="B880" s="30">
        <v>35400649.992</v>
      </c>
      <c r="C880" s="8">
        <v>911.063</v>
      </c>
      <c r="D880" s="11">
        <v>45378</v>
      </c>
      <c r="E880" s="26">
        <v>872.187</v>
      </c>
    </row>
    <row r="881" ht="16.5" spans="1:5">
      <c r="A881" s="30">
        <v>3045947.737</v>
      </c>
      <c r="B881" s="30">
        <v>35400649.992</v>
      </c>
      <c r="C881" s="8">
        <v>911.063</v>
      </c>
      <c r="D881" s="11">
        <v>45379</v>
      </c>
      <c r="E881" s="26">
        <v>872.159</v>
      </c>
    </row>
    <row r="882" ht="16.5" spans="1:5">
      <c r="A882" s="30">
        <v>3045947.737</v>
      </c>
      <c r="B882" s="30">
        <v>35400649.992</v>
      </c>
      <c r="C882" s="8">
        <v>911.063</v>
      </c>
      <c r="D882" s="11">
        <v>45380</v>
      </c>
      <c r="E882" s="26">
        <v>872.148</v>
      </c>
    </row>
    <row r="883" ht="16.5" spans="1:5">
      <c r="A883" s="30">
        <v>3045947.737</v>
      </c>
      <c r="B883" s="30">
        <v>35400649.992</v>
      </c>
      <c r="C883" s="8">
        <v>911.063</v>
      </c>
      <c r="D883" s="11">
        <v>45381</v>
      </c>
      <c r="E883" s="26">
        <v>872.126</v>
      </c>
    </row>
    <row r="884" ht="16.5" spans="1:5">
      <c r="A884" s="30">
        <v>3045947.737</v>
      </c>
      <c r="B884" s="30">
        <v>35400649.992</v>
      </c>
      <c r="C884" s="8">
        <v>911.063</v>
      </c>
      <c r="D884" s="11">
        <v>45382</v>
      </c>
      <c r="E884" s="26">
        <v>872.114</v>
      </c>
    </row>
    <row r="885" ht="16.5" spans="1:5">
      <c r="A885" s="30">
        <v>3045947.737</v>
      </c>
      <c r="B885" s="30">
        <v>35400649.992</v>
      </c>
      <c r="C885" s="8">
        <v>911.063</v>
      </c>
      <c r="D885" s="11">
        <v>45383</v>
      </c>
      <c r="E885" s="26">
        <v>872.116</v>
      </c>
    </row>
    <row r="886" ht="16.5" spans="1:5">
      <c r="A886" s="30">
        <v>3045947.737</v>
      </c>
      <c r="B886" s="30">
        <v>35400649.992</v>
      </c>
      <c r="C886" s="8">
        <v>911.063</v>
      </c>
      <c r="D886" s="11">
        <v>45384</v>
      </c>
      <c r="E886" s="26">
        <v>872.101</v>
      </c>
    </row>
    <row r="887" ht="16.5" spans="1:5">
      <c r="A887" s="30">
        <v>3045947.737</v>
      </c>
      <c r="B887" s="30">
        <v>35400649.992</v>
      </c>
      <c r="C887" s="8">
        <v>911.063</v>
      </c>
      <c r="D887" s="11">
        <v>45385</v>
      </c>
      <c r="E887" s="26">
        <v>872.016</v>
      </c>
    </row>
    <row r="888" ht="16.5" spans="1:5">
      <c r="A888" s="30">
        <v>3045947.737</v>
      </c>
      <c r="B888" s="30">
        <v>35400649.992</v>
      </c>
      <c r="C888" s="8">
        <v>911.063</v>
      </c>
      <c r="D888" s="11">
        <v>45386</v>
      </c>
      <c r="E888" s="26">
        <v>871.936</v>
      </c>
    </row>
    <row r="889" ht="16.5" spans="1:5">
      <c r="A889" s="30">
        <v>3045947.737</v>
      </c>
      <c r="B889" s="30">
        <v>35400649.992</v>
      </c>
      <c r="C889" s="8">
        <v>911.063</v>
      </c>
      <c r="D889" s="11">
        <v>45387</v>
      </c>
      <c r="E889" s="26">
        <v>871.88</v>
      </c>
    </row>
    <row r="890" ht="16.5" spans="1:5">
      <c r="A890" s="30">
        <v>3045947.737</v>
      </c>
      <c r="B890" s="30">
        <v>35400649.992</v>
      </c>
      <c r="C890" s="8">
        <v>911.063</v>
      </c>
      <c r="D890" s="11">
        <v>45388</v>
      </c>
      <c r="E890" s="26">
        <v>871.818</v>
      </c>
    </row>
    <row r="891" ht="16.5" spans="1:5">
      <c r="A891" s="30">
        <v>3045947.737</v>
      </c>
      <c r="B891" s="30">
        <v>35400649.992</v>
      </c>
      <c r="C891" s="8">
        <v>911.063</v>
      </c>
      <c r="D891" s="11">
        <v>45389</v>
      </c>
      <c r="E891" s="26">
        <v>871.767</v>
      </c>
    </row>
    <row r="892" ht="16.5" spans="1:5">
      <c r="A892" s="30">
        <v>3045947.737</v>
      </c>
      <c r="B892" s="30">
        <v>35400649.992</v>
      </c>
      <c r="C892" s="8">
        <v>911.063</v>
      </c>
      <c r="D892" s="11">
        <v>45390</v>
      </c>
      <c r="E892" s="26">
        <v>871.736</v>
      </c>
    </row>
    <row r="893" ht="16.5" spans="1:5">
      <c r="A893" s="30">
        <v>3045947.737</v>
      </c>
      <c r="B893" s="30">
        <v>35400649.992</v>
      </c>
      <c r="C893" s="8">
        <v>911.063</v>
      </c>
      <c r="D893" s="11">
        <v>45391</v>
      </c>
      <c r="E893" s="26"/>
    </row>
    <row r="894" ht="16.5" spans="1:5">
      <c r="A894" s="30">
        <v>3045947.737</v>
      </c>
      <c r="B894" s="30">
        <v>35400649.992</v>
      </c>
      <c r="C894" s="8">
        <v>911.063</v>
      </c>
      <c r="D894" s="11">
        <v>45392</v>
      </c>
      <c r="E894" s="26"/>
    </row>
    <row r="895" ht="16.5" spans="1:5">
      <c r="A895" s="30">
        <v>3045947.737</v>
      </c>
      <c r="B895" s="30">
        <v>35400649.992</v>
      </c>
      <c r="C895" s="8">
        <v>911.063</v>
      </c>
      <c r="D895" s="11">
        <v>45393</v>
      </c>
      <c r="E895" s="26"/>
    </row>
    <row r="896" ht="16.5" spans="1:5">
      <c r="A896" s="30">
        <v>3045947.737</v>
      </c>
      <c r="B896" s="30">
        <v>35400649.992</v>
      </c>
      <c r="C896" s="8">
        <v>911.063</v>
      </c>
      <c r="D896" s="11">
        <v>45394</v>
      </c>
      <c r="E896" s="26"/>
    </row>
    <row r="897" ht="16.5" spans="1:5">
      <c r="A897" s="30">
        <v>3045947.737</v>
      </c>
      <c r="B897" s="30">
        <v>35400649.992</v>
      </c>
      <c r="C897" s="8">
        <v>911.063</v>
      </c>
      <c r="D897" s="11">
        <v>45395</v>
      </c>
      <c r="E897" s="26">
        <v>871.632</v>
      </c>
    </row>
    <row r="898" ht="16.5" spans="1:5">
      <c r="A898" s="30">
        <v>3045947.737</v>
      </c>
      <c r="B898" s="30">
        <v>35400649.992</v>
      </c>
      <c r="C898" s="8">
        <v>911.063</v>
      </c>
      <c r="D898" s="11">
        <v>45396</v>
      </c>
      <c r="E898" s="26">
        <v>871.611</v>
      </c>
    </row>
    <row r="899" ht="16.5" spans="1:5">
      <c r="A899" s="30">
        <v>3045947.737</v>
      </c>
      <c r="B899" s="30">
        <v>35400649.992</v>
      </c>
      <c r="C899" s="8">
        <v>911.063</v>
      </c>
      <c r="D899" s="11">
        <v>45397</v>
      </c>
      <c r="E899" s="26">
        <v>871.594</v>
      </c>
    </row>
    <row r="900" ht="16.5" spans="1:5">
      <c r="A900" s="30">
        <v>3045947.737</v>
      </c>
      <c r="B900" s="30">
        <v>35400649.992</v>
      </c>
      <c r="C900" s="8">
        <v>911.063</v>
      </c>
      <c r="D900" s="11">
        <v>45398</v>
      </c>
      <c r="E900" s="26">
        <v>871.582</v>
      </c>
    </row>
    <row r="901" ht="16.5" spans="1:5">
      <c r="A901" s="30">
        <v>3045947.737</v>
      </c>
      <c r="B901" s="30">
        <v>35400649.992</v>
      </c>
      <c r="C901" s="8">
        <v>911.063</v>
      </c>
      <c r="D901" s="11">
        <v>45399</v>
      </c>
      <c r="E901" s="26">
        <v>871.552</v>
      </c>
    </row>
    <row r="902" ht="16.5" spans="1:5">
      <c r="A902" s="30">
        <v>3045947.737</v>
      </c>
      <c r="B902" s="30">
        <v>35400649.992</v>
      </c>
      <c r="C902" s="8">
        <v>911.063</v>
      </c>
      <c r="D902" s="11">
        <v>45400</v>
      </c>
      <c r="E902" s="26">
        <v>871.532</v>
      </c>
    </row>
    <row r="903" ht="16.5" spans="1:5">
      <c r="A903" s="30">
        <v>3045947.737</v>
      </c>
      <c r="B903" s="30">
        <v>35400649.992</v>
      </c>
      <c r="C903" s="8">
        <v>911.063</v>
      </c>
      <c r="D903" s="11">
        <v>45401</v>
      </c>
      <c r="E903" s="26">
        <v>871.499</v>
      </c>
    </row>
    <row r="904" ht="16.5" spans="1:5">
      <c r="A904" s="30">
        <v>3045947.737</v>
      </c>
      <c r="B904" s="30">
        <v>35400649.992</v>
      </c>
      <c r="C904" s="8">
        <v>911.063</v>
      </c>
      <c r="D904" s="11">
        <v>45402</v>
      </c>
      <c r="E904" s="26">
        <v>871.46</v>
      </c>
    </row>
    <row r="905" ht="16.5" spans="1:5">
      <c r="A905" s="30">
        <v>3045947.737</v>
      </c>
      <c r="B905" s="30">
        <v>35400649.992</v>
      </c>
      <c r="C905" s="8">
        <v>911.063</v>
      </c>
      <c r="D905" s="11">
        <v>45403</v>
      </c>
      <c r="E905" s="26">
        <v>871.422</v>
      </c>
    </row>
    <row r="906" ht="16.5" spans="1:5">
      <c r="A906" s="30">
        <v>3045947.737</v>
      </c>
      <c r="B906" s="30">
        <v>35400649.992</v>
      </c>
      <c r="C906" s="8">
        <v>911.063</v>
      </c>
      <c r="D906" s="11">
        <v>45404</v>
      </c>
      <c r="E906" s="26">
        <v>871.37</v>
      </c>
    </row>
    <row r="907" ht="16.5" spans="1:5">
      <c r="A907" s="30">
        <v>3045947.737</v>
      </c>
      <c r="B907" s="30">
        <v>35400649.992</v>
      </c>
      <c r="C907" s="8">
        <v>911.063</v>
      </c>
      <c r="D907" s="11">
        <v>45405</v>
      </c>
      <c r="E907" s="26">
        <v>871.303</v>
      </c>
    </row>
    <row r="908" ht="16.5" spans="1:5">
      <c r="A908" s="30">
        <v>3045947.737</v>
      </c>
      <c r="B908" s="30">
        <v>35400649.992</v>
      </c>
      <c r="C908" s="8">
        <v>911.063</v>
      </c>
      <c r="D908" s="11">
        <v>45406</v>
      </c>
      <c r="E908" s="26">
        <v>871.221</v>
      </c>
    </row>
    <row r="909" ht="16.5" spans="1:5">
      <c r="A909" s="30">
        <v>3045947.737</v>
      </c>
      <c r="B909" s="30">
        <v>35400649.992</v>
      </c>
      <c r="C909" s="8">
        <v>911.063</v>
      </c>
      <c r="D909" s="11">
        <v>45407</v>
      </c>
      <c r="E909" s="26">
        <v>871.084</v>
      </c>
    </row>
    <row r="910" ht="16.5" spans="1:5">
      <c r="A910" s="30">
        <v>3045947.737</v>
      </c>
      <c r="B910" s="30">
        <v>35400649.992</v>
      </c>
      <c r="C910" s="8">
        <v>911.063</v>
      </c>
      <c r="D910" s="11">
        <v>45408</v>
      </c>
      <c r="E910" s="26">
        <v>870.984</v>
      </c>
    </row>
    <row r="911" ht="16.5" spans="1:5">
      <c r="A911" s="30">
        <v>3045947.737</v>
      </c>
      <c r="B911" s="30">
        <v>35400649.992</v>
      </c>
      <c r="C911" s="8">
        <v>911.063</v>
      </c>
      <c r="D911" s="11">
        <v>45409</v>
      </c>
      <c r="E911" s="26">
        <v>870.799</v>
      </c>
    </row>
    <row r="912" ht="16.5" spans="1:5">
      <c r="A912" s="30">
        <v>3045947.737</v>
      </c>
      <c r="B912" s="30">
        <v>35400649.992</v>
      </c>
      <c r="C912" s="8">
        <v>911.063</v>
      </c>
      <c r="D912" s="11">
        <v>45410</v>
      </c>
      <c r="E912" s="26">
        <v>870.597</v>
      </c>
    </row>
    <row r="913" ht="16.5" spans="1:5">
      <c r="A913" s="30">
        <v>3045947.737</v>
      </c>
      <c r="B913" s="30">
        <v>35400649.992</v>
      </c>
      <c r="C913" s="8">
        <v>911.063</v>
      </c>
      <c r="D913" s="11">
        <v>45411</v>
      </c>
      <c r="E913" s="26">
        <v>870.427</v>
      </c>
    </row>
    <row r="914" ht="16.5" spans="1:5">
      <c r="A914" s="30">
        <v>3045947.737</v>
      </c>
      <c r="B914" s="30">
        <v>35400649.992</v>
      </c>
      <c r="C914" s="8">
        <v>911.063</v>
      </c>
      <c r="D914" s="11">
        <v>45412</v>
      </c>
      <c r="E914" s="26">
        <v>870.275</v>
      </c>
    </row>
    <row r="915" ht="16.5" spans="1:5">
      <c r="A915" s="30">
        <v>3045947.737</v>
      </c>
      <c r="B915" s="30">
        <v>35400649.992</v>
      </c>
      <c r="C915" s="8">
        <v>911.063</v>
      </c>
      <c r="D915" s="11">
        <v>45413</v>
      </c>
      <c r="E915" s="26">
        <v>870.165</v>
      </c>
    </row>
    <row r="916" ht="16.5" spans="1:5">
      <c r="A916" s="30">
        <v>3045947.737</v>
      </c>
      <c r="B916" s="30">
        <v>35400649.992</v>
      </c>
      <c r="C916" s="8">
        <v>911.063</v>
      </c>
      <c r="D916" s="11">
        <v>45414</v>
      </c>
      <c r="E916" s="26">
        <v>870.095</v>
      </c>
    </row>
    <row r="917" ht="16.5" spans="1:5">
      <c r="A917" s="30">
        <v>3045947.737</v>
      </c>
      <c r="B917" s="30">
        <v>35400649.992</v>
      </c>
      <c r="C917" s="8">
        <v>911.063</v>
      </c>
      <c r="D917" s="11">
        <v>45415</v>
      </c>
      <c r="E917" s="26">
        <v>870.163</v>
      </c>
    </row>
    <row r="918" ht="16.5" spans="1:5">
      <c r="A918" s="30">
        <v>3045947.737</v>
      </c>
      <c r="B918" s="30">
        <v>35400649.992</v>
      </c>
      <c r="C918" s="8">
        <v>911.063</v>
      </c>
      <c r="D918" s="11">
        <v>45416</v>
      </c>
      <c r="E918" s="26">
        <v>870.161</v>
      </c>
    </row>
    <row r="919" ht="16.5" spans="1:5">
      <c r="A919" s="30">
        <v>3045947.737</v>
      </c>
      <c r="B919" s="30">
        <v>35400649.992</v>
      </c>
      <c r="C919" s="8">
        <v>911.063</v>
      </c>
      <c r="D919" s="11">
        <v>45417</v>
      </c>
      <c r="E919" s="26">
        <v>870.162</v>
      </c>
    </row>
    <row r="920" ht="16.5" spans="1:5">
      <c r="A920" s="30">
        <v>3045947.737</v>
      </c>
      <c r="B920" s="30">
        <v>35400649.992</v>
      </c>
      <c r="C920" s="8">
        <v>911.063</v>
      </c>
      <c r="D920" s="11">
        <v>45418</v>
      </c>
      <c r="E920" s="26">
        <v>870.163</v>
      </c>
    </row>
    <row r="921" ht="16.5" spans="1:5">
      <c r="A921" s="30">
        <v>3045947.737</v>
      </c>
      <c r="B921" s="30">
        <v>35400649.992</v>
      </c>
      <c r="C921" s="8">
        <v>911.063</v>
      </c>
      <c r="D921" s="11">
        <v>45419</v>
      </c>
      <c r="E921" s="26">
        <v>870.16</v>
      </c>
    </row>
    <row r="922" ht="16.5" spans="1:5">
      <c r="A922" s="30">
        <v>3045947.737</v>
      </c>
      <c r="B922" s="30">
        <v>35400649.992</v>
      </c>
      <c r="C922" s="8">
        <v>911.063</v>
      </c>
      <c r="D922" s="11">
        <v>45420</v>
      </c>
      <c r="E922" s="26">
        <v>870.206</v>
      </c>
    </row>
    <row r="923" ht="16.5" spans="1:5">
      <c r="A923" s="30">
        <v>3045947.737</v>
      </c>
      <c r="B923" s="30">
        <v>35400649.992</v>
      </c>
      <c r="C923" s="8">
        <v>911.063</v>
      </c>
      <c r="D923" s="11">
        <v>45421</v>
      </c>
      <c r="E923" s="26">
        <v>870.221</v>
      </c>
    </row>
    <row r="924" ht="16.5" spans="1:5">
      <c r="A924" s="30">
        <v>3045947.737</v>
      </c>
      <c r="B924" s="30">
        <v>35400649.992</v>
      </c>
      <c r="C924" s="8">
        <v>911.063</v>
      </c>
      <c r="D924" s="11">
        <v>45422</v>
      </c>
      <c r="E924" s="26">
        <v>870.288</v>
      </c>
    </row>
    <row r="925" ht="16.5" spans="1:5">
      <c r="A925" s="30">
        <v>3045947.737</v>
      </c>
      <c r="B925" s="30">
        <v>35400649.992</v>
      </c>
      <c r="C925" s="8">
        <v>911.063</v>
      </c>
      <c r="D925" s="11">
        <v>45423</v>
      </c>
      <c r="E925" s="26">
        <v>870.291</v>
      </c>
    </row>
  </sheetData>
  <mergeCells count="1">
    <mergeCell ref="A1:C1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5"/>
  <sheetViews>
    <sheetView workbookViewId="0">
      <selection activeCell="F11" sqref="F11"/>
    </sheetView>
  </sheetViews>
  <sheetFormatPr defaultColWidth="9" defaultRowHeight="14.25" outlineLevelCol="5"/>
  <cols>
    <col min="1" max="1" width="11.375" style="2" customWidth="1"/>
    <col min="2" max="2" width="12.375" style="2" customWidth="1"/>
    <col min="3" max="3" width="19.25" customWidth="1"/>
    <col min="4" max="4" width="17.25" customWidth="1"/>
    <col min="6" max="6" width="26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6.5" spans="1:6">
      <c r="A3" s="7">
        <v>3045971.314</v>
      </c>
      <c r="B3" s="7">
        <v>35400914.192</v>
      </c>
      <c r="C3" s="8">
        <v>913.648</v>
      </c>
      <c r="D3" s="9" t="s">
        <v>311</v>
      </c>
      <c r="E3" s="21"/>
      <c r="F3" t="s">
        <v>3068</v>
      </c>
    </row>
    <row r="4" ht="16.5" spans="1:5">
      <c r="A4" s="7">
        <v>3045971.314</v>
      </c>
      <c r="B4" s="7">
        <v>35400914.192</v>
      </c>
      <c r="C4" s="8">
        <v>913.648</v>
      </c>
      <c r="D4" s="9" t="s">
        <v>312</v>
      </c>
      <c r="E4" s="21"/>
    </row>
    <row r="5" ht="16.5" spans="1:5">
      <c r="A5" s="7">
        <v>3045971.314</v>
      </c>
      <c r="B5" s="7">
        <v>35400914.192</v>
      </c>
      <c r="C5" s="8">
        <v>913.648</v>
      </c>
      <c r="D5" s="9" t="s">
        <v>313</v>
      </c>
      <c r="E5" s="21"/>
    </row>
    <row r="6" ht="16.5" spans="1:5">
      <c r="A6" s="7">
        <v>3045971.314</v>
      </c>
      <c r="B6" s="7">
        <v>35400914.192</v>
      </c>
      <c r="C6" s="8">
        <v>913.648</v>
      </c>
      <c r="D6" s="9" t="s">
        <v>314</v>
      </c>
      <c r="E6" s="21"/>
    </row>
    <row r="7" ht="16.5" spans="1:5">
      <c r="A7" s="7">
        <v>3045971.314</v>
      </c>
      <c r="B7" s="7">
        <v>35400914.192</v>
      </c>
      <c r="C7" s="8">
        <v>913.648</v>
      </c>
      <c r="D7" s="9" t="s">
        <v>315</v>
      </c>
      <c r="E7" s="21"/>
    </row>
    <row r="8" ht="16.5" spans="1:5">
      <c r="A8" s="7">
        <v>3045971.314</v>
      </c>
      <c r="B8" s="7">
        <v>35400914.192</v>
      </c>
      <c r="C8" s="8">
        <v>913.648</v>
      </c>
      <c r="D8" s="9" t="s">
        <v>316</v>
      </c>
      <c r="E8" s="21"/>
    </row>
    <row r="9" ht="16.5" spans="1:5">
      <c r="A9" s="7">
        <v>3045971.314</v>
      </c>
      <c r="B9" s="7">
        <v>35400914.192</v>
      </c>
      <c r="C9" s="8">
        <v>913.648</v>
      </c>
      <c r="D9" s="9" t="s">
        <v>317</v>
      </c>
      <c r="E9" s="21"/>
    </row>
    <row r="10" ht="16.5" spans="1:5">
      <c r="A10" s="7">
        <v>3045971.314</v>
      </c>
      <c r="B10" s="7">
        <v>35400914.192</v>
      </c>
      <c r="C10" s="8">
        <v>913.648</v>
      </c>
      <c r="D10" s="9" t="s">
        <v>318</v>
      </c>
      <c r="E10" s="21"/>
    </row>
    <row r="11" ht="16.5" spans="1:5">
      <c r="A11" s="7">
        <v>3045971.314</v>
      </c>
      <c r="B11" s="7">
        <v>35400914.192</v>
      </c>
      <c r="C11" s="8">
        <v>913.648</v>
      </c>
      <c r="D11" s="9" t="s">
        <v>319</v>
      </c>
      <c r="E11" s="21"/>
    </row>
    <row r="12" ht="16.5" spans="1:5">
      <c r="A12" s="7">
        <v>3045971.314</v>
      </c>
      <c r="B12" s="7">
        <v>35400914.192</v>
      </c>
      <c r="C12" s="8">
        <v>913.648</v>
      </c>
      <c r="D12" s="9" t="s">
        <v>320</v>
      </c>
      <c r="E12" s="21"/>
    </row>
    <row r="13" ht="16.5" spans="1:5">
      <c r="A13" s="7">
        <v>3045971.314</v>
      </c>
      <c r="B13" s="7">
        <v>35400914.192</v>
      </c>
      <c r="C13" s="8">
        <v>913.648</v>
      </c>
      <c r="D13" s="9" t="s">
        <v>321</v>
      </c>
      <c r="E13" s="21"/>
    </row>
    <row r="14" ht="16.5" spans="1:5">
      <c r="A14" s="7">
        <v>3045971.314</v>
      </c>
      <c r="B14" s="7">
        <v>35400914.192</v>
      </c>
      <c r="C14" s="8">
        <v>913.648</v>
      </c>
      <c r="D14" s="9" t="s">
        <v>322</v>
      </c>
      <c r="E14" s="21"/>
    </row>
    <row r="15" ht="16.5" spans="1:5">
      <c r="A15" s="7">
        <v>3045971.314</v>
      </c>
      <c r="B15" s="7">
        <v>35400914.192</v>
      </c>
      <c r="C15" s="8">
        <v>913.648</v>
      </c>
      <c r="D15" s="9" t="s">
        <v>323</v>
      </c>
      <c r="E15" s="21"/>
    </row>
    <row r="16" ht="16.5" spans="1:5">
      <c r="A16" s="7">
        <v>3045971.314</v>
      </c>
      <c r="B16" s="7">
        <v>35400914.192</v>
      </c>
      <c r="C16" s="8">
        <v>913.648</v>
      </c>
      <c r="D16" s="9" t="s">
        <v>324</v>
      </c>
      <c r="E16" s="21"/>
    </row>
    <row r="17" ht="16.5" spans="1:5">
      <c r="A17" s="7">
        <v>3045971.314</v>
      </c>
      <c r="B17" s="7">
        <v>35400914.192</v>
      </c>
      <c r="C17" s="8">
        <v>913.648</v>
      </c>
      <c r="D17" s="9" t="s">
        <v>325</v>
      </c>
      <c r="E17" s="21"/>
    </row>
    <row r="18" ht="16.5" spans="1:5">
      <c r="A18" s="7">
        <v>3045971.314</v>
      </c>
      <c r="B18" s="7">
        <v>35400914.192</v>
      </c>
      <c r="C18" s="8">
        <v>913.648</v>
      </c>
      <c r="D18" s="9" t="s">
        <v>326</v>
      </c>
      <c r="E18" s="21"/>
    </row>
    <row r="19" ht="16.5" spans="1:5">
      <c r="A19" s="7">
        <v>3045971.314</v>
      </c>
      <c r="B19" s="7">
        <v>35400914.192</v>
      </c>
      <c r="C19" s="8">
        <v>913.648</v>
      </c>
      <c r="D19" s="9" t="s">
        <v>327</v>
      </c>
      <c r="E19" s="21"/>
    </row>
    <row r="20" ht="16.5" spans="1:5">
      <c r="A20" s="7">
        <v>3045971.314</v>
      </c>
      <c r="B20" s="7">
        <v>35400914.192</v>
      </c>
      <c r="C20" s="8">
        <v>913.648</v>
      </c>
      <c r="D20" s="9" t="s">
        <v>328</v>
      </c>
      <c r="E20" s="21"/>
    </row>
    <row r="21" ht="16.5" spans="1:5">
      <c r="A21" s="7">
        <v>3045971.314</v>
      </c>
      <c r="B21" s="7">
        <v>35400914.192</v>
      </c>
      <c r="C21" s="8">
        <v>913.648</v>
      </c>
      <c r="D21" s="9" t="s">
        <v>329</v>
      </c>
      <c r="E21" s="21"/>
    </row>
    <row r="22" ht="16.5" spans="1:5">
      <c r="A22" s="7">
        <v>3045971.314</v>
      </c>
      <c r="B22" s="7">
        <v>35400914.192</v>
      </c>
      <c r="C22" s="8">
        <v>913.648</v>
      </c>
      <c r="D22" s="9" t="s">
        <v>330</v>
      </c>
      <c r="E22" s="21"/>
    </row>
    <row r="23" ht="16.5" spans="1:5">
      <c r="A23" s="7">
        <v>3045971.314</v>
      </c>
      <c r="B23" s="7">
        <v>35400914.192</v>
      </c>
      <c r="C23" s="8">
        <v>913.648</v>
      </c>
      <c r="D23" s="9" t="s">
        <v>331</v>
      </c>
      <c r="E23" s="21"/>
    </row>
    <row r="24" ht="16.5" spans="1:5">
      <c r="A24" s="7">
        <v>3045971.314</v>
      </c>
      <c r="B24" s="7">
        <v>35400914.192</v>
      </c>
      <c r="C24" s="8">
        <v>913.648</v>
      </c>
      <c r="D24" s="9" t="s">
        <v>332</v>
      </c>
      <c r="E24" s="21"/>
    </row>
    <row r="25" ht="16.5" spans="1:5">
      <c r="A25" s="7">
        <v>3045971.314</v>
      </c>
      <c r="B25" s="7">
        <v>35400914.192</v>
      </c>
      <c r="C25" s="8">
        <v>913.648</v>
      </c>
      <c r="D25" s="9" t="s">
        <v>333</v>
      </c>
      <c r="E25" s="21"/>
    </row>
    <row r="26" ht="16.5" spans="1:5">
      <c r="A26" s="7">
        <v>3045971.314</v>
      </c>
      <c r="B26" s="7">
        <v>35400914.192</v>
      </c>
      <c r="C26" s="8">
        <v>913.648</v>
      </c>
      <c r="D26" s="9" t="s">
        <v>334</v>
      </c>
      <c r="E26" s="21"/>
    </row>
    <row r="27" ht="16.5" spans="1:5">
      <c r="A27" s="7">
        <v>3045971.314</v>
      </c>
      <c r="B27" s="7">
        <v>35400914.192</v>
      </c>
      <c r="C27" s="8">
        <v>913.648</v>
      </c>
      <c r="D27" s="9" t="s">
        <v>335</v>
      </c>
      <c r="E27" s="21">
        <v>884.648</v>
      </c>
    </row>
    <row r="28" ht="16.5" spans="1:5">
      <c r="A28" s="7">
        <v>3045971.314</v>
      </c>
      <c r="B28" s="7">
        <v>35400914.192</v>
      </c>
      <c r="C28" s="8">
        <v>913.648</v>
      </c>
      <c r="D28" s="9" t="s">
        <v>336</v>
      </c>
      <c r="E28" s="21"/>
    </row>
    <row r="29" ht="16.5" spans="1:5">
      <c r="A29" s="7">
        <v>3045971.314</v>
      </c>
      <c r="B29" s="7">
        <v>35400914.192</v>
      </c>
      <c r="C29" s="8">
        <v>913.648</v>
      </c>
      <c r="D29" s="9" t="s">
        <v>337</v>
      </c>
      <c r="E29" s="21"/>
    </row>
    <row r="30" ht="16.5" spans="1:5">
      <c r="A30" s="7">
        <v>3045971.314</v>
      </c>
      <c r="B30" s="7">
        <v>35400914.192</v>
      </c>
      <c r="C30" s="8">
        <v>913.648</v>
      </c>
      <c r="D30" s="9" t="s">
        <v>338</v>
      </c>
      <c r="E30" s="21"/>
    </row>
    <row r="31" ht="16.5" spans="1:5">
      <c r="A31" s="7">
        <v>3045971.314</v>
      </c>
      <c r="B31" s="7">
        <v>35400914.192</v>
      </c>
      <c r="C31" s="8">
        <v>913.648</v>
      </c>
      <c r="D31" s="9" t="s">
        <v>339</v>
      </c>
      <c r="E31" s="21"/>
    </row>
    <row r="32" ht="16.5" spans="1:5">
      <c r="A32" s="7">
        <v>3045971.314</v>
      </c>
      <c r="B32" s="7">
        <v>35400914.192</v>
      </c>
      <c r="C32" s="8">
        <v>913.648</v>
      </c>
      <c r="D32" s="9" t="s">
        <v>340</v>
      </c>
      <c r="E32" s="21">
        <v>884.348</v>
      </c>
    </row>
    <row r="33" ht="16.5" spans="1:5">
      <c r="A33" s="7">
        <v>3045971.314</v>
      </c>
      <c r="B33" s="7">
        <v>35400914.192</v>
      </c>
      <c r="C33" s="8">
        <v>913.648</v>
      </c>
      <c r="D33" s="9" t="s">
        <v>341</v>
      </c>
      <c r="E33" s="21"/>
    </row>
    <row r="34" ht="16.5" spans="1:5">
      <c r="A34" s="7">
        <v>3045971.314</v>
      </c>
      <c r="B34" s="7">
        <v>35400914.192</v>
      </c>
      <c r="C34" s="8">
        <v>913.648</v>
      </c>
      <c r="D34" s="9" t="s">
        <v>342</v>
      </c>
      <c r="E34" s="21"/>
    </row>
    <row r="35" ht="16.5" spans="1:5">
      <c r="A35" s="7">
        <v>3045971.314</v>
      </c>
      <c r="B35" s="7">
        <v>35400914.192</v>
      </c>
      <c r="C35" s="8">
        <v>913.648</v>
      </c>
      <c r="D35" s="9" t="s">
        <v>343</v>
      </c>
      <c r="E35" s="21"/>
    </row>
    <row r="36" ht="16.5" spans="1:5">
      <c r="A36" s="7">
        <v>3045971.314</v>
      </c>
      <c r="B36" s="7">
        <v>35400914.192</v>
      </c>
      <c r="C36" s="8">
        <v>913.648</v>
      </c>
      <c r="D36" s="9" t="s">
        <v>344</v>
      </c>
      <c r="E36" s="21"/>
    </row>
    <row r="37" ht="16.5" spans="1:5">
      <c r="A37" s="7">
        <v>3045971.314</v>
      </c>
      <c r="B37" s="7">
        <v>35400914.192</v>
      </c>
      <c r="C37" s="8">
        <v>913.648</v>
      </c>
      <c r="D37" s="9" t="s">
        <v>345</v>
      </c>
      <c r="E37" s="21"/>
    </row>
    <row r="38" ht="16.5" spans="1:5">
      <c r="A38" s="7">
        <v>3045971.314</v>
      </c>
      <c r="B38" s="7">
        <v>35400914.192</v>
      </c>
      <c r="C38" s="8">
        <v>913.648</v>
      </c>
      <c r="D38" s="9" t="s">
        <v>346</v>
      </c>
      <c r="E38" s="21"/>
    </row>
    <row r="39" ht="16.5" spans="1:5">
      <c r="A39" s="7">
        <v>3045971.314</v>
      </c>
      <c r="B39" s="7">
        <v>35400914.192</v>
      </c>
      <c r="C39" s="8">
        <v>913.648</v>
      </c>
      <c r="D39" s="9" t="s">
        <v>347</v>
      </c>
      <c r="E39" s="21"/>
    </row>
    <row r="40" ht="16.5" spans="1:5">
      <c r="A40" s="7">
        <v>3045971.314</v>
      </c>
      <c r="B40" s="7">
        <v>35400914.192</v>
      </c>
      <c r="C40" s="8">
        <v>913.648</v>
      </c>
      <c r="D40" s="9" t="s">
        <v>348</v>
      </c>
      <c r="E40" s="21"/>
    </row>
    <row r="41" ht="16.5" spans="1:5">
      <c r="A41" s="7">
        <v>3045971.314</v>
      </c>
      <c r="B41" s="7">
        <v>35400914.192</v>
      </c>
      <c r="C41" s="8">
        <v>913.648</v>
      </c>
      <c r="D41" s="9" t="s">
        <v>349</v>
      </c>
      <c r="E41" s="21"/>
    </row>
    <row r="42" ht="16.5" spans="1:5">
      <c r="A42" s="7">
        <v>3045971.314</v>
      </c>
      <c r="B42" s="7">
        <v>35400914.192</v>
      </c>
      <c r="C42" s="8">
        <v>913.648</v>
      </c>
      <c r="D42" s="9" t="s">
        <v>350</v>
      </c>
      <c r="E42" s="21">
        <v>879.068</v>
      </c>
    </row>
    <row r="43" ht="16.5" spans="1:5">
      <c r="A43" s="7">
        <v>3045971.314</v>
      </c>
      <c r="B43" s="7">
        <v>35400914.192</v>
      </c>
      <c r="C43" s="8">
        <v>913.648</v>
      </c>
      <c r="D43" s="9" t="s">
        <v>351</v>
      </c>
      <c r="E43" s="21"/>
    </row>
    <row r="44" ht="16.5" spans="1:5">
      <c r="A44" s="7">
        <v>3045971.314</v>
      </c>
      <c r="B44" s="7">
        <v>35400914.192</v>
      </c>
      <c r="C44" s="8">
        <v>913.648</v>
      </c>
      <c r="D44" s="9" t="s">
        <v>352</v>
      </c>
      <c r="E44" s="21"/>
    </row>
    <row r="45" ht="16.5" spans="1:5">
      <c r="A45" s="7">
        <v>3045971.314</v>
      </c>
      <c r="B45" s="7">
        <v>35400914.192</v>
      </c>
      <c r="C45" s="8">
        <v>913.648</v>
      </c>
      <c r="D45" s="9" t="s">
        <v>353</v>
      </c>
      <c r="E45" s="21">
        <v>879.408</v>
      </c>
    </row>
    <row r="46" ht="16.5" spans="1:5">
      <c r="A46" s="7">
        <v>3045971.314</v>
      </c>
      <c r="B46" s="7">
        <v>35400914.192</v>
      </c>
      <c r="C46" s="8">
        <v>913.648</v>
      </c>
      <c r="D46" s="9" t="s">
        <v>354</v>
      </c>
      <c r="E46" s="21"/>
    </row>
    <row r="47" ht="16.5" spans="1:5">
      <c r="A47" s="7">
        <v>3045971.314</v>
      </c>
      <c r="B47" s="7">
        <v>35400914.192</v>
      </c>
      <c r="C47" s="8">
        <v>913.648</v>
      </c>
      <c r="D47" s="9" t="s">
        <v>355</v>
      </c>
      <c r="E47" s="21"/>
    </row>
    <row r="48" ht="16.5" spans="1:5">
      <c r="A48" s="7">
        <v>3045971.314</v>
      </c>
      <c r="B48" s="7">
        <v>35400914.192</v>
      </c>
      <c r="C48" s="8">
        <v>913.648</v>
      </c>
      <c r="D48" s="9" t="s">
        <v>356</v>
      </c>
      <c r="E48" s="21"/>
    </row>
    <row r="49" ht="16.5" spans="1:5">
      <c r="A49" s="7">
        <v>3045971.314</v>
      </c>
      <c r="B49" s="7">
        <v>35400914.192</v>
      </c>
      <c r="C49" s="8">
        <v>913.648</v>
      </c>
      <c r="D49" s="9" t="s">
        <v>357</v>
      </c>
      <c r="E49" s="21"/>
    </row>
    <row r="50" ht="16.5" spans="1:5">
      <c r="A50" s="7">
        <v>3045971.314</v>
      </c>
      <c r="B50" s="7">
        <v>35400914.192</v>
      </c>
      <c r="C50" s="8">
        <v>913.648</v>
      </c>
      <c r="D50" s="9" t="s">
        <v>358</v>
      </c>
      <c r="E50" s="21"/>
    </row>
    <row r="51" ht="16.5" spans="1:5">
      <c r="A51" s="7">
        <v>3045971.314</v>
      </c>
      <c r="B51" s="7">
        <v>35400914.192</v>
      </c>
      <c r="C51" s="8">
        <v>913.648</v>
      </c>
      <c r="D51" s="9" t="s">
        <v>359</v>
      </c>
      <c r="E51" s="21"/>
    </row>
    <row r="52" ht="16.5" spans="1:5">
      <c r="A52" s="7">
        <v>3045971.314</v>
      </c>
      <c r="B52" s="7">
        <v>35400914.192</v>
      </c>
      <c r="C52" s="8">
        <v>913.648</v>
      </c>
      <c r="D52" s="9" t="s">
        <v>360</v>
      </c>
      <c r="E52" s="21"/>
    </row>
    <row r="53" ht="16.5" spans="1:5">
      <c r="A53" s="7">
        <v>3045971.314</v>
      </c>
      <c r="B53" s="7">
        <v>35400914.192</v>
      </c>
      <c r="C53" s="8">
        <v>913.648</v>
      </c>
      <c r="D53" s="9" t="s">
        <v>361</v>
      </c>
      <c r="E53" s="21"/>
    </row>
    <row r="54" ht="16.5" spans="1:5">
      <c r="A54" s="7">
        <v>3045971.314</v>
      </c>
      <c r="B54" s="7">
        <v>35400914.192</v>
      </c>
      <c r="C54" s="8">
        <v>913.648</v>
      </c>
      <c r="D54" s="9" t="s">
        <v>362</v>
      </c>
      <c r="E54" s="21"/>
    </row>
    <row r="55" ht="16.5" spans="1:5">
      <c r="A55" s="7">
        <v>3045971.314</v>
      </c>
      <c r="B55" s="7">
        <v>35400914.192</v>
      </c>
      <c r="C55" s="8">
        <v>913.648</v>
      </c>
      <c r="D55" s="9" t="s">
        <v>363</v>
      </c>
      <c r="E55" s="21">
        <v>871.848</v>
      </c>
    </row>
    <row r="56" ht="16.5" spans="1:5">
      <c r="A56" s="7">
        <v>3045971.314</v>
      </c>
      <c r="B56" s="7">
        <v>35400914.192</v>
      </c>
      <c r="C56" s="8">
        <v>913.648</v>
      </c>
      <c r="D56" s="9" t="s">
        <v>364</v>
      </c>
      <c r="E56" s="21"/>
    </row>
    <row r="57" ht="16.5" spans="1:5">
      <c r="A57" s="7">
        <v>3045971.314</v>
      </c>
      <c r="B57" s="7">
        <v>35400914.192</v>
      </c>
      <c r="C57" s="8">
        <v>913.648</v>
      </c>
      <c r="D57" s="9" t="s">
        <v>365</v>
      </c>
      <c r="E57" s="21"/>
    </row>
    <row r="58" ht="16.5" spans="1:5">
      <c r="A58" s="7">
        <v>3045971.314</v>
      </c>
      <c r="B58" s="7">
        <v>35400914.192</v>
      </c>
      <c r="C58" s="8">
        <v>913.648</v>
      </c>
      <c r="D58" s="9" t="s">
        <v>366</v>
      </c>
      <c r="E58" s="21"/>
    </row>
    <row r="59" ht="16.5" spans="1:5">
      <c r="A59" s="7">
        <v>3045971.314</v>
      </c>
      <c r="B59" s="7">
        <v>35400914.192</v>
      </c>
      <c r="C59" s="8">
        <v>913.648</v>
      </c>
      <c r="D59" s="9" t="s">
        <v>367</v>
      </c>
      <c r="E59" s="21"/>
    </row>
    <row r="60" ht="16.5" spans="1:5">
      <c r="A60" s="7">
        <v>3045971.314</v>
      </c>
      <c r="B60" s="7">
        <v>35400914.192</v>
      </c>
      <c r="C60" s="8">
        <v>913.648</v>
      </c>
      <c r="D60" s="9" t="s">
        <v>368</v>
      </c>
      <c r="E60" s="21"/>
    </row>
    <row r="61" ht="16.5" spans="1:5">
      <c r="A61" s="7">
        <v>3045971.314</v>
      </c>
      <c r="B61" s="7">
        <v>35400914.192</v>
      </c>
      <c r="C61" s="8">
        <v>913.648</v>
      </c>
      <c r="D61" s="9" t="s">
        <v>369</v>
      </c>
      <c r="E61" s="21"/>
    </row>
    <row r="62" ht="16.5" spans="1:5">
      <c r="A62" s="7">
        <v>3045971.314</v>
      </c>
      <c r="B62" s="7">
        <v>35400914.192</v>
      </c>
      <c r="C62" s="8">
        <v>913.648</v>
      </c>
      <c r="D62" s="9" t="s">
        <v>370</v>
      </c>
      <c r="E62" s="21"/>
    </row>
    <row r="63" ht="16.5" spans="1:5">
      <c r="A63" s="7">
        <v>3045971.314</v>
      </c>
      <c r="B63" s="7">
        <v>35400914.192</v>
      </c>
      <c r="C63" s="8">
        <v>913.648</v>
      </c>
      <c r="D63" s="9" t="s">
        <v>371</v>
      </c>
      <c r="E63" s="21"/>
    </row>
    <row r="64" ht="16.5" spans="1:5">
      <c r="A64" s="7">
        <v>3045971.314</v>
      </c>
      <c r="B64" s="7">
        <v>35400914.192</v>
      </c>
      <c r="C64" s="8">
        <v>913.648</v>
      </c>
      <c r="D64" s="9" t="s">
        <v>372</v>
      </c>
      <c r="E64" s="21"/>
    </row>
    <row r="65" ht="16.5" spans="1:5">
      <c r="A65" s="7">
        <v>3045971.314</v>
      </c>
      <c r="B65" s="7">
        <v>35400914.192</v>
      </c>
      <c r="C65" s="8">
        <v>913.648</v>
      </c>
      <c r="D65" s="9" t="s">
        <v>373</v>
      </c>
      <c r="E65" s="21"/>
    </row>
    <row r="66" ht="16.5" spans="1:5">
      <c r="A66" s="7">
        <v>3045971.314</v>
      </c>
      <c r="B66" s="7">
        <v>35400914.192</v>
      </c>
      <c r="C66" s="8">
        <v>913.648</v>
      </c>
      <c r="D66" s="9" t="s">
        <v>374</v>
      </c>
      <c r="E66" s="21"/>
    </row>
    <row r="67" ht="16.5" spans="1:5">
      <c r="A67" s="7">
        <v>3045971.314</v>
      </c>
      <c r="B67" s="7">
        <v>35400914.192</v>
      </c>
      <c r="C67" s="8">
        <v>913.648</v>
      </c>
      <c r="D67" s="9" t="s">
        <v>375</v>
      </c>
      <c r="E67" s="21"/>
    </row>
    <row r="68" ht="16.5" spans="1:5">
      <c r="A68" s="7">
        <v>3045971.314</v>
      </c>
      <c r="B68" s="7">
        <v>35400914.192</v>
      </c>
      <c r="C68" s="8">
        <v>913.648</v>
      </c>
      <c r="D68" s="9" t="s">
        <v>376</v>
      </c>
      <c r="E68" s="21"/>
    </row>
    <row r="69" ht="16.5" spans="1:5">
      <c r="A69" s="7">
        <v>3045971.314</v>
      </c>
      <c r="B69" s="7">
        <v>35400914.192</v>
      </c>
      <c r="C69" s="8">
        <v>913.648</v>
      </c>
      <c r="D69" s="9" t="s">
        <v>377</v>
      </c>
      <c r="E69" s="21"/>
    </row>
    <row r="70" ht="16.5" spans="1:5">
      <c r="A70" s="7">
        <v>3045971.314</v>
      </c>
      <c r="B70" s="7">
        <v>35400914.192</v>
      </c>
      <c r="C70" s="8">
        <v>913.648</v>
      </c>
      <c r="D70" s="9" t="s">
        <v>378</v>
      </c>
      <c r="E70" s="21">
        <v>874.398</v>
      </c>
    </row>
    <row r="71" ht="16.5" spans="1:5">
      <c r="A71" s="7">
        <v>3045971.314</v>
      </c>
      <c r="B71" s="7">
        <v>35400914.192</v>
      </c>
      <c r="C71" s="8">
        <v>913.648</v>
      </c>
      <c r="D71" s="9" t="s">
        <v>379</v>
      </c>
      <c r="E71" s="21"/>
    </row>
    <row r="72" ht="16.5" spans="1:5">
      <c r="A72" s="7">
        <v>3045971.314</v>
      </c>
      <c r="B72" s="7">
        <v>35400914.192</v>
      </c>
      <c r="C72" s="8">
        <v>913.648</v>
      </c>
      <c r="D72" s="9" t="s">
        <v>380</v>
      </c>
      <c r="E72" s="21"/>
    </row>
    <row r="73" ht="16.5" spans="1:5">
      <c r="A73" s="7">
        <v>3045971.314</v>
      </c>
      <c r="B73" s="7">
        <v>35400914.192</v>
      </c>
      <c r="C73" s="8">
        <v>913.648</v>
      </c>
      <c r="D73" s="9" t="s">
        <v>381</v>
      </c>
      <c r="E73" s="21"/>
    </row>
    <row r="74" ht="16.5" spans="1:5">
      <c r="A74" s="7">
        <v>3045971.314</v>
      </c>
      <c r="B74" s="7">
        <v>35400914.192</v>
      </c>
      <c r="C74" s="8">
        <v>913.648</v>
      </c>
      <c r="D74" s="9" t="s">
        <v>382</v>
      </c>
      <c r="E74" s="21"/>
    </row>
    <row r="75" ht="16.5" spans="1:5">
      <c r="A75" s="7">
        <v>3045971.314</v>
      </c>
      <c r="B75" s="7">
        <v>35400914.192</v>
      </c>
      <c r="C75" s="8">
        <v>913.648</v>
      </c>
      <c r="D75" s="9" t="s">
        <v>383</v>
      </c>
      <c r="E75" s="21"/>
    </row>
    <row r="76" ht="16.5" spans="1:5">
      <c r="A76" s="7">
        <v>3045971.314</v>
      </c>
      <c r="B76" s="7">
        <v>35400914.192</v>
      </c>
      <c r="C76" s="8">
        <v>913.648</v>
      </c>
      <c r="D76" s="9" t="s">
        <v>384</v>
      </c>
      <c r="E76" s="21"/>
    </row>
    <row r="77" ht="16.5" spans="1:5">
      <c r="A77" s="7">
        <v>3045971.314</v>
      </c>
      <c r="B77" s="7">
        <v>35400914.192</v>
      </c>
      <c r="C77" s="8">
        <v>913.648</v>
      </c>
      <c r="D77" s="9" t="s">
        <v>385</v>
      </c>
      <c r="E77" s="21"/>
    </row>
    <row r="78" ht="16.5" spans="1:5">
      <c r="A78" s="7">
        <v>3045971.314</v>
      </c>
      <c r="B78" s="7">
        <v>35400914.192</v>
      </c>
      <c r="C78" s="8">
        <v>913.648</v>
      </c>
      <c r="D78" s="9" t="s">
        <v>386</v>
      </c>
      <c r="E78" s="21"/>
    </row>
    <row r="79" ht="16.5" spans="1:5">
      <c r="A79" s="7">
        <v>3045971.314</v>
      </c>
      <c r="B79" s="7">
        <v>35400914.192</v>
      </c>
      <c r="C79" s="8">
        <v>913.648</v>
      </c>
      <c r="D79" s="9" t="s">
        <v>387</v>
      </c>
      <c r="E79" s="21">
        <v>873.998</v>
      </c>
    </row>
    <row r="80" ht="16.5" spans="1:5">
      <c r="A80" s="7">
        <v>3045971.314</v>
      </c>
      <c r="B80" s="7">
        <v>35400914.192</v>
      </c>
      <c r="C80" s="8">
        <v>913.648</v>
      </c>
      <c r="D80" s="9" t="s">
        <v>388</v>
      </c>
      <c r="E80" s="21">
        <v>873.548</v>
      </c>
    </row>
    <row r="81" ht="16.5" spans="1:5">
      <c r="A81" s="7">
        <v>3045971.314</v>
      </c>
      <c r="B81" s="7">
        <v>35400914.192</v>
      </c>
      <c r="C81" s="8">
        <v>913.648</v>
      </c>
      <c r="D81" s="9" t="s">
        <v>389</v>
      </c>
      <c r="E81" s="21"/>
    </row>
    <row r="82" ht="16.5" spans="1:5">
      <c r="A82" s="7">
        <v>3045971.314</v>
      </c>
      <c r="B82" s="7">
        <v>35400914.192</v>
      </c>
      <c r="C82" s="8">
        <v>913.648</v>
      </c>
      <c r="D82" s="9" t="s">
        <v>390</v>
      </c>
      <c r="E82" s="21"/>
    </row>
    <row r="83" ht="16.5" spans="1:5">
      <c r="A83" s="7">
        <v>3045971.314</v>
      </c>
      <c r="B83" s="7">
        <v>35400914.192</v>
      </c>
      <c r="C83" s="8">
        <v>913.648</v>
      </c>
      <c r="D83" s="9" t="s">
        <v>391</v>
      </c>
      <c r="E83" s="21"/>
    </row>
    <row r="84" ht="16.5" spans="1:5">
      <c r="A84" s="7">
        <v>3045971.314</v>
      </c>
      <c r="B84" s="7">
        <v>35400914.192</v>
      </c>
      <c r="C84" s="8">
        <v>913.648</v>
      </c>
      <c r="D84" s="9" t="s">
        <v>392</v>
      </c>
      <c r="E84" s="21"/>
    </row>
    <row r="85" ht="16.5" spans="1:5">
      <c r="A85" s="7">
        <v>3045971.314</v>
      </c>
      <c r="B85" s="7">
        <v>35400914.192</v>
      </c>
      <c r="C85" s="8">
        <v>913.648</v>
      </c>
      <c r="D85" s="9" t="s">
        <v>393</v>
      </c>
      <c r="E85" s="21"/>
    </row>
    <row r="86" ht="16.5" spans="1:5">
      <c r="A86" s="7">
        <v>3045971.314</v>
      </c>
      <c r="B86" s="7">
        <v>35400914.192</v>
      </c>
      <c r="C86" s="8">
        <v>913.648</v>
      </c>
      <c r="D86" s="9" t="s">
        <v>394</v>
      </c>
      <c r="E86" s="21"/>
    </row>
    <row r="87" ht="16.5" spans="1:5">
      <c r="A87" s="7">
        <v>3045971.314</v>
      </c>
      <c r="B87" s="7">
        <v>35400914.192</v>
      </c>
      <c r="C87" s="8">
        <v>913.648</v>
      </c>
      <c r="D87" s="9" t="s">
        <v>395</v>
      </c>
      <c r="E87" s="21"/>
    </row>
    <row r="88" ht="16.5" spans="1:5">
      <c r="A88" s="7">
        <v>3045971.314</v>
      </c>
      <c r="B88" s="7">
        <v>35400914.192</v>
      </c>
      <c r="C88" s="8">
        <v>913.648</v>
      </c>
      <c r="D88" s="9" t="s">
        <v>396</v>
      </c>
      <c r="E88" s="21"/>
    </row>
    <row r="89" ht="16.5" spans="1:5">
      <c r="A89" s="7">
        <v>3045971.314</v>
      </c>
      <c r="B89" s="7">
        <v>35400914.192</v>
      </c>
      <c r="C89" s="8">
        <v>913.648</v>
      </c>
      <c r="D89" s="9" t="s">
        <v>397</v>
      </c>
      <c r="E89" s="21">
        <v>872.148</v>
      </c>
    </row>
    <row r="90" ht="16.5" spans="1:5">
      <c r="A90" s="7">
        <v>3045971.314</v>
      </c>
      <c r="B90" s="7">
        <v>35400914.192</v>
      </c>
      <c r="C90" s="8">
        <v>913.648</v>
      </c>
      <c r="D90" s="9" t="s">
        <v>398</v>
      </c>
      <c r="E90" s="21"/>
    </row>
    <row r="91" ht="16.5" spans="1:5">
      <c r="A91" s="7">
        <v>3045971.314</v>
      </c>
      <c r="B91" s="7">
        <v>35400914.192</v>
      </c>
      <c r="C91" s="8">
        <v>913.648</v>
      </c>
      <c r="D91" s="9" t="s">
        <v>399</v>
      </c>
      <c r="E91" s="21"/>
    </row>
    <row r="92" ht="16.5" spans="1:5">
      <c r="A92" s="7">
        <v>3045971.314</v>
      </c>
      <c r="B92" s="7">
        <v>35400914.192</v>
      </c>
      <c r="C92" s="8">
        <v>913.648</v>
      </c>
      <c r="D92" s="9" t="s">
        <v>400</v>
      </c>
      <c r="E92" s="21"/>
    </row>
    <row r="93" ht="16.5" spans="1:5">
      <c r="A93" s="7">
        <v>3045971.314</v>
      </c>
      <c r="B93" s="7">
        <v>35400914.192</v>
      </c>
      <c r="C93" s="8">
        <v>913.648</v>
      </c>
      <c r="D93" s="9" t="s">
        <v>401</v>
      </c>
      <c r="E93" s="21"/>
    </row>
    <row r="94" ht="16.5" spans="1:5">
      <c r="A94" s="7">
        <v>3045971.314</v>
      </c>
      <c r="B94" s="7">
        <v>35400914.192</v>
      </c>
      <c r="C94" s="8">
        <v>913.648</v>
      </c>
      <c r="D94" s="9" t="s">
        <v>402</v>
      </c>
      <c r="E94" s="21"/>
    </row>
    <row r="95" ht="16.5" spans="1:5">
      <c r="A95" s="7">
        <v>3045971.314</v>
      </c>
      <c r="B95" s="7">
        <v>35400914.192</v>
      </c>
      <c r="C95" s="8">
        <v>913.648</v>
      </c>
      <c r="D95" s="9" t="s">
        <v>403</v>
      </c>
      <c r="E95" s="21"/>
    </row>
    <row r="96" ht="16.5" spans="1:5">
      <c r="A96" s="7">
        <v>3045971.314</v>
      </c>
      <c r="B96" s="7">
        <v>35400914.192</v>
      </c>
      <c r="C96" s="8">
        <v>913.648</v>
      </c>
      <c r="D96" s="9" t="s">
        <v>404</v>
      </c>
      <c r="E96" s="21"/>
    </row>
    <row r="97" ht="16.5" spans="1:5">
      <c r="A97" s="7">
        <v>3045971.314</v>
      </c>
      <c r="B97" s="7">
        <v>35400914.192</v>
      </c>
      <c r="C97" s="8">
        <v>913.648</v>
      </c>
      <c r="D97" s="9" t="s">
        <v>405</v>
      </c>
      <c r="E97" s="21"/>
    </row>
    <row r="98" ht="16.5" spans="1:5">
      <c r="A98" s="7">
        <v>3045971.314</v>
      </c>
      <c r="B98" s="7">
        <v>35400914.192</v>
      </c>
      <c r="C98" s="8">
        <v>913.648</v>
      </c>
      <c r="D98" s="9" t="s">
        <v>406</v>
      </c>
      <c r="E98" s="21"/>
    </row>
    <row r="99" ht="16.5" spans="1:5">
      <c r="A99" s="7">
        <v>3045971.314</v>
      </c>
      <c r="B99" s="7">
        <v>35400914.192</v>
      </c>
      <c r="C99" s="8">
        <v>913.648</v>
      </c>
      <c r="D99" s="9" t="s">
        <v>407</v>
      </c>
      <c r="E99" s="21"/>
    </row>
    <row r="100" ht="16.5" spans="1:5">
      <c r="A100" s="7">
        <v>3045971.314</v>
      </c>
      <c r="B100" s="7">
        <v>35400914.192</v>
      </c>
      <c r="C100" s="8">
        <v>913.648</v>
      </c>
      <c r="D100" s="9" t="s">
        <v>408</v>
      </c>
      <c r="E100" s="21"/>
    </row>
    <row r="101" ht="16.5" spans="1:5">
      <c r="A101" s="7">
        <v>3045971.314</v>
      </c>
      <c r="B101" s="7">
        <v>35400914.192</v>
      </c>
      <c r="C101" s="8">
        <v>913.648</v>
      </c>
      <c r="D101" s="9" t="s">
        <v>409</v>
      </c>
      <c r="E101" s="21">
        <v>871.348</v>
      </c>
    </row>
    <row r="102" ht="16.5" spans="1:5">
      <c r="A102" s="7">
        <v>3045971.314</v>
      </c>
      <c r="B102" s="7">
        <v>35400914.192</v>
      </c>
      <c r="C102" s="8">
        <v>913.648</v>
      </c>
      <c r="D102" s="9" t="s">
        <v>410</v>
      </c>
      <c r="E102" s="21"/>
    </row>
    <row r="103" ht="16.5" spans="1:5">
      <c r="A103" s="7">
        <v>3045971.314</v>
      </c>
      <c r="B103" s="7">
        <v>35400914.192</v>
      </c>
      <c r="C103" s="8">
        <v>913.648</v>
      </c>
      <c r="D103" s="9" t="s">
        <v>411</v>
      </c>
      <c r="E103" s="21"/>
    </row>
    <row r="104" ht="16.5" spans="1:5">
      <c r="A104" s="7">
        <v>3045971.314</v>
      </c>
      <c r="B104" s="7">
        <v>35400914.192</v>
      </c>
      <c r="C104" s="8">
        <v>913.648</v>
      </c>
      <c r="D104" s="9" t="s">
        <v>412</v>
      </c>
      <c r="E104" s="21"/>
    </row>
    <row r="105" ht="16.5" spans="1:5">
      <c r="A105" s="7">
        <v>3045971.314</v>
      </c>
      <c r="B105" s="7">
        <v>35400914.192</v>
      </c>
      <c r="C105" s="8">
        <v>913.648</v>
      </c>
      <c r="D105" s="9" t="s">
        <v>413</v>
      </c>
      <c r="E105" s="21"/>
    </row>
    <row r="106" ht="16.5" spans="1:5">
      <c r="A106" s="7">
        <v>3045971.314</v>
      </c>
      <c r="B106" s="7">
        <v>35400914.192</v>
      </c>
      <c r="C106" s="8">
        <v>913.648</v>
      </c>
      <c r="D106" s="9" t="s">
        <v>414</v>
      </c>
      <c r="E106" s="21"/>
    </row>
    <row r="107" ht="16.5" spans="1:5">
      <c r="A107" s="7">
        <v>3045971.314</v>
      </c>
      <c r="B107" s="7">
        <v>35400914.192</v>
      </c>
      <c r="C107" s="8">
        <v>913.648</v>
      </c>
      <c r="D107" s="9" t="s">
        <v>415</v>
      </c>
      <c r="E107" s="21">
        <v>867.5</v>
      </c>
    </row>
    <row r="108" ht="16.5" spans="1:5">
      <c r="A108" s="7">
        <v>3045971.314</v>
      </c>
      <c r="B108" s="7">
        <v>35400914.192</v>
      </c>
      <c r="C108" s="8">
        <v>913.648</v>
      </c>
      <c r="D108" s="9" t="s">
        <v>416</v>
      </c>
      <c r="E108" s="21"/>
    </row>
    <row r="109" ht="16.5" spans="1:5">
      <c r="A109" s="7">
        <v>3045971.314</v>
      </c>
      <c r="B109" s="7">
        <v>35400914.192</v>
      </c>
      <c r="C109" s="8">
        <v>913.648</v>
      </c>
      <c r="D109" s="9" t="s">
        <v>417</v>
      </c>
      <c r="E109" s="21"/>
    </row>
    <row r="110" ht="16.5" spans="1:5">
      <c r="A110" s="7">
        <v>3045971.314</v>
      </c>
      <c r="B110" s="7">
        <v>35400914.192</v>
      </c>
      <c r="C110" s="8">
        <v>913.648</v>
      </c>
      <c r="D110" s="9" t="s">
        <v>418</v>
      </c>
      <c r="E110" s="21"/>
    </row>
    <row r="111" ht="16.5" spans="1:5">
      <c r="A111" s="7">
        <v>3045971.314</v>
      </c>
      <c r="B111" s="7">
        <v>35400914.192</v>
      </c>
      <c r="C111" s="8">
        <v>913.648</v>
      </c>
      <c r="D111" s="9" t="s">
        <v>419</v>
      </c>
      <c r="E111" s="21"/>
    </row>
    <row r="112" ht="16.5" spans="1:5">
      <c r="A112" s="7">
        <v>3045971.314</v>
      </c>
      <c r="B112" s="7">
        <v>35400914.192</v>
      </c>
      <c r="C112" s="8">
        <v>913.648</v>
      </c>
      <c r="D112" s="9" t="s">
        <v>420</v>
      </c>
      <c r="E112" s="21"/>
    </row>
    <row r="113" ht="16.5" spans="1:5">
      <c r="A113" s="7">
        <v>3045971.314</v>
      </c>
      <c r="B113" s="7">
        <v>35400914.192</v>
      </c>
      <c r="C113" s="8">
        <v>913.648</v>
      </c>
      <c r="D113" s="9" t="s">
        <v>421</v>
      </c>
      <c r="E113" s="21"/>
    </row>
    <row r="114" ht="16.5" spans="1:5">
      <c r="A114" s="7">
        <v>3045971.314</v>
      </c>
      <c r="B114" s="7">
        <v>35400914.192</v>
      </c>
      <c r="C114" s="8">
        <v>913.648</v>
      </c>
      <c r="D114" s="9" t="s">
        <v>422</v>
      </c>
      <c r="E114" s="21"/>
    </row>
    <row r="115" ht="16.5" spans="1:5">
      <c r="A115" s="7">
        <v>3045971.314</v>
      </c>
      <c r="B115" s="7">
        <v>35400914.192</v>
      </c>
      <c r="C115" s="8">
        <v>913.648</v>
      </c>
      <c r="D115" s="9" t="s">
        <v>423</v>
      </c>
      <c r="E115" s="21"/>
    </row>
    <row r="116" ht="16.5" spans="1:5">
      <c r="A116" s="7">
        <v>3045971.314</v>
      </c>
      <c r="B116" s="7">
        <v>35400914.192</v>
      </c>
      <c r="C116" s="8">
        <v>913.648</v>
      </c>
      <c r="D116" s="9" t="s">
        <v>424</v>
      </c>
      <c r="E116" s="21"/>
    </row>
    <row r="117" ht="16.5" spans="1:5">
      <c r="A117" s="7">
        <v>3045971.314</v>
      </c>
      <c r="B117" s="7">
        <v>35400914.192</v>
      </c>
      <c r="C117" s="8">
        <v>913.648</v>
      </c>
      <c r="D117" s="9" t="s">
        <v>425</v>
      </c>
      <c r="E117" s="21">
        <v>871.248</v>
      </c>
    </row>
    <row r="118" ht="16.5" spans="1:5">
      <c r="A118" s="7">
        <v>3045971.314</v>
      </c>
      <c r="B118" s="7">
        <v>35400914.192</v>
      </c>
      <c r="C118" s="8">
        <v>913.648</v>
      </c>
      <c r="D118" s="9" t="s">
        <v>426</v>
      </c>
      <c r="E118" s="21"/>
    </row>
    <row r="119" ht="16.5" spans="1:5">
      <c r="A119" s="7">
        <v>3045971.314</v>
      </c>
      <c r="B119" s="7">
        <v>35400914.192</v>
      </c>
      <c r="C119" s="8">
        <v>913.648</v>
      </c>
      <c r="D119" s="9" t="s">
        <v>427</v>
      </c>
      <c r="E119" s="21"/>
    </row>
    <row r="120" ht="16.5" spans="1:5">
      <c r="A120" s="7">
        <v>3045971.314</v>
      </c>
      <c r="B120" s="7">
        <v>35400914.192</v>
      </c>
      <c r="C120" s="8">
        <v>913.648</v>
      </c>
      <c r="D120" s="9" t="s">
        <v>428</v>
      </c>
      <c r="E120" s="21"/>
    </row>
    <row r="121" ht="16.5" spans="1:5">
      <c r="A121" s="7">
        <v>3045971.314</v>
      </c>
      <c r="B121" s="7">
        <v>35400914.192</v>
      </c>
      <c r="C121" s="8">
        <v>913.648</v>
      </c>
      <c r="D121" s="9" t="s">
        <v>429</v>
      </c>
      <c r="E121" s="21"/>
    </row>
    <row r="122" ht="16.5" spans="1:5">
      <c r="A122" s="7">
        <v>3045971.314</v>
      </c>
      <c r="B122" s="7">
        <v>35400914.192</v>
      </c>
      <c r="C122" s="8">
        <v>913.648</v>
      </c>
      <c r="D122" s="9" t="s">
        <v>430</v>
      </c>
      <c r="E122" s="21"/>
    </row>
    <row r="123" ht="16.5" spans="1:5">
      <c r="A123" s="7">
        <v>3045971.314</v>
      </c>
      <c r="B123" s="7">
        <v>35400914.192</v>
      </c>
      <c r="C123" s="8">
        <v>913.648</v>
      </c>
      <c r="D123" s="9" t="s">
        <v>431</v>
      </c>
      <c r="E123" s="21"/>
    </row>
    <row r="124" ht="16.5" spans="1:5">
      <c r="A124" s="7">
        <v>3045971.314</v>
      </c>
      <c r="B124" s="7">
        <v>35400914.192</v>
      </c>
      <c r="C124" s="8">
        <v>913.648</v>
      </c>
      <c r="D124" s="9" t="s">
        <v>432</v>
      </c>
      <c r="E124" s="21"/>
    </row>
    <row r="125" ht="16.5" spans="1:5">
      <c r="A125" s="7">
        <v>3045971.314</v>
      </c>
      <c r="B125" s="7">
        <v>35400914.192</v>
      </c>
      <c r="C125" s="8">
        <v>913.648</v>
      </c>
      <c r="D125" s="9" t="s">
        <v>433</v>
      </c>
      <c r="E125" s="21">
        <v>871.248</v>
      </c>
    </row>
    <row r="126" ht="16.5" spans="1:5">
      <c r="A126" s="7">
        <v>3045971.314</v>
      </c>
      <c r="B126" s="7">
        <v>35400914.192</v>
      </c>
      <c r="C126" s="8">
        <v>913.648</v>
      </c>
      <c r="D126" s="9" t="s">
        <v>434</v>
      </c>
      <c r="E126" s="21"/>
    </row>
    <row r="127" ht="16.5" spans="1:5">
      <c r="A127" s="7">
        <v>3045971.314</v>
      </c>
      <c r="B127" s="7">
        <v>35400914.192</v>
      </c>
      <c r="C127" s="8">
        <v>913.648</v>
      </c>
      <c r="D127" s="9" t="s">
        <v>435</v>
      </c>
      <c r="E127" s="21"/>
    </row>
    <row r="128" ht="16.5" spans="1:5">
      <c r="A128" s="7">
        <v>3045971.314</v>
      </c>
      <c r="B128" s="7">
        <v>35400914.192</v>
      </c>
      <c r="C128" s="8">
        <v>913.648</v>
      </c>
      <c r="D128" s="9" t="s">
        <v>436</v>
      </c>
      <c r="E128" s="21"/>
    </row>
    <row r="129" ht="16.5" spans="1:5">
      <c r="A129" s="7">
        <v>3045971.314</v>
      </c>
      <c r="B129" s="7">
        <v>35400914.192</v>
      </c>
      <c r="C129" s="8">
        <v>913.648</v>
      </c>
      <c r="D129" s="9" t="s">
        <v>437</v>
      </c>
      <c r="E129" s="21">
        <v>871.168</v>
      </c>
    </row>
    <row r="130" ht="16.5" spans="1:5">
      <c r="A130" s="7">
        <v>3045971.314</v>
      </c>
      <c r="B130" s="7">
        <v>35400914.192</v>
      </c>
      <c r="C130" s="8">
        <v>913.648</v>
      </c>
      <c r="D130" s="9" t="s">
        <v>438</v>
      </c>
      <c r="E130" s="21"/>
    </row>
    <row r="131" ht="16.5" spans="1:5">
      <c r="A131" s="7">
        <v>3045971.314</v>
      </c>
      <c r="B131" s="7">
        <v>35400914.192</v>
      </c>
      <c r="C131" s="8">
        <v>913.648</v>
      </c>
      <c r="D131" s="9" t="s">
        <v>439</v>
      </c>
      <c r="E131" s="21"/>
    </row>
    <row r="132" ht="16.5" spans="1:5">
      <c r="A132" s="7">
        <v>3045971.314</v>
      </c>
      <c r="B132" s="7">
        <v>35400914.192</v>
      </c>
      <c r="C132" s="8">
        <v>913.648</v>
      </c>
      <c r="D132" s="9" t="s">
        <v>440</v>
      </c>
      <c r="E132" s="21"/>
    </row>
    <row r="133" ht="16.5" spans="1:5">
      <c r="A133" s="7">
        <v>3045971.314</v>
      </c>
      <c r="B133" s="7">
        <v>35400914.192</v>
      </c>
      <c r="C133" s="8">
        <v>913.648</v>
      </c>
      <c r="D133" s="9" t="s">
        <v>441</v>
      </c>
      <c r="E133" s="21"/>
    </row>
    <row r="134" ht="16.5" spans="1:5">
      <c r="A134" s="7">
        <v>3045971.314</v>
      </c>
      <c r="B134" s="7">
        <v>35400914.192</v>
      </c>
      <c r="C134" s="8">
        <v>913.648</v>
      </c>
      <c r="D134" s="9" t="s">
        <v>442</v>
      </c>
      <c r="E134" s="21"/>
    </row>
    <row r="135" ht="16.5" spans="1:5">
      <c r="A135" s="7">
        <v>3045971.314</v>
      </c>
      <c r="B135" s="7">
        <v>35400914.192</v>
      </c>
      <c r="C135" s="8">
        <v>913.648</v>
      </c>
      <c r="D135" s="9" t="s">
        <v>443</v>
      </c>
      <c r="E135" s="21"/>
    </row>
    <row r="136" ht="16.5" spans="1:5">
      <c r="A136" s="7">
        <v>3045971.314</v>
      </c>
      <c r="B136" s="7">
        <v>35400914.192</v>
      </c>
      <c r="C136" s="8">
        <v>913.648</v>
      </c>
      <c r="D136" s="9" t="s">
        <v>444</v>
      </c>
      <c r="E136" s="21"/>
    </row>
    <row r="137" ht="16.5" spans="1:5">
      <c r="A137" s="7">
        <v>3045971.314</v>
      </c>
      <c r="B137" s="7">
        <v>35400914.192</v>
      </c>
      <c r="C137" s="8">
        <v>913.648</v>
      </c>
      <c r="D137" s="9" t="s">
        <v>445</v>
      </c>
      <c r="E137" s="21"/>
    </row>
    <row r="138" ht="16.5" spans="1:5">
      <c r="A138" s="7">
        <v>3045971.314</v>
      </c>
      <c r="B138" s="7">
        <v>35400914.192</v>
      </c>
      <c r="C138" s="8">
        <v>913.648</v>
      </c>
      <c r="D138" s="9" t="s">
        <v>446</v>
      </c>
      <c r="E138" s="21"/>
    </row>
    <row r="139" ht="16.5" spans="1:5">
      <c r="A139" s="7">
        <v>3045971.314</v>
      </c>
      <c r="B139" s="7">
        <v>35400914.192</v>
      </c>
      <c r="C139" s="8">
        <v>913.648</v>
      </c>
      <c r="D139" s="9" t="s">
        <v>447</v>
      </c>
      <c r="E139" s="21">
        <v>871.848</v>
      </c>
    </row>
    <row r="140" ht="16.5" spans="1:5">
      <c r="A140" s="7">
        <v>3045971.314</v>
      </c>
      <c r="B140" s="7">
        <v>35400914.192</v>
      </c>
      <c r="C140" s="8">
        <v>913.648</v>
      </c>
      <c r="D140" s="9" t="s">
        <v>448</v>
      </c>
      <c r="E140" s="21"/>
    </row>
    <row r="141" ht="16.5" spans="1:5">
      <c r="A141" s="7">
        <v>3045971.314</v>
      </c>
      <c r="B141" s="7">
        <v>35400914.192</v>
      </c>
      <c r="C141" s="8">
        <v>913.648</v>
      </c>
      <c r="D141" s="9" t="s">
        <v>449</v>
      </c>
      <c r="E141" s="21"/>
    </row>
    <row r="142" ht="16.5" spans="1:5">
      <c r="A142" s="7">
        <v>3045971.314</v>
      </c>
      <c r="B142" s="7">
        <v>35400914.192</v>
      </c>
      <c r="C142" s="8">
        <v>913.648</v>
      </c>
      <c r="D142" s="9" t="s">
        <v>450</v>
      </c>
      <c r="E142" s="21"/>
    </row>
    <row r="143" ht="16.5" spans="1:5">
      <c r="A143" s="7">
        <v>3045971.314</v>
      </c>
      <c r="B143" s="7">
        <v>35400914.192</v>
      </c>
      <c r="C143" s="8">
        <v>913.648</v>
      </c>
      <c r="D143" s="9" t="s">
        <v>451</v>
      </c>
      <c r="E143" s="21"/>
    </row>
    <row r="144" ht="16.5" spans="1:5">
      <c r="A144" s="7">
        <v>3045971.314</v>
      </c>
      <c r="B144" s="7">
        <v>35400914.192</v>
      </c>
      <c r="C144" s="8">
        <v>913.648</v>
      </c>
      <c r="D144" s="9" t="s">
        <v>452</v>
      </c>
      <c r="E144" s="21">
        <v>868.1</v>
      </c>
    </row>
    <row r="145" ht="16.5" spans="1:5">
      <c r="A145" s="7">
        <v>3045971.314</v>
      </c>
      <c r="B145" s="7">
        <v>35400914.192</v>
      </c>
      <c r="C145" s="8">
        <v>913.648</v>
      </c>
      <c r="D145" s="9" t="s">
        <v>453</v>
      </c>
      <c r="E145" s="21"/>
    </row>
    <row r="146" ht="16.5" spans="1:5">
      <c r="A146" s="7">
        <v>3045971.314</v>
      </c>
      <c r="B146" s="7">
        <v>35400914.192</v>
      </c>
      <c r="C146" s="8">
        <v>913.648</v>
      </c>
      <c r="D146" s="9" t="s">
        <v>454</v>
      </c>
      <c r="E146" s="21"/>
    </row>
    <row r="147" ht="16.5" spans="1:5">
      <c r="A147" s="7">
        <v>3045971.314</v>
      </c>
      <c r="B147" s="7">
        <v>35400914.192</v>
      </c>
      <c r="C147" s="8">
        <v>913.648</v>
      </c>
      <c r="D147" s="9" t="s">
        <v>455</v>
      </c>
      <c r="E147" s="21"/>
    </row>
    <row r="148" ht="16.5" spans="1:5">
      <c r="A148" s="7">
        <v>3045971.314</v>
      </c>
      <c r="B148" s="7">
        <v>35400914.192</v>
      </c>
      <c r="C148" s="8">
        <v>913.648</v>
      </c>
      <c r="D148" s="9" t="s">
        <v>456</v>
      </c>
      <c r="E148" s="21"/>
    </row>
    <row r="149" ht="16.5" spans="1:5">
      <c r="A149" s="7">
        <v>3045971.314</v>
      </c>
      <c r="B149" s="7">
        <v>35400914.192</v>
      </c>
      <c r="C149" s="8">
        <v>913.648</v>
      </c>
      <c r="D149" s="9" t="s">
        <v>457</v>
      </c>
      <c r="E149" s="21"/>
    </row>
    <row r="150" ht="16.5" spans="1:5">
      <c r="A150" s="7">
        <v>3045971.314</v>
      </c>
      <c r="B150" s="7">
        <v>35400914.192</v>
      </c>
      <c r="C150" s="8">
        <v>913.648</v>
      </c>
      <c r="D150" s="9" t="s">
        <v>458</v>
      </c>
      <c r="E150" s="21"/>
    </row>
    <row r="151" ht="16.5" spans="1:5">
      <c r="A151" s="7">
        <v>3045971.314</v>
      </c>
      <c r="B151" s="7">
        <v>35400914.192</v>
      </c>
      <c r="C151" s="8">
        <v>913.648</v>
      </c>
      <c r="D151" s="9" t="s">
        <v>459</v>
      </c>
      <c r="E151" s="21">
        <v>872.248</v>
      </c>
    </row>
    <row r="152" ht="16.5" spans="1:5">
      <c r="A152" s="7">
        <v>3045971.314</v>
      </c>
      <c r="B152" s="7">
        <v>35400914.192</v>
      </c>
      <c r="C152" s="8">
        <v>913.648</v>
      </c>
      <c r="D152" s="9" t="s">
        <v>460</v>
      </c>
      <c r="E152" s="21"/>
    </row>
    <row r="153" ht="16.5" spans="1:5">
      <c r="A153" s="7">
        <v>3045971.314</v>
      </c>
      <c r="B153" s="7">
        <v>35400914.192</v>
      </c>
      <c r="C153" s="8">
        <v>913.648</v>
      </c>
      <c r="D153" s="9" t="s">
        <v>461</v>
      </c>
      <c r="E153" s="21"/>
    </row>
    <row r="154" ht="16.5" spans="1:5">
      <c r="A154" s="7">
        <v>3045971.314</v>
      </c>
      <c r="B154" s="7">
        <v>35400914.192</v>
      </c>
      <c r="C154" s="8">
        <v>913.648</v>
      </c>
      <c r="D154" s="9" t="s">
        <v>462</v>
      </c>
      <c r="E154" s="21"/>
    </row>
    <row r="155" ht="16.5" spans="1:5">
      <c r="A155" s="7">
        <v>3045971.314</v>
      </c>
      <c r="B155" s="7">
        <v>35400914.192</v>
      </c>
      <c r="C155" s="8">
        <v>913.648</v>
      </c>
      <c r="D155" s="9" t="s">
        <v>463</v>
      </c>
      <c r="E155" s="21">
        <v>871.488</v>
      </c>
    </row>
    <row r="156" ht="16.5" spans="1:5">
      <c r="A156" s="7">
        <v>3045971.314</v>
      </c>
      <c r="B156" s="7">
        <v>35400914.192</v>
      </c>
      <c r="C156" s="8">
        <v>913.648</v>
      </c>
      <c r="D156" s="9" t="s">
        <v>464</v>
      </c>
      <c r="E156" s="21">
        <v>871.528</v>
      </c>
    </row>
    <row r="157" ht="16.5" spans="1:5">
      <c r="A157" s="7">
        <v>3045971.314</v>
      </c>
      <c r="B157" s="7">
        <v>35400914.192</v>
      </c>
      <c r="C157" s="8">
        <v>913.648</v>
      </c>
      <c r="D157" s="9" t="s">
        <v>465</v>
      </c>
      <c r="E157" s="21"/>
    </row>
    <row r="158" ht="16.5" spans="1:5">
      <c r="A158" s="7">
        <v>3045971.314</v>
      </c>
      <c r="B158" s="7">
        <v>35400914.192</v>
      </c>
      <c r="C158" s="8">
        <v>913.648</v>
      </c>
      <c r="D158" s="9" t="s">
        <v>466</v>
      </c>
      <c r="E158" s="21">
        <v>872.058</v>
      </c>
    </row>
    <row r="159" ht="16.5" spans="1:5">
      <c r="A159" s="7">
        <v>3045971.314</v>
      </c>
      <c r="B159" s="7">
        <v>35400914.192</v>
      </c>
      <c r="C159" s="8">
        <v>913.648</v>
      </c>
      <c r="D159" s="9" t="s">
        <v>467</v>
      </c>
      <c r="E159" s="21"/>
    </row>
    <row r="160" ht="16.5" spans="1:5">
      <c r="A160" s="7">
        <v>3045971.314</v>
      </c>
      <c r="B160" s="7">
        <v>35400914.192</v>
      </c>
      <c r="C160" s="8">
        <v>913.648</v>
      </c>
      <c r="D160" s="9" t="s">
        <v>468</v>
      </c>
      <c r="E160" s="21">
        <v>872.128</v>
      </c>
    </row>
    <row r="161" ht="16.5" spans="1:5">
      <c r="A161" s="7">
        <v>3045971.314</v>
      </c>
      <c r="B161" s="7">
        <v>35400914.192</v>
      </c>
      <c r="C161" s="8">
        <v>913.648</v>
      </c>
      <c r="D161" s="9" t="s">
        <v>469</v>
      </c>
      <c r="E161" s="21">
        <v>872.068</v>
      </c>
    </row>
    <row r="162" ht="16.5" spans="1:5">
      <c r="A162" s="7">
        <v>3045971.314</v>
      </c>
      <c r="B162" s="7">
        <v>35400914.192</v>
      </c>
      <c r="C162" s="8">
        <v>913.648</v>
      </c>
      <c r="D162" s="9" t="s">
        <v>470</v>
      </c>
      <c r="E162" s="21">
        <v>872.028</v>
      </c>
    </row>
    <row r="163" ht="16.5" spans="1:5">
      <c r="A163" s="7">
        <v>3045971.314</v>
      </c>
      <c r="B163" s="7">
        <v>35400914.192</v>
      </c>
      <c r="C163" s="8">
        <v>913.648</v>
      </c>
      <c r="D163" s="9" t="s">
        <v>471</v>
      </c>
      <c r="E163" s="21">
        <v>871.938</v>
      </c>
    </row>
    <row r="164" ht="16.5" spans="1:5">
      <c r="A164" s="7">
        <v>3045971.314</v>
      </c>
      <c r="B164" s="7">
        <v>35400914.192</v>
      </c>
      <c r="C164" s="8">
        <v>913.648</v>
      </c>
      <c r="D164" s="9" t="s">
        <v>472</v>
      </c>
      <c r="E164" s="21">
        <v>871.708</v>
      </c>
    </row>
    <row r="165" ht="16.5" spans="1:5">
      <c r="A165" s="7">
        <v>3045971.314</v>
      </c>
      <c r="B165" s="7">
        <v>35400914.192</v>
      </c>
      <c r="C165" s="8">
        <v>913.648</v>
      </c>
      <c r="D165" s="9" t="s">
        <v>473</v>
      </c>
      <c r="E165" s="21">
        <v>871.468</v>
      </c>
    </row>
    <row r="166" ht="16.5" spans="1:5">
      <c r="A166" s="7">
        <v>3045971.314</v>
      </c>
      <c r="B166" s="7">
        <v>35400914.192</v>
      </c>
      <c r="C166" s="8">
        <v>913.648</v>
      </c>
      <c r="D166" s="9" t="s">
        <v>474</v>
      </c>
      <c r="E166" s="21">
        <v>871.438</v>
      </c>
    </row>
    <row r="167" ht="16.5" spans="1:5">
      <c r="A167" s="7">
        <v>3045971.314</v>
      </c>
      <c r="B167" s="7">
        <v>35400914.192</v>
      </c>
      <c r="C167" s="8">
        <v>913.648</v>
      </c>
      <c r="D167" s="9" t="s">
        <v>475</v>
      </c>
      <c r="E167" s="21">
        <v>871.568</v>
      </c>
    </row>
    <row r="168" ht="16.5" spans="1:5">
      <c r="A168" s="7">
        <v>3045971.314</v>
      </c>
      <c r="B168" s="7">
        <v>35400914.192</v>
      </c>
      <c r="C168" s="8">
        <v>913.648</v>
      </c>
      <c r="D168" s="9" t="s">
        <v>476</v>
      </c>
      <c r="E168" s="21">
        <v>871.888</v>
      </c>
    </row>
    <row r="169" ht="16.5" spans="1:5">
      <c r="A169" s="7">
        <v>3045971.314</v>
      </c>
      <c r="B169" s="7">
        <v>35400914.192</v>
      </c>
      <c r="C169" s="8">
        <v>913.648</v>
      </c>
      <c r="D169" s="9" t="s">
        <v>477</v>
      </c>
      <c r="E169" s="21">
        <v>871.558</v>
      </c>
    </row>
    <row r="170" ht="16.5" spans="1:5">
      <c r="A170" s="7">
        <v>3045971.314</v>
      </c>
      <c r="B170" s="7">
        <v>35400914.192</v>
      </c>
      <c r="C170" s="8">
        <v>913.648</v>
      </c>
      <c r="D170" s="9" t="s">
        <v>478</v>
      </c>
      <c r="E170" s="21">
        <v>871.878</v>
      </c>
    </row>
    <row r="171" ht="16.5" spans="1:5">
      <c r="A171" s="7">
        <v>3045971.314</v>
      </c>
      <c r="B171" s="7">
        <v>35400914.192</v>
      </c>
      <c r="C171" s="8">
        <v>913.648</v>
      </c>
      <c r="D171" s="9" t="s">
        <v>479</v>
      </c>
      <c r="E171" s="21">
        <v>871.958</v>
      </c>
    </row>
    <row r="172" ht="16.5" spans="1:5">
      <c r="A172" s="7">
        <v>3045971.314</v>
      </c>
      <c r="B172" s="7">
        <v>35400914.192</v>
      </c>
      <c r="C172" s="8">
        <v>913.648</v>
      </c>
      <c r="D172" s="9" t="s">
        <v>480</v>
      </c>
      <c r="E172" s="21">
        <v>872.058</v>
      </c>
    </row>
    <row r="173" ht="16.5" spans="1:5">
      <c r="A173" s="7">
        <v>3045971.314</v>
      </c>
      <c r="B173" s="7">
        <v>35400914.192</v>
      </c>
      <c r="C173" s="8">
        <v>913.648</v>
      </c>
      <c r="D173" s="9" t="s">
        <v>481</v>
      </c>
      <c r="E173" s="21">
        <v>872.078</v>
      </c>
    </row>
    <row r="174" ht="16.5" spans="1:5">
      <c r="A174" s="7">
        <v>3045971.314</v>
      </c>
      <c r="B174" s="7">
        <v>35400914.192</v>
      </c>
      <c r="C174" s="8">
        <v>913.648</v>
      </c>
      <c r="D174" s="9" t="s">
        <v>482</v>
      </c>
      <c r="E174" s="21">
        <v>872.158</v>
      </c>
    </row>
    <row r="175" ht="16.5" spans="1:5">
      <c r="A175" s="7">
        <v>3045971.314</v>
      </c>
      <c r="B175" s="7">
        <v>35400914.192</v>
      </c>
      <c r="C175" s="8">
        <v>913.648</v>
      </c>
      <c r="D175" s="9" t="s">
        <v>483</v>
      </c>
      <c r="E175" s="21">
        <v>871.808</v>
      </c>
    </row>
    <row r="176" ht="16.5" spans="1:5">
      <c r="A176" s="7">
        <v>3045971.314</v>
      </c>
      <c r="B176" s="7">
        <v>35400914.192</v>
      </c>
      <c r="C176" s="8">
        <v>913.648</v>
      </c>
      <c r="D176" s="9" t="s">
        <v>484</v>
      </c>
      <c r="E176" s="21">
        <v>871.768</v>
      </c>
    </row>
    <row r="177" ht="16.5" spans="1:5">
      <c r="A177" s="7">
        <v>3045971.314</v>
      </c>
      <c r="B177" s="7">
        <v>35400914.192</v>
      </c>
      <c r="C177" s="8">
        <v>913.648</v>
      </c>
      <c r="D177" s="9" t="s">
        <v>485</v>
      </c>
      <c r="E177" s="21">
        <v>871.688</v>
      </c>
    </row>
    <row r="178" ht="16.5" spans="1:5">
      <c r="A178" s="7">
        <v>3045971.314</v>
      </c>
      <c r="B178" s="7">
        <v>35400914.192</v>
      </c>
      <c r="C178" s="8">
        <v>913.648</v>
      </c>
      <c r="D178" s="9" t="s">
        <v>486</v>
      </c>
      <c r="E178" s="21">
        <v>871.708</v>
      </c>
    </row>
    <row r="179" ht="16.5" spans="1:5">
      <c r="A179" s="7">
        <v>3045971.314</v>
      </c>
      <c r="B179" s="7">
        <v>35400914.192</v>
      </c>
      <c r="C179" s="8">
        <v>913.648</v>
      </c>
      <c r="D179" s="9" t="s">
        <v>487</v>
      </c>
      <c r="E179" s="21">
        <v>870.608</v>
      </c>
    </row>
    <row r="180" ht="16.5" spans="1:5">
      <c r="A180" s="7">
        <v>3045971.314</v>
      </c>
      <c r="B180" s="7">
        <v>35400914.192</v>
      </c>
      <c r="C180" s="8">
        <v>913.648</v>
      </c>
      <c r="D180" s="9" t="s">
        <v>488</v>
      </c>
      <c r="E180" s="21">
        <v>870.328</v>
      </c>
    </row>
    <row r="181" ht="16.5" spans="1:5">
      <c r="A181" s="7">
        <v>3045971.314</v>
      </c>
      <c r="B181" s="7">
        <v>35400914.192</v>
      </c>
      <c r="C181" s="8">
        <v>913.648</v>
      </c>
      <c r="D181" s="9" t="s">
        <v>489</v>
      </c>
      <c r="E181" s="21">
        <v>870.338</v>
      </c>
    </row>
    <row r="182" ht="16.5" spans="1:5">
      <c r="A182" s="7">
        <v>3045971.314</v>
      </c>
      <c r="B182" s="7">
        <v>35400914.192</v>
      </c>
      <c r="C182" s="8">
        <v>913.648</v>
      </c>
      <c r="D182" s="9" t="s">
        <v>490</v>
      </c>
      <c r="E182" s="21">
        <v>870.328</v>
      </c>
    </row>
    <row r="183" ht="16.5" spans="1:5">
      <c r="A183" s="7">
        <v>3045971.314</v>
      </c>
      <c r="B183" s="7">
        <v>35400914.192</v>
      </c>
      <c r="C183" s="8">
        <v>913.648</v>
      </c>
      <c r="D183" s="9" t="s">
        <v>491</v>
      </c>
      <c r="E183" s="21">
        <v>870.098</v>
      </c>
    </row>
    <row r="184" ht="16.5" spans="1:5">
      <c r="A184" s="7">
        <v>3045971.314</v>
      </c>
      <c r="B184" s="7">
        <v>35400914.192</v>
      </c>
      <c r="C184" s="8">
        <v>913.648</v>
      </c>
      <c r="D184" s="11">
        <v>44682</v>
      </c>
      <c r="E184" s="21">
        <v>870.158</v>
      </c>
    </row>
    <row r="185" ht="16.5" spans="1:5">
      <c r="A185" s="7">
        <v>3045971.314</v>
      </c>
      <c r="B185" s="7">
        <v>35400914.192</v>
      </c>
      <c r="C185" s="8">
        <v>913.648</v>
      </c>
      <c r="D185" s="11">
        <v>44683</v>
      </c>
      <c r="E185" s="21"/>
    </row>
    <row r="186" ht="16.5" spans="1:5">
      <c r="A186" s="7">
        <v>3045971.314</v>
      </c>
      <c r="B186" s="7">
        <v>35400914.192</v>
      </c>
      <c r="C186" s="8">
        <v>913.648</v>
      </c>
      <c r="D186" s="11">
        <v>44684</v>
      </c>
      <c r="E186" s="21">
        <v>870.928</v>
      </c>
    </row>
    <row r="187" ht="16.5" spans="1:5">
      <c r="A187" s="7">
        <v>3045971.314</v>
      </c>
      <c r="B187" s="7">
        <v>35400914.192</v>
      </c>
      <c r="C187" s="8">
        <v>913.648</v>
      </c>
      <c r="D187" s="11">
        <v>44685</v>
      </c>
      <c r="E187" s="21"/>
    </row>
    <row r="188" ht="16.5" spans="1:5">
      <c r="A188" s="7">
        <v>3045971.314</v>
      </c>
      <c r="B188" s="7">
        <v>35400914.192</v>
      </c>
      <c r="C188" s="8">
        <v>913.648</v>
      </c>
      <c r="D188" s="11">
        <v>44686</v>
      </c>
      <c r="E188" s="21"/>
    </row>
    <row r="189" ht="16.5" spans="1:5">
      <c r="A189" s="7">
        <v>3045971.314</v>
      </c>
      <c r="B189" s="7">
        <v>35400914.192</v>
      </c>
      <c r="C189" s="8">
        <v>913.648</v>
      </c>
      <c r="D189" s="11">
        <v>44687</v>
      </c>
      <c r="E189" s="21">
        <v>871.398</v>
      </c>
    </row>
    <row r="190" ht="16.5" spans="1:5">
      <c r="A190" s="7">
        <v>3045971.314</v>
      </c>
      <c r="B190" s="7">
        <v>35400914.192</v>
      </c>
      <c r="C190" s="8">
        <v>913.648</v>
      </c>
      <c r="D190" s="11">
        <v>44688</v>
      </c>
      <c r="E190" s="21">
        <v>871.848</v>
      </c>
    </row>
    <row r="191" ht="16.5" spans="1:5">
      <c r="A191" s="7">
        <v>3045971.314</v>
      </c>
      <c r="B191" s="7">
        <v>35400914.192</v>
      </c>
      <c r="C191" s="8">
        <v>913.648</v>
      </c>
      <c r="D191" s="11">
        <v>44689</v>
      </c>
      <c r="E191" s="21"/>
    </row>
    <row r="192" ht="16.5" spans="1:5">
      <c r="A192" s="7">
        <v>3045971.314</v>
      </c>
      <c r="B192" s="7">
        <v>35400914.192</v>
      </c>
      <c r="C192" s="8">
        <v>913.648</v>
      </c>
      <c r="D192" s="11">
        <v>44690</v>
      </c>
      <c r="E192" s="21"/>
    </row>
    <row r="193" ht="16.5" spans="1:5">
      <c r="A193" s="7">
        <v>3045971.314</v>
      </c>
      <c r="B193" s="7">
        <v>35400914.192</v>
      </c>
      <c r="C193" s="8">
        <v>913.648</v>
      </c>
      <c r="D193" s="11">
        <v>44691</v>
      </c>
      <c r="E193" s="21">
        <v>871.968</v>
      </c>
    </row>
    <row r="194" ht="16.5" spans="1:5">
      <c r="A194" s="7">
        <v>3045971.314</v>
      </c>
      <c r="B194" s="7">
        <v>35400914.192</v>
      </c>
      <c r="C194" s="8">
        <v>913.648</v>
      </c>
      <c r="D194" s="11">
        <v>44692</v>
      </c>
      <c r="E194" s="21">
        <v>871.868</v>
      </c>
    </row>
    <row r="195" ht="16.5" spans="1:5">
      <c r="A195" s="7">
        <v>3045971.314</v>
      </c>
      <c r="B195" s="7">
        <v>35400914.192</v>
      </c>
      <c r="C195" s="8">
        <v>913.648</v>
      </c>
      <c r="D195" s="11">
        <v>44693</v>
      </c>
      <c r="E195" s="21">
        <v>872.188</v>
      </c>
    </row>
    <row r="196" ht="16.5" spans="1:5">
      <c r="A196" s="7">
        <v>3045971.314</v>
      </c>
      <c r="B196" s="7">
        <v>35400914.192</v>
      </c>
      <c r="C196" s="8">
        <v>913.648</v>
      </c>
      <c r="D196" s="11">
        <v>44694</v>
      </c>
      <c r="E196" s="21">
        <v>871.868</v>
      </c>
    </row>
    <row r="197" ht="16.5" spans="1:5">
      <c r="A197" s="7">
        <v>3045971.314</v>
      </c>
      <c r="B197" s="7">
        <v>35400914.192</v>
      </c>
      <c r="C197" s="8">
        <v>913.648</v>
      </c>
      <c r="D197" s="11">
        <v>44695</v>
      </c>
      <c r="E197" s="21"/>
    </row>
    <row r="198" ht="16.5" spans="1:5">
      <c r="A198" s="7">
        <v>3045971.314</v>
      </c>
      <c r="B198" s="7">
        <v>35400914.192</v>
      </c>
      <c r="C198" s="8">
        <v>913.648</v>
      </c>
      <c r="D198" s="11">
        <v>44696</v>
      </c>
      <c r="E198" s="21">
        <v>872.398</v>
      </c>
    </row>
    <row r="199" ht="16.5" spans="1:5">
      <c r="A199" s="7">
        <v>3045971.314</v>
      </c>
      <c r="B199" s="7">
        <v>35400914.192</v>
      </c>
      <c r="C199" s="8">
        <v>913.648</v>
      </c>
      <c r="D199" s="11">
        <v>44697</v>
      </c>
      <c r="E199" s="21">
        <v>872.598</v>
      </c>
    </row>
    <row r="200" ht="16.5" spans="1:5">
      <c r="A200" s="7">
        <v>3045971.314</v>
      </c>
      <c r="B200" s="7">
        <v>35400914.192</v>
      </c>
      <c r="C200" s="8">
        <v>913.648</v>
      </c>
      <c r="D200" s="11">
        <v>44698</v>
      </c>
      <c r="E200" s="21">
        <v>872.988</v>
      </c>
    </row>
    <row r="201" ht="16.5" spans="1:5">
      <c r="A201" s="7">
        <v>3045971.314</v>
      </c>
      <c r="B201" s="7">
        <v>35400914.192</v>
      </c>
      <c r="C201" s="8">
        <v>913.648</v>
      </c>
      <c r="D201" s="11">
        <v>44699</v>
      </c>
      <c r="E201" s="21">
        <v>874.308</v>
      </c>
    </row>
    <row r="202" ht="16.5" spans="1:5">
      <c r="A202" s="7">
        <v>3045971.314</v>
      </c>
      <c r="B202" s="7">
        <v>35400914.192</v>
      </c>
      <c r="C202" s="8">
        <v>913.648</v>
      </c>
      <c r="D202" s="11">
        <v>44700</v>
      </c>
      <c r="E202" s="21">
        <v>873.518</v>
      </c>
    </row>
    <row r="203" ht="16.5" spans="1:5">
      <c r="A203" s="7">
        <v>3045971.314</v>
      </c>
      <c r="B203" s="7">
        <v>35400914.192</v>
      </c>
      <c r="C203" s="8">
        <v>913.648</v>
      </c>
      <c r="D203" s="11">
        <v>44701</v>
      </c>
      <c r="E203" s="21">
        <v>873.758</v>
      </c>
    </row>
    <row r="204" ht="16.5" spans="1:5">
      <c r="A204" s="7">
        <v>3045971.314</v>
      </c>
      <c r="B204" s="7">
        <v>35400914.192</v>
      </c>
      <c r="C204" s="8">
        <v>913.648</v>
      </c>
      <c r="D204" s="11">
        <v>44702</v>
      </c>
      <c r="E204" s="21">
        <v>873.588</v>
      </c>
    </row>
    <row r="205" ht="16.5" spans="1:5">
      <c r="A205" s="7">
        <v>3045971.314</v>
      </c>
      <c r="B205" s="7">
        <v>35400914.192</v>
      </c>
      <c r="C205" s="8">
        <v>913.648</v>
      </c>
      <c r="D205" s="11">
        <v>44703</v>
      </c>
      <c r="E205" s="21">
        <v>874.228</v>
      </c>
    </row>
    <row r="206" ht="16.5" spans="1:5">
      <c r="A206" s="7">
        <v>3045971.314</v>
      </c>
      <c r="B206" s="7">
        <v>35400914.192</v>
      </c>
      <c r="C206" s="8">
        <v>913.648</v>
      </c>
      <c r="D206" s="11">
        <v>44704</v>
      </c>
      <c r="E206" s="21">
        <v>874.198</v>
      </c>
    </row>
    <row r="207" ht="16.5" spans="1:5">
      <c r="A207" s="7">
        <v>3045971.314</v>
      </c>
      <c r="B207" s="7">
        <v>35400914.192</v>
      </c>
      <c r="C207" s="8">
        <v>913.648</v>
      </c>
      <c r="D207" s="11">
        <v>44705</v>
      </c>
      <c r="E207" s="21">
        <v>874.328</v>
      </c>
    </row>
    <row r="208" ht="16.5" spans="1:5">
      <c r="A208" s="7">
        <v>3045971.314</v>
      </c>
      <c r="B208" s="7">
        <v>35400914.192</v>
      </c>
      <c r="C208" s="8">
        <v>913.648</v>
      </c>
      <c r="D208" s="11">
        <v>44706</v>
      </c>
      <c r="E208" s="21">
        <v>873.668</v>
      </c>
    </row>
    <row r="209" ht="16.5" spans="1:5">
      <c r="A209" s="7">
        <v>3045971.314</v>
      </c>
      <c r="B209" s="7">
        <v>35400914.192</v>
      </c>
      <c r="C209" s="8">
        <v>913.648</v>
      </c>
      <c r="D209" s="11">
        <v>44707</v>
      </c>
      <c r="E209" s="21">
        <v>874.078</v>
      </c>
    </row>
    <row r="210" ht="16.5" spans="1:5">
      <c r="A210" s="7">
        <v>3045971.314</v>
      </c>
      <c r="B210" s="7">
        <v>35400914.192</v>
      </c>
      <c r="C210" s="8">
        <v>913.648</v>
      </c>
      <c r="D210" s="11">
        <v>44708</v>
      </c>
      <c r="E210" s="21">
        <v>875.068</v>
      </c>
    </row>
    <row r="211" ht="16.5" spans="1:5">
      <c r="A211" s="7">
        <v>3045971.314</v>
      </c>
      <c r="B211" s="7">
        <v>35400914.192</v>
      </c>
      <c r="C211" s="8">
        <v>913.648</v>
      </c>
      <c r="D211" s="11">
        <v>44709</v>
      </c>
      <c r="E211" s="21">
        <v>875.448</v>
      </c>
    </row>
    <row r="212" ht="16.5" spans="1:5">
      <c r="A212" s="7">
        <v>3045971.314</v>
      </c>
      <c r="B212" s="7">
        <v>35400914.192</v>
      </c>
      <c r="C212" s="8">
        <v>913.648</v>
      </c>
      <c r="D212" s="11">
        <v>44710</v>
      </c>
      <c r="E212" s="21">
        <v>875.898</v>
      </c>
    </row>
    <row r="213" ht="16.5" spans="1:5">
      <c r="A213" s="7">
        <v>3045971.314</v>
      </c>
      <c r="B213" s="7">
        <v>35400914.192</v>
      </c>
      <c r="C213" s="8">
        <v>913.648</v>
      </c>
      <c r="D213" s="11">
        <v>44711</v>
      </c>
      <c r="E213" s="21">
        <v>877.518</v>
      </c>
    </row>
    <row r="214" ht="16.5" spans="1:5">
      <c r="A214" s="7">
        <v>3045971.314</v>
      </c>
      <c r="B214" s="7">
        <v>35400914.192</v>
      </c>
      <c r="C214" s="8">
        <v>913.648</v>
      </c>
      <c r="D214" s="11">
        <v>44712</v>
      </c>
      <c r="E214" s="21">
        <v>877.568</v>
      </c>
    </row>
    <row r="215" ht="16.5" spans="1:5">
      <c r="A215" s="7">
        <v>3045971.314</v>
      </c>
      <c r="B215" s="7">
        <v>35400914.192</v>
      </c>
      <c r="C215" s="8">
        <v>913.648</v>
      </c>
      <c r="D215" s="11">
        <v>44713</v>
      </c>
      <c r="E215" s="21">
        <v>878.178</v>
      </c>
    </row>
    <row r="216" ht="16.5" spans="1:5">
      <c r="A216" s="7">
        <v>3045971.314</v>
      </c>
      <c r="B216" s="7">
        <v>35400914.192</v>
      </c>
      <c r="C216" s="8">
        <v>913.648</v>
      </c>
      <c r="D216" s="11">
        <v>44714</v>
      </c>
      <c r="E216" s="21">
        <v>877.868</v>
      </c>
    </row>
    <row r="217" ht="16.5" spans="1:5">
      <c r="A217" s="7">
        <v>3045971.314</v>
      </c>
      <c r="B217" s="7">
        <v>35400914.192</v>
      </c>
      <c r="C217" s="8">
        <v>913.648</v>
      </c>
      <c r="D217" s="11">
        <v>44715</v>
      </c>
      <c r="E217" s="21">
        <v>878.998</v>
      </c>
    </row>
    <row r="218" ht="16.5" spans="1:5">
      <c r="A218" s="7">
        <v>3045971.314</v>
      </c>
      <c r="B218" s="7">
        <v>35400914.192</v>
      </c>
      <c r="C218" s="8">
        <v>913.648</v>
      </c>
      <c r="D218" s="11">
        <v>44716</v>
      </c>
      <c r="E218" s="21">
        <v>879.948</v>
      </c>
    </row>
    <row r="219" ht="16.5" spans="1:5">
      <c r="A219" s="7">
        <v>3045971.314</v>
      </c>
      <c r="B219" s="7">
        <v>35400914.192</v>
      </c>
      <c r="C219" s="8">
        <v>913.648</v>
      </c>
      <c r="D219" s="11">
        <v>44717</v>
      </c>
      <c r="E219" s="21">
        <v>879.828</v>
      </c>
    </row>
    <row r="220" ht="16.5" spans="1:5">
      <c r="A220" s="7">
        <v>3045971.314</v>
      </c>
      <c r="B220" s="7">
        <v>35400914.192</v>
      </c>
      <c r="C220" s="8">
        <v>913.648</v>
      </c>
      <c r="D220" s="11">
        <v>44718</v>
      </c>
      <c r="E220" s="21"/>
    </row>
    <row r="221" ht="16.5" spans="1:5">
      <c r="A221" s="7">
        <v>3045971.314</v>
      </c>
      <c r="B221" s="7">
        <v>35400914.192</v>
      </c>
      <c r="C221" s="8">
        <v>913.648</v>
      </c>
      <c r="D221" s="11">
        <v>44719</v>
      </c>
      <c r="E221" s="21">
        <v>880.928</v>
      </c>
    </row>
    <row r="222" ht="16.5" spans="1:5">
      <c r="A222" s="7">
        <v>3045971.314</v>
      </c>
      <c r="B222" s="7">
        <v>35400914.192</v>
      </c>
      <c r="C222" s="8">
        <v>913.648</v>
      </c>
      <c r="D222" s="11">
        <v>44720</v>
      </c>
      <c r="E222" s="21">
        <v>880.528</v>
      </c>
    </row>
    <row r="223" ht="16.5" spans="1:5">
      <c r="A223" s="7">
        <v>3045971.314</v>
      </c>
      <c r="B223" s="7">
        <v>35400914.192</v>
      </c>
      <c r="C223" s="8">
        <v>913.648</v>
      </c>
      <c r="D223" s="11">
        <v>44721</v>
      </c>
      <c r="E223" s="22"/>
    </row>
    <row r="224" ht="16.5" spans="1:5">
      <c r="A224" s="7">
        <v>3045971.314</v>
      </c>
      <c r="B224" s="7">
        <v>35400914.192</v>
      </c>
      <c r="C224" s="8">
        <v>913.648</v>
      </c>
      <c r="D224" s="11">
        <v>44722</v>
      </c>
      <c r="E224" s="22"/>
    </row>
    <row r="225" ht="16.5" spans="1:5">
      <c r="A225" s="7">
        <v>3045971.314</v>
      </c>
      <c r="B225" s="7">
        <v>35400914.192</v>
      </c>
      <c r="C225" s="8">
        <v>913.648</v>
      </c>
      <c r="D225" s="11">
        <v>44723</v>
      </c>
      <c r="E225" s="21">
        <v>882.888</v>
      </c>
    </row>
    <row r="226" ht="16.5" spans="1:5">
      <c r="A226" s="7">
        <v>3045971.314</v>
      </c>
      <c r="B226" s="7">
        <v>35400914.192</v>
      </c>
      <c r="C226" s="8">
        <v>913.648</v>
      </c>
      <c r="D226" s="11">
        <v>44724</v>
      </c>
      <c r="E226" s="21">
        <v>883.128</v>
      </c>
    </row>
    <row r="227" ht="16.5" spans="1:5">
      <c r="A227" s="7">
        <v>3045971.314</v>
      </c>
      <c r="B227" s="7">
        <v>35400914.192</v>
      </c>
      <c r="C227" s="8">
        <v>913.648</v>
      </c>
      <c r="D227" s="11">
        <v>44725</v>
      </c>
      <c r="E227" s="21"/>
    </row>
    <row r="228" ht="16.5" spans="1:5">
      <c r="A228" s="7">
        <v>3045971.314</v>
      </c>
      <c r="B228" s="7">
        <v>35400914.192</v>
      </c>
      <c r="C228" s="8">
        <v>913.648</v>
      </c>
      <c r="D228" s="11">
        <v>44726</v>
      </c>
      <c r="E228" s="21">
        <v>883.428</v>
      </c>
    </row>
    <row r="229" ht="16.5" spans="1:5">
      <c r="A229" s="7">
        <v>3045971.314</v>
      </c>
      <c r="B229" s="7">
        <v>35400914.192</v>
      </c>
      <c r="C229" s="8">
        <v>913.648</v>
      </c>
      <c r="D229" s="11">
        <v>44727</v>
      </c>
      <c r="E229" s="21"/>
    </row>
    <row r="230" ht="16.5" spans="1:5">
      <c r="A230" s="7">
        <v>3045971.314</v>
      </c>
      <c r="B230" s="7">
        <v>35400914.192</v>
      </c>
      <c r="C230" s="8">
        <v>913.648</v>
      </c>
      <c r="D230" s="11">
        <v>44728</v>
      </c>
      <c r="E230" s="21">
        <v>883.518</v>
      </c>
    </row>
    <row r="231" ht="16.5" spans="1:5">
      <c r="A231" s="7">
        <v>3045971.314</v>
      </c>
      <c r="B231" s="7">
        <v>35400914.192</v>
      </c>
      <c r="C231" s="8">
        <v>913.648</v>
      </c>
      <c r="D231" s="11">
        <v>44729</v>
      </c>
      <c r="E231" s="21"/>
    </row>
    <row r="232" ht="16.5" spans="1:5">
      <c r="A232" s="7">
        <v>3045971.314</v>
      </c>
      <c r="B232" s="7">
        <v>35400914.192</v>
      </c>
      <c r="C232" s="8">
        <v>913.648</v>
      </c>
      <c r="D232" s="11">
        <v>44730</v>
      </c>
      <c r="E232" s="21"/>
    </row>
    <row r="233" ht="16.5" spans="1:5">
      <c r="A233" s="7">
        <v>3045971.314</v>
      </c>
      <c r="B233" s="7">
        <v>35400914.192</v>
      </c>
      <c r="C233" s="8">
        <v>913.648</v>
      </c>
      <c r="D233" s="11">
        <v>44731</v>
      </c>
      <c r="E233" s="21"/>
    </row>
    <row r="234" ht="16.5" spans="1:5">
      <c r="A234" s="7">
        <v>3045971.314</v>
      </c>
      <c r="B234" s="7">
        <v>35400914.192</v>
      </c>
      <c r="C234" s="8">
        <v>913.648</v>
      </c>
      <c r="D234" s="13">
        <v>44732</v>
      </c>
      <c r="E234" s="21"/>
    </row>
    <row r="235" ht="16.5" spans="1:5">
      <c r="A235" s="7">
        <v>3045971.314</v>
      </c>
      <c r="B235" s="7">
        <v>35400914.192</v>
      </c>
      <c r="C235" s="8">
        <v>913.648</v>
      </c>
      <c r="D235" s="13">
        <v>44733</v>
      </c>
      <c r="E235" s="21"/>
    </row>
    <row r="236" ht="16.5" spans="1:5">
      <c r="A236" s="7">
        <v>3045971.314</v>
      </c>
      <c r="B236" s="7">
        <v>35400914.192</v>
      </c>
      <c r="C236" s="8">
        <v>913.648</v>
      </c>
      <c r="D236" s="13">
        <v>44734</v>
      </c>
      <c r="E236" s="21"/>
    </row>
    <row r="237" ht="16.5" spans="1:5">
      <c r="A237" s="7">
        <v>3045971.314</v>
      </c>
      <c r="B237" s="7">
        <v>35400914.192</v>
      </c>
      <c r="C237" s="8">
        <v>913.648</v>
      </c>
      <c r="D237" s="13">
        <v>44735</v>
      </c>
      <c r="E237" s="21"/>
    </row>
    <row r="238" ht="16.5" spans="1:5">
      <c r="A238" s="7">
        <v>3045971.314</v>
      </c>
      <c r="B238" s="7">
        <v>35400914.192</v>
      </c>
      <c r="C238" s="8">
        <v>913.648</v>
      </c>
      <c r="D238" s="13">
        <v>44736</v>
      </c>
      <c r="E238" s="21">
        <v>886.078</v>
      </c>
    </row>
    <row r="239" ht="16.5" spans="1:5">
      <c r="A239" s="7">
        <v>3045971.314</v>
      </c>
      <c r="B239" s="7">
        <v>35400914.192</v>
      </c>
      <c r="C239" s="8">
        <v>913.648</v>
      </c>
      <c r="D239" s="13">
        <v>44737</v>
      </c>
      <c r="E239" s="21"/>
    </row>
    <row r="240" ht="16.5" spans="1:5">
      <c r="A240" s="7">
        <v>3045971.314</v>
      </c>
      <c r="B240" s="7">
        <v>35400914.192</v>
      </c>
      <c r="C240" s="8">
        <v>913.648</v>
      </c>
      <c r="D240" s="13">
        <v>44738</v>
      </c>
      <c r="E240" s="21"/>
    </row>
    <row r="241" ht="16.5" spans="1:5">
      <c r="A241" s="7">
        <v>3045971.314</v>
      </c>
      <c r="B241" s="7">
        <v>35400914.192</v>
      </c>
      <c r="C241" s="8">
        <v>913.648</v>
      </c>
      <c r="D241" s="13">
        <v>44739</v>
      </c>
      <c r="E241" s="22"/>
    </row>
    <row r="242" ht="16.5" spans="1:5">
      <c r="A242" s="7">
        <v>3045971.314</v>
      </c>
      <c r="B242" s="7">
        <v>35400914.192</v>
      </c>
      <c r="C242" s="8">
        <v>913.648</v>
      </c>
      <c r="D242" s="13">
        <v>44740</v>
      </c>
      <c r="E242" s="22"/>
    </row>
    <row r="243" ht="16.5" spans="1:5">
      <c r="A243" s="7">
        <v>3045971.314</v>
      </c>
      <c r="B243" s="7">
        <v>35400914.192</v>
      </c>
      <c r="C243" s="8">
        <v>913.648</v>
      </c>
      <c r="D243" s="13">
        <v>44741</v>
      </c>
      <c r="E243" s="22"/>
    </row>
    <row r="244" ht="16.5" spans="1:5">
      <c r="A244" s="7">
        <v>3045971.314</v>
      </c>
      <c r="B244" s="7">
        <v>35400914.192</v>
      </c>
      <c r="C244" s="8">
        <v>913.648</v>
      </c>
      <c r="D244" s="13">
        <v>44742</v>
      </c>
      <c r="E244" s="22"/>
    </row>
    <row r="245" ht="16.5" spans="1:5">
      <c r="A245" s="7">
        <v>3045971.314</v>
      </c>
      <c r="B245" s="7">
        <v>35400914.192</v>
      </c>
      <c r="C245" s="8">
        <v>913.648</v>
      </c>
      <c r="D245" s="13">
        <v>44743</v>
      </c>
      <c r="E245" s="22"/>
    </row>
    <row r="246" ht="16.5" spans="1:5">
      <c r="A246" s="7">
        <v>3045971.314</v>
      </c>
      <c r="B246" s="7">
        <v>35400914.192</v>
      </c>
      <c r="C246" s="8">
        <v>913.648</v>
      </c>
      <c r="D246" s="13">
        <v>44744</v>
      </c>
      <c r="E246" s="22"/>
    </row>
    <row r="247" ht="16.5" spans="1:5">
      <c r="A247" s="7">
        <v>3045971.314</v>
      </c>
      <c r="B247" s="7">
        <v>35400914.192</v>
      </c>
      <c r="C247" s="8">
        <v>913.648</v>
      </c>
      <c r="D247" s="13">
        <v>44745</v>
      </c>
      <c r="E247" s="22"/>
    </row>
    <row r="248" ht="16.5" spans="1:5">
      <c r="A248" s="7">
        <v>3045971.314</v>
      </c>
      <c r="B248" s="7">
        <v>35400914.192</v>
      </c>
      <c r="C248" s="8">
        <v>913.648</v>
      </c>
      <c r="D248" s="13">
        <v>44746</v>
      </c>
      <c r="E248" s="21"/>
    </row>
    <row r="249" ht="16.5" spans="1:5">
      <c r="A249" s="7">
        <v>3045971.314</v>
      </c>
      <c r="B249" s="7">
        <v>35400914.192</v>
      </c>
      <c r="C249" s="8">
        <v>913.648</v>
      </c>
      <c r="D249" s="13">
        <v>44747</v>
      </c>
      <c r="E249" s="22"/>
    </row>
    <row r="250" ht="16.5" spans="1:5">
      <c r="A250" s="7">
        <v>3045971.314</v>
      </c>
      <c r="B250" s="7">
        <v>35400914.192</v>
      </c>
      <c r="C250" s="8">
        <v>913.648</v>
      </c>
      <c r="D250" s="13">
        <v>44748</v>
      </c>
      <c r="E250" s="21">
        <v>884.68</v>
      </c>
    </row>
    <row r="251" ht="16.5" spans="1:5">
      <c r="A251" s="7">
        <v>3045971.314</v>
      </c>
      <c r="B251" s="7">
        <v>35400914.192</v>
      </c>
      <c r="C251" s="8">
        <v>913.648</v>
      </c>
      <c r="D251" s="13">
        <v>44749</v>
      </c>
      <c r="E251" s="22"/>
    </row>
    <row r="252" ht="16.5" spans="1:5">
      <c r="A252" s="7">
        <v>3045971.314</v>
      </c>
      <c r="B252" s="7">
        <v>35400914.192</v>
      </c>
      <c r="C252" s="8">
        <v>913.648</v>
      </c>
      <c r="D252" s="13">
        <v>44750</v>
      </c>
      <c r="E252" s="22"/>
    </row>
    <row r="253" ht="16.5" spans="1:5">
      <c r="A253" s="7">
        <v>3045971.314</v>
      </c>
      <c r="B253" s="7">
        <v>35400914.192</v>
      </c>
      <c r="C253" s="8">
        <v>913.648</v>
      </c>
      <c r="D253" s="13">
        <v>44751</v>
      </c>
      <c r="E253" s="22"/>
    </row>
    <row r="254" ht="16.5" spans="1:5">
      <c r="A254" s="7">
        <v>3045971.314</v>
      </c>
      <c r="B254" s="7">
        <v>35400914.192</v>
      </c>
      <c r="C254" s="8">
        <v>913.648</v>
      </c>
      <c r="D254" s="13">
        <v>44752</v>
      </c>
      <c r="E254" s="22"/>
    </row>
    <row r="255" ht="16.5" spans="1:5">
      <c r="A255" s="7">
        <v>3045971.314</v>
      </c>
      <c r="B255" s="7">
        <v>35400914.192</v>
      </c>
      <c r="C255" s="8">
        <v>913.648</v>
      </c>
      <c r="D255" s="13">
        <v>44753</v>
      </c>
      <c r="E255" s="22"/>
    </row>
    <row r="256" ht="16.5" spans="1:5">
      <c r="A256" s="7">
        <v>3045971.314</v>
      </c>
      <c r="B256" s="7">
        <v>35400914.192</v>
      </c>
      <c r="C256" s="8">
        <v>913.648</v>
      </c>
      <c r="D256" s="13">
        <v>44754</v>
      </c>
      <c r="E256" s="22"/>
    </row>
    <row r="257" ht="16.5" spans="1:5">
      <c r="A257" s="7">
        <v>3045971.314</v>
      </c>
      <c r="B257" s="7">
        <v>35400914.192</v>
      </c>
      <c r="C257" s="8">
        <v>913.648</v>
      </c>
      <c r="D257" s="13">
        <v>44755</v>
      </c>
      <c r="E257" s="22"/>
    </row>
    <row r="258" ht="16.5" spans="1:5">
      <c r="A258" s="7">
        <v>3045971.314</v>
      </c>
      <c r="B258" s="7">
        <v>35400914.192</v>
      </c>
      <c r="C258" s="8">
        <v>913.648</v>
      </c>
      <c r="D258" s="13">
        <v>44756</v>
      </c>
      <c r="E258" s="22"/>
    </row>
    <row r="259" ht="16.5" spans="1:5">
      <c r="A259" s="7">
        <v>3045971.314</v>
      </c>
      <c r="B259" s="7">
        <v>35400914.192</v>
      </c>
      <c r="C259" s="8">
        <v>913.648</v>
      </c>
      <c r="D259" s="13">
        <v>44757</v>
      </c>
      <c r="E259" s="22"/>
    </row>
    <row r="260" ht="16.5" spans="1:5">
      <c r="A260" s="7">
        <v>3045971.314</v>
      </c>
      <c r="B260" s="7">
        <v>35400914.192</v>
      </c>
      <c r="C260" s="8">
        <v>913.648</v>
      </c>
      <c r="D260" s="13">
        <v>44758</v>
      </c>
      <c r="E260" s="22"/>
    </row>
    <row r="261" ht="16.5" spans="1:5">
      <c r="A261" s="7">
        <v>3045971.314</v>
      </c>
      <c r="B261" s="7">
        <v>35400914.192</v>
      </c>
      <c r="C261" s="8">
        <v>913.648</v>
      </c>
      <c r="D261" s="13">
        <v>44759</v>
      </c>
      <c r="E261" s="22"/>
    </row>
    <row r="262" ht="16.5" spans="1:5">
      <c r="A262" s="7">
        <v>3045971.314</v>
      </c>
      <c r="B262" s="7">
        <v>35400914.192</v>
      </c>
      <c r="C262" s="8">
        <v>913.648</v>
      </c>
      <c r="D262" s="13">
        <v>44760</v>
      </c>
      <c r="E262" s="22"/>
    </row>
    <row r="263" ht="16.5" spans="1:5">
      <c r="A263" s="7">
        <v>3045971.314</v>
      </c>
      <c r="B263" s="7">
        <v>35400914.192</v>
      </c>
      <c r="C263" s="8">
        <v>913.648</v>
      </c>
      <c r="D263" s="13">
        <v>44761</v>
      </c>
      <c r="E263" s="21">
        <v>884.098</v>
      </c>
    </row>
    <row r="264" ht="16.5" spans="1:5">
      <c r="A264" s="7">
        <v>3045971.314</v>
      </c>
      <c r="B264" s="7">
        <v>35400914.192</v>
      </c>
      <c r="C264" s="8">
        <v>913.648</v>
      </c>
      <c r="D264" s="13">
        <v>44762</v>
      </c>
      <c r="E264" s="21">
        <v>884.208</v>
      </c>
    </row>
    <row r="265" ht="16.5" spans="1:5">
      <c r="A265" s="7">
        <v>3045971.314</v>
      </c>
      <c r="B265" s="7">
        <v>35400914.192</v>
      </c>
      <c r="C265" s="8">
        <v>913.648</v>
      </c>
      <c r="D265" s="13">
        <v>44763</v>
      </c>
      <c r="E265" s="21">
        <v>884.228</v>
      </c>
    </row>
    <row r="266" ht="16.5" spans="1:5">
      <c r="A266" s="7">
        <v>3045971.314</v>
      </c>
      <c r="B266" s="7">
        <v>35400914.192</v>
      </c>
      <c r="C266" s="8">
        <v>913.648</v>
      </c>
      <c r="D266" s="13">
        <v>44764</v>
      </c>
      <c r="E266" s="21">
        <v>883.848</v>
      </c>
    </row>
    <row r="267" ht="16.5" spans="1:5">
      <c r="A267" s="7">
        <v>3045971.314</v>
      </c>
      <c r="B267" s="7">
        <v>35400914.192</v>
      </c>
      <c r="C267" s="8">
        <v>913.648</v>
      </c>
      <c r="D267" s="13">
        <v>44765</v>
      </c>
      <c r="E267" s="21">
        <v>883.718</v>
      </c>
    </row>
    <row r="268" ht="16.5" spans="1:5">
      <c r="A268" s="7">
        <v>3045971.314</v>
      </c>
      <c r="B268" s="7">
        <v>35400914.192</v>
      </c>
      <c r="C268" s="8">
        <v>913.648</v>
      </c>
      <c r="D268" s="13">
        <v>44766</v>
      </c>
      <c r="E268" s="21">
        <v>883.548</v>
      </c>
    </row>
    <row r="269" ht="16.5" spans="1:5">
      <c r="A269" s="7">
        <v>3045971.314</v>
      </c>
      <c r="B269" s="7">
        <v>35400914.192</v>
      </c>
      <c r="C269" s="8">
        <v>913.648</v>
      </c>
      <c r="D269" s="13">
        <v>44767</v>
      </c>
      <c r="E269" s="21">
        <v>883.348</v>
      </c>
    </row>
    <row r="270" ht="16.5" spans="1:5">
      <c r="A270" s="7">
        <v>3045971.314</v>
      </c>
      <c r="B270" s="7">
        <v>35400914.192</v>
      </c>
      <c r="C270" s="8">
        <v>913.648</v>
      </c>
      <c r="D270" s="13">
        <v>44768</v>
      </c>
      <c r="E270" s="21">
        <v>883.318</v>
      </c>
    </row>
    <row r="271" ht="16.5" spans="1:5">
      <c r="A271" s="7">
        <v>3045971.314</v>
      </c>
      <c r="B271" s="7">
        <v>35400914.192</v>
      </c>
      <c r="C271" s="8">
        <v>913.648</v>
      </c>
      <c r="D271" s="13">
        <v>44769</v>
      </c>
      <c r="E271" s="21">
        <v>883.248</v>
      </c>
    </row>
    <row r="272" ht="16.5" spans="1:5">
      <c r="A272" s="7">
        <v>3045971.314</v>
      </c>
      <c r="B272" s="7">
        <v>35400914.192</v>
      </c>
      <c r="C272" s="8">
        <v>913.648</v>
      </c>
      <c r="D272" s="13">
        <v>44770</v>
      </c>
      <c r="E272" s="21">
        <v>883.158</v>
      </c>
    </row>
    <row r="273" ht="16.5" spans="1:5">
      <c r="A273" s="7">
        <v>3045971.314</v>
      </c>
      <c r="B273" s="7">
        <v>35400914.192</v>
      </c>
      <c r="C273" s="8">
        <v>913.648</v>
      </c>
      <c r="D273" s="13">
        <v>44771</v>
      </c>
      <c r="E273" s="21">
        <v>882.948</v>
      </c>
    </row>
    <row r="274" ht="16.5" spans="1:5">
      <c r="A274" s="7">
        <v>3045971.314</v>
      </c>
      <c r="B274" s="7">
        <v>35400914.192</v>
      </c>
      <c r="C274" s="8">
        <v>913.648</v>
      </c>
      <c r="D274" s="13">
        <v>44772</v>
      </c>
      <c r="E274" s="21">
        <v>882.648</v>
      </c>
    </row>
    <row r="275" ht="16.5" spans="1:5">
      <c r="A275" s="7">
        <v>3045971.314</v>
      </c>
      <c r="B275" s="7">
        <v>35400914.192</v>
      </c>
      <c r="C275" s="8">
        <v>913.648</v>
      </c>
      <c r="D275" s="13">
        <v>44773</v>
      </c>
      <c r="E275" s="21">
        <v>882.618</v>
      </c>
    </row>
    <row r="276" ht="16.5" spans="1:5">
      <c r="A276" s="7">
        <v>3045971.314</v>
      </c>
      <c r="B276" s="7">
        <v>35400914.192</v>
      </c>
      <c r="C276" s="8">
        <v>913.648</v>
      </c>
      <c r="D276" s="13">
        <v>44774</v>
      </c>
      <c r="E276" s="21">
        <v>882.588</v>
      </c>
    </row>
    <row r="277" ht="16.5" spans="1:5">
      <c r="A277" s="7">
        <v>3045971.314</v>
      </c>
      <c r="B277" s="7">
        <v>35400914.192</v>
      </c>
      <c r="C277" s="8">
        <v>913.648</v>
      </c>
      <c r="D277" s="13">
        <v>44775</v>
      </c>
      <c r="E277" s="21">
        <v>882.588</v>
      </c>
    </row>
    <row r="278" ht="16.5" spans="1:5">
      <c r="A278" s="7">
        <v>3045971.314</v>
      </c>
      <c r="B278" s="7">
        <v>35400914.192</v>
      </c>
      <c r="C278" s="8">
        <v>913.648</v>
      </c>
      <c r="D278" s="13">
        <v>44776</v>
      </c>
      <c r="E278" s="21">
        <v>882.678</v>
      </c>
    </row>
    <row r="279" ht="16.5" spans="1:5">
      <c r="A279" s="7">
        <v>3045971.314</v>
      </c>
      <c r="B279" s="7">
        <v>35400914.192</v>
      </c>
      <c r="C279" s="8">
        <v>913.648</v>
      </c>
      <c r="D279" s="13">
        <v>44777</v>
      </c>
      <c r="E279" s="21">
        <v>882.798</v>
      </c>
    </row>
    <row r="280" ht="16.5" spans="1:5">
      <c r="A280" s="7">
        <v>3045971.314</v>
      </c>
      <c r="B280" s="7">
        <v>35400914.192</v>
      </c>
      <c r="C280" s="8">
        <v>913.648</v>
      </c>
      <c r="D280" s="13">
        <v>44778</v>
      </c>
      <c r="E280" s="21">
        <v>882.898</v>
      </c>
    </row>
    <row r="281" ht="16.5" spans="1:5">
      <c r="A281" s="7">
        <v>3045971.314</v>
      </c>
      <c r="B281" s="7">
        <v>35400914.192</v>
      </c>
      <c r="C281" s="8">
        <v>913.648</v>
      </c>
      <c r="D281" s="13">
        <v>44779</v>
      </c>
      <c r="E281" s="21">
        <v>882.918</v>
      </c>
    </row>
    <row r="282" ht="16.5" spans="1:5">
      <c r="A282" s="7">
        <v>3045971.314</v>
      </c>
      <c r="B282" s="7">
        <v>35400914.192</v>
      </c>
      <c r="C282" s="8">
        <v>913.648</v>
      </c>
      <c r="D282" s="13">
        <v>44780</v>
      </c>
      <c r="E282" s="21">
        <v>882.848</v>
      </c>
    </row>
    <row r="283" ht="16.5" spans="1:5">
      <c r="A283" s="7">
        <v>3045971.314</v>
      </c>
      <c r="B283" s="7">
        <v>35400914.192</v>
      </c>
      <c r="C283" s="8">
        <v>913.648</v>
      </c>
      <c r="D283" s="13">
        <v>44781</v>
      </c>
      <c r="E283" s="21"/>
    </row>
    <row r="284" ht="16.5" spans="1:5">
      <c r="A284" s="7">
        <v>3045971.314</v>
      </c>
      <c r="B284" s="7">
        <v>35400914.192</v>
      </c>
      <c r="C284" s="8">
        <v>913.648</v>
      </c>
      <c r="D284" s="13">
        <v>44782</v>
      </c>
      <c r="E284" s="21"/>
    </row>
    <row r="285" ht="16.5" spans="1:5">
      <c r="A285" s="7">
        <v>3045971.314</v>
      </c>
      <c r="B285" s="7">
        <v>35400914.192</v>
      </c>
      <c r="C285" s="8">
        <v>913.648</v>
      </c>
      <c r="D285" s="13">
        <v>44783</v>
      </c>
      <c r="E285" s="21">
        <v>882.878</v>
      </c>
    </row>
    <row r="286" ht="16.5" spans="1:5">
      <c r="A286" s="7">
        <v>3045971.314</v>
      </c>
      <c r="B286" s="7">
        <v>35400914.192</v>
      </c>
      <c r="C286" s="8">
        <v>913.648</v>
      </c>
      <c r="D286" s="13">
        <v>44784</v>
      </c>
      <c r="E286" s="21">
        <v>882.858</v>
      </c>
    </row>
    <row r="287" ht="16.5" spans="1:5">
      <c r="A287" s="7">
        <v>3045971.314</v>
      </c>
      <c r="B287" s="7">
        <v>35400914.192</v>
      </c>
      <c r="C287" s="8">
        <v>913.648</v>
      </c>
      <c r="D287" s="13">
        <v>44785</v>
      </c>
      <c r="E287" s="21">
        <v>882.628</v>
      </c>
    </row>
    <row r="288" ht="16.5" spans="1:5">
      <c r="A288" s="7">
        <v>3045971.314</v>
      </c>
      <c r="B288" s="7">
        <v>35400914.192</v>
      </c>
      <c r="C288" s="8">
        <v>913.648</v>
      </c>
      <c r="D288" s="13">
        <v>44786</v>
      </c>
      <c r="E288" s="21">
        <v>882.648</v>
      </c>
    </row>
    <row r="289" ht="16.5" spans="1:5">
      <c r="A289" s="7">
        <v>3045971.314</v>
      </c>
      <c r="B289" s="7">
        <v>35400914.192</v>
      </c>
      <c r="C289" s="8">
        <v>913.648</v>
      </c>
      <c r="D289" s="13">
        <v>44787</v>
      </c>
      <c r="E289" s="21">
        <v>882.728</v>
      </c>
    </row>
    <row r="290" ht="16.5" spans="1:5">
      <c r="A290" s="7">
        <v>3045971.314</v>
      </c>
      <c r="B290" s="7">
        <v>35400914.192</v>
      </c>
      <c r="C290" s="8">
        <v>913.648</v>
      </c>
      <c r="D290" s="13">
        <v>44788</v>
      </c>
      <c r="E290" s="21">
        <v>882.518</v>
      </c>
    </row>
    <row r="291" ht="16.5" spans="1:5">
      <c r="A291" s="7">
        <v>3045971.314</v>
      </c>
      <c r="B291" s="7">
        <v>35400914.192</v>
      </c>
      <c r="C291" s="8">
        <v>913.648</v>
      </c>
      <c r="D291" s="13">
        <v>44789</v>
      </c>
      <c r="E291" s="21">
        <v>882.328</v>
      </c>
    </row>
    <row r="292" ht="16.5" spans="1:5">
      <c r="A292" s="7">
        <v>3045971.314</v>
      </c>
      <c r="B292" s="7">
        <v>35400914.192</v>
      </c>
      <c r="C292" s="8">
        <v>913.648</v>
      </c>
      <c r="D292" s="13">
        <v>44790</v>
      </c>
      <c r="E292" s="21">
        <v>882.568</v>
      </c>
    </row>
    <row r="293" ht="16.5" spans="1:5">
      <c r="A293" s="7">
        <v>3045971.314</v>
      </c>
      <c r="B293" s="7">
        <v>35400914.192</v>
      </c>
      <c r="C293" s="8">
        <v>913.648</v>
      </c>
      <c r="D293" s="13">
        <v>44791</v>
      </c>
      <c r="E293" s="21">
        <v>882.438</v>
      </c>
    </row>
    <row r="294" ht="16.5" spans="1:5">
      <c r="A294" s="7">
        <v>3045971.314</v>
      </c>
      <c r="B294" s="7">
        <v>35400914.192</v>
      </c>
      <c r="C294" s="8">
        <v>913.648</v>
      </c>
      <c r="D294" s="13">
        <v>44792</v>
      </c>
      <c r="E294" s="21">
        <v>882.068</v>
      </c>
    </row>
    <row r="295" ht="16.5" spans="1:5">
      <c r="A295" s="7">
        <v>3045971.314</v>
      </c>
      <c r="B295" s="7">
        <v>35400914.192</v>
      </c>
      <c r="C295" s="8">
        <v>913.648</v>
      </c>
      <c r="D295" s="13">
        <v>44793</v>
      </c>
      <c r="E295" s="21">
        <v>881.998</v>
      </c>
    </row>
    <row r="296" ht="16.5" spans="1:5">
      <c r="A296" s="7">
        <v>3045971.314</v>
      </c>
      <c r="B296" s="7">
        <v>35400914.192</v>
      </c>
      <c r="C296" s="8">
        <v>913.648</v>
      </c>
      <c r="D296" s="13">
        <v>44794</v>
      </c>
      <c r="E296" s="21"/>
    </row>
    <row r="297" ht="16.5" spans="1:5">
      <c r="A297" s="7">
        <v>3045971.314</v>
      </c>
      <c r="B297" s="7">
        <v>35400914.192</v>
      </c>
      <c r="C297" s="8">
        <v>913.648</v>
      </c>
      <c r="D297" s="13">
        <v>44795</v>
      </c>
      <c r="E297" s="21"/>
    </row>
    <row r="298" ht="16.5" spans="1:5">
      <c r="A298" s="7">
        <v>3045971.314</v>
      </c>
      <c r="B298" s="7">
        <v>35400914.192</v>
      </c>
      <c r="C298" s="8">
        <v>913.648</v>
      </c>
      <c r="D298" s="13">
        <v>44796</v>
      </c>
      <c r="E298" s="21">
        <v>881.988</v>
      </c>
    </row>
    <row r="299" ht="16.5" spans="1:5">
      <c r="A299" s="7">
        <v>3045971.314</v>
      </c>
      <c r="B299" s="7">
        <v>35400914.192</v>
      </c>
      <c r="C299" s="8">
        <v>913.648</v>
      </c>
      <c r="D299" s="13">
        <v>44797</v>
      </c>
      <c r="E299" s="21">
        <v>881.778</v>
      </c>
    </row>
    <row r="300" ht="16.5" spans="1:5">
      <c r="A300" s="7">
        <v>3045971.314</v>
      </c>
      <c r="B300" s="7">
        <v>35400914.192</v>
      </c>
      <c r="C300" s="8">
        <v>913.648</v>
      </c>
      <c r="D300" s="13">
        <v>44798</v>
      </c>
      <c r="E300" s="21">
        <v>881.638</v>
      </c>
    </row>
    <row r="301" ht="16.5" spans="1:5">
      <c r="A301" s="7">
        <v>3045971.314</v>
      </c>
      <c r="B301" s="7">
        <v>35400914.192</v>
      </c>
      <c r="C301" s="8">
        <v>913.648</v>
      </c>
      <c r="D301" s="13">
        <v>44799</v>
      </c>
      <c r="E301" s="21">
        <v>881.468</v>
      </c>
    </row>
    <row r="302" ht="16.5" spans="1:5">
      <c r="A302" s="7">
        <v>3045971.314</v>
      </c>
      <c r="B302" s="7">
        <v>35400914.192</v>
      </c>
      <c r="C302" s="8">
        <v>913.648</v>
      </c>
      <c r="D302" s="13">
        <v>44800</v>
      </c>
      <c r="E302" s="21">
        <v>881.248</v>
      </c>
    </row>
    <row r="303" ht="16.5" spans="1:5">
      <c r="A303" s="7">
        <v>3045971.314</v>
      </c>
      <c r="B303" s="7">
        <v>35400914.192</v>
      </c>
      <c r="C303" s="8">
        <v>913.648</v>
      </c>
      <c r="D303" s="13">
        <v>44801</v>
      </c>
      <c r="E303" s="21">
        <v>881.228</v>
      </c>
    </row>
    <row r="304" ht="16.5" spans="1:5">
      <c r="A304" s="7">
        <v>3045971.314</v>
      </c>
      <c r="B304" s="7">
        <v>35400914.192</v>
      </c>
      <c r="C304" s="8">
        <v>913.648</v>
      </c>
      <c r="D304" s="13">
        <v>44802</v>
      </c>
      <c r="E304" s="21">
        <v>881.058</v>
      </c>
    </row>
    <row r="305" ht="16.5" spans="1:5">
      <c r="A305" s="7">
        <v>3045971.314</v>
      </c>
      <c r="B305" s="7">
        <v>35400914.192</v>
      </c>
      <c r="C305" s="8">
        <v>913.648</v>
      </c>
      <c r="D305" s="13">
        <v>44803</v>
      </c>
      <c r="E305" s="21">
        <v>880.998</v>
      </c>
    </row>
    <row r="306" ht="16.5" spans="1:5">
      <c r="A306" s="7">
        <v>3045971.314</v>
      </c>
      <c r="B306" s="7">
        <v>35400914.192</v>
      </c>
      <c r="C306" s="8">
        <v>913.648</v>
      </c>
      <c r="D306" s="13">
        <v>44804</v>
      </c>
      <c r="E306" s="21">
        <v>880.748</v>
      </c>
    </row>
    <row r="307" ht="16.5" spans="1:5">
      <c r="A307" s="7">
        <v>3045971.314</v>
      </c>
      <c r="B307" s="7">
        <v>35400914.192</v>
      </c>
      <c r="C307" s="8">
        <v>913.648</v>
      </c>
      <c r="D307" s="13">
        <v>44805</v>
      </c>
      <c r="E307" s="21">
        <v>880.728</v>
      </c>
    </row>
    <row r="308" ht="16.5" spans="1:5">
      <c r="A308" s="7">
        <v>3045971.314</v>
      </c>
      <c r="B308" s="7">
        <v>35400914.192</v>
      </c>
      <c r="C308" s="8">
        <v>913.648</v>
      </c>
      <c r="D308" s="13">
        <v>44806</v>
      </c>
      <c r="E308" s="21">
        <v>880.748</v>
      </c>
    </row>
    <row r="309" ht="16.5" spans="1:5">
      <c r="A309" s="7">
        <v>3045971.314</v>
      </c>
      <c r="B309" s="7">
        <v>35400914.192</v>
      </c>
      <c r="C309" s="8">
        <v>913.648</v>
      </c>
      <c r="D309" s="13">
        <v>44807</v>
      </c>
      <c r="E309" s="21">
        <v>880.408</v>
      </c>
    </row>
    <row r="310" ht="16.5" spans="1:5">
      <c r="A310" s="7">
        <v>3045971.314</v>
      </c>
      <c r="B310" s="7">
        <v>35400914.192</v>
      </c>
      <c r="C310" s="8">
        <v>913.648</v>
      </c>
      <c r="D310" s="13">
        <v>44808</v>
      </c>
      <c r="E310" s="21">
        <v>880.368</v>
      </c>
    </row>
    <row r="311" ht="16.5" spans="1:5">
      <c r="A311" s="7">
        <v>3045971.314</v>
      </c>
      <c r="B311" s="7">
        <v>35400914.192</v>
      </c>
      <c r="C311" s="8">
        <v>913.648</v>
      </c>
      <c r="D311" s="13">
        <v>44809</v>
      </c>
      <c r="E311" s="21">
        <v>880.278</v>
      </c>
    </row>
    <row r="312" ht="16.5" spans="1:5">
      <c r="A312" s="7">
        <v>3045971.314</v>
      </c>
      <c r="B312" s="7">
        <v>35400914.192</v>
      </c>
      <c r="C312" s="8">
        <v>913.648</v>
      </c>
      <c r="D312" s="13">
        <v>44810</v>
      </c>
      <c r="E312" s="21"/>
    </row>
    <row r="313" ht="16.5" spans="1:5">
      <c r="A313" s="7">
        <v>3045971.314</v>
      </c>
      <c r="B313" s="7">
        <v>35400914.192</v>
      </c>
      <c r="C313" s="8">
        <v>913.648</v>
      </c>
      <c r="D313" s="13">
        <v>44811</v>
      </c>
      <c r="E313" s="21">
        <v>880.248</v>
      </c>
    </row>
    <row r="314" ht="16.5" spans="1:5">
      <c r="A314" s="7">
        <v>3045971.314</v>
      </c>
      <c r="B314" s="7">
        <v>35400914.192</v>
      </c>
      <c r="C314" s="8">
        <v>913.648</v>
      </c>
      <c r="D314" s="13">
        <v>44812</v>
      </c>
      <c r="E314" s="21"/>
    </row>
    <row r="315" ht="16.5" spans="1:5">
      <c r="A315" s="7">
        <v>3045971.314</v>
      </c>
      <c r="B315" s="7">
        <v>35400914.192</v>
      </c>
      <c r="C315" s="8">
        <v>913.648</v>
      </c>
      <c r="D315" s="13">
        <v>44813</v>
      </c>
      <c r="E315" s="21">
        <v>879.898</v>
      </c>
    </row>
    <row r="316" ht="16.5" spans="1:5">
      <c r="A316" s="7">
        <v>3045971.314</v>
      </c>
      <c r="B316" s="7">
        <v>35400914.192</v>
      </c>
      <c r="C316" s="8">
        <v>913.648</v>
      </c>
      <c r="D316" s="13">
        <v>44814</v>
      </c>
      <c r="E316" s="21">
        <v>880.108</v>
      </c>
    </row>
    <row r="317" ht="16.5" spans="1:5">
      <c r="A317" s="7">
        <v>3045971.314</v>
      </c>
      <c r="B317" s="7">
        <v>35400914.192</v>
      </c>
      <c r="C317" s="8">
        <v>913.648</v>
      </c>
      <c r="D317" s="13">
        <v>44815</v>
      </c>
      <c r="E317" s="21">
        <v>879.798</v>
      </c>
    </row>
    <row r="318" ht="16.5" spans="1:5">
      <c r="A318" s="7">
        <v>3045971.314</v>
      </c>
      <c r="B318" s="7">
        <v>35400914.192</v>
      </c>
      <c r="C318" s="8">
        <v>913.648</v>
      </c>
      <c r="D318" s="13">
        <v>44816</v>
      </c>
      <c r="E318" s="21">
        <v>879.758</v>
      </c>
    </row>
    <row r="319" ht="16.5" spans="1:5">
      <c r="A319" s="7">
        <v>3045971.314</v>
      </c>
      <c r="B319" s="7">
        <v>35400914.192</v>
      </c>
      <c r="C319" s="8">
        <v>913.648</v>
      </c>
      <c r="D319" s="13">
        <v>44817</v>
      </c>
      <c r="E319" s="21">
        <v>879.708</v>
      </c>
    </row>
    <row r="320" ht="16.5" spans="1:5">
      <c r="A320" s="7">
        <v>3045971.314</v>
      </c>
      <c r="B320" s="7">
        <v>35400914.192</v>
      </c>
      <c r="C320" s="8">
        <v>913.648</v>
      </c>
      <c r="D320" s="13">
        <v>44818</v>
      </c>
      <c r="E320" s="21">
        <v>879.448</v>
      </c>
    </row>
    <row r="321" ht="16.5" spans="1:5">
      <c r="A321" s="7">
        <v>3045971.314</v>
      </c>
      <c r="B321" s="7">
        <v>35400914.192</v>
      </c>
      <c r="C321" s="8">
        <v>913.648</v>
      </c>
      <c r="D321" s="11">
        <v>44819</v>
      </c>
      <c r="E321" s="21">
        <v>879.378</v>
      </c>
    </row>
    <row r="322" ht="16.5" spans="1:5">
      <c r="A322" s="7">
        <v>3045971.314</v>
      </c>
      <c r="B322" s="7">
        <v>35400914.192</v>
      </c>
      <c r="C322" s="8">
        <v>913.648</v>
      </c>
      <c r="D322" s="11">
        <v>44820</v>
      </c>
      <c r="E322" s="21">
        <v>879.528</v>
      </c>
    </row>
    <row r="323" ht="16.5" spans="1:5">
      <c r="A323" s="7">
        <v>3045971.314</v>
      </c>
      <c r="B323" s="7">
        <v>35400914.192</v>
      </c>
      <c r="C323" s="8">
        <v>913.648</v>
      </c>
      <c r="D323" s="11">
        <v>44821</v>
      </c>
      <c r="E323" s="21">
        <v>880.568</v>
      </c>
    </row>
    <row r="324" ht="16.5" spans="1:5">
      <c r="A324" s="7">
        <v>3045971.314</v>
      </c>
      <c r="B324" s="7">
        <v>35400914.192</v>
      </c>
      <c r="C324" s="8">
        <v>913.648</v>
      </c>
      <c r="D324" s="11">
        <v>44822</v>
      </c>
      <c r="E324" s="21">
        <v>880.708</v>
      </c>
    </row>
    <row r="325" ht="16.5" spans="1:5">
      <c r="A325" s="7">
        <v>3045971.314</v>
      </c>
      <c r="B325" s="7">
        <v>35400914.192</v>
      </c>
      <c r="C325" s="8">
        <v>913.648</v>
      </c>
      <c r="D325" s="11">
        <v>44823</v>
      </c>
      <c r="E325" s="21">
        <v>880.958</v>
      </c>
    </row>
    <row r="326" ht="16.5" spans="1:5">
      <c r="A326" s="7">
        <v>3045971.314</v>
      </c>
      <c r="B326" s="7">
        <v>35400914.192</v>
      </c>
      <c r="C326" s="8">
        <v>913.648</v>
      </c>
      <c r="D326" s="11">
        <v>44824</v>
      </c>
      <c r="E326" s="21">
        <v>880.968</v>
      </c>
    </row>
    <row r="327" ht="16.5" spans="1:5">
      <c r="A327" s="7">
        <v>3045971.314</v>
      </c>
      <c r="B327" s="7">
        <v>35400914.192</v>
      </c>
      <c r="C327" s="8">
        <v>913.648</v>
      </c>
      <c r="D327" s="11">
        <v>44825</v>
      </c>
      <c r="E327" s="21">
        <v>880.958</v>
      </c>
    </row>
    <row r="328" ht="16.5" spans="1:5">
      <c r="A328" s="7">
        <v>3045971.314</v>
      </c>
      <c r="B328" s="7">
        <v>35400914.192</v>
      </c>
      <c r="C328" s="8">
        <v>913.648</v>
      </c>
      <c r="D328" s="11">
        <v>44826</v>
      </c>
      <c r="E328" s="21">
        <v>880.908</v>
      </c>
    </row>
    <row r="329" ht="16.5" spans="1:5">
      <c r="A329" s="7">
        <v>3045971.314</v>
      </c>
      <c r="B329" s="7">
        <v>35400914.192</v>
      </c>
      <c r="C329" s="8">
        <v>913.648</v>
      </c>
      <c r="D329" s="11">
        <v>44827</v>
      </c>
      <c r="E329" s="21"/>
    </row>
    <row r="330" ht="16.5" spans="1:5">
      <c r="A330" s="7">
        <v>3045971.314</v>
      </c>
      <c r="B330" s="7">
        <v>35400914.192</v>
      </c>
      <c r="C330" s="8">
        <v>913.648</v>
      </c>
      <c r="D330" s="11">
        <v>44828</v>
      </c>
      <c r="E330" s="21">
        <v>881.898</v>
      </c>
    </row>
    <row r="331" ht="16.5" spans="1:5">
      <c r="A331" s="7">
        <v>3045971.314</v>
      </c>
      <c r="B331" s="7">
        <v>35400914.192</v>
      </c>
      <c r="C331" s="8">
        <v>913.648</v>
      </c>
      <c r="D331" s="11">
        <v>44829</v>
      </c>
      <c r="E331" s="21">
        <v>884.028</v>
      </c>
    </row>
    <row r="332" ht="16.5" spans="1:5">
      <c r="A332" s="7">
        <v>3045971.314</v>
      </c>
      <c r="B332" s="7">
        <v>35400914.192</v>
      </c>
      <c r="C332" s="8">
        <v>913.648</v>
      </c>
      <c r="D332" s="11">
        <v>44830</v>
      </c>
      <c r="E332" s="21">
        <v>884.388</v>
      </c>
    </row>
    <row r="333" ht="16.5" spans="1:5">
      <c r="A333" s="7">
        <v>3045971.314</v>
      </c>
      <c r="B333" s="7">
        <v>35400914.192</v>
      </c>
      <c r="C333" s="8">
        <v>913.648</v>
      </c>
      <c r="D333" s="11">
        <v>44831</v>
      </c>
      <c r="E333" s="21">
        <v>884.738</v>
      </c>
    </row>
    <row r="334" ht="16.5" spans="1:5">
      <c r="A334" s="7">
        <v>3045971.314</v>
      </c>
      <c r="B334" s="7">
        <v>35400914.192</v>
      </c>
      <c r="C334" s="8">
        <v>913.648</v>
      </c>
      <c r="D334" s="11">
        <v>44832</v>
      </c>
      <c r="E334" s="21">
        <v>885.048</v>
      </c>
    </row>
    <row r="335" ht="16.5" spans="1:5">
      <c r="A335" s="7">
        <v>3045971.314</v>
      </c>
      <c r="B335" s="7">
        <v>35400914.192</v>
      </c>
      <c r="C335" s="8">
        <v>913.648</v>
      </c>
      <c r="D335" s="11">
        <v>44833</v>
      </c>
      <c r="E335" s="21">
        <v>885.118</v>
      </c>
    </row>
    <row r="336" ht="16.5" spans="1:5">
      <c r="A336" s="7">
        <v>3045971.314</v>
      </c>
      <c r="B336" s="7">
        <v>35400914.192</v>
      </c>
      <c r="C336" s="8">
        <v>913.648</v>
      </c>
      <c r="D336" s="11">
        <v>44834</v>
      </c>
      <c r="E336" s="21">
        <v>885.258</v>
      </c>
    </row>
    <row r="337" ht="16.5" spans="1:5">
      <c r="A337" s="7">
        <v>3045971.314</v>
      </c>
      <c r="B337" s="7">
        <v>35400914.192</v>
      </c>
      <c r="C337" s="8">
        <v>913.648</v>
      </c>
      <c r="D337" s="11">
        <v>44835</v>
      </c>
      <c r="E337" s="21">
        <v>885.398</v>
      </c>
    </row>
    <row r="338" ht="16.5" spans="1:5">
      <c r="A338" s="7">
        <v>3045971.314</v>
      </c>
      <c r="B338" s="7">
        <v>35400914.192</v>
      </c>
      <c r="C338" s="8">
        <v>913.648</v>
      </c>
      <c r="D338" s="11">
        <v>44836</v>
      </c>
      <c r="E338" s="21"/>
    </row>
    <row r="339" ht="16.5" spans="1:5">
      <c r="A339" s="7">
        <v>3045971.314</v>
      </c>
      <c r="B339" s="7">
        <v>35400914.192</v>
      </c>
      <c r="C339" s="8">
        <v>913.648</v>
      </c>
      <c r="D339" s="11">
        <v>44837</v>
      </c>
      <c r="E339" s="21">
        <v>885.568</v>
      </c>
    </row>
    <row r="340" ht="16.5" spans="1:5">
      <c r="A340" s="7">
        <v>3045971.314</v>
      </c>
      <c r="B340" s="7">
        <v>35400914.192</v>
      </c>
      <c r="C340" s="8">
        <v>913.648</v>
      </c>
      <c r="D340" s="11">
        <v>44838</v>
      </c>
      <c r="E340" s="21">
        <v>885.518</v>
      </c>
    </row>
    <row r="341" ht="16.5" spans="1:5">
      <c r="A341" s="7">
        <v>3045971.314</v>
      </c>
      <c r="B341" s="7">
        <v>35400914.192</v>
      </c>
      <c r="C341" s="8">
        <v>913.648</v>
      </c>
      <c r="D341" s="11">
        <v>44839</v>
      </c>
      <c r="E341" s="21">
        <v>885.428</v>
      </c>
    </row>
    <row r="342" ht="16.5" spans="1:5">
      <c r="A342" s="7">
        <v>3045971.314</v>
      </c>
      <c r="B342" s="7">
        <v>35400914.192</v>
      </c>
      <c r="C342" s="8">
        <v>913.648</v>
      </c>
      <c r="D342" s="11">
        <v>44840</v>
      </c>
      <c r="E342" s="21">
        <v>885.408</v>
      </c>
    </row>
    <row r="343" ht="16.5" spans="1:5">
      <c r="A343" s="7">
        <v>3045971.314</v>
      </c>
      <c r="B343" s="7">
        <v>35400914.192</v>
      </c>
      <c r="C343" s="8">
        <v>913.648</v>
      </c>
      <c r="D343" s="11">
        <v>44841</v>
      </c>
      <c r="E343" s="21">
        <v>885.338</v>
      </c>
    </row>
    <row r="344" ht="16.5" spans="1:5">
      <c r="A344" s="7">
        <v>3045971.314</v>
      </c>
      <c r="B344" s="7">
        <v>35400914.192</v>
      </c>
      <c r="C344" s="8">
        <v>913.648</v>
      </c>
      <c r="D344" s="11">
        <v>44842</v>
      </c>
      <c r="E344" s="21"/>
    </row>
    <row r="345" ht="16.5" spans="1:5">
      <c r="A345" s="7">
        <v>3045971.314</v>
      </c>
      <c r="B345" s="7">
        <v>35400914.192</v>
      </c>
      <c r="C345" s="8">
        <v>913.648</v>
      </c>
      <c r="D345" s="11">
        <v>44843</v>
      </c>
      <c r="E345" s="21"/>
    </row>
    <row r="346" ht="16.5" spans="1:5">
      <c r="A346" s="7">
        <v>3045971.314</v>
      </c>
      <c r="B346" s="7">
        <v>35400914.192</v>
      </c>
      <c r="C346" s="8">
        <v>913.648</v>
      </c>
      <c r="D346" s="11">
        <v>44844</v>
      </c>
      <c r="E346" s="21"/>
    </row>
    <row r="347" ht="16.5" spans="1:5">
      <c r="A347" s="7">
        <v>3045971.314</v>
      </c>
      <c r="B347" s="7">
        <v>35400914.192</v>
      </c>
      <c r="C347" s="8">
        <v>913.648</v>
      </c>
      <c r="D347" s="11">
        <v>44845</v>
      </c>
      <c r="E347" s="21"/>
    </row>
    <row r="348" ht="16.5" spans="1:5">
      <c r="A348" s="7">
        <v>3045971.314</v>
      </c>
      <c r="B348" s="7">
        <v>35400914.192</v>
      </c>
      <c r="C348" s="8">
        <v>913.648</v>
      </c>
      <c r="D348" s="11">
        <v>44846</v>
      </c>
      <c r="E348" s="21">
        <v>882.078</v>
      </c>
    </row>
    <row r="349" ht="16.5" spans="1:5">
      <c r="A349" s="7">
        <v>3045971.314</v>
      </c>
      <c r="B349" s="7">
        <v>35400914.192</v>
      </c>
      <c r="C349" s="8">
        <v>913.648</v>
      </c>
      <c r="D349" s="11">
        <v>44847</v>
      </c>
      <c r="E349" s="21">
        <v>881.928</v>
      </c>
    </row>
    <row r="350" ht="16.5" spans="1:5">
      <c r="A350" s="7">
        <v>3045971.314</v>
      </c>
      <c r="B350" s="7">
        <v>35400914.192</v>
      </c>
      <c r="C350" s="8">
        <v>913.648</v>
      </c>
      <c r="D350" s="11">
        <v>44848</v>
      </c>
      <c r="E350" s="21"/>
    </row>
    <row r="351" ht="16.5" spans="1:5">
      <c r="A351" s="7">
        <v>3045971.314</v>
      </c>
      <c r="B351" s="7">
        <v>35400914.192</v>
      </c>
      <c r="C351" s="8">
        <v>913.648</v>
      </c>
      <c r="D351" s="11">
        <v>44849</v>
      </c>
      <c r="E351" s="21"/>
    </row>
    <row r="352" ht="16.5" spans="1:5">
      <c r="A352" s="7">
        <v>3045971.314</v>
      </c>
      <c r="B352" s="7">
        <v>35400914.192</v>
      </c>
      <c r="C352" s="8">
        <v>913.648</v>
      </c>
      <c r="D352" s="11">
        <v>44850</v>
      </c>
      <c r="E352" s="21"/>
    </row>
    <row r="353" ht="16.5" spans="1:5">
      <c r="A353" s="7">
        <v>3045971.314</v>
      </c>
      <c r="B353" s="7">
        <v>35400914.192</v>
      </c>
      <c r="C353" s="8">
        <v>913.648</v>
      </c>
      <c r="D353" s="11">
        <v>44851</v>
      </c>
      <c r="E353" s="21"/>
    </row>
    <row r="354" ht="16.5" spans="1:5">
      <c r="A354" s="7">
        <v>3045971.314</v>
      </c>
      <c r="B354" s="7">
        <v>35400914.192</v>
      </c>
      <c r="C354" s="8">
        <v>913.648</v>
      </c>
      <c r="D354" s="11">
        <v>44852</v>
      </c>
      <c r="E354" s="21">
        <v>881.128</v>
      </c>
    </row>
    <row r="355" ht="16.5" spans="1:5">
      <c r="A355" s="7">
        <v>3045971.314</v>
      </c>
      <c r="B355" s="7">
        <v>35400914.192</v>
      </c>
      <c r="C355" s="8">
        <v>913.648</v>
      </c>
      <c r="D355" s="11">
        <v>44853</v>
      </c>
      <c r="E355" s="21">
        <v>880.828</v>
      </c>
    </row>
    <row r="356" ht="16.5" spans="1:5">
      <c r="A356" s="7">
        <v>3045971.314</v>
      </c>
      <c r="B356" s="7">
        <v>35400914.192</v>
      </c>
      <c r="C356" s="8">
        <v>913.648</v>
      </c>
      <c r="D356" s="11">
        <v>44854</v>
      </c>
      <c r="E356" s="21">
        <v>880.728</v>
      </c>
    </row>
    <row r="357" ht="16.5" spans="1:5">
      <c r="A357" s="7">
        <v>3045971.314</v>
      </c>
      <c r="B357" s="7">
        <v>35400914.192</v>
      </c>
      <c r="C357" s="8">
        <v>913.648</v>
      </c>
      <c r="D357" s="11">
        <v>44855</v>
      </c>
      <c r="E357" s="21">
        <v>880.678</v>
      </c>
    </row>
    <row r="358" ht="16.5" spans="1:5">
      <c r="A358" s="7">
        <v>3045971.314</v>
      </c>
      <c r="B358" s="7">
        <v>35400914.192</v>
      </c>
      <c r="C358" s="8">
        <v>913.648</v>
      </c>
      <c r="D358" s="11">
        <v>44856</v>
      </c>
      <c r="E358" s="21">
        <v>880.488</v>
      </c>
    </row>
    <row r="359" ht="16.5" spans="1:5">
      <c r="A359" s="7">
        <v>3045971.314</v>
      </c>
      <c r="B359" s="7">
        <v>35400914.192</v>
      </c>
      <c r="C359" s="8">
        <v>913.648</v>
      </c>
      <c r="D359" s="11">
        <v>44857</v>
      </c>
      <c r="E359" s="21">
        <v>880.198</v>
      </c>
    </row>
    <row r="360" ht="16.5" spans="1:5">
      <c r="A360" s="7">
        <v>3045971.314</v>
      </c>
      <c r="B360" s="7">
        <v>35400914.192</v>
      </c>
      <c r="C360" s="8">
        <v>913.648</v>
      </c>
      <c r="D360" s="11">
        <v>44858</v>
      </c>
      <c r="E360" s="21">
        <v>880.078</v>
      </c>
    </row>
    <row r="361" ht="16.5" spans="1:5">
      <c r="A361" s="7">
        <v>3045971.314</v>
      </c>
      <c r="B361" s="7">
        <v>35400914.192</v>
      </c>
      <c r="C361" s="8">
        <v>913.648</v>
      </c>
      <c r="D361" s="11">
        <v>44859</v>
      </c>
      <c r="E361" s="21">
        <v>879.818</v>
      </c>
    </row>
    <row r="362" ht="16.5" spans="1:5">
      <c r="A362" s="7">
        <v>3045971.314</v>
      </c>
      <c r="B362" s="7">
        <v>35400914.192</v>
      </c>
      <c r="C362" s="8">
        <v>913.648</v>
      </c>
      <c r="D362" s="11">
        <v>44860</v>
      </c>
      <c r="E362" s="21">
        <v>879.618</v>
      </c>
    </row>
    <row r="363" ht="16.5" spans="1:5">
      <c r="A363" s="7">
        <v>3045971.314</v>
      </c>
      <c r="B363" s="7">
        <v>35400914.192</v>
      </c>
      <c r="C363" s="8">
        <v>913.648</v>
      </c>
      <c r="D363" s="11">
        <v>44861</v>
      </c>
      <c r="E363" s="21">
        <v>879.578</v>
      </c>
    </row>
    <row r="364" ht="16.5" spans="1:5">
      <c r="A364" s="7">
        <v>3045971.314</v>
      </c>
      <c r="B364" s="7">
        <v>35400914.192</v>
      </c>
      <c r="C364" s="8">
        <v>913.648</v>
      </c>
      <c r="D364" s="11">
        <v>44862</v>
      </c>
      <c r="E364" s="21">
        <v>879.298</v>
      </c>
    </row>
    <row r="365" ht="16.5" spans="1:5">
      <c r="A365" s="7">
        <v>3045971.314</v>
      </c>
      <c r="B365" s="7">
        <v>35400914.192</v>
      </c>
      <c r="C365" s="8">
        <v>913.648</v>
      </c>
      <c r="D365" s="11">
        <v>44863</v>
      </c>
      <c r="E365" s="21">
        <v>879.108</v>
      </c>
    </row>
    <row r="366" ht="16.5" spans="1:5">
      <c r="A366" s="7">
        <v>3045971.314</v>
      </c>
      <c r="B366" s="7">
        <v>35400914.192</v>
      </c>
      <c r="C366" s="8">
        <v>913.648</v>
      </c>
      <c r="D366" s="11">
        <v>44864</v>
      </c>
      <c r="E366" s="21">
        <v>879.098</v>
      </c>
    </row>
    <row r="367" ht="16.5" spans="1:5">
      <c r="A367" s="7">
        <v>3045971.314</v>
      </c>
      <c r="B367" s="7">
        <v>35400914.192</v>
      </c>
      <c r="C367" s="8">
        <v>913.648</v>
      </c>
      <c r="D367" s="11">
        <v>44865</v>
      </c>
      <c r="E367" s="21">
        <v>879.078</v>
      </c>
    </row>
    <row r="368" ht="16.5" spans="1:5">
      <c r="A368" s="7">
        <v>3045971.314</v>
      </c>
      <c r="B368" s="7">
        <v>35400914.192</v>
      </c>
      <c r="C368" s="8">
        <v>913.648</v>
      </c>
      <c r="D368" s="11">
        <v>44866</v>
      </c>
      <c r="E368" s="21">
        <v>878.888</v>
      </c>
    </row>
    <row r="369" ht="16.5" spans="1:5">
      <c r="A369" s="7">
        <v>3045971.314</v>
      </c>
      <c r="B369" s="7">
        <v>35400914.192</v>
      </c>
      <c r="C369" s="8">
        <v>913.648</v>
      </c>
      <c r="D369" s="11">
        <v>44867</v>
      </c>
      <c r="E369" s="21">
        <v>878.808</v>
      </c>
    </row>
    <row r="370" ht="16.5" spans="1:5">
      <c r="A370" s="7">
        <v>3045971.314</v>
      </c>
      <c r="B370" s="7">
        <v>35400914.192</v>
      </c>
      <c r="C370" s="8">
        <v>913.648</v>
      </c>
      <c r="D370" s="11">
        <v>44868</v>
      </c>
      <c r="E370" s="22">
        <v>878.488</v>
      </c>
    </row>
    <row r="371" ht="16.5" spans="1:5">
      <c r="A371" s="7">
        <v>3045971.314</v>
      </c>
      <c r="B371" s="7">
        <v>35400914.192</v>
      </c>
      <c r="C371" s="8">
        <v>913.648</v>
      </c>
      <c r="D371" s="11">
        <v>44869</v>
      </c>
      <c r="E371" s="21">
        <v>878.308</v>
      </c>
    </row>
    <row r="372" ht="16.5" spans="1:5">
      <c r="A372" s="7">
        <v>3045971.314</v>
      </c>
      <c r="B372" s="7">
        <v>35400914.192</v>
      </c>
      <c r="C372" s="8">
        <v>913.648</v>
      </c>
      <c r="D372" s="11">
        <v>44870</v>
      </c>
      <c r="E372" s="21">
        <v>878.408</v>
      </c>
    </row>
    <row r="373" ht="16.5" spans="1:5">
      <c r="A373" s="7">
        <v>3045971.314</v>
      </c>
      <c r="B373" s="7">
        <v>35400914.192</v>
      </c>
      <c r="C373" s="8">
        <v>913.648</v>
      </c>
      <c r="D373" s="11">
        <v>44871</v>
      </c>
      <c r="E373" s="21">
        <v>878.228</v>
      </c>
    </row>
    <row r="374" ht="16.5" spans="1:5">
      <c r="A374" s="7">
        <v>3045971.314</v>
      </c>
      <c r="B374" s="7">
        <v>35400914.192</v>
      </c>
      <c r="C374" s="8">
        <v>913.648</v>
      </c>
      <c r="D374" s="11">
        <v>44872</v>
      </c>
      <c r="E374" s="21">
        <v>878.498</v>
      </c>
    </row>
    <row r="375" ht="16.5" spans="1:5">
      <c r="A375" s="7">
        <v>3045971.314</v>
      </c>
      <c r="B375" s="7">
        <v>35400914.192</v>
      </c>
      <c r="C375" s="8">
        <v>913.648</v>
      </c>
      <c r="D375" s="11">
        <v>44873</v>
      </c>
      <c r="E375" s="21">
        <v>877.968</v>
      </c>
    </row>
    <row r="376" ht="16.5" spans="1:5">
      <c r="A376" s="7">
        <v>3045971.314</v>
      </c>
      <c r="B376" s="7">
        <v>35400914.192</v>
      </c>
      <c r="C376" s="8">
        <v>913.648</v>
      </c>
      <c r="D376" s="11">
        <v>44874</v>
      </c>
      <c r="E376" s="21">
        <v>877.748</v>
      </c>
    </row>
    <row r="377" ht="16.5" spans="1:5">
      <c r="A377" s="7">
        <v>3045971.314</v>
      </c>
      <c r="B377" s="7">
        <v>35400914.192</v>
      </c>
      <c r="C377" s="8">
        <v>913.648</v>
      </c>
      <c r="D377" s="11">
        <v>44875</v>
      </c>
      <c r="E377" s="21">
        <v>877.598</v>
      </c>
    </row>
    <row r="378" ht="16.5" spans="1:5">
      <c r="A378" s="7">
        <v>3045971.314</v>
      </c>
      <c r="B378" s="7">
        <v>35400914.192</v>
      </c>
      <c r="C378" s="8">
        <v>913.648</v>
      </c>
      <c r="D378" s="11">
        <v>44876</v>
      </c>
      <c r="E378" s="21">
        <v>877.388</v>
      </c>
    </row>
    <row r="379" ht="16.5" spans="1:5">
      <c r="A379" s="7">
        <v>3045971.314</v>
      </c>
      <c r="B379" s="7">
        <v>35400914.192</v>
      </c>
      <c r="C379" s="8">
        <v>913.648</v>
      </c>
      <c r="D379" s="11">
        <v>44877</v>
      </c>
      <c r="E379" s="21">
        <v>877.198</v>
      </c>
    </row>
    <row r="380" ht="16.5" spans="1:5">
      <c r="A380" s="7">
        <v>3045971.314</v>
      </c>
      <c r="B380" s="7">
        <v>35400914.192</v>
      </c>
      <c r="C380" s="8">
        <v>913.648</v>
      </c>
      <c r="D380" s="11">
        <v>44878</v>
      </c>
      <c r="E380" s="21">
        <v>876.308</v>
      </c>
    </row>
    <row r="381" ht="16.5" spans="1:5">
      <c r="A381" s="7">
        <v>3045971.314</v>
      </c>
      <c r="B381" s="7">
        <v>35400914.192</v>
      </c>
      <c r="C381" s="8">
        <v>913.648</v>
      </c>
      <c r="D381" s="11">
        <v>44879</v>
      </c>
      <c r="E381" s="21">
        <v>876.368</v>
      </c>
    </row>
    <row r="382" ht="16.5" spans="1:5">
      <c r="A382" s="7">
        <v>3045971.314</v>
      </c>
      <c r="B382" s="7">
        <v>35400914.192</v>
      </c>
      <c r="C382" s="8">
        <v>913.648</v>
      </c>
      <c r="D382" s="11">
        <v>44880</v>
      </c>
      <c r="E382" s="21">
        <v>876.178</v>
      </c>
    </row>
    <row r="383" ht="16.5" spans="1:5">
      <c r="A383" s="7">
        <v>3045971.314</v>
      </c>
      <c r="B383" s="7">
        <v>35400914.192</v>
      </c>
      <c r="C383" s="8">
        <v>913.648</v>
      </c>
      <c r="D383" s="11">
        <v>44881</v>
      </c>
      <c r="E383" s="21">
        <v>876.148</v>
      </c>
    </row>
    <row r="384" ht="16.5" spans="1:5">
      <c r="A384" s="7">
        <v>3045971.314</v>
      </c>
      <c r="B384" s="7">
        <v>35400914.192</v>
      </c>
      <c r="C384" s="8">
        <v>913.648</v>
      </c>
      <c r="D384" s="11">
        <v>44882</v>
      </c>
      <c r="E384" s="21">
        <v>876.008</v>
      </c>
    </row>
    <row r="385" ht="16.5" spans="1:5">
      <c r="A385" s="7">
        <v>3045971.314</v>
      </c>
      <c r="B385" s="7">
        <v>35400914.192</v>
      </c>
      <c r="C385" s="8">
        <v>913.648</v>
      </c>
      <c r="D385" s="11">
        <v>44883</v>
      </c>
      <c r="E385" s="21">
        <v>875.848</v>
      </c>
    </row>
    <row r="386" ht="16.5" spans="1:5">
      <c r="A386" s="7">
        <v>3045971.314</v>
      </c>
      <c r="B386" s="7">
        <v>35400914.192</v>
      </c>
      <c r="C386" s="8">
        <v>913.648</v>
      </c>
      <c r="D386" s="11">
        <v>44884</v>
      </c>
      <c r="E386" s="21">
        <v>875.758</v>
      </c>
    </row>
    <row r="387" ht="16.5" spans="1:5">
      <c r="A387" s="7">
        <v>3045971.314</v>
      </c>
      <c r="B387" s="7">
        <v>35400914.192</v>
      </c>
      <c r="C387" s="8">
        <v>913.648</v>
      </c>
      <c r="D387" s="11">
        <v>44885</v>
      </c>
      <c r="E387" s="21">
        <v>875.628</v>
      </c>
    </row>
    <row r="388" ht="16.5" spans="1:5">
      <c r="A388" s="7">
        <v>3045971.314</v>
      </c>
      <c r="B388" s="7">
        <v>35400914.192</v>
      </c>
      <c r="C388" s="8">
        <v>913.648</v>
      </c>
      <c r="D388" s="11">
        <v>44886</v>
      </c>
      <c r="E388" s="21">
        <v>875.518</v>
      </c>
    </row>
    <row r="389" ht="16.5" spans="1:5">
      <c r="A389" s="7">
        <v>3045971.314</v>
      </c>
      <c r="B389" s="7">
        <v>35400914.192</v>
      </c>
      <c r="C389" s="8">
        <v>913.648</v>
      </c>
      <c r="D389" s="11">
        <v>44887</v>
      </c>
      <c r="E389" s="23">
        <v>875.348</v>
      </c>
    </row>
    <row r="390" ht="16.5" spans="1:5">
      <c r="A390" s="7">
        <v>3045971.314</v>
      </c>
      <c r="B390" s="7">
        <v>35400914.192</v>
      </c>
      <c r="C390" s="8">
        <v>913.648</v>
      </c>
      <c r="D390" s="11">
        <v>44888</v>
      </c>
      <c r="E390" s="21">
        <v>875.158</v>
      </c>
    </row>
    <row r="391" ht="16.5" spans="1:5">
      <c r="A391" s="7">
        <v>3045971.314</v>
      </c>
      <c r="B391" s="7">
        <v>35400914.192</v>
      </c>
      <c r="C391" s="8">
        <v>913.648</v>
      </c>
      <c r="D391" s="11">
        <v>44889</v>
      </c>
      <c r="E391" s="21">
        <v>874.978</v>
      </c>
    </row>
    <row r="392" ht="16.5" spans="1:5">
      <c r="A392" s="7">
        <v>3045971.314</v>
      </c>
      <c r="B392" s="7">
        <v>35400914.192</v>
      </c>
      <c r="C392" s="8">
        <v>913.648</v>
      </c>
      <c r="D392" s="11">
        <v>44890</v>
      </c>
      <c r="E392" s="21">
        <v>874.928</v>
      </c>
    </row>
    <row r="393" ht="16.5" spans="1:5">
      <c r="A393" s="7">
        <v>3045971.314</v>
      </c>
      <c r="B393" s="7">
        <v>35400914.192</v>
      </c>
      <c r="C393" s="8">
        <v>913.648</v>
      </c>
      <c r="D393" s="11">
        <v>44891</v>
      </c>
      <c r="E393" s="21">
        <v>874.928</v>
      </c>
    </row>
    <row r="394" ht="16.5" spans="1:5">
      <c r="A394" s="7">
        <v>3045971.314</v>
      </c>
      <c r="B394" s="7">
        <v>35400914.192</v>
      </c>
      <c r="C394" s="8">
        <v>913.648</v>
      </c>
      <c r="D394" s="11">
        <v>44892</v>
      </c>
      <c r="E394" s="21">
        <v>874.678</v>
      </c>
    </row>
    <row r="395" ht="16.5" spans="1:5">
      <c r="A395" s="7">
        <v>3045971.314</v>
      </c>
      <c r="B395" s="7">
        <v>35400914.192</v>
      </c>
      <c r="C395" s="8">
        <v>913.648</v>
      </c>
      <c r="D395" s="11">
        <v>44893</v>
      </c>
      <c r="E395" s="21">
        <v>874.478</v>
      </c>
    </row>
    <row r="396" ht="16.5" spans="1:5">
      <c r="A396" s="7">
        <v>3045971.314</v>
      </c>
      <c r="B396" s="7">
        <v>35400914.192</v>
      </c>
      <c r="C396" s="8">
        <v>913.648</v>
      </c>
      <c r="D396" s="11">
        <v>44894</v>
      </c>
      <c r="E396" s="21">
        <v>874.318</v>
      </c>
    </row>
    <row r="397" ht="16.5" spans="1:5">
      <c r="A397" s="7">
        <v>3045971.314</v>
      </c>
      <c r="B397" s="7">
        <v>35400914.192</v>
      </c>
      <c r="C397" s="8">
        <v>913.648</v>
      </c>
      <c r="D397" s="11">
        <v>44895</v>
      </c>
      <c r="E397" s="21">
        <v>874.118</v>
      </c>
    </row>
    <row r="398" ht="16.5" spans="1:5">
      <c r="A398" s="7">
        <v>3045971.314</v>
      </c>
      <c r="B398" s="7">
        <v>35400914.192</v>
      </c>
      <c r="C398" s="8">
        <v>913.648</v>
      </c>
      <c r="D398" s="11">
        <v>44896</v>
      </c>
      <c r="E398" s="21">
        <v>873.978</v>
      </c>
    </row>
    <row r="399" ht="16.5" spans="1:5">
      <c r="A399" s="7">
        <v>3045971.314</v>
      </c>
      <c r="B399" s="7">
        <v>35400914.192</v>
      </c>
      <c r="C399" s="8">
        <v>913.648</v>
      </c>
      <c r="D399" s="11">
        <v>44897</v>
      </c>
      <c r="E399" s="21">
        <v>873.888</v>
      </c>
    </row>
    <row r="400" ht="16.5" spans="1:5">
      <c r="A400" s="7">
        <v>3045971.314</v>
      </c>
      <c r="B400" s="7">
        <v>35400914.192</v>
      </c>
      <c r="C400" s="8">
        <v>913.648</v>
      </c>
      <c r="D400" s="11">
        <v>44898</v>
      </c>
      <c r="E400" s="21">
        <v>873.718</v>
      </c>
    </row>
    <row r="401" ht="16.5" spans="1:5">
      <c r="A401" s="7">
        <v>3045971.314</v>
      </c>
      <c r="B401" s="7">
        <v>35400914.192</v>
      </c>
      <c r="C401" s="8">
        <v>913.648</v>
      </c>
      <c r="D401" s="11">
        <v>44899</v>
      </c>
      <c r="E401" s="21">
        <v>873.558</v>
      </c>
    </row>
    <row r="402" ht="16.5" spans="1:5">
      <c r="A402" s="7">
        <v>3045971.314</v>
      </c>
      <c r="B402" s="7">
        <v>35400914.192</v>
      </c>
      <c r="C402" s="8">
        <v>913.648</v>
      </c>
      <c r="D402" s="11">
        <v>44900</v>
      </c>
      <c r="E402" s="21">
        <v>873.418</v>
      </c>
    </row>
    <row r="403" ht="16.5" spans="1:5">
      <c r="A403" s="7">
        <v>3045971.314</v>
      </c>
      <c r="B403" s="7">
        <v>35400914.192</v>
      </c>
      <c r="C403" s="8">
        <v>913.648</v>
      </c>
      <c r="D403" s="11">
        <v>44901</v>
      </c>
      <c r="E403" s="21">
        <v>873.298</v>
      </c>
    </row>
    <row r="404" ht="16.5" spans="1:5">
      <c r="A404" s="7">
        <v>3045971.314</v>
      </c>
      <c r="B404" s="7">
        <v>35400914.192</v>
      </c>
      <c r="C404" s="8">
        <v>913.648</v>
      </c>
      <c r="D404" s="11">
        <v>44902</v>
      </c>
      <c r="E404" s="21">
        <v>873.158</v>
      </c>
    </row>
    <row r="405" ht="16.5" spans="1:5">
      <c r="A405" s="7">
        <v>3045971.314</v>
      </c>
      <c r="B405" s="7">
        <v>35400914.192</v>
      </c>
      <c r="C405" s="8">
        <v>913.648</v>
      </c>
      <c r="D405" s="11">
        <v>44903</v>
      </c>
      <c r="E405" s="21">
        <v>873.078</v>
      </c>
    </row>
    <row r="406" ht="16.5" spans="1:5">
      <c r="A406" s="7">
        <v>3045971.314</v>
      </c>
      <c r="B406" s="7">
        <v>35400914.192</v>
      </c>
      <c r="C406" s="8">
        <v>913.648</v>
      </c>
      <c r="D406" s="11">
        <v>44904</v>
      </c>
      <c r="E406" s="21">
        <v>872.958</v>
      </c>
    </row>
    <row r="407" ht="16.5" spans="1:5">
      <c r="A407" s="7">
        <v>3045971.314</v>
      </c>
      <c r="B407" s="7">
        <v>35400914.192</v>
      </c>
      <c r="C407" s="8">
        <v>913.648</v>
      </c>
      <c r="D407" s="11">
        <v>44905</v>
      </c>
      <c r="E407" s="21">
        <v>872.838</v>
      </c>
    </row>
    <row r="408" ht="16.5" spans="1:5">
      <c r="A408" s="7">
        <v>3045971.314</v>
      </c>
      <c r="B408" s="7">
        <v>35400914.192</v>
      </c>
      <c r="C408" s="8">
        <v>913.648</v>
      </c>
      <c r="D408" s="11">
        <v>44906</v>
      </c>
      <c r="E408" s="21">
        <v>872.738</v>
      </c>
    </row>
    <row r="409" ht="16.5" spans="1:5">
      <c r="A409" s="7">
        <v>3045971.314</v>
      </c>
      <c r="B409" s="7">
        <v>35400914.192</v>
      </c>
      <c r="C409" s="8">
        <v>913.648</v>
      </c>
      <c r="D409" s="11">
        <v>44907</v>
      </c>
      <c r="E409" s="21">
        <v>872.808</v>
      </c>
    </row>
    <row r="410" ht="16.5" spans="1:5">
      <c r="A410" s="7">
        <v>3045971.314</v>
      </c>
      <c r="B410" s="7">
        <v>35400914.192</v>
      </c>
      <c r="C410" s="8">
        <v>913.648</v>
      </c>
      <c r="D410" s="11">
        <v>44908</v>
      </c>
      <c r="E410" s="21">
        <v>872.418</v>
      </c>
    </row>
    <row r="411" ht="16.5" spans="1:5">
      <c r="A411" s="7">
        <v>3045971.314</v>
      </c>
      <c r="B411" s="7">
        <v>35400914.192</v>
      </c>
      <c r="C411" s="8">
        <v>913.648</v>
      </c>
      <c r="D411" s="11">
        <v>44909</v>
      </c>
      <c r="E411" s="21">
        <v>872.178</v>
      </c>
    </row>
    <row r="412" ht="16.5" spans="1:5">
      <c r="A412" s="7">
        <v>3045971.314</v>
      </c>
      <c r="B412" s="7">
        <v>35400914.192</v>
      </c>
      <c r="C412" s="8">
        <v>913.648</v>
      </c>
      <c r="D412" s="11">
        <v>44910</v>
      </c>
      <c r="E412" s="21">
        <v>871.998</v>
      </c>
    </row>
    <row r="413" ht="16.5" spans="1:5">
      <c r="A413" s="7">
        <v>3045971.314</v>
      </c>
      <c r="B413" s="7">
        <v>35400914.192</v>
      </c>
      <c r="C413" s="8">
        <v>913.648</v>
      </c>
      <c r="D413" s="11">
        <v>44911</v>
      </c>
      <c r="E413" s="21">
        <v>871.798</v>
      </c>
    </row>
    <row r="414" ht="16.5" spans="1:5">
      <c r="A414" s="7">
        <v>3045971.314</v>
      </c>
      <c r="B414" s="7">
        <v>35400914.192</v>
      </c>
      <c r="C414" s="8">
        <v>913.648</v>
      </c>
      <c r="D414" s="11">
        <v>44912</v>
      </c>
      <c r="E414" s="21">
        <v>871.598</v>
      </c>
    </row>
    <row r="415" ht="16.5" spans="1:5">
      <c r="A415" s="7">
        <v>3045971.314</v>
      </c>
      <c r="B415" s="7">
        <v>35400914.192</v>
      </c>
      <c r="C415" s="8">
        <v>913.648</v>
      </c>
      <c r="D415" s="11">
        <v>44913</v>
      </c>
      <c r="E415" s="21">
        <v>871.488</v>
      </c>
    </row>
    <row r="416" ht="16.5" spans="1:5">
      <c r="A416" s="7">
        <v>3045971.314</v>
      </c>
      <c r="B416" s="7">
        <v>35400914.192</v>
      </c>
      <c r="C416" s="8">
        <v>913.648</v>
      </c>
      <c r="D416" s="11">
        <v>44914</v>
      </c>
      <c r="E416" s="21">
        <v>871.378</v>
      </c>
    </row>
    <row r="417" ht="16.5" spans="1:5">
      <c r="A417" s="7">
        <v>3045971.314</v>
      </c>
      <c r="B417" s="7">
        <v>35400914.192</v>
      </c>
      <c r="C417" s="8">
        <v>913.648</v>
      </c>
      <c r="D417" s="11">
        <v>44915</v>
      </c>
      <c r="E417" s="21">
        <v>871.218</v>
      </c>
    </row>
    <row r="418" ht="16.5" spans="1:5">
      <c r="A418" s="7">
        <v>3045971.314</v>
      </c>
      <c r="B418" s="7">
        <v>35400914.192</v>
      </c>
      <c r="C418" s="8">
        <v>913.648</v>
      </c>
      <c r="D418" s="11">
        <v>44916</v>
      </c>
      <c r="E418" s="21">
        <v>871.088</v>
      </c>
    </row>
    <row r="419" ht="16.5" spans="1:5">
      <c r="A419" s="7">
        <v>3045971.314</v>
      </c>
      <c r="B419" s="7">
        <v>35400914.192</v>
      </c>
      <c r="C419" s="8">
        <v>913.648</v>
      </c>
      <c r="D419" s="11">
        <v>44917</v>
      </c>
      <c r="E419" s="21">
        <v>870.978</v>
      </c>
    </row>
    <row r="420" ht="16.5" spans="1:5">
      <c r="A420" s="7">
        <v>3045971.314</v>
      </c>
      <c r="B420" s="7">
        <v>35400914.192</v>
      </c>
      <c r="C420" s="8">
        <v>913.648</v>
      </c>
      <c r="D420" s="11">
        <v>44918</v>
      </c>
      <c r="E420" s="21">
        <v>870.868</v>
      </c>
    </row>
    <row r="421" ht="16.5" spans="1:5">
      <c r="A421" s="7">
        <v>3045971.314</v>
      </c>
      <c r="B421" s="7">
        <v>35400914.192</v>
      </c>
      <c r="C421" s="8">
        <v>913.648</v>
      </c>
      <c r="D421" s="11">
        <v>44919</v>
      </c>
      <c r="E421" s="21">
        <v>870.768</v>
      </c>
    </row>
    <row r="422" ht="16.5" spans="1:5">
      <c r="A422" s="7">
        <v>3045971.314</v>
      </c>
      <c r="B422" s="7">
        <v>35400914.192</v>
      </c>
      <c r="C422" s="8">
        <v>913.648</v>
      </c>
      <c r="D422" s="11">
        <v>44920</v>
      </c>
      <c r="E422" s="21">
        <v>870.658</v>
      </c>
    </row>
    <row r="423" ht="16.5" spans="1:5">
      <c r="A423" s="7">
        <v>3045971.314</v>
      </c>
      <c r="B423" s="7">
        <v>35400914.192</v>
      </c>
      <c r="C423" s="8">
        <v>913.648</v>
      </c>
      <c r="D423" s="11">
        <v>44921</v>
      </c>
      <c r="E423" s="21">
        <v>870.518</v>
      </c>
    </row>
    <row r="424" ht="16.5" spans="1:5">
      <c r="A424" s="7">
        <v>3045971.314</v>
      </c>
      <c r="B424" s="7">
        <v>35400914.192</v>
      </c>
      <c r="C424" s="8">
        <v>913.648</v>
      </c>
      <c r="D424" s="11">
        <v>44922</v>
      </c>
      <c r="E424" s="21">
        <v>870.368</v>
      </c>
    </row>
    <row r="425" ht="16.5" spans="1:5">
      <c r="A425" s="7">
        <v>3045971.314</v>
      </c>
      <c r="B425" s="7">
        <v>35400914.192</v>
      </c>
      <c r="C425" s="8">
        <v>913.648</v>
      </c>
      <c r="D425" s="11">
        <v>44923</v>
      </c>
      <c r="E425" s="21">
        <v>870.238</v>
      </c>
    </row>
    <row r="426" ht="16.5" spans="1:5">
      <c r="A426" s="7">
        <v>3045971.314</v>
      </c>
      <c r="B426" s="7">
        <v>35400914.192</v>
      </c>
      <c r="C426" s="8">
        <v>913.648</v>
      </c>
      <c r="D426" s="11">
        <v>44924</v>
      </c>
      <c r="E426" s="21">
        <v>870.108</v>
      </c>
    </row>
    <row r="427" ht="16.5" spans="1:5">
      <c r="A427" s="7">
        <v>3045971.314</v>
      </c>
      <c r="B427" s="7">
        <v>35400914.192</v>
      </c>
      <c r="C427" s="8">
        <v>913.648</v>
      </c>
      <c r="D427" s="11">
        <v>44925</v>
      </c>
      <c r="E427" s="21">
        <v>869.948</v>
      </c>
    </row>
    <row r="428" ht="16.5" spans="1:5">
      <c r="A428" s="7">
        <v>3045971.314</v>
      </c>
      <c r="B428" s="7">
        <v>35400914.192</v>
      </c>
      <c r="C428" s="8">
        <v>913.648</v>
      </c>
      <c r="D428" s="11">
        <v>44926</v>
      </c>
      <c r="E428" s="21">
        <v>869.828</v>
      </c>
    </row>
    <row r="429" ht="16.5" spans="1:5">
      <c r="A429" s="7">
        <v>3045971.314</v>
      </c>
      <c r="B429" s="7">
        <v>35400914.192</v>
      </c>
      <c r="C429" s="8">
        <v>913.648</v>
      </c>
      <c r="D429" s="11">
        <v>44927</v>
      </c>
      <c r="E429" s="21">
        <v>869.718</v>
      </c>
    </row>
    <row r="430" ht="16.5" spans="1:5">
      <c r="A430" s="7">
        <v>3045971.314</v>
      </c>
      <c r="B430" s="7">
        <v>35400914.192</v>
      </c>
      <c r="C430" s="8">
        <v>913.648</v>
      </c>
      <c r="D430" s="11">
        <v>44928</v>
      </c>
      <c r="E430" s="21">
        <v>869.618</v>
      </c>
    </row>
    <row r="431" ht="16.5" spans="1:5">
      <c r="A431" s="7">
        <v>3045971.314</v>
      </c>
      <c r="B431" s="7">
        <v>35400914.192</v>
      </c>
      <c r="C431" s="8">
        <v>913.648</v>
      </c>
      <c r="D431" s="11">
        <v>44929</v>
      </c>
      <c r="E431" s="21">
        <v>869.518</v>
      </c>
    </row>
    <row r="432" ht="16.5" spans="1:5">
      <c r="A432" s="7">
        <v>3045971.314</v>
      </c>
      <c r="B432" s="7">
        <v>35400914.192</v>
      </c>
      <c r="C432" s="8">
        <v>913.648</v>
      </c>
      <c r="D432" s="11">
        <v>44930</v>
      </c>
      <c r="E432" s="22"/>
    </row>
    <row r="433" ht="16.5" spans="1:5">
      <c r="A433" s="7">
        <v>3045971.314</v>
      </c>
      <c r="B433" s="7">
        <v>35400914.192</v>
      </c>
      <c r="C433" s="8">
        <v>913.648</v>
      </c>
      <c r="D433" s="11">
        <v>44931</v>
      </c>
      <c r="E433" s="29"/>
    </row>
    <row r="434" ht="16.5" spans="1:5">
      <c r="A434" s="7">
        <v>3045971.314</v>
      </c>
      <c r="B434" s="7">
        <v>35400914.192</v>
      </c>
      <c r="C434" s="8">
        <v>913.648</v>
      </c>
      <c r="D434" s="11">
        <v>44932</v>
      </c>
      <c r="E434" s="21"/>
    </row>
    <row r="435" ht="16.5" spans="1:5">
      <c r="A435" s="7">
        <v>3045971.314</v>
      </c>
      <c r="B435" s="7">
        <v>35400914.192</v>
      </c>
      <c r="C435" s="8">
        <v>913.648</v>
      </c>
      <c r="D435" s="11">
        <v>44933</v>
      </c>
      <c r="E435" s="21"/>
    </row>
    <row r="436" ht="16.5" spans="1:5">
      <c r="A436" s="7">
        <v>3045971.314</v>
      </c>
      <c r="B436" s="7">
        <v>35400914.192</v>
      </c>
      <c r="C436" s="8">
        <v>913.648</v>
      </c>
      <c r="D436" s="11">
        <v>44934</v>
      </c>
      <c r="E436" s="21">
        <v>869.068</v>
      </c>
    </row>
    <row r="437" ht="16.5" spans="1:5">
      <c r="A437" s="7">
        <v>3045971.314</v>
      </c>
      <c r="B437" s="7">
        <v>35400914.192</v>
      </c>
      <c r="C437" s="8">
        <v>913.648</v>
      </c>
      <c r="D437" s="11">
        <v>44935</v>
      </c>
      <c r="E437" s="21">
        <v>868.968</v>
      </c>
    </row>
    <row r="438" ht="16.5" spans="1:5">
      <c r="A438" s="7">
        <v>3045971.314</v>
      </c>
      <c r="B438" s="7">
        <v>35400914.192</v>
      </c>
      <c r="C438" s="8">
        <v>913.648</v>
      </c>
      <c r="D438" s="11">
        <v>44936</v>
      </c>
      <c r="E438" s="21">
        <v>868.878</v>
      </c>
    </row>
    <row r="439" ht="16.5" spans="1:5">
      <c r="A439" s="7">
        <v>3045971.314</v>
      </c>
      <c r="B439" s="7">
        <v>35400914.192</v>
      </c>
      <c r="C439" s="8">
        <v>913.648</v>
      </c>
      <c r="D439" s="11">
        <v>44937</v>
      </c>
      <c r="E439" s="21">
        <v>868.818</v>
      </c>
    </row>
    <row r="440" ht="16.5" spans="1:5">
      <c r="A440" s="7">
        <v>3045971.314</v>
      </c>
      <c r="B440" s="7">
        <v>35400914.192</v>
      </c>
      <c r="C440" s="8">
        <v>913.648</v>
      </c>
      <c r="D440" s="11">
        <v>44938</v>
      </c>
      <c r="E440" s="22"/>
    </row>
    <row r="441" ht="16.5" spans="1:5">
      <c r="A441" s="7">
        <v>3045971.314</v>
      </c>
      <c r="B441" s="7">
        <v>35400914.192</v>
      </c>
      <c r="C441" s="8">
        <v>913.648</v>
      </c>
      <c r="D441" s="11">
        <v>44939</v>
      </c>
      <c r="E441" s="22"/>
    </row>
    <row r="442" ht="16.5" spans="1:5">
      <c r="A442" s="7">
        <v>3045971.314</v>
      </c>
      <c r="B442" s="7">
        <v>35400914.192</v>
      </c>
      <c r="C442" s="8">
        <v>913.648</v>
      </c>
      <c r="D442" s="11">
        <v>44940</v>
      </c>
      <c r="E442" s="22"/>
    </row>
    <row r="443" ht="16.5" spans="1:5">
      <c r="A443" s="7">
        <v>3045971.314</v>
      </c>
      <c r="B443" s="7">
        <v>35400914.192</v>
      </c>
      <c r="C443" s="8">
        <v>913.648</v>
      </c>
      <c r="D443" s="11">
        <v>44941</v>
      </c>
      <c r="E443" s="22"/>
    </row>
    <row r="444" ht="16.5" spans="1:5">
      <c r="A444" s="7">
        <v>3045971.314</v>
      </c>
      <c r="B444" s="7">
        <v>35400914.192</v>
      </c>
      <c r="C444" s="8">
        <v>913.648</v>
      </c>
      <c r="D444" s="11">
        <v>44942</v>
      </c>
      <c r="E444" s="21">
        <v>868.398</v>
      </c>
    </row>
    <row r="445" ht="16.5" spans="1:5">
      <c r="A445" s="7">
        <v>3045971.314</v>
      </c>
      <c r="B445" s="7">
        <v>35400914.192</v>
      </c>
      <c r="C445" s="8">
        <v>913.648</v>
      </c>
      <c r="D445" s="11">
        <v>44943</v>
      </c>
      <c r="E445" s="21">
        <v>868.308</v>
      </c>
    </row>
    <row r="446" ht="16.5" spans="1:5">
      <c r="A446" s="7">
        <v>3045971.314</v>
      </c>
      <c r="B446" s="7">
        <v>35400914.192</v>
      </c>
      <c r="C446" s="8">
        <v>913.648</v>
      </c>
      <c r="D446" s="11">
        <v>44944</v>
      </c>
      <c r="E446" s="21">
        <v>868.238</v>
      </c>
    </row>
    <row r="447" ht="16.5" spans="1:5">
      <c r="A447" s="7">
        <v>3045971.314</v>
      </c>
      <c r="B447" s="7">
        <v>35400914.192</v>
      </c>
      <c r="C447" s="8">
        <v>913.648</v>
      </c>
      <c r="D447" s="11">
        <v>44945</v>
      </c>
      <c r="E447" s="21">
        <v>868.138</v>
      </c>
    </row>
    <row r="448" ht="16.5" spans="1:5">
      <c r="A448" s="7">
        <v>3045971.314</v>
      </c>
      <c r="B448" s="7">
        <v>35400914.192</v>
      </c>
      <c r="C448" s="8">
        <v>913.648</v>
      </c>
      <c r="D448" s="11">
        <v>44946</v>
      </c>
      <c r="E448" s="21">
        <v>868.058</v>
      </c>
    </row>
    <row r="449" ht="16.5" spans="1:5">
      <c r="A449" s="7">
        <v>3045971.314</v>
      </c>
      <c r="B449" s="7">
        <v>35400914.192</v>
      </c>
      <c r="C449" s="8">
        <v>913.648</v>
      </c>
      <c r="D449" s="11">
        <v>44947</v>
      </c>
      <c r="E449" s="21">
        <v>867.998</v>
      </c>
    </row>
    <row r="450" ht="16.5" spans="1:5">
      <c r="A450" s="7">
        <v>3045971.314</v>
      </c>
      <c r="B450" s="7">
        <v>35400914.192</v>
      </c>
      <c r="C450" s="8">
        <v>913.648</v>
      </c>
      <c r="D450" s="11">
        <v>44948</v>
      </c>
      <c r="E450" s="21">
        <v>867.898</v>
      </c>
    </row>
    <row r="451" ht="16.5" spans="1:5">
      <c r="A451" s="7">
        <v>3045971.314</v>
      </c>
      <c r="B451" s="7">
        <v>35400914.192</v>
      </c>
      <c r="C451" s="8">
        <v>913.648</v>
      </c>
      <c r="D451" s="11">
        <v>44949</v>
      </c>
      <c r="E451" s="21">
        <v>867.818</v>
      </c>
    </row>
    <row r="452" ht="16.5" spans="1:5">
      <c r="A452" s="7">
        <v>3045971.314</v>
      </c>
      <c r="B452" s="7">
        <v>35400914.192</v>
      </c>
      <c r="C452" s="8">
        <v>913.648</v>
      </c>
      <c r="D452" s="11">
        <v>44950</v>
      </c>
      <c r="E452" s="21">
        <v>867.718</v>
      </c>
    </row>
    <row r="453" ht="16.5" spans="1:5">
      <c r="A453" s="7">
        <v>3045971.314</v>
      </c>
      <c r="B453" s="7">
        <v>35400914.192</v>
      </c>
      <c r="C453" s="8">
        <v>913.648</v>
      </c>
      <c r="D453" s="11">
        <v>44951</v>
      </c>
      <c r="E453" s="21">
        <v>867.678</v>
      </c>
    </row>
    <row r="454" ht="16.5" spans="1:5">
      <c r="A454" s="7">
        <v>3045971.314</v>
      </c>
      <c r="B454" s="7">
        <v>35400914.192</v>
      </c>
      <c r="C454" s="8">
        <v>913.648</v>
      </c>
      <c r="D454" s="11">
        <v>44952</v>
      </c>
      <c r="E454" s="21">
        <v>867.588</v>
      </c>
    </row>
    <row r="455" ht="16.5" spans="1:5">
      <c r="A455" s="7">
        <v>3045971.314</v>
      </c>
      <c r="B455" s="7">
        <v>35400914.192</v>
      </c>
      <c r="C455" s="8">
        <v>913.648</v>
      </c>
      <c r="D455" s="11">
        <v>44953</v>
      </c>
      <c r="E455" s="21">
        <v>867.478</v>
      </c>
    </row>
    <row r="456" ht="16.5" spans="1:5">
      <c r="A456" s="7">
        <v>3045971.314</v>
      </c>
      <c r="B456" s="7">
        <v>35400914.192</v>
      </c>
      <c r="C456" s="8">
        <v>913.648</v>
      </c>
      <c r="D456" s="11">
        <v>44954</v>
      </c>
      <c r="E456" s="21">
        <v>867.428</v>
      </c>
    </row>
    <row r="457" ht="16.5" spans="1:5">
      <c r="A457" s="7">
        <v>3045971.314</v>
      </c>
      <c r="B457" s="7">
        <v>35400914.192</v>
      </c>
      <c r="C457" s="8">
        <v>913.648</v>
      </c>
      <c r="D457" s="11">
        <v>44955</v>
      </c>
      <c r="E457" s="21">
        <v>867.348</v>
      </c>
    </row>
    <row r="458" ht="16.5" spans="1:5">
      <c r="A458" s="7">
        <v>3045971.314</v>
      </c>
      <c r="B458" s="7">
        <v>35400914.192</v>
      </c>
      <c r="C458" s="8">
        <v>913.648</v>
      </c>
      <c r="D458" s="11">
        <v>44956</v>
      </c>
      <c r="E458" s="21">
        <v>867.278</v>
      </c>
    </row>
    <row r="459" ht="16.5" spans="1:5">
      <c r="A459" s="7">
        <v>3045971.314</v>
      </c>
      <c r="B459" s="7">
        <v>35400914.192</v>
      </c>
      <c r="C459" s="8">
        <v>913.648</v>
      </c>
      <c r="D459" s="11">
        <v>44957</v>
      </c>
      <c r="E459" s="21">
        <v>867.208</v>
      </c>
    </row>
    <row r="460" ht="16.5" spans="1:5">
      <c r="A460" s="7">
        <v>3045971.314</v>
      </c>
      <c r="B460" s="7">
        <v>35400914.192</v>
      </c>
      <c r="C460" s="8">
        <v>913.648</v>
      </c>
      <c r="D460" s="11">
        <v>44958</v>
      </c>
      <c r="E460" s="21">
        <v>867.118</v>
      </c>
    </row>
    <row r="461" ht="16.5" spans="1:5">
      <c r="A461" s="7">
        <v>3045971.314</v>
      </c>
      <c r="B461" s="7">
        <v>35400914.192</v>
      </c>
      <c r="C461" s="8">
        <v>913.648</v>
      </c>
      <c r="D461" s="11">
        <v>44959</v>
      </c>
      <c r="E461" s="23">
        <v>867.018</v>
      </c>
    </row>
    <row r="462" ht="16.5" spans="1:5">
      <c r="A462" s="7">
        <v>3045971.314</v>
      </c>
      <c r="B462" s="7">
        <v>35400914.192</v>
      </c>
      <c r="C462" s="8">
        <v>913.648</v>
      </c>
      <c r="D462" s="11">
        <v>44960</v>
      </c>
      <c r="E462" s="21">
        <v>867.038</v>
      </c>
    </row>
    <row r="463" ht="16.5" spans="1:5">
      <c r="A463" s="7">
        <v>3045971.314</v>
      </c>
      <c r="B463" s="7">
        <v>35400914.192</v>
      </c>
      <c r="C463" s="8">
        <v>913.648</v>
      </c>
      <c r="D463" s="11">
        <v>44961</v>
      </c>
      <c r="E463" s="21">
        <v>867.028</v>
      </c>
    </row>
    <row r="464" ht="16.5" spans="1:5">
      <c r="A464" s="7">
        <v>3045971.314</v>
      </c>
      <c r="B464" s="7">
        <v>35400914.192</v>
      </c>
      <c r="C464" s="8">
        <v>913.648</v>
      </c>
      <c r="D464" s="11">
        <v>44962</v>
      </c>
      <c r="E464" s="21">
        <v>867.008</v>
      </c>
    </row>
    <row r="465" ht="16.5" spans="1:5">
      <c r="A465" s="7">
        <v>3045971.314</v>
      </c>
      <c r="B465" s="7">
        <v>35400914.192</v>
      </c>
      <c r="C465" s="8">
        <v>913.648</v>
      </c>
      <c r="D465" s="11">
        <v>44963</v>
      </c>
      <c r="E465" s="21">
        <v>866.968</v>
      </c>
    </row>
    <row r="466" ht="16.5" spans="1:5">
      <c r="A466" s="7">
        <v>3045971.314</v>
      </c>
      <c r="B466" s="7">
        <v>35400914.192</v>
      </c>
      <c r="C466" s="8">
        <v>913.648</v>
      </c>
      <c r="D466" s="11">
        <v>44964</v>
      </c>
      <c r="E466" s="21">
        <v>866.858</v>
      </c>
    </row>
    <row r="467" ht="16.5" spans="1:5">
      <c r="A467" s="7">
        <v>3045971.314</v>
      </c>
      <c r="B467" s="7">
        <v>35400914.192</v>
      </c>
      <c r="C467" s="8">
        <v>913.648</v>
      </c>
      <c r="D467" s="11">
        <v>44965</v>
      </c>
      <c r="E467" s="21">
        <v>866.738</v>
      </c>
    </row>
    <row r="468" ht="16.5" spans="1:5">
      <c r="A468" s="7">
        <v>3045971.314</v>
      </c>
      <c r="B468" s="7">
        <v>35400914.192</v>
      </c>
      <c r="C468" s="8">
        <v>913.648</v>
      </c>
      <c r="D468" s="11">
        <v>44966</v>
      </c>
      <c r="E468" s="21">
        <v>866.618</v>
      </c>
    </row>
    <row r="469" ht="16.5" spans="1:5">
      <c r="A469" s="7">
        <v>3045971.314</v>
      </c>
      <c r="B469" s="7">
        <v>35400914.192</v>
      </c>
      <c r="C469" s="8">
        <v>913.648</v>
      </c>
      <c r="D469" s="11">
        <v>44967</v>
      </c>
      <c r="E469" s="21">
        <v>866.628</v>
      </c>
    </row>
    <row r="470" ht="16.5" spans="1:5">
      <c r="A470" s="7">
        <v>3045971.314</v>
      </c>
      <c r="B470" s="7">
        <v>35400914.192</v>
      </c>
      <c r="C470" s="8">
        <v>913.648</v>
      </c>
      <c r="D470" s="11">
        <v>44968</v>
      </c>
      <c r="E470" s="21">
        <v>866.508</v>
      </c>
    </row>
    <row r="471" ht="16.5" spans="1:5">
      <c r="A471" s="7">
        <v>3045971.314</v>
      </c>
      <c r="B471" s="7">
        <v>35400914.192</v>
      </c>
      <c r="C471" s="8">
        <v>913.648</v>
      </c>
      <c r="D471" s="11">
        <v>44969</v>
      </c>
      <c r="E471" s="21">
        <v>866.508</v>
      </c>
    </row>
    <row r="472" ht="16.5" spans="1:5">
      <c r="A472" s="7">
        <v>3045971.314</v>
      </c>
      <c r="B472" s="7">
        <v>35400914.192</v>
      </c>
      <c r="C472" s="8">
        <v>913.648</v>
      </c>
      <c r="D472" s="11">
        <v>44970</v>
      </c>
      <c r="E472" s="23">
        <v>866.468</v>
      </c>
    </row>
    <row r="473" ht="16.5" spans="1:5">
      <c r="A473" s="7">
        <v>3045971.314</v>
      </c>
      <c r="B473" s="7">
        <v>35400914.192</v>
      </c>
      <c r="C473" s="8">
        <v>913.648</v>
      </c>
      <c r="D473" s="11">
        <v>44971</v>
      </c>
      <c r="E473" s="21">
        <v>866.428</v>
      </c>
    </row>
    <row r="474" ht="16.5" spans="1:5">
      <c r="A474" s="7">
        <v>3045971.314</v>
      </c>
      <c r="B474" s="7">
        <v>35400914.192</v>
      </c>
      <c r="C474" s="8">
        <v>913.648</v>
      </c>
      <c r="D474" s="11">
        <v>44972</v>
      </c>
      <c r="E474" s="21">
        <v>866.398</v>
      </c>
    </row>
    <row r="475" ht="16.5" spans="1:5">
      <c r="A475" s="7">
        <v>3045971.314</v>
      </c>
      <c r="B475" s="7">
        <v>35400914.192</v>
      </c>
      <c r="C475" s="8">
        <v>913.648</v>
      </c>
      <c r="D475" s="11">
        <v>44973</v>
      </c>
      <c r="E475" s="21">
        <v>866.368</v>
      </c>
    </row>
    <row r="476" ht="16.5" spans="1:5">
      <c r="A476" s="7">
        <v>3045971.314</v>
      </c>
      <c r="B476" s="7">
        <v>35400914.192</v>
      </c>
      <c r="C476" s="8">
        <v>913.648</v>
      </c>
      <c r="D476" s="11">
        <v>44974</v>
      </c>
      <c r="E476" s="21">
        <v>866.348</v>
      </c>
    </row>
    <row r="477" ht="16.5" spans="1:5">
      <c r="A477" s="7">
        <v>3045971.314</v>
      </c>
      <c r="B477" s="7">
        <v>35400914.192</v>
      </c>
      <c r="C477" s="8">
        <v>913.648</v>
      </c>
      <c r="D477" s="11">
        <v>44975</v>
      </c>
      <c r="E477" s="21">
        <v>866.328</v>
      </c>
    </row>
    <row r="478" ht="16.5" spans="1:5">
      <c r="A478" s="7">
        <v>3045971.314</v>
      </c>
      <c r="B478" s="7">
        <v>35400914.192</v>
      </c>
      <c r="C478" s="8">
        <v>913.648</v>
      </c>
      <c r="D478" s="11">
        <v>44976</v>
      </c>
      <c r="E478" s="21">
        <v>866.268</v>
      </c>
    </row>
    <row r="479" ht="16.5" spans="1:5">
      <c r="A479" s="7">
        <v>3045971.314</v>
      </c>
      <c r="B479" s="7">
        <v>35400914.192</v>
      </c>
      <c r="C479" s="8">
        <v>913.648</v>
      </c>
      <c r="D479" s="11">
        <v>44977</v>
      </c>
      <c r="E479" s="21">
        <v>866.198</v>
      </c>
    </row>
    <row r="480" ht="16.5" spans="1:5">
      <c r="A480" s="7">
        <v>3045971.314</v>
      </c>
      <c r="B480" s="7">
        <v>35400914.192</v>
      </c>
      <c r="C480" s="8">
        <v>913.648</v>
      </c>
      <c r="D480" s="11">
        <v>44978</v>
      </c>
      <c r="E480" s="21">
        <v>866.118</v>
      </c>
    </row>
    <row r="481" ht="16.5" spans="1:5">
      <c r="A481" s="7">
        <v>3045971.314</v>
      </c>
      <c r="B481" s="7">
        <v>35400914.192</v>
      </c>
      <c r="C481" s="8">
        <v>913.648</v>
      </c>
      <c r="D481" s="11">
        <v>44979</v>
      </c>
      <c r="E481" s="21">
        <v>866.048</v>
      </c>
    </row>
    <row r="482" ht="16.5" spans="1:5">
      <c r="A482" s="7">
        <v>3045971.314</v>
      </c>
      <c r="B482" s="7">
        <v>35400914.192</v>
      </c>
      <c r="C482" s="8">
        <v>913.648</v>
      </c>
      <c r="D482" s="11">
        <v>44980</v>
      </c>
      <c r="E482" s="21">
        <v>865.998</v>
      </c>
    </row>
    <row r="483" ht="16.5" spans="1:5">
      <c r="A483" s="7">
        <v>3045971.314</v>
      </c>
      <c r="B483" s="7">
        <v>35400914.192</v>
      </c>
      <c r="C483" s="8">
        <v>913.648</v>
      </c>
      <c r="D483" s="11">
        <v>44981</v>
      </c>
      <c r="E483" s="21">
        <v>865.898</v>
      </c>
    </row>
    <row r="484" ht="16.5" spans="1:5">
      <c r="A484" s="7">
        <v>3045971.314</v>
      </c>
      <c r="B484" s="7">
        <v>35400914.192</v>
      </c>
      <c r="C484" s="8">
        <v>913.648</v>
      </c>
      <c r="D484" s="11">
        <v>44982</v>
      </c>
      <c r="E484" s="21">
        <v>865.718</v>
      </c>
    </row>
    <row r="485" ht="16.5" spans="1:5">
      <c r="A485" s="7">
        <v>3045971.314</v>
      </c>
      <c r="B485" s="7">
        <v>35400914.192</v>
      </c>
      <c r="C485" s="8">
        <v>913.648</v>
      </c>
      <c r="D485" s="11">
        <v>44983</v>
      </c>
      <c r="E485" s="21">
        <v>865.538</v>
      </c>
    </row>
    <row r="486" ht="16.5" spans="1:5">
      <c r="A486" s="7">
        <v>3045971.314</v>
      </c>
      <c r="B486" s="7">
        <v>35400914.192</v>
      </c>
      <c r="C486" s="8">
        <v>913.648</v>
      </c>
      <c r="D486" s="11">
        <v>44984</v>
      </c>
      <c r="E486" s="21">
        <v>865.378</v>
      </c>
    </row>
    <row r="487" ht="16.5" spans="1:5">
      <c r="A487" s="7">
        <v>3045971.314</v>
      </c>
      <c r="B487" s="7">
        <v>35400914.192</v>
      </c>
      <c r="C487" s="8">
        <v>913.648</v>
      </c>
      <c r="D487" s="11">
        <v>44985</v>
      </c>
      <c r="E487" s="21">
        <v>865.208</v>
      </c>
    </row>
    <row r="488" ht="16.5" spans="1:5">
      <c r="A488" s="7">
        <v>3045971.314</v>
      </c>
      <c r="B488" s="7">
        <v>35400914.192</v>
      </c>
      <c r="C488" s="8">
        <v>913.648</v>
      </c>
      <c r="D488" s="11">
        <v>44986</v>
      </c>
      <c r="E488" s="21">
        <v>865.068</v>
      </c>
    </row>
    <row r="489" ht="16.5" spans="1:5">
      <c r="A489" s="7">
        <v>3045971.314</v>
      </c>
      <c r="B489" s="7">
        <v>35400914.192</v>
      </c>
      <c r="C489" s="8">
        <v>913.648</v>
      </c>
      <c r="D489" s="11">
        <v>44987</v>
      </c>
      <c r="E489" s="21">
        <v>864.948</v>
      </c>
    </row>
    <row r="490" ht="16.5" spans="1:5">
      <c r="A490" s="7">
        <v>3045971.314</v>
      </c>
      <c r="B490" s="7">
        <v>35400914.192</v>
      </c>
      <c r="C490" s="8">
        <v>913.648</v>
      </c>
      <c r="D490" s="11">
        <v>44988</v>
      </c>
      <c r="E490" s="21">
        <v>864.808</v>
      </c>
    </row>
    <row r="491" ht="16.5" spans="1:5">
      <c r="A491" s="7">
        <v>3045971.314</v>
      </c>
      <c r="B491" s="7">
        <v>35400914.192</v>
      </c>
      <c r="C491" s="8">
        <v>913.648</v>
      </c>
      <c r="D491" s="11">
        <v>44989</v>
      </c>
      <c r="E491" s="21">
        <v>864.738</v>
      </c>
    </row>
    <row r="492" ht="16.5" spans="1:5">
      <c r="A492" s="7">
        <v>3045971.314</v>
      </c>
      <c r="B492" s="7">
        <v>35400914.192</v>
      </c>
      <c r="C492" s="8">
        <v>913.648</v>
      </c>
      <c r="D492" s="11">
        <v>44990</v>
      </c>
      <c r="E492" s="21">
        <v>864.648</v>
      </c>
    </row>
    <row r="493" ht="16.5" spans="1:5">
      <c r="A493" s="7">
        <v>3045971.314</v>
      </c>
      <c r="B493" s="7">
        <v>35400914.192</v>
      </c>
      <c r="C493" s="8">
        <v>913.648</v>
      </c>
      <c r="D493" s="11">
        <v>44991</v>
      </c>
      <c r="E493" s="21">
        <v>864.548</v>
      </c>
    </row>
    <row r="494" ht="16.5" spans="1:5">
      <c r="A494" s="7">
        <v>3045971.314</v>
      </c>
      <c r="B494" s="7">
        <v>35400914.192</v>
      </c>
      <c r="C494" s="8">
        <v>913.648</v>
      </c>
      <c r="D494" s="11">
        <v>44992</v>
      </c>
      <c r="E494" s="21">
        <v>864.458</v>
      </c>
    </row>
    <row r="495" ht="16.5" spans="1:5">
      <c r="A495" s="7">
        <v>3045971.314</v>
      </c>
      <c r="B495" s="7">
        <v>35400914.192</v>
      </c>
      <c r="C495" s="8">
        <v>913.648</v>
      </c>
      <c r="D495" s="11">
        <v>44993</v>
      </c>
      <c r="E495" s="21">
        <v>864.348</v>
      </c>
    </row>
    <row r="496" ht="16.5" spans="1:5">
      <c r="A496" s="7">
        <v>3045971.314</v>
      </c>
      <c r="B496" s="7">
        <v>35400914.192</v>
      </c>
      <c r="C496" s="8">
        <v>913.648</v>
      </c>
      <c r="D496" s="11">
        <v>44994</v>
      </c>
      <c r="E496" s="21">
        <v>864.26</v>
      </c>
    </row>
    <row r="497" ht="16.5" spans="1:5">
      <c r="A497" s="7">
        <v>3045971.314</v>
      </c>
      <c r="B497" s="7">
        <v>35400914.192</v>
      </c>
      <c r="C497" s="8">
        <v>913.648</v>
      </c>
      <c r="D497" s="11">
        <v>44995</v>
      </c>
      <c r="E497" s="21">
        <v>864.19</v>
      </c>
    </row>
    <row r="498" ht="16.5" spans="1:5">
      <c r="A498" s="7">
        <v>3045971.314</v>
      </c>
      <c r="B498" s="7">
        <v>35400914.192</v>
      </c>
      <c r="C498" s="8">
        <v>913.648</v>
      </c>
      <c r="D498" s="11">
        <v>44996</v>
      </c>
      <c r="E498" s="21">
        <v>864.09</v>
      </c>
    </row>
    <row r="499" ht="16.5" spans="1:5">
      <c r="A499" s="7">
        <v>3045971.314</v>
      </c>
      <c r="B499" s="7">
        <v>35400914.192</v>
      </c>
      <c r="C499" s="8">
        <v>913.648</v>
      </c>
      <c r="D499" s="11">
        <v>44997</v>
      </c>
      <c r="E499" s="21">
        <v>863.47</v>
      </c>
    </row>
    <row r="500" ht="16.5" spans="1:5">
      <c r="A500" s="7">
        <v>3045971.314</v>
      </c>
      <c r="B500" s="7">
        <v>35400914.192</v>
      </c>
      <c r="C500" s="8">
        <v>913.648</v>
      </c>
      <c r="D500" s="11">
        <v>44998</v>
      </c>
      <c r="E500" s="21">
        <v>863.05</v>
      </c>
    </row>
    <row r="501" ht="16.5" spans="1:5">
      <c r="A501" s="7">
        <v>3045971.314</v>
      </c>
      <c r="B501" s="7">
        <v>35400914.192</v>
      </c>
      <c r="C501" s="8">
        <v>913.648</v>
      </c>
      <c r="D501" s="11">
        <v>44999</v>
      </c>
      <c r="E501" s="21">
        <v>862.89</v>
      </c>
    </row>
    <row r="502" ht="16.5" spans="1:5">
      <c r="A502" s="7">
        <v>3045971.314</v>
      </c>
      <c r="B502" s="7">
        <v>35400914.192</v>
      </c>
      <c r="C502" s="8">
        <v>913.648</v>
      </c>
      <c r="D502" s="11">
        <v>45000</v>
      </c>
      <c r="E502" s="21">
        <v>862.73</v>
      </c>
    </row>
    <row r="503" ht="16.5" spans="1:5">
      <c r="A503" s="7">
        <v>3045971.314</v>
      </c>
      <c r="B503" s="7">
        <v>35400914.192</v>
      </c>
      <c r="C503" s="8">
        <v>913.648</v>
      </c>
      <c r="D503" s="11">
        <v>45001</v>
      </c>
      <c r="E503" s="21">
        <v>862.59</v>
      </c>
    </row>
    <row r="504" ht="16.5" spans="1:5">
      <c r="A504" s="7">
        <v>3045971.314</v>
      </c>
      <c r="B504" s="7">
        <v>35400914.192</v>
      </c>
      <c r="C504" s="8">
        <v>913.648</v>
      </c>
      <c r="D504" s="11">
        <v>45002</v>
      </c>
      <c r="E504" s="24"/>
    </row>
    <row r="505" ht="16.5" spans="1:5">
      <c r="A505" s="7">
        <v>3045971.314</v>
      </c>
      <c r="B505" s="7">
        <v>35400914.192</v>
      </c>
      <c r="C505" s="8">
        <v>913.648</v>
      </c>
      <c r="D505" s="11">
        <v>45003</v>
      </c>
      <c r="E505" s="21"/>
    </row>
    <row r="506" ht="16.5" spans="1:5">
      <c r="A506" s="7">
        <v>3045971.314</v>
      </c>
      <c r="B506" s="7">
        <v>35400914.192</v>
      </c>
      <c r="C506" s="8">
        <v>913.648</v>
      </c>
      <c r="D506" s="11">
        <v>45004</v>
      </c>
      <c r="E506" s="21">
        <v>862.52</v>
      </c>
    </row>
    <row r="507" ht="16.5" spans="1:5">
      <c r="A507" s="7">
        <v>3045971.314</v>
      </c>
      <c r="B507" s="7">
        <v>35400914.192</v>
      </c>
      <c r="C507" s="8">
        <v>913.648</v>
      </c>
      <c r="D507" s="11">
        <v>45005</v>
      </c>
      <c r="E507" s="21">
        <v>862.56</v>
      </c>
    </row>
    <row r="508" ht="16.5" spans="1:5">
      <c r="A508" s="7">
        <v>3045971.314</v>
      </c>
      <c r="B508" s="7">
        <v>35400914.192</v>
      </c>
      <c r="C508" s="8">
        <v>913.648</v>
      </c>
      <c r="D508" s="11">
        <v>45006</v>
      </c>
      <c r="E508" s="21">
        <v>862.62</v>
      </c>
    </row>
    <row r="509" ht="16.5" spans="1:5">
      <c r="A509" s="7">
        <v>3045971.314</v>
      </c>
      <c r="B509" s="7">
        <v>35400914.192</v>
      </c>
      <c r="C509" s="8">
        <v>913.648</v>
      </c>
      <c r="D509" s="11">
        <v>45007</v>
      </c>
      <c r="E509" s="21">
        <v>862.61</v>
      </c>
    </row>
    <row r="510" ht="16.5" spans="1:5">
      <c r="A510" s="7">
        <v>3045971.314</v>
      </c>
      <c r="B510" s="7">
        <v>35400914.192</v>
      </c>
      <c r="C510" s="8">
        <v>913.648</v>
      </c>
      <c r="D510" s="11">
        <v>45008</v>
      </c>
      <c r="E510" s="21">
        <v>862.6</v>
      </c>
    </row>
    <row r="511" ht="16.5" spans="1:5">
      <c r="A511" s="7">
        <v>3045971.314</v>
      </c>
      <c r="B511" s="7">
        <v>35400914.192</v>
      </c>
      <c r="C511" s="8">
        <v>913.648</v>
      </c>
      <c r="D511" s="11">
        <v>45009</v>
      </c>
      <c r="E511" s="21">
        <v>862.56</v>
      </c>
    </row>
    <row r="512" ht="16.5" spans="1:5">
      <c r="A512" s="7">
        <v>3045971.314</v>
      </c>
      <c r="B512" s="7">
        <v>35400914.192</v>
      </c>
      <c r="C512" s="8">
        <v>913.648</v>
      </c>
      <c r="D512" s="11">
        <v>45010</v>
      </c>
      <c r="E512" s="22"/>
    </row>
    <row r="513" ht="16.5" spans="1:5">
      <c r="A513" s="7">
        <v>3045971.314</v>
      </c>
      <c r="B513" s="7">
        <v>35400914.192</v>
      </c>
      <c r="C513" s="8">
        <v>913.648</v>
      </c>
      <c r="D513" s="11">
        <v>45011</v>
      </c>
      <c r="E513" s="22"/>
    </row>
    <row r="514" ht="16.5" spans="1:5">
      <c r="A514" s="7">
        <v>3045971.314</v>
      </c>
      <c r="B514" s="7">
        <v>35400914.192</v>
      </c>
      <c r="C514" s="8">
        <v>913.648</v>
      </c>
      <c r="D514" s="11">
        <v>45012</v>
      </c>
      <c r="E514" s="22"/>
    </row>
    <row r="515" ht="16.5" spans="1:5">
      <c r="A515" s="7">
        <v>3045971.314</v>
      </c>
      <c r="B515" s="7">
        <v>35400914.192</v>
      </c>
      <c r="C515" s="8">
        <v>913.648</v>
      </c>
      <c r="D515" s="11">
        <v>45013</v>
      </c>
      <c r="E515" s="22"/>
    </row>
    <row r="516" ht="16.5" spans="1:5">
      <c r="A516" s="7">
        <v>3045971.314</v>
      </c>
      <c r="B516" s="7">
        <v>35400914.192</v>
      </c>
      <c r="C516" s="8">
        <v>913.648</v>
      </c>
      <c r="D516" s="11">
        <v>45014</v>
      </c>
      <c r="E516" s="22"/>
    </row>
    <row r="517" ht="16.5" spans="1:5">
      <c r="A517" s="7">
        <v>3045971.314</v>
      </c>
      <c r="B517" s="7">
        <v>35400914.192</v>
      </c>
      <c r="C517" s="8">
        <v>913.648</v>
      </c>
      <c r="D517" s="11">
        <v>45015</v>
      </c>
      <c r="E517" s="25">
        <v>862.29</v>
      </c>
    </row>
    <row r="518" ht="16.5" spans="1:5">
      <c r="A518" s="7">
        <v>3045971.314</v>
      </c>
      <c r="B518" s="7">
        <v>35400914.192</v>
      </c>
      <c r="C518" s="8">
        <v>913.648</v>
      </c>
      <c r="D518" s="11">
        <v>45016</v>
      </c>
      <c r="E518" s="22"/>
    </row>
    <row r="519" ht="16.5" spans="1:5">
      <c r="A519" s="7">
        <v>3045971.314</v>
      </c>
      <c r="B519" s="7">
        <v>35400914.192</v>
      </c>
      <c r="C519" s="8">
        <v>913.648</v>
      </c>
      <c r="D519" s="11">
        <v>45017</v>
      </c>
      <c r="E519" s="21">
        <v>862.25</v>
      </c>
    </row>
    <row r="520" ht="16.5" spans="1:5">
      <c r="A520" s="7">
        <v>3045971.314</v>
      </c>
      <c r="B520" s="7">
        <v>35400914.192</v>
      </c>
      <c r="C520" s="8">
        <v>913.648</v>
      </c>
      <c r="D520" s="11">
        <v>45018</v>
      </c>
      <c r="E520" s="21">
        <v>862.24</v>
      </c>
    </row>
    <row r="521" ht="16.5" spans="1:5">
      <c r="A521" s="7">
        <v>3045971.314</v>
      </c>
      <c r="B521" s="7">
        <v>35400914.192</v>
      </c>
      <c r="C521" s="8">
        <v>913.648</v>
      </c>
      <c r="D521" s="11">
        <v>45019</v>
      </c>
      <c r="E521" s="21">
        <v>862.2</v>
      </c>
    </row>
    <row r="522" ht="16.5" spans="1:5">
      <c r="A522" s="7">
        <v>3045971.314</v>
      </c>
      <c r="B522" s="7">
        <v>35400914.192</v>
      </c>
      <c r="C522" s="8">
        <v>913.648</v>
      </c>
      <c r="D522" s="11">
        <v>45020</v>
      </c>
      <c r="E522" s="21">
        <v>862.13</v>
      </c>
    </row>
    <row r="523" ht="16.5" spans="1:5">
      <c r="A523" s="7">
        <v>3045971.314</v>
      </c>
      <c r="B523" s="7">
        <v>35400914.192</v>
      </c>
      <c r="C523" s="8">
        <v>913.648</v>
      </c>
      <c r="D523" s="11">
        <v>45021</v>
      </c>
      <c r="E523" s="21">
        <v>862.07</v>
      </c>
    </row>
    <row r="524" ht="16.5" spans="1:5">
      <c r="A524" s="7">
        <v>3045971.314</v>
      </c>
      <c r="B524" s="7">
        <v>35400914.192</v>
      </c>
      <c r="C524" s="8">
        <v>913.648</v>
      </c>
      <c r="D524" s="11">
        <v>45022</v>
      </c>
      <c r="E524" s="21">
        <v>861.99</v>
      </c>
    </row>
    <row r="525" ht="16.5" spans="1:5">
      <c r="A525" s="7">
        <v>3045971.314</v>
      </c>
      <c r="B525" s="7">
        <v>35400914.192</v>
      </c>
      <c r="C525" s="8">
        <v>913.648</v>
      </c>
      <c r="D525" s="11">
        <v>45023</v>
      </c>
      <c r="E525" s="21">
        <v>861.97</v>
      </c>
    </row>
    <row r="526" ht="16.5" spans="1:5">
      <c r="A526" s="7">
        <v>3045971.314</v>
      </c>
      <c r="B526" s="7">
        <v>35400914.192</v>
      </c>
      <c r="C526" s="8">
        <v>913.648</v>
      </c>
      <c r="D526" s="11">
        <v>45024</v>
      </c>
      <c r="E526" s="21">
        <v>861.93</v>
      </c>
    </row>
    <row r="527" ht="16.5" spans="1:5">
      <c r="A527" s="7">
        <v>3045971.314</v>
      </c>
      <c r="B527" s="7">
        <v>35400914.192</v>
      </c>
      <c r="C527" s="8">
        <v>913.648</v>
      </c>
      <c r="D527" s="11">
        <v>45025</v>
      </c>
      <c r="E527" s="21">
        <v>861.96</v>
      </c>
    </row>
    <row r="528" ht="16.5" spans="1:5">
      <c r="A528" s="7">
        <v>3045971.314</v>
      </c>
      <c r="B528" s="7">
        <v>35400914.192</v>
      </c>
      <c r="C528" s="8">
        <v>913.648</v>
      </c>
      <c r="D528" s="11">
        <v>45026</v>
      </c>
      <c r="E528" s="21">
        <v>861.93</v>
      </c>
    </row>
    <row r="529" ht="16.5" spans="1:5">
      <c r="A529" s="7">
        <v>3045971.314</v>
      </c>
      <c r="B529" s="7">
        <v>35400914.192</v>
      </c>
      <c r="C529" s="8">
        <v>913.648</v>
      </c>
      <c r="D529" s="11">
        <v>45027</v>
      </c>
      <c r="E529" s="21">
        <v>861.94</v>
      </c>
    </row>
    <row r="530" ht="16.5" spans="1:5">
      <c r="A530" s="7">
        <v>3045971.314</v>
      </c>
      <c r="B530" s="7">
        <v>35400914.192</v>
      </c>
      <c r="C530" s="8">
        <v>913.648</v>
      </c>
      <c r="D530" s="11">
        <v>45028</v>
      </c>
      <c r="E530" s="21">
        <v>861.95</v>
      </c>
    </row>
    <row r="531" ht="16.5" spans="1:5">
      <c r="A531" s="7">
        <v>3045971.314</v>
      </c>
      <c r="B531" s="7">
        <v>35400914.192</v>
      </c>
      <c r="C531" s="8">
        <v>913.648</v>
      </c>
      <c r="D531" s="11">
        <v>45029</v>
      </c>
      <c r="E531" s="21">
        <v>861.97</v>
      </c>
    </row>
    <row r="532" ht="16.5" spans="1:5">
      <c r="A532" s="7">
        <v>3045971.314</v>
      </c>
      <c r="B532" s="7">
        <v>35400914.192</v>
      </c>
      <c r="C532" s="8">
        <v>913.648</v>
      </c>
      <c r="D532" s="11">
        <v>45030</v>
      </c>
      <c r="E532" s="21">
        <v>861.91</v>
      </c>
    </row>
    <row r="533" ht="16.5" spans="1:5">
      <c r="A533" s="7">
        <v>3045971.314</v>
      </c>
      <c r="B533" s="7">
        <v>35400914.192</v>
      </c>
      <c r="C533" s="8">
        <v>913.648</v>
      </c>
      <c r="D533" s="11">
        <v>45031</v>
      </c>
      <c r="E533" s="21">
        <v>861.88</v>
      </c>
    </row>
    <row r="534" ht="16.5" spans="1:5">
      <c r="A534" s="7">
        <v>3045971.314</v>
      </c>
      <c r="B534" s="7">
        <v>35400914.192</v>
      </c>
      <c r="C534" s="8">
        <v>913.648</v>
      </c>
      <c r="D534" s="11">
        <v>45032</v>
      </c>
      <c r="E534" s="21">
        <v>861.9</v>
      </c>
    </row>
    <row r="535" ht="16.5" spans="1:5">
      <c r="A535" s="7">
        <v>3045971.314</v>
      </c>
      <c r="B535" s="7">
        <v>35400914.192</v>
      </c>
      <c r="C535" s="8">
        <v>913.648</v>
      </c>
      <c r="D535" s="11">
        <v>45033</v>
      </c>
      <c r="E535" s="21">
        <v>861.87</v>
      </c>
    </row>
    <row r="536" ht="16.5" spans="1:5">
      <c r="A536" s="7">
        <v>3045971.314</v>
      </c>
      <c r="B536" s="7">
        <v>35400914.192</v>
      </c>
      <c r="C536" s="8">
        <v>913.648</v>
      </c>
      <c r="D536" s="11">
        <v>45034</v>
      </c>
      <c r="E536" s="21">
        <v>861.8</v>
      </c>
    </row>
    <row r="537" ht="16.5" spans="1:5">
      <c r="A537" s="7">
        <v>3045971.314</v>
      </c>
      <c r="B537" s="7">
        <v>35400914.192</v>
      </c>
      <c r="C537" s="8">
        <v>913.648</v>
      </c>
      <c r="D537" s="11">
        <v>45035</v>
      </c>
      <c r="E537" s="21">
        <v>861.77</v>
      </c>
    </row>
    <row r="538" ht="16.5" spans="1:5">
      <c r="A538" s="7">
        <v>3045971.314</v>
      </c>
      <c r="B538" s="7">
        <v>35400914.192</v>
      </c>
      <c r="C538" s="8">
        <v>913.648</v>
      </c>
      <c r="D538" s="11">
        <v>45036</v>
      </c>
      <c r="E538" s="21">
        <v>861.72</v>
      </c>
    </row>
    <row r="539" ht="16.5" spans="1:5">
      <c r="A539" s="7">
        <v>3045971.314</v>
      </c>
      <c r="B539" s="7">
        <v>35400914.192</v>
      </c>
      <c r="C539" s="8">
        <v>913.648</v>
      </c>
      <c r="D539" s="11">
        <v>45037</v>
      </c>
      <c r="E539" s="21">
        <v>861.65</v>
      </c>
    </row>
    <row r="540" ht="16.5" spans="1:5">
      <c r="A540" s="7">
        <v>3045971.314</v>
      </c>
      <c r="B540" s="7">
        <v>35400914.192</v>
      </c>
      <c r="C540" s="8">
        <v>913.648</v>
      </c>
      <c r="D540" s="11">
        <v>45038</v>
      </c>
      <c r="E540" s="21">
        <v>861.58</v>
      </c>
    </row>
    <row r="541" ht="16.5" spans="1:5">
      <c r="A541" s="7">
        <v>3045971.314</v>
      </c>
      <c r="B541" s="7">
        <v>35400914.192</v>
      </c>
      <c r="C541" s="8">
        <v>913.648</v>
      </c>
      <c r="D541" s="11">
        <v>45039</v>
      </c>
      <c r="E541" s="21">
        <v>861.5</v>
      </c>
    </row>
    <row r="542" ht="16.5" spans="1:5">
      <c r="A542" s="7">
        <v>3045971.314</v>
      </c>
      <c r="B542" s="7">
        <v>35400914.192</v>
      </c>
      <c r="C542" s="8">
        <v>913.648</v>
      </c>
      <c r="D542" s="11">
        <v>45040</v>
      </c>
      <c r="E542" s="21">
        <v>861.44</v>
      </c>
    </row>
    <row r="543" ht="16.5" spans="1:5">
      <c r="A543" s="7">
        <v>3045971.314</v>
      </c>
      <c r="B543" s="7">
        <v>35400914.192</v>
      </c>
      <c r="C543" s="8">
        <v>913.648</v>
      </c>
      <c r="D543" s="11">
        <v>45041</v>
      </c>
      <c r="E543" s="21">
        <v>861.38</v>
      </c>
    </row>
    <row r="544" ht="16.5" spans="1:5">
      <c r="A544" s="7">
        <v>3045971.314</v>
      </c>
      <c r="B544" s="7">
        <v>35400914.192</v>
      </c>
      <c r="C544" s="8">
        <v>913.648</v>
      </c>
      <c r="D544" s="11">
        <v>45042</v>
      </c>
      <c r="E544" s="21">
        <v>861.35</v>
      </c>
    </row>
    <row r="545" ht="16.5" spans="1:5">
      <c r="A545" s="7">
        <v>3045971.314</v>
      </c>
      <c r="B545" s="7">
        <v>35400914.192</v>
      </c>
      <c r="C545" s="8">
        <v>913.648</v>
      </c>
      <c r="D545" s="11">
        <v>45043</v>
      </c>
      <c r="E545" s="21">
        <v>861.28</v>
      </c>
    </row>
    <row r="546" ht="16.5" spans="1:5">
      <c r="A546" s="7">
        <v>3045971.314</v>
      </c>
      <c r="B546" s="7">
        <v>35400914.192</v>
      </c>
      <c r="C546" s="8">
        <v>913.648</v>
      </c>
      <c r="D546" s="11">
        <v>45044</v>
      </c>
      <c r="E546" s="21">
        <v>861.19</v>
      </c>
    </row>
    <row r="547" ht="16.5" spans="1:5">
      <c r="A547" s="7">
        <v>3045971.314</v>
      </c>
      <c r="B547" s="7">
        <v>35400914.192</v>
      </c>
      <c r="C547" s="8">
        <v>913.648</v>
      </c>
      <c r="D547" s="11">
        <v>45045</v>
      </c>
      <c r="E547" s="21">
        <v>861.11</v>
      </c>
    </row>
    <row r="548" ht="16.5" spans="1:5">
      <c r="A548" s="7">
        <v>3045971.314</v>
      </c>
      <c r="B548" s="7">
        <v>35400914.192</v>
      </c>
      <c r="C548" s="8">
        <v>913.648</v>
      </c>
      <c r="D548" s="11">
        <v>45046</v>
      </c>
      <c r="E548" s="21">
        <v>861.09</v>
      </c>
    </row>
    <row r="549" ht="16.5" spans="1:5">
      <c r="A549" s="7">
        <v>3045971.314</v>
      </c>
      <c r="B549" s="7">
        <v>35400914.192</v>
      </c>
      <c r="C549" s="8">
        <v>913.648</v>
      </c>
      <c r="D549" s="11">
        <v>45047</v>
      </c>
      <c r="E549" s="21">
        <v>861.08</v>
      </c>
    </row>
    <row r="550" ht="16.5" spans="1:5">
      <c r="A550" s="7">
        <v>3045971.314</v>
      </c>
      <c r="B550" s="7">
        <v>35400914.192</v>
      </c>
      <c r="C550" s="8">
        <v>913.648</v>
      </c>
      <c r="D550" s="11">
        <v>45048</v>
      </c>
      <c r="E550" s="21">
        <v>861.01</v>
      </c>
    </row>
    <row r="551" ht="16.5" spans="1:5">
      <c r="A551" s="7">
        <v>3045971.314</v>
      </c>
      <c r="B551" s="7">
        <v>35400914.192</v>
      </c>
      <c r="C551" s="8">
        <v>913.648</v>
      </c>
      <c r="D551" s="11">
        <v>45049</v>
      </c>
      <c r="E551" s="21">
        <v>860.97</v>
      </c>
    </row>
    <row r="552" ht="16.5" spans="1:5">
      <c r="A552" s="7">
        <v>3045971.314</v>
      </c>
      <c r="B552" s="7">
        <v>35400914.192</v>
      </c>
      <c r="C552" s="8">
        <v>913.648</v>
      </c>
      <c r="D552" s="11">
        <v>45050</v>
      </c>
      <c r="E552" s="21">
        <v>860.9</v>
      </c>
    </row>
    <row r="553" ht="16.5" spans="1:5">
      <c r="A553" s="7">
        <v>3045971.314</v>
      </c>
      <c r="B553" s="7">
        <v>35400914.192</v>
      </c>
      <c r="C553" s="8">
        <v>913.648</v>
      </c>
      <c r="D553" s="11">
        <v>45051</v>
      </c>
      <c r="E553" s="21">
        <v>860.86</v>
      </c>
    </row>
    <row r="554" ht="16.5" spans="1:5">
      <c r="A554" s="7">
        <v>3045971.314</v>
      </c>
      <c r="B554" s="7">
        <v>35400914.192</v>
      </c>
      <c r="C554" s="8">
        <v>913.648</v>
      </c>
      <c r="D554" s="11">
        <v>45052</v>
      </c>
      <c r="E554" s="21">
        <v>860.81</v>
      </c>
    </row>
    <row r="555" ht="16.5" spans="1:5">
      <c r="A555" s="7">
        <v>3045971.314</v>
      </c>
      <c r="B555" s="7">
        <v>35400914.192</v>
      </c>
      <c r="C555" s="8">
        <v>913.648</v>
      </c>
      <c r="D555" s="11">
        <v>45053</v>
      </c>
      <c r="E555" s="21">
        <v>860.75</v>
      </c>
    </row>
    <row r="556" ht="16.5" spans="1:5">
      <c r="A556" s="7">
        <v>3045971.314</v>
      </c>
      <c r="B556" s="7">
        <v>35400914.192</v>
      </c>
      <c r="C556" s="8">
        <v>913.648</v>
      </c>
      <c r="D556" s="11">
        <v>45054</v>
      </c>
      <c r="E556" s="21">
        <v>860.74</v>
      </c>
    </row>
    <row r="557" ht="16.5" spans="1:5">
      <c r="A557" s="7">
        <v>3045971.314</v>
      </c>
      <c r="B557" s="7">
        <v>35400914.192</v>
      </c>
      <c r="C557" s="8">
        <v>913.648</v>
      </c>
      <c r="D557" s="11">
        <v>45055</v>
      </c>
      <c r="E557" s="21">
        <v>860.71</v>
      </c>
    </row>
    <row r="558" ht="16.5" spans="1:5">
      <c r="A558" s="7">
        <v>3045971.314</v>
      </c>
      <c r="B558" s="7">
        <v>35400914.192</v>
      </c>
      <c r="C558" s="8">
        <v>913.648</v>
      </c>
      <c r="D558" s="11">
        <v>45056</v>
      </c>
      <c r="E558" s="21">
        <v>860.66</v>
      </c>
    </row>
    <row r="559" ht="16.5" spans="1:5">
      <c r="A559" s="7">
        <v>3045971.314</v>
      </c>
      <c r="B559" s="7">
        <v>35400914.192</v>
      </c>
      <c r="C559" s="8">
        <v>913.648</v>
      </c>
      <c r="D559" s="11">
        <v>45057</v>
      </c>
      <c r="E559" s="21">
        <v>860.62</v>
      </c>
    </row>
    <row r="560" ht="16.5" spans="1:5">
      <c r="A560" s="7">
        <v>3045971.314</v>
      </c>
      <c r="B560" s="7">
        <v>35400914.192</v>
      </c>
      <c r="C560" s="8">
        <v>913.648</v>
      </c>
      <c r="D560" s="11">
        <v>45058</v>
      </c>
      <c r="E560" s="21"/>
    </row>
    <row r="561" ht="16.5" spans="1:5">
      <c r="A561" s="7">
        <v>3045971.314</v>
      </c>
      <c r="B561" s="7">
        <v>35400914.192</v>
      </c>
      <c r="C561" s="8">
        <v>913.648</v>
      </c>
      <c r="D561" s="11">
        <v>45059</v>
      </c>
      <c r="E561" s="21">
        <v>860.59</v>
      </c>
    </row>
    <row r="562" ht="16.5" spans="1:5">
      <c r="A562" s="7">
        <v>3045971.314</v>
      </c>
      <c r="B562" s="7">
        <v>35400914.192</v>
      </c>
      <c r="C562" s="8">
        <v>913.648</v>
      </c>
      <c r="D562" s="11">
        <v>45060</v>
      </c>
      <c r="E562" s="21">
        <v>860.54</v>
      </c>
    </row>
    <row r="563" ht="16.5" spans="1:5">
      <c r="A563" s="7">
        <v>3045971.314</v>
      </c>
      <c r="B563" s="7">
        <v>35400914.192</v>
      </c>
      <c r="C563" s="8">
        <v>913.648</v>
      </c>
      <c r="D563" s="11">
        <v>45061</v>
      </c>
      <c r="E563" s="21">
        <v>860.51</v>
      </c>
    </row>
    <row r="564" ht="16.5" spans="1:5">
      <c r="A564" s="7">
        <v>3045971.314</v>
      </c>
      <c r="B564" s="7">
        <v>35400914.192</v>
      </c>
      <c r="C564" s="8">
        <v>913.648</v>
      </c>
      <c r="D564" s="11">
        <v>45062</v>
      </c>
      <c r="E564" s="21">
        <v>860.49</v>
      </c>
    </row>
    <row r="565" ht="16.5" spans="1:5">
      <c r="A565" s="7">
        <v>3045971.314</v>
      </c>
      <c r="B565" s="7">
        <v>35400914.192</v>
      </c>
      <c r="C565" s="8">
        <v>913.648</v>
      </c>
      <c r="D565" s="11">
        <v>45063</v>
      </c>
      <c r="E565" s="21">
        <v>860.44</v>
      </c>
    </row>
    <row r="566" ht="16.5" spans="1:5">
      <c r="A566" s="7">
        <v>3045971.314</v>
      </c>
      <c r="B566" s="7">
        <v>35400914.192</v>
      </c>
      <c r="C566" s="8">
        <v>913.648</v>
      </c>
      <c r="D566" s="11">
        <v>45064</v>
      </c>
      <c r="E566" s="21">
        <v>860.4</v>
      </c>
    </row>
    <row r="567" ht="16.5" spans="1:5">
      <c r="A567" s="7">
        <v>3045971.314</v>
      </c>
      <c r="B567" s="7">
        <v>35400914.192</v>
      </c>
      <c r="C567" s="8">
        <v>913.648</v>
      </c>
      <c r="D567" s="11">
        <v>45065</v>
      </c>
      <c r="E567" s="21">
        <v>860.4</v>
      </c>
    </row>
    <row r="568" ht="16.5" spans="1:5">
      <c r="A568" s="7">
        <v>3045971.314</v>
      </c>
      <c r="B568" s="7">
        <v>35400914.192</v>
      </c>
      <c r="C568" s="8">
        <v>913.648</v>
      </c>
      <c r="D568" s="11">
        <v>45066</v>
      </c>
      <c r="E568" s="21">
        <v>860.39</v>
      </c>
    </row>
    <row r="569" ht="16.5" spans="1:5">
      <c r="A569" s="7">
        <v>3045971.314</v>
      </c>
      <c r="B569" s="7">
        <v>35400914.192</v>
      </c>
      <c r="C569" s="8">
        <v>913.648</v>
      </c>
      <c r="D569" s="11">
        <v>45067</v>
      </c>
      <c r="E569" s="21">
        <v>860.39</v>
      </c>
    </row>
    <row r="570" ht="16.5" spans="1:5">
      <c r="A570" s="7">
        <v>3045971.314</v>
      </c>
      <c r="B570" s="7">
        <v>35400914.192</v>
      </c>
      <c r="C570" s="8">
        <v>913.648</v>
      </c>
      <c r="D570" s="11">
        <v>45068</v>
      </c>
      <c r="E570" s="21">
        <v>860.35</v>
      </c>
    </row>
    <row r="571" ht="16.5" spans="1:5">
      <c r="A571" s="7">
        <v>3045971.314</v>
      </c>
      <c r="B571" s="7">
        <v>35400914.192</v>
      </c>
      <c r="C571" s="8">
        <v>913.648</v>
      </c>
      <c r="D571" s="11">
        <v>45069</v>
      </c>
      <c r="E571" s="21">
        <v>860.36</v>
      </c>
    </row>
    <row r="572" ht="16.5" spans="1:5">
      <c r="A572" s="7">
        <v>3045971.314</v>
      </c>
      <c r="B572" s="7">
        <v>35400914.192</v>
      </c>
      <c r="C572" s="8">
        <v>913.648</v>
      </c>
      <c r="D572" s="11">
        <v>45070</v>
      </c>
      <c r="E572" s="21">
        <v>860.32</v>
      </c>
    </row>
    <row r="573" ht="16.5" spans="1:5">
      <c r="A573" s="7">
        <v>3045971.314</v>
      </c>
      <c r="B573" s="7">
        <v>35400914.192</v>
      </c>
      <c r="C573" s="8">
        <v>913.648</v>
      </c>
      <c r="D573" s="11">
        <v>45071</v>
      </c>
      <c r="E573" s="21">
        <v>860.26</v>
      </c>
    </row>
    <row r="574" ht="16.5" spans="1:5">
      <c r="A574" s="7">
        <v>3045971.314</v>
      </c>
      <c r="B574" s="7">
        <v>35400914.192</v>
      </c>
      <c r="C574" s="8">
        <v>913.648</v>
      </c>
      <c r="D574" s="11">
        <v>45072</v>
      </c>
      <c r="E574" s="21">
        <v>860.24</v>
      </c>
    </row>
    <row r="575" ht="16.5" spans="1:5">
      <c r="A575" s="7">
        <v>3045971.314</v>
      </c>
      <c r="B575" s="7">
        <v>35400914.192</v>
      </c>
      <c r="C575" s="8">
        <v>913.648</v>
      </c>
      <c r="D575" s="11">
        <v>45073</v>
      </c>
      <c r="E575" s="21">
        <v>860.2</v>
      </c>
    </row>
    <row r="576" ht="16.5" spans="1:5">
      <c r="A576" s="7">
        <v>3045971.314</v>
      </c>
      <c r="B576" s="7">
        <v>35400914.192</v>
      </c>
      <c r="C576" s="8">
        <v>913.648</v>
      </c>
      <c r="D576" s="11">
        <v>45074</v>
      </c>
      <c r="E576" s="21">
        <v>860.06</v>
      </c>
    </row>
    <row r="577" ht="16.5" spans="1:5">
      <c r="A577" s="7">
        <v>3045971.314</v>
      </c>
      <c r="B577" s="7">
        <v>35400914.192</v>
      </c>
      <c r="C577" s="8">
        <v>913.648</v>
      </c>
      <c r="D577" s="11">
        <v>45075</v>
      </c>
      <c r="E577" s="21">
        <v>859.93</v>
      </c>
    </row>
    <row r="578" ht="16.5" spans="1:5">
      <c r="A578" s="7">
        <v>3045971.314</v>
      </c>
      <c r="B578" s="7">
        <v>35400914.192</v>
      </c>
      <c r="C578" s="8">
        <v>913.648</v>
      </c>
      <c r="D578" s="11">
        <v>45076</v>
      </c>
      <c r="E578" s="21">
        <v>859.77</v>
      </c>
    </row>
    <row r="579" ht="16.5" spans="1:5">
      <c r="A579" s="7">
        <v>3045971.314</v>
      </c>
      <c r="B579" s="7">
        <v>35400914.192</v>
      </c>
      <c r="C579" s="8">
        <v>913.648</v>
      </c>
      <c r="D579" s="11">
        <v>45077</v>
      </c>
      <c r="E579" s="21">
        <v>859.62</v>
      </c>
    </row>
    <row r="580" ht="16.5" spans="1:5">
      <c r="A580" s="7">
        <v>3045971.314</v>
      </c>
      <c r="B580" s="7">
        <v>35400914.192</v>
      </c>
      <c r="C580" s="8">
        <v>913.648</v>
      </c>
      <c r="D580" s="11">
        <v>45078</v>
      </c>
      <c r="E580" s="21">
        <v>859.41</v>
      </c>
    </row>
    <row r="581" ht="16.5" spans="1:5">
      <c r="A581" s="7">
        <v>3045971.314</v>
      </c>
      <c r="B581" s="7">
        <v>35400914.192</v>
      </c>
      <c r="C581" s="8">
        <v>913.648</v>
      </c>
      <c r="D581" s="11">
        <v>45079</v>
      </c>
      <c r="E581" s="21">
        <v>859.33</v>
      </c>
    </row>
    <row r="582" ht="16.5" spans="1:5">
      <c r="A582" s="7">
        <v>3045971.314</v>
      </c>
      <c r="B582" s="7">
        <v>35400914.192</v>
      </c>
      <c r="C582" s="8">
        <v>913.648</v>
      </c>
      <c r="D582" s="11">
        <v>45080</v>
      </c>
      <c r="E582" s="21">
        <v>859.19</v>
      </c>
    </row>
    <row r="583" ht="16.5" spans="1:5">
      <c r="A583" s="7">
        <v>3045971.314</v>
      </c>
      <c r="B583" s="7">
        <v>35400914.192</v>
      </c>
      <c r="C583" s="8">
        <v>913.648</v>
      </c>
      <c r="D583" s="11">
        <v>45081</v>
      </c>
      <c r="E583" s="21">
        <v>858.82</v>
      </c>
    </row>
    <row r="584" ht="16.5" spans="1:5">
      <c r="A584" s="7">
        <v>3045971.314</v>
      </c>
      <c r="B584" s="7">
        <v>35400914.192</v>
      </c>
      <c r="C584" s="8">
        <v>913.648</v>
      </c>
      <c r="D584" s="11">
        <v>45082</v>
      </c>
      <c r="E584" s="21">
        <v>858.4</v>
      </c>
    </row>
    <row r="585" ht="16.5" spans="1:5">
      <c r="A585" s="7">
        <v>3045971.314</v>
      </c>
      <c r="B585" s="7">
        <v>35400914.192</v>
      </c>
      <c r="C585" s="8">
        <v>913.648</v>
      </c>
      <c r="D585" s="11">
        <v>45083</v>
      </c>
      <c r="E585" s="21">
        <v>858.19</v>
      </c>
    </row>
    <row r="586" ht="16.5" spans="1:5">
      <c r="A586" s="7">
        <v>3045971.314</v>
      </c>
      <c r="B586" s="7">
        <v>35400914.192</v>
      </c>
      <c r="C586" s="8">
        <v>913.648</v>
      </c>
      <c r="D586" s="11">
        <v>45084</v>
      </c>
      <c r="E586" s="21">
        <v>857.62</v>
      </c>
    </row>
    <row r="587" ht="16.5" spans="1:5">
      <c r="A587" s="7">
        <v>3045971.314</v>
      </c>
      <c r="B587" s="7">
        <v>35400914.192</v>
      </c>
      <c r="C587" s="8">
        <v>913.648</v>
      </c>
      <c r="D587" s="11">
        <v>45085</v>
      </c>
      <c r="E587" s="21">
        <v>857.04</v>
      </c>
    </row>
    <row r="588" ht="16.5" spans="1:5">
      <c r="A588" s="7">
        <v>3045971.314</v>
      </c>
      <c r="B588" s="7">
        <v>35400914.192</v>
      </c>
      <c r="C588" s="8">
        <v>913.648</v>
      </c>
      <c r="D588" s="11">
        <v>45086</v>
      </c>
      <c r="E588" s="21">
        <v>856.68</v>
      </c>
    </row>
    <row r="589" ht="16.5" spans="1:5">
      <c r="A589" s="7">
        <v>3045971.314</v>
      </c>
      <c r="B589" s="7">
        <v>35400914.192</v>
      </c>
      <c r="C589" s="8">
        <v>913.648</v>
      </c>
      <c r="D589" s="11">
        <v>45087</v>
      </c>
      <c r="E589" s="21">
        <v>856.04</v>
      </c>
    </row>
    <row r="590" ht="16.5" spans="1:5">
      <c r="A590" s="7">
        <v>3045971.314</v>
      </c>
      <c r="B590" s="7">
        <v>35400914.192</v>
      </c>
      <c r="C590" s="8">
        <v>913.648</v>
      </c>
      <c r="D590" s="11">
        <v>45088</v>
      </c>
      <c r="E590" s="21">
        <v>855.68</v>
      </c>
    </row>
    <row r="591" ht="16.5" spans="1:5">
      <c r="A591" s="7">
        <v>3045971.314</v>
      </c>
      <c r="B591" s="7">
        <v>35400914.192</v>
      </c>
      <c r="C591" s="8">
        <v>913.648</v>
      </c>
      <c r="D591" s="11">
        <v>45089</v>
      </c>
      <c r="E591" s="21">
        <v>855.18</v>
      </c>
    </row>
    <row r="592" ht="16.5" spans="1:5">
      <c r="A592" s="7">
        <v>3045971.314</v>
      </c>
      <c r="B592" s="7">
        <v>35400914.192</v>
      </c>
      <c r="C592" s="8">
        <v>913.648</v>
      </c>
      <c r="D592" s="11">
        <v>45090</v>
      </c>
      <c r="E592" s="21">
        <v>854.64</v>
      </c>
    </row>
    <row r="593" ht="16.5" spans="1:5">
      <c r="A593" s="7">
        <v>3045971.314</v>
      </c>
      <c r="B593" s="7">
        <v>35400914.192</v>
      </c>
      <c r="C593" s="8">
        <v>913.648</v>
      </c>
      <c r="D593" s="11">
        <v>45091</v>
      </c>
      <c r="E593" s="21">
        <v>854.26</v>
      </c>
    </row>
    <row r="594" ht="16.5" spans="1:5">
      <c r="A594" s="7">
        <v>3045971.314</v>
      </c>
      <c r="B594" s="7">
        <v>35400914.192</v>
      </c>
      <c r="C594" s="8">
        <v>913.648</v>
      </c>
      <c r="D594" s="11">
        <v>45092</v>
      </c>
      <c r="E594" s="21">
        <v>853.89</v>
      </c>
    </row>
    <row r="595" ht="16.5" spans="1:5">
      <c r="A595" s="7">
        <v>3045971.314</v>
      </c>
      <c r="B595" s="7">
        <v>35400914.192</v>
      </c>
      <c r="C595" s="8">
        <v>913.648</v>
      </c>
      <c r="D595" s="11">
        <v>45093</v>
      </c>
      <c r="E595" s="21">
        <v>853.53</v>
      </c>
    </row>
    <row r="596" ht="16.5" spans="1:5">
      <c r="A596" s="7">
        <v>3045971.314</v>
      </c>
      <c r="B596" s="7">
        <v>35400914.192</v>
      </c>
      <c r="C596" s="8">
        <v>913.648</v>
      </c>
      <c r="D596" s="11">
        <v>45094</v>
      </c>
      <c r="E596" s="21">
        <v>853.33</v>
      </c>
    </row>
    <row r="597" ht="16.5" spans="1:5">
      <c r="A597" s="7">
        <v>3045971.314</v>
      </c>
      <c r="B597" s="7">
        <v>35400914.192</v>
      </c>
      <c r="C597" s="8">
        <v>913.648</v>
      </c>
      <c r="D597" s="11">
        <v>45095</v>
      </c>
      <c r="E597" s="21">
        <v>853.18</v>
      </c>
    </row>
    <row r="598" ht="16.5" spans="1:5">
      <c r="A598" s="7">
        <v>3045971.314</v>
      </c>
      <c r="B598" s="7">
        <v>35400914.192</v>
      </c>
      <c r="C598" s="8">
        <v>913.648</v>
      </c>
      <c r="D598" s="11">
        <v>45096</v>
      </c>
      <c r="E598" s="21">
        <v>852.98</v>
      </c>
    </row>
    <row r="599" ht="16.5" spans="1:5">
      <c r="A599" s="7">
        <v>3045971.314</v>
      </c>
      <c r="B599" s="7">
        <v>35400914.192</v>
      </c>
      <c r="C599" s="8">
        <v>913.648</v>
      </c>
      <c r="D599" s="11">
        <v>45097</v>
      </c>
      <c r="E599" s="21">
        <v>853.05</v>
      </c>
    </row>
    <row r="600" ht="16.5" spans="1:5">
      <c r="A600" s="7">
        <v>3045971.314</v>
      </c>
      <c r="B600" s="7">
        <v>35400914.192</v>
      </c>
      <c r="C600" s="8">
        <v>913.648</v>
      </c>
      <c r="D600" s="11">
        <v>45098</v>
      </c>
      <c r="E600" s="21">
        <v>852.83</v>
      </c>
    </row>
    <row r="601" ht="16.5" spans="1:5">
      <c r="A601" s="7">
        <v>3045971.314</v>
      </c>
      <c r="B601" s="7">
        <v>35400914.192</v>
      </c>
      <c r="C601" s="8">
        <v>913.648</v>
      </c>
      <c r="D601" s="11">
        <v>45099</v>
      </c>
      <c r="E601" s="21">
        <v>853.27</v>
      </c>
    </row>
    <row r="602" ht="16.5" spans="1:5">
      <c r="A602" s="7">
        <v>3045971.314</v>
      </c>
      <c r="B602" s="7">
        <v>35400914.192</v>
      </c>
      <c r="C602" s="8">
        <v>913.648</v>
      </c>
      <c r="D602" s="11">
        <v>45100</v>
      </c>
      <c r="E602" s="21">
        <v>853.53</v>
      </c>
    </row>
    <row r="603" ht="16.5" spans="1:5">
      <c r="A603" s="7">
        <v>3045971.314</v>
      </c>
      <c r="B603" s="7">
        <v>35400914.192</v>
      </c>
      <c r="C603" s="8">
        <v>913.648</v>
      </c>
      <c r="D603" s="11">
        <v>45101</v>
      </c>
      <c r="E603" s="21">
        <v>853.15</v>
      </c>
    </row>
    <row r="604" ht="16.5" spans="1:5">
      <c r="A604" s="7">
        <v>3045971.314</v>
      </c>
      <c r="B604" s="7">
        <v>35400914.192</v>
      </c>
      <c r="C604" s="8">
        <v>913.648</v>
      </c>
      <c r="D604" s="11">
        <v>45102</v>
      </c>
      <c r="E604" s="21">
        <v>852.88</v>
      </c>
    </row>
    <row r="605" ht="16.5" spans="1:5">
      <c r="A605" s="7">
        <v>3045971.314</v>
      </c>
      <c r="B605" s="7">
        <v>35400914.192</v>
      </c>
      <c r="C605" s="8">
        <v>913.648</v>
      </c>
      <c r="D605" s="11">
        <v>45103</v>
      </c>
      <c r="E605" s="21">
        <v>852.79</v>
      </c>
    </row>
    <row r="606" ht="16.5" spans="1:5">
      <c r="A606" s="7">
        <v>3045971.314</v>
      </c>
      <c r="B606" s="7">
        <v>35400914.192</v>
      </c>
      <c r="C606" s="8">
        <v>913.648</v>
      </c>
      <c r="D606" s="11">
        <v>45104</v>
      </c>
      <c r="E606" s="21">
        <v>852.89</v>
      </c>
    </row>
    <row r="607" ht="16.5" spans="1:5">
      <c r="A607" s="7">
        <v>3045971.314</v>
      </c>
      <c r="B607" s="7">
        <v>35400914.192</v>
      </c>
      <c r="C607" s="8">
        <v>913.648</v>
      </c>
      <c r="D607" s="11">
        <v>45105</v>
      </c>
      <c r="E607" s="21">
        <v>852.85</v>
      </c>
    </row>
    <row r="608" ht="16.5" spans="1:5">
      <c r="A608" s="7">
        <v>3045971.314</v>
      </c>
      <c r="B608" s="7">
        <v>35400914.192</v>
      </c>
      <c r="C608" s="8">
        <v>913.648</v>
      </c>
      <c r="D608" s="11">
        <v>45106</v>
      </c>
      <c r="E608" s="21">
        <v>852.93</v>
      </c>
    </row>
    <row r="609" ht="16.5" spans="1:5">
      <c r="A609" s="7">
        <v>3045971.314</v>
      </c>
      <c r="B609" s="7">
        <v>35400914.192</v>
      </c>
      <c r="C609" s="8">
        <v>913.648</v>
      </c>
      <c r="D609" s="11">
        <v>45107</v>
      </c>
      <c r="E609" s="21">
        <v>852.79</v>
      </c>
    </row>
    <row r="610" ht="16.5" spans="1:5">
      <c r="A610" s="7">
        <v>3045971.314</v>
      </c>
      <c r="B610" s="7">
        <v>35400914.192</v>
      </c>
      <c r="C610" s="8">
        <v>913.648</v>
      </c>
      <c r="D610" s="11">
        <v>45108</v>
      </c>
      <c r="E610" s="21">
        <v>851.3</v>
      </c>
    </row>
    <row r="611" ht="16.5" spans="1:5">
      <c r="A611" s="7">
        <v>3045971.314</v>
      </c>
      <c r="B611" s="7">
        <v>35400914.192</v>
      </c>
      <c r="C611" s="8">
        <v>913.648</v>
      </c>
      <c r="D611" s="11">
        <v>45109</v>
      </c>
      <c r="E611" s="21">
        <v>851.16</v>
      </c>
    </row>
    <row r="612" ht="16.5" spans="1:5">
      <c r="A612" s="7">
        <v>3045971.314</v>
      </c>
      <c r="B612" s="7">
        <v>35400914.192</v>
      </c>
      <c r="C612" s="8">
        <v>913.648</v>
      </c>
      <c r="D612" s="11">
        <v>45110</v>
      </c>
      <c r="E612" s="21">
        <v>850.92</v>
      </c>
    </row>
    <row r="613" ht="16.5" spans="1:5">
      <c r="A613" s="7">
        <v>3045971.314</v>
      </c>
      <c r="B613" s="7">
        <v>35400914.192</v>
      </c>
      <c r="C613" s="8">
        <v>913.648</v>
      </c>
      <c r="D613" s="11">
        <v>45111</v>
      </c>
      <c r="E613" s="21">
        <v>850.78</v>
      </c>
    </row>
    <row r="614" ht="16.5" spans="1:5">
      <c r="A614" s="7">
        <v>3045971.314</v>
      </c>
      <c r="B614" s="7">
        <v>35400914.192</v>
      </c>
      <c r="C614" s="8">
        <v>913.648</v>
      </c>
      <c r="D614" s="11">
        <v>45112</v>
      </c>
      <c r="E614" s="21">
        <v>851.17</v>
      </c>
    </row>
    <row r="615" ht="16.5" spans="1:5">
      <c r="A615" s="7">
        <v>3045971.314</v>
      </c>
      <c r="B615" s="7">
        <v>35400914.192</v>
      </c>
      <c r="C615" s="8">
        <v>913.648</v>
      </c>
      <c r="D615" s="11">
        <v>45113</v>
      </c>
      <c r="E615" s="21">
        <v>851.19</v>
      </c>
    </row>
    <row r="616" ht="16.5" spans="1:5">
      <c r="A616" s="7">
        <v>3045971.314</v>
      </c>
      <c r="B616" s="7">
        <v>35400914.192</v>
      </c>
      <c r="C616" s="8">
        <v>913.648</v>
      </c>
      <c r="D616" s="11">
        <v>45114</v>
      </c>
      <c r="E616" s="21">
        <v>851.09</v>
      </c>
    </row>
    <row r="617" ht="16.5" spans="1:5">
      <c r="A617" s="7">
        <v>3045971.314</v>
      </c>
      <c r="B617" s="7">
        <v>35400914.192</v>
      </c>
      <c r="C617" s="8">
        <v>913.648</v>
      </c>
      <c r="D617" s="11">
        <v>45115</v>
      </c>
      <c r="E617" s="21">
        <v>851.73</v>
      </c>
    </row>
    <row r="618" ht="16.5" spans="1:5">
      <c r="A618" s="7">
        <v>3045971.314</v>
      </c>
      <c r="B618" s="7">
        <v>35400914.192</v>
      </c>
      <c r="C618" s="8">
        <v>913.648</v>
      </c>
      <c r="D618" s="11">
        <v>45116</v>
      </c>
      <c r="E618" s="21">
        <v>852.16</v>
      </c>
    </row>
    <row r="619" ht="16.5" spans="1:5">
      <c r="A619" s="7">
        <v>3045971.314</v>
      </c>
      <c r="B619" s="7">
        <v>35400914.192</v>
      </c>
      <c r="C619" s="8">
        <v>913.648</v>
      </c>
      <c r="D619" s="11">
        <v>45117</v>
      </c>
      <c r="E619" s="21">
        <v>852.73</v>
      </c>
    </row>
    <row r="620" ht="16.5" spans="1:5">
      <c r="A620" s="7">
        <v>3045971.314</v>
      </c>
      <c r="B620" s="7">
        <v>35400914.192</v>
      </c>
      <c r="C620" s="8">
        <v>913.648</v>
      </c>
      <c r="D620" s="11">
        <v>45118</v>
      </c>
      <c r="E620" s="21">
        <v>853.11</v>
      </c>
    </row>
    <row r="621" ht="16.5" spans="1:5">
      <c r="A621" s="7">
        <v>3045971.314</v>
      </c>
      <c r="B621" s="7">
        <v>35400914.192</v>
      </c>
      <c r="C621" s="8">
        <v>913.648</v>
      </c>
      <c r="D621" s="11">
        <v>45119</v>
      </c>
      <c r="E621" s="21">
        <v>852.85</v>
      </c>
    </row>
    <row r="622" ht="16.5" spans="1:5">
      <c r="A622" s="7">
        <v>3045971.314</v>
      </c>
      <c r="B622" s="7">
        <v>35400914.192</v>
      </c>
      <c r="C622" s="8">
        <v>913.648</v>
      </c>
      <c r="D622" s="11">
        <v>45120</v>
      </c>
      <c r="E622" s="21">
        <v>852.78</v>
      </c>
    </row>
    <row r="623" ht="16.5" spans="1:5">
      <c r="A623" s="7">
        <v>3045971.314</v>
      </c>
      <c r="B623" s="7">
        <v>35400914.192</v>
      </c>
      <c r="C623" s="8">
        <v>913.648</v>
      </c>
      <c r="D623" s="11">
        <v>45121</v>
      </c>
      <c r="E623" s="21">
        <v>852.84</v>
      </c>
    </row>
    <row r="624" ht="16.5" spans="1:5">
      <c r="A624" s="7">
        <v>3045971.314</v>
      </c>
      <c r="B624" s="7">
        <v>35400914.192</v>
      </c>
      <c r="C624" s="8">
        <v>913.648</v>
      </c>
      <c r="D624" s="11">
        <v>45122</v>
      </c>
      <c r="E624" s="21">
        <v>853.63</v>
      </c>
    </row>
    <row r="625" ht="16.5" spans="1:5">
      <c r="A625" s="7">
        <v>3045971.314</v>
      </c>
      <c r="B625" s="7">
        <v>35400914.192</v>
      </c>
      <c r="C625" s="8">
        <v>913.648</v>
      </c>
      <c r="D625" s="11">
        <v>45123</v>
      </c>
      <c r="E625" s="21">
        <v>854.18</v>
      </c>
    </row>
    <row r="626" ht="16.5" spans="1:5">
      <c r="A626" s="7">
        <v>3045971.314</v>
      </c>
      <c r="B626" s="7">
        <v>35400914.192</v>
      </c>
      <c r="C626" s="8">
        <v>913.648</v>
      </c>
      <c r="D626" s="11">
        <v>45124</v>
      </c>
      <c r="E626" s="21">
        <v>854.75</v>
      </c>
    </row>
    <row r="627" ht="16.5" spans="1:5">
      <c r="A627" s="7">
        <v>3045971.314</v>
      </c>
      <c r="B627" s="7">
        <v>35400914.192</v>
      </c>
      <c r="C627" s="8">
        <v>913.648</v>
      </c>
      <c r="D627" s="11">
        <v>45125</v>
      </c>
      <c r="E627" s="21">
        <v>855.28</v>
      </c>
    </row>
    <row r="628" ht="16.5" spans="1:5">
      <c r="A628" s="7">
        <v>3045971.314</v>
      </c>
      <c r="B628" s="7">
        <v>35400914.192</v>
      </c>
      <c r="C628" s="8">
        <v>913.648</v>
      </c>
      <c r="D628" s="11">
        <v>45126</v>
      </c>
      <c r="E628" s="21">
        <v>855.52</v>
      </c>
    </row>
    <row r="629" ht="16.5" spans="1:5">
      <c r="A629" s="7">
        <v>3045971.314</v>
      </c>
      <c r="B629" s="7">
        <v>35400914.192</v>
      </c>
      <c r="C629" s="8">
        <v>913.648</v>
      </c>
      <c r="D629" s="11">
        <v>45127</v>
      </c>
      <c r="E629" s="21">
        <v>855.43</v>
      </c>
    </row>
    <row r="630" ht="16.5" spans="1:5">
      <c r="A630" s="7">
        <v>3045971.314</v>
      </c>
      <c r="B630" s="7">
        <v>35400914.192</v>
      </c>
      <c r="C630" s="8">
        <v>913.648</v>
      </c>
      <c r="D630" s="11">
        <v>45128</v>
      </c>
      <c r="E630" s="21">
        <v>855.57</v>
      </c>
    </row>
    <row r="631" ht="16.5" spans="1:5">
      <c r="A631" s="7">
        <v>3045971.314</v>
      </c>
      <c r="B631" s="7">
        <v>35400914.192</v>
      </c>
      <c r="C631" s="8">
        <v>913.648</v>
      </c>
      <c r="D631" s="11">
        <v>45129</v>
      </c>
      <c r="E631" s="21">
        <v>855.67</v>
      </c>
    </row>
    <row r="632" ht="16.5" spans="1:5">
      <c r="A632" s="7">
        <v>3045971.314</v>
      </c>
      <c r="B632" s="7">
        <v>35400914.192</v>
      </c>
      <c r="C632" s="8">
        <v>913.648</v>
      </c>
      <c r="D632" s="11">
        <v>45130</v>
      </c>
      <c r="E632" s="21">
        <v>855.75</v>
      </c>
    </row>
    <row r="633" ht="16.5" spans="1:5">
      <c r="A633" s="7">
        <v>3045971.314</v>
      </c>
      <c r="B633" s="7">
        <v>35400914.192</v>
      </c>
      <c r="C633" s="8">
        <v>913.648</v>
      </c>
      <c r="D633" s="11">
        <v>45131</v>
      </c>
      <c r="E633" s="21">
        <v>855.84</v>
      </c>
    </row>
    <row r="634" ht="16.5" spans="1:5">
      <c r="A634" s="7">
        <v>3045971.314</v>
      </c>
      <c r="B634" s="7">
        <v>35400914.192</v>
      </c>
      <c r="C634" s="8">
        <v>913.648</v>
      </c>
      <c r="D634" s="11">
        <v>45132</v>
      </c>
      <c r="E634" s="21">
        <v>856</v>
      </c>
    </row>
    <row r="635" ht="16.5" spans="1:5">
      <c r="A635" s="7">
        <v>3045971.314</v>
      </c>
      <c r="B635" s="7">
        <v>35400914.192</v>
      </c>
      <c r="C635" s="8">
        <v>913.648</v>
      </c>
      <c r="D635" s="11">
        <v>45133</v>
      </c>
      <c r="E635" s="21">
        <v>856.27</v>
      </c>
    </row>
    <row r="636" ht="16.5" spans="1:5">
      <c r="A636" s="7">
        <v>3045971.314</v>
      </c>
      <c r="B636" s="7">
        <v>35400914.192</v>
      </c>
      <c r="C636" s="8">
        <v>913.648</v>
      </c>
      <c r="D636" s="11">
        <v>45134</v>
      </c>
      <c r="E636" s="21">
        <v>856.5</v>
      </c>
    </row>
    <row r="637" ht="16.5" spans="1:5">
      <c r="A637" s="7">
        <v>3045971.314</v>
      </c>
      <c r="B637" s="7">
        <v>35400914.192</v>
      </c>
      <c r="C637" s="8">
        <v>913.648</v>
      </c>
      <c r="D637" s="11">
        <v>45135</v>
      </c>
      <c r="E637" s="21">
        <v>856.77</v>
      </c>
    </row>
    <row r="638" ht="16.5" spans="1:5">
      <c r="A638" s="7">
        <v>3045971.314</v>
      </c>
      <c r="B638" s="7">
        <v>35400914.192</v>
      </c>
      <c r="C638" s="8">
        <v>913.648</v>
      </c>
      <c r="D638" s="11">
        <v>45136</v>
      </c>
      <c r="E638" s="21">
        <v>857.37</v>
      </c>
    </row>
    <row r="639" ht="16.5" spans="1:5">
      <c r="A639" s="7">
        <v>3045971.314</v>
      </c>
      <c r="B639" s="7">
        <v>35400914.192</v>
      </c>
      <c r="C639" s="8">
        <v>913.648</v>
      </c>
      <c r="D639" s="11">
        <v>45137</v>
      </c>
      <c r="E639" s="21">
        <v>857.77</v>
      </c>
    </row>
    <row r="640" ht="16.5" spans="1:5">
      <c r="A640" s="7">
        <v>3045971.314</v>
      </c>
      <c r="B640" s="7">
        <v>35400914.192</v>
      </c>
      <c r="C640" s="8">
        <v>913.648</v>
      </c>
      <c r="D640" s="11">
        <v>45138</v>
      </c>
      <c r="E640" s="21">
        <v>858.1</v>
      </c>
    </row>
    <row r="641" ht="16.5" spans="1:5">
      <c r="A641" s="7">
        <v>3045971.314</v>
      </c>
      <c r="B641" s="7">
        <v>35400914.192</v>
      </c>
      <c r="C641" s="8">
        <v>913.648</v>
      </c>
      <c r="D641" s="11">
        <v>45139</v>
      </c>
      <c r="E641" s="21">
        <v>858.28</v>
      </c>
    </row>
    <row r="642" ht="16.5" spans="1:5">
      <c r="A642" s="7">
        <v>3045971.314</v>
      </c>
      <c r="B642" s="7">
        <v>35400914.192</v>
      </c>
      <c r="C642" s="8">
        <v>913.648</v>
      </c>
      <c r="D642" s="11">
        <v>45140</v>
      </c>
      <c r="E642" s="21">
        <v>858.54</v>
      </c>
    </row>
    <row r="643" ht="16.5" spans="1:5">
      <c r="A643" s="7">
        <v>3045971.314</v>
      </c>
      <c r="B643" s="7">
        <v>35400914.192</v>
      </c>
      <c r="C643" s="8">
        <v>913.648</v>
      </c>
      <c r="D643" s="11">
        <v>45141</v>
      </c>
      <c r="E643" s="21">
        <v>858.928</v>
      </c>
    </row>
    <row r="644" ht="16.5" spans="1:5">
      <c r="A644" s="7">
        <v>3045971.314</v>
      </c>
      <c r="B644" s="7">
        <v>35400914.192</v>
      </c>
      <c r="C644" s="8">
        <v>913.648</v>
      </c>
      <c r="D644" s="11">
        <v>45142</v>
      </c>
      <c r="E644" s="21">
        <v>859.802</v>
      </c>
    </row>
    <row r="645" ht="16.5" spans="1:5">
      <c r="A645" s="7">
        <v>3045971.314</v>
      </c>
      <c r="B645" s="7">
        <v>35400914.192</v>
      </c>
      <c r="C645" s="8">
        <v>913.648</v>
      </c>
      <c r="D645" s="11">
        <v>45143</v>
      </c>
      <c r="E645" s="21">
        <v>862.148</v>
      </c>
    </row>
    <row r="646" ht="16.5" spans="1:5">
      <c r="A646" s="7">
        <v>3045971.314</v>
      </c>
      <c r="B646" s="7">
        <v>35400914.192</v>
      </c>
      <c r="C646" s="8">
        <v>913.648</v>
      </c>
      <c r="D646" s="11">
        <v>45144</v>
      </c>
      <c r="E646" s="21">
        <v>864.094</v>
      </c>
    </row>
    <row r="647" ht="16.5" spans="1:5">
      <c r="A647" s="7">
        <v>3045971.314</v>
      </c>
      <c r="B647" s="7">
        <v>35400914.192</v>
      </c>
      <c r="C647" s="8">
        <v>913.648</v>
      </c>
      <c r="D647" s="11">
        <v>45145</v>
      </c>
      <c r="E647" s="21">
        <v>865.791</v>
      </c>
    </row>
    <row r="648" ht="16.5" spans="1:5">
      <c r="A648" s="7">
        <v>3045971.314</v>
      </c>
      <c r="B648" s="7">
        <v>35400914.192</v>
      </c>
      <c r="C648" s="8">
        <v>913.648</v>
      </c>
      <c r="D648" s="11">
        <v>45146</v>
      </c>
      <c r="E648" s="21">
        <v>867.255</v>
      </c>
    </row>
    <row r="649" ht="16.5" spans="1:5">
      <c r="A649" s="7">
        <v>3045971.314</v>
      </c>
      <c r="B649" s="7">
        <v>35400914.192</v>
      </c>
      <c r="C649" s="8">
        <v>913.648</v>
      </c>
      <c r="D649" s="11">
        <v>45147</v>
      </c>
      <c r="E649" s="21">
        <v>868.434</v>
      </c>
    </row>
    <row r="650" ht="16.5" spans="1:5">
      <c r="A650" s="7">
        <v>3045971.314</v>
      </c>
      <c r="B650" s="7">
        <v>35400914.192</v>
      </c>
      <c r="C650" s="8">
        <v>913.648</v>
      </c>
      <c r="D650" s="11">
        <v>45148</v>
      </c>
      <c r="E650" s="22"/>
    </row>
    <row r="651" ht="16.5" spans="1:5">
      <c r="A651" s="7">
        <v>3045971.314</v>
      </c>
      <c r="B651" s="7">
        <v>35400914.192</v>
      </c>
      <c r="C651" s="8">
        <v>913.648</v>
      </c>
      <c r="D651" s="11">
        <v>45149</v>
      </c>
      <c r="E651" s="21">
        <v>870.163</v>
      </c>
    </row>
    <row r="652" ht="16.5" spans="1:5">
      <c r="A652" s="7">
        <v>3045971.314</v>
      </c>
      <c r="B652" s="7">
        <v>35400914.192</v>
      </c>
      <c r="C652" s="8">
        <v>913.648</v>
      </c>
      <c r="D652" s="11">
        <v>45150</v>
      </c>
      <c r="E652" s="21">
        <v>870.796</v>
      </c>
    </row>
    <row r="653" ht="16.5" spans="1:5">
      <c r="A653" s="7">
        <v>3045971.314</v>
      </c>
      <c r="B653" s="7">
        <v>35400914.192</v>
      </c>
      <c r="C653" s="8">
        <v>913.648</v>
      </c>
      <c r="D653" s="11">
        <v>45151</v>
      </c>
      <c r="E653" s="21">
        <v>871.304</v>
      </c>
    </row>
    <row r="654" ht="16.5" spans="1:5">
      <c r="A654" s="7">
        <v>3045971.314</v>
      </c>
      <c r="B654" s="7">
        <v>35400914.192</v>
      </c>
      <c r="C654" s="8">
        <v>913.648</v>
      </c>
      <c r="D654" s="11">
        <v>45152</v>
      </c>
      <c r="E654" s="21">
        <v>871.736</v>
      </c>
    </row>
    <row r="655" ht="16.5" spans="1:5">
      <c r="A655" s="7">
        <v>3045971.314</v>
      </c>
      <c r="B655" s="7">
        <v>35400914.192</v>
      </c>
      <c r="C655" s="8">
        <v>913.648</v>
      </c>
      <c r="D655" s="11">
        <v>45153</v>
      </c>
      <c r="E655" s="25">
        <v>872.072</v>
      </c>
    </row>
    <row r="656" ht="16.5" spans="1:5">
      <c r="A656" s="7">
        <v>3045971.314</v>
      </c>
      <c r="B656" s="7">
        <v>35400914.192</v>
      </c>
      <c r="C656" s="8">
        <v>913.648</v>
      </c>
      <c r="D656" s="11">
        <v>45154</v>
      </c>
      <c r="E656" s="21">
        <v>872.291</v>
      </c>
    </row>
    <row r="657" ht="16.5" spans="1:5">
      <c r="A657" s="7">
        <v>3045971.314</v>
      </c>
      <c r="B657" s="7">
        <v>35400914.192</v>
      </c>
      <c r="C657" s="8">
        <v>913.648</v>
      </c>
      <c r="D657" s="11">
        <v>45155</v>
      </c>
      <c r="E657" s="21">
        <v>872.414</v>
      </c>
    </row>
    <row r="658" ht="16.5" spans="1:5">
      <c r="A658" s="7">
        <v>3045971.314</v>
      </c>
      <c r="B658" s="7">
        <v>35400914.192</v>
      </c>
      <c r="C658" s="8">
        <v>913.648</v>
      </c>
      <c r="D658" s="11">
        <v>45156</v>
      </c>
      <c r="E658" s="21">
        <v>872.496</v>
      </c>
    </row>
    <row r="659" ht="16.5" spans="1:5">
      <c r="A659" s="7">
        <v>3045971.314</v>
      </c>
      <c r="B659" s="7">
        <v>35400914.192</v>
      </c>
      <c r="C659" s="8">
        <v>913.648</v>
      </c>
      <c r="D659" s="11">
        <v>45157</v>
      </c>
      <c r="E659" s="21">
        <v>872.569</v>
      </c>
    </row>
    <row r="660" ht="16.5" spans="1:5">
      <c r="A660" s="7">
        <v>3045971.314</v>
      </c>
      <c r="B660" s="7">
        <v>35400914.192</v>
      </c>
      <c r="C660" s="8">
        <v>913.648</v>
      </c>
      <c r="D660" s="11">
        <v>45158</v>
      </c>
      <c r="E660" s="21">
        <v>872.771</v>
      </c>
    </row>
    <row r="661" ht="16.5" spans="1:5">
      <c r="A661" s="7">
        <v>3045971.314</v>
      </c>
      <c r="B661" s="7">
        <v>35400914.192</v>
      </c>
      <c r="C661" s="8">
        <v>913.648</v>
      </c>
      <c r="D661" s="11">
        <v>45159</v>
      </c>
      <c r="E661" s="21">
        <v>872.95</v>
      </c>
    </row>
    <row r="662" ht="16.5" spans="1:5">
      <c r="A662" s="7">
        <v>3045971.314</v>
      </c>
      <c r="B662" s="7">
        <v>35400914.192</v>
      </c>
      <c r="C662" s="8">
        <v>913.648</v>
      </c>
      <c r="D662" s="11">
        <v>45160</v>
      </c>
      <c r="E662" s="21">
        <v>873.111</v>
      </c>
    </row>
    <row r="663" ht="16.5" spans="1:5">
      <c r="A663" s="7">
        <v>3045971.314</v>
      </c>
      <c r="B663" s="7">
        <v>35400914.192</v>
      </c>
      <c r="C663" s="8">
        <v>913.648</v>
      </c>
      <c r="D663" s="11">
        <v>45161</v>
      </c>
      <c r="E663" s="21">
        <v>873.216</v>
      </c>
    </row>
    <row r="664" ht="16.5" spans="1:5">
      <c r="A664" s="7">
        <v>3045971.314</v>
      </c>
      <c r="B664" s="7">
        <v>35400914.192</v>
      </c>
      <c r="C664" s="8">
        <v>913.648</v>
      </c>
      <c r="D664" s="11">
        <v>45162</v>
      </c>
      <c r="E664" s="21">
        <v>873.467</v>
      </c>
    </row>
    <row r="665" ht="16.5" spans="1:5">
      <c r="A665" s="7">
        <v>3045971.314</v>
      </c>
      <c r="B665" s="7">
        <v>35400914.192</v>
      </c>
      <c r="C665" s="8">
        <v>913.648</v>
      </c>
      <c r="D665" s="11">
        <v>45163</v>
      </c>
      <c r="E665" s="21">
        <v>874.323</v>
      </c>
    </row>
    <row r="666" ht="16.5" spans="1:5">
      <c r="A666" s="7">
        <v>3045971.314</v>
      </c>
      <c r="B666" s="7">
        <v>35400914.192</v>
      </c>
      <c r="C666" s="8">
        <v>913.648</v>
      </c>
      <c r="D666" s="11">
        <v>45164</v>
      </c>
      <c r="E666" s="21">
        <v>874.969</v>
      </c>
    </row>
    <row r="667" ht="16.5" spans="1:5">
      <c r="A667" s="7">
        <v>3045971.314</v>
      </c>
      <c r="B667" s="7">
        <v>35400914.192</v>
      </c>
      <c r="C667" s="8">
        <v>913.648</v>
      </c>
      <c r="D667" s="11">
        <v>45165</v>
      </c>
      <c r="E667" s="21">
        <v>875.68</v>
      </c>
    </row>
    <row r="668" ht="16.5" spans="1:5">
      <c r="A668" s="7">
        <v>3045971.314</v>
      </c>
      <c r="B668" s="7">
        <v>35400914.192</v>
      </c>
      <c r="C668" s="8">
        <v>913.648</v>
      </c>
      <c r="D668" s="11">
        <v>45166</v>
      </c>
      <c r="E668" s="21">
        <v>876.292</v>
      </c>
    </row>
    <row r="669" ht="16.5" spans="1:5">
      <c r="A669" s="7">
        <v>3045971.314</v>
      </c>
      <c r="B669" s="7">
        <v>35400914.192</v>
      </c>
      <c r="C669" s="8">
        <v>913.648</v>
      </c>
      <c r="D669" s="11">
        <v>45167</v>
      </c>
      <c r="E669" s="21">
        <v>876.895</v>
      </c>
    </row>
    <row r="670" ht="16.5" spans="1:5">
      <c r="A670" s="7">
        <v>3045971.314</v>
      </c>
      <c r="B670" s="7">
        <v>35400914.192</v>
      </c>
      <c r="C670" s="8">
        <v>913.648</v>
      </c>
      <c r="D670" s="11">
        <v>45168</v>
      </c>
      <c r="E670" s="21">
        <v>877.395</v>
      </c>
    </row>
    <row r="671" ht="16.5" spans="1:5">
      <c r="A671" s="7">
        <v>3045971.314</v>
      </c>
      <c r="B671" s="7">
        <v>35400914.192</v>
      </c>
      <c r="C671" s="8">
        <v>913.648</v>
      </c>
      <c r="D671" s="11">
        <v>45169</v>
      </c>
      <c r="E671" s="21">
        <v>878.388</v>
      </c>
    </row>
    <row r="672" ht="16.5" spans="1:5">
      <c r="A672" s="7">
        <v>3045971.314</v>
      </c>
      <c r="B672" s="7">
        <v>35400914.192</v>
      </c>
      <c r="C672" s="8">
        <v>913.648</v>
      </c>
      <c r="D672" s="11">
        <v>45170</v>
      </c>
      <c r="E672" s="21">
        <v>878.388</v>
      </c>
    </row>
    <row r="673" ht="16.5" spans="1:5">
      <c r="A673" s="7">
        <v>3045971.314</v>
      </c>
      <c r="B673" s="7">
        <v>35400914.192</v>
      </c>
      <c r="C673" s="8">
        <v>913.648</v>
      </c>
      <c r="D673" s="11">
        <v>45171</v>
      </c>
      <c r="E673" s="21">
        <v>878.843</v>
      </c>
    </row>
    <row r="674" ht="16.5" spans="1:5">
      <c r="A674" s="7">
        <v>3045971.314</v>
      </c>
      <c r="B674" s="7">
        <v>35400914.192</v>
      </c>
      <c r="C674" s="8">
        <v>913.648</v>
      </c>
      <c r="D674" s="11">
        <v>45172</v>
      </c>
      <c r="E674" s="21">
        <v>879.247</v>
      </c>
    </row>
    <row r="675" ht="16.5" spans="1:5">
      <c r="A675" s="7">
        <v>3045971.314</v>
      </c>
      <c r="B675" s="7">
        <v>35400914.192</v>
      </c>
      <c r="C675" s="8">
        <v>913.648</v>
      </c>
      <c r="D675" s="11">
        <v>45173</v>
      </c>
      <c r="E675" s="21">
        <v>879.507</v>
      </c>
    </row>
    <row r="676" ht="16.5" spans="1:5">
      <c r="A676" s="7">
        <v>3045971.314</v>
      </c>
      <c r="B676" s="7">
        <v>35400914.192</v>
      </c>
      <c r="C676" s="8">
        <v>913.648</v>
      </c>
      <c r="D676" s="11">
        <v>45174</v>
      </c>
      <c r="E676" s="21">
        <v>879.731</v>
      </c>
    </row>
    <row r="677" ht="16.5" spans="1:5">
      <c r="A677" s="7">
        <v>3045971.314</v>
      </c>
      <c r="B677" s="7">
        <v>35400914.192</v>
      </c>
      <c r="C677" s="8">
        <v>913.648</v>
      </c>
      <c r="D677" s="11">
        <v>45175</v>
      </c>
      <c r="E677" s="21">
        <v>879.816</v>
      </c>
    </row>
    <row r="678" ht="16.5" spans="1:5">
      <c r="A678" s="7">
        <v>3045971.314</v>
      </c>
      <c r="B678" s="7">
        <v>35400914.192</v>
      </c>
      <c r="C678" s="8">
        <v>913.648</v>
      </c>
      <c r="D678" s="11">
        <v>45176</v>
      </c>
      <c r="E678" s="21">
        <v>879.877</v>
      </c>
    </row>
    <row r="679" ht="16.5" spans="1:5">
      <c r="A679" s="7">
        <v>3045971.314</v>
      </c>
      <c r="B679" s="7">
        <v>35400914.192</v>
      </c>
      <c r="C679" s="8">
        <v>913.648</v>
      </c>
      <c r="D679" s="11">
        <v>45177</v>
      </c>
      <c r="E679" s="21">
        <v>879.936</v>
      </c>
    </row>
    <row r="680" ht="16.5" spans="1:5">
      <c r="A680" s="7">
        <v>3045971.314</v>
      </c>
      <c r="B680" s="7">
        <v>35400914.192</v>
      </c>
      <c r="C680" s="8">
        <v>913.648</v>
      </c>
      <c r="D680" s="11">
        <v>45178</v>
      </c>
      <c r="E680" s="21">
        <v>879.916</v>
      </c>
    </row>
    <row r="681" ht="16.5" spans="1:5">
      <c r="A681" s="7">
        <v>3045971.314</v>
      </c>
      <c r="B681" s="7">
        <v>35400914.192</v>
      </c>
      <c r="C681" s="8">
        <v>913.648</v>
      </c>
      <c r="D681" s="11">
        <v>45179</v>
      </c>
      <c r="E681" s="21">
        <v>879.876</v>
      </c>
    </row>
    <row r="682" ht="16.5" spans="1:5">
      <c r="A682" s="7">
        <v>3045971.314</v>
      </c>
      <c r="B682" s="7">
        <v>35400914.192</v>
      </c>
      <c r="C682" s="8">
        <v>913.648</v>
      </c>
      <c r="D682" s="11">
        <v>45180</v>
      </c>
      <c r="E682" s="21"/>
    </row>
    <row r="683" ht="16.5" spans="1:5">
      <c r="A683" s="7">
        <v>3045971.314</v>
      </c>
      <c r="B683" s="7">
        <v>35400914.192</v>
      </c>
      <c r="C683" s="8">
        <v>913.648</v>
      </c>
      <c r="D683" s="11">
        <v>45181</v>
      </c>
      <c r="E683" s="21"/>
    </row>
    <row r="684" ht="16.5" spans="1:5">
      <c r="A684" s="7">
        <v>3045971.314</v>
      </c>
      <c r="B684" s="7">
        <v>35400914.192</v>
      </c>
      <c r="C684" s="8">
        <v>913.648</v>
      </c>
      <c r="D684" s="11">
        <v>45182</v>
      </c>
      <c r="E684" s="21"/>
    </row>
    <row r="685" ht="16.5" spans="1:5">
      <c r="A685" s="7">
        <v>3045971.314</v>
      </c>
      <c r="B685" s="7">
        <v>35400914.192</v>
      </c>
      <c r="C685" s="8">
        <v>913.648</v>
      </c>
      <c r="D685" s="11">
        <v>45183</v>
      </c>
      <c r="E685" s="21">
        <v>880.125</v>
      </c>
    </row>
    <row r="686" ht="16.5" spans="1:5">
      <c r="A686" s="7">
        <v>3045971.314</v>
      </c>
      <c r="B686" s="7">
        <v>35400914.192</v>
      </c>
      <c r="C686" s="8">
        <v>913.648</v>
      </c>
      <c r="D686" s="11">
        <v>45184</v>
      </c>
      <c r="E686" s="22"/>
    </row>
    <row r="687" ht="16.5" spans="1:5">
      <c r="A687" s="7">
        <v>3045971.314</v>
      </c>
      <c r="B687" s="7">
        <v>35400914.192</v>
      </c>
      <c r="C687" s="8">
        <v>913.648</v>
      </c>
      <c r="D687" s="11">
        <v>45185</v>
      </c>
      <c r="E687" s="22"/>
    </row>
    <row r="688" ht="16.5" spans="1:5">
      <c r="A688" s="7">
        <v>3045971.314</v>
      </c>
      <c r="B688" s="7">
        <v>35400914.192</v>
      </c>
      <c r="C688" s="8">
        <v>913.648</v>
      </c>
      <c r="D688" s="11">
        <v>45186</v>
      </c>
      <c r="E688" s="22"/>
    </row>
    <row r="689" ht="16.5" spans="1:5">
      <c r="A689" s="7">
        <v>3045971.314</v>
      </c>
      <c r="B689" s="7">
        <v>35400914.192</v>
      </c>
      <c r="C689" s="8">
        <v>913.648</v>
      </c>
      <c r="D689" s="11">
        <v>45187</v>
      </c>
      <c r="E689" s="22"/>
    </row>
    <row r="690" ht="16.5" spans="1:5">
      <c r="A690" s="7">
        <v>3045971.314</v>
      </c>
      <c r="B690" s="7">
        <v>35400914.192</v>
      </c>
      <c r="C690" s="8">
        <v>913.648</v>
      </c>
      <c r="D690" s="11">
        <v>45188</v>
      </c>
      <c r="E690" s="22"/>
    </row>
    <row r="691" ht="16.5" spans="1:5">
      <c r="A691" s="7">
        <v>3045971.314</v>
      </c>
      <c r="B691" s="7">
        <v>35400914.192</v>
      </c>
      <c r="C691" s="8">
        <v>913.648</v>
      </c>
      <c r="D691" s="11">
        <v>45189</v>
      </c>
      <c r="E691" s="21">
        <v>878.291</v>
      </c>
    </row>
    <row r="692" ht="16.5" spans="1:5">
      <c r="A692" s="7">
        <v>3045971.314</v>
      </c>
      <c r="B692" s="7">
        <v>35400914.192</v>
      </c>
      <c r="C692" s="8">
        <v>913.648</v>
      </c>
      <c r="D692" s="11">
        <v>45190</v>
      </c>
      <c r="E692" s="21">
        <v>878.013</v>
      </c>
    </row>
    <row r="693" ht="16.5" spans="1:5">
      <c r="A693" s="7">
        <v>3045971.314</v>
      </c>
      <c r="B693" s="7">
        <v>35400914.192</v>
      </c>
      <c r="C693" s="8">
        <v>913.648</v>
      </c>
      <c r="D693" s="11">
        <v>45191</v>
      </c>
      <c r="E693" s="21">
        <v>877.782</v>
      </c>
    </row>
    <row r="694" ht="16.5" spans="1:5">
      <c r="A694" s="7">
        <v>3045971.314</v>
      </c>
      <c r="B694" s="7">
        <v>35400914.192</v>
      </c>
      <c r="C694" s="8">
        <v>913.648</v>
      </c>
      <c r="D694" s="11">
        <v>45192</v>
      </c>
      <c r="E694" s="21">
        <v>877.511</v>
      </c>
    </row>
    <row r="695" ht="16.5" spans="1:5">
      <c r="A695" s="7">
        <v>3045971.314</v>
      </c>
      <c r="B695" s="7">
        <v>35400914.192</v>
      </c>
      <c r="C695" s="8">
        <v>913.648</v>
      </c>
      <c r="D695" s="11">
        <v>45193</v>
      </c>
      <c r="E695" s="21">
        <v>877.234</v>
      </c>
    </row>
    <row r="696" ht="16.5" spans="1:5">
      <c r="A696" s="7">
        <v>3045971.314</v>
      </c>
      <c r="B696" s="7">
        <v>35400914.192</v>
      </c>
      <c r="C696" s="8">
        <v>913.648</v>
      </c>
      <c r="D696" s="11">
        <v>45194</v>
      </c>
      <c r="E696" s="21">
        <v>876.887</v>
      </c>
    </row>
    <row r="697" ht="16.5" spans="1:5">
      <c r="A697" s="7">
        <v>3045971.314</v>
      </c>
      <c r="B697" s="7">
        <v>35400914.192</v>
      </c>
      <c r="C697" s="8">
        <v>913.648</v>
      </c>
      <c r="D697" s="11">
        <v>45195</v>
      </c>
      <c r="E697" s="21">
        <v>876.508</v>
      </c>
    </row>
    <row r="698" ht="16.5" spans="1:5">
      <c r="A698" s="7">
        <v>3045971.314</v>
      </c>
      <c r="B698" s="7">
        <v>35400914.192</v>
      </c>
      <c r="C698" s="8">
        <v>913.648</v>
      </c>
      <c r="D698" s="11">
        <v>45196</v>
      </c>
      <c r="E698" s="21">
        <v>876.201</v>
      </c>
    </row>
    <row r="699" ht="16.5" spans="1:5">
      <c r="A699" s="7">
        <v>3045971.314</v>
      </c>
      <c r="B699" s="7">
        <v>35400914.192</v>
      </c>
      <c r="C699" s="8">
        <v>913.648</v>
      </c>
      <c r="D699" s="11">
        <v>45197</v>
      </c>
      <c r="E699" s="21">
        <v>875.843</v>
      </c>
    </row>
    <row r="700" ht="16.5" spans="1:5">
      <c r="A700" s="7">
        <v>3045971.314</v>
      </c>
      <c r="B700" s="7">
        <v>35400914.192</v>
      </c>
      <c r="C700" s="8">
        <v>913.648</v>
      </c>
      <c r="D700" s="11">
        <v>45198</v>
      </c>
      <c r="E700" s="21">
        <v>875.427</v>
      </c>
    </row>
    <row r="701" ht="16.5" spans="1:5">
      <c r="A701" s="7">
        <v>3045971.314</v>
      </c>
      <c r="B701" s="7">
        <v>35400914.192</v>
      </c>
      <c r="C701" s="8">
        <v>913.648</v>
      </c>
      <c r="D701" s="11">
        <v>45199</v>
      </c>
      <c r="E701" s="21">
        <v>875.138</v>
      </c>
    </row>
    <row r="702" ht="16.5" spans="1:5">
      <c r="A702" s="7">
        <v>3045971.314</v>
      </c>
      <c r="B702" s="7">
        <v>35400914.192</v>
      </c>
      <c r="C702" s="8">
        <v>913.648</v>
      </c>
      <c r="D702" s="11">
        <v>45200</v>
      </c>
      <c r="E702" s="21">
        <v>874.843</v>
      </c>
    </row>
    <row r="703" ht="16.5" spans="1:5">
      <c r="A703" s="7">
        <v>3045971.314</v>
      </c>
      <c r="B703" s="7">
        <v>35400914.192</v>
      </c>
      <c r="C703" s="8">
        <v>913.648</v>
      </c>
      <c r="D703" s="11">
        <v>45201</v>
      </c>
      <c r="E703" s="21">
        <v>874.587</v>
      </c>
    </row>
    <row r="704" ht="16.5" spans="1:5">
      <c r="A704" s="7">
        <v>3045971.314</v>
      </c>
      <c r="B704" s="7">
        <v>35400914.192</v>
      </c>
      <c r="C704" s="8">
        <v>913.648</v>
      </c>
      <c r="D704" s="11">
        <v>45202</v>
      </c>
      <c r="E704" s="21">
        <v>874.313</v>
      </c>
    </row>
    <row r="705" ht="16.5" spans="1:5">
      <c r="A705" s="7">
        <v>3045971.314</v>
      </c>
      <c r="B705" s="7">
        <v>35400914.192</v>
      </c>
      <c r="C705" s="8">
        <v>913.648</v>
      </c>
      <c r="D705" s="11">
        <v>45203</v>
      </c>
      <c r="E705" s="21">
        <v>874.058</v>
      </c>
    </row>
    <row r="706" ht="16.5" spans="1:5">
      <c r="A706" s="7">
        <v>3045971.314</v>
      </c>
      <c r="B706" s="7">
        <v>35400914.192</v>
      </c>
      <c r="C706" s="8">
        <v>913.648</v>
      </c>
      <c r="D706" s="11">
        <v>45204</v>
      </c>
      <c r="E706" s="21">
        <v>873.814</v>
      </c>
    </row>
    <row r="707" ht="16.5" spans="1:5">
      <c r="A707" s="7">
        <v>3045971.314</v>
      </c>
      <c r="B707" s="7">
        <v>35400914.192</v>
      </c>
      <c r="C707" s="8">
        <v>913.648</v>
      </c>
      <c r="D707" s="11">
        <v>45205</v>
      </c>
      <c r="E707" s="21">
        <v>873.814</v>
      </c>
    </row>
    <row r="708" ht="16.5" spans="1:5">
      <c r="A708" s="7">
        <v>3045971.314</v>
      </c>
      <c r="B708" s="7">
        <v>35400914.192</v>
      </c>
      <c r="C708" s="8">
        <v>913.648</v>
      </c>
      <c r="D708" s="11">
        <v>45206</v>
      </c>
      <c r="E708" s="21">
        <v>873.308</v>
      </c>
    </row>
    <row r="709" ht="16.5" spans="1:5">
      <c r="A709" s="7">
        <v>3045971.314</v>
      </c>
      <c r="B709" s="7">
        <v>35400914.192</v>
      </c>
      <c r="C709" s="8">
        <v>913.648</v>
      </c>
      <c r="D709" s="11">
        <v>45207</v>
      </c>
      <c r="E709" s="21">
        <v>873.075</v>
      </c>
    </row>
    <row r="710" ht="16.5" spans="1:5">
      <c r="A710" s="7">
        <v>3045971.314</v>
      </c>
      <c r="B710" s="7">
        <v>35400914.192</v>
      </c>
      <c r="C710" s="8">
        <v>913.648</v>
      </c>
      <c r="D710" s="11">
        <v>45208</v>
      </c>
      <c r="E710" s="21">
        <v>872.803</v>
      </c>
    </row>
    <row r="711" ht="16.5" spans="1:5">
      <c r="A711" s="7">
        <v>3045971.314</v>
      </c>
      <c r="B711" s="7">
        <v>35400914.192</v>
      </c>
      <c r="C711" s="8">
        <v>913.648</v>
      </c>
      <c r="D711" s="11">
        <v>45209</v>
      </c>
      <c r="E711" s="21">
        <v>872.581</v>
      </c>
    </row>
    <row r="712" ht="16.5" spans="1:5">
      <c r="A712" s="7">
        <v>3045971.314</v>
      </c>
      <c r="B712" s="7">
        <v>35400914.192</v>
      </c>
      <c r="C712" s="8">
        <v>913.648</v>
      </c>
      <c r="D712" s="11">
        <v>45210</v>
      </c>
      <c r="E712" s="21">
        <v>872.507</v>
      </c>
    </row>
    <row r="713" ht="16.5" spans="1:5">
      <c r="A713" s="7">
        <v>3045971.314</v>
      </c>
      <c r="B713" s="7">
        <v>35400914.192</v>
      </c>
      <c r="C713" s="8">
        <v>913.648</v>
      </c>
      <c r="D713" s="11">
        <v>45211</v>
      </c>
      <c r="E713" s="21">
        <v>872.343</v>
      </c>
    </row>
    <row r="714" ht="16.5" spans="1:5">
      <c r="A714" s="7">
        <v>3045971.314</v>
      </c>
      <c r="B714" s="7">
        <v>35400914.192</v>
      </c>
      <c r="C714" s="8">
        <v>913.648</v>
      </c>
      <c r="D714" s="11">
        <v>45212</v>
      </c>
      <c r="E714" s="21">
        <v>872.237</v>
      </c>
    </row>
    <row r="715" ht="16.5" spans="1:5">
      <c r="A715" s="7">
        <v>3045971.314</v>
      </c>
      <c r="B715" s="7">
        <v>35400914.192</v>
      </c>
      <c r="C715" s="8">
        <v>913.648</v>
      </c>
      <c r="D715" s="11">
        <v>45213</v>
      </c>
      <c r="E715" s="21">
        <v>872.138</v>
      </c>
    </row>
    <row r="716" ht="16.5" spans="1:5">
      <c r="A716" s="7">
        <v>3045971.314</v>
      </c>
      <c r="B716" s="7">
        <v>35400914.192</v>
      </c>
      <c r="C716" s="8">
        <v>913.648</v>
      </c>
      <c r="D716" s="11">
        <v>45214</v>
      </c>
      <c r="E716" s="21">
        <v>872.045</v>
      </c>
    </row>
    <row r="717" ht="16.5" spans="1:5">
      <c r="A717" s="7">
        <v>3045971.314</v>
      </c>
      <c r="B717" s="7">
        <v>35400914.192</v>
      </c>
      <c r="C717" s="8">
        <v>913.648</v>
      </c>
      <c r="D717" s="11">
        <v>45215</v>
      </c>
      <c r="E717" s="21">
        <v>871.943</v>
      </c>
    </row>
    <row r="718" ht="16.5" spans="1:5">
      <c r="A718" s="7">
        <v>3045971.314</v>
      </c>
      <c r="B718" s="7">
        <v>35400914.192</v>
      </c>
      <c r="C718" s="8">
        <v>913.648</v>
      </c>
      <c r="D718" s="11">
        <v>45216</v>
      </c>
      <c r="E718" s="21">
        <v>871.825</v>
      </c>
    </row>
    <row r="719" ht="16.5" spans="1:5">
      <c r="A719" s="7">
        <v>3045971.314</v>
      </c>
      <c r="B719" s="7">
        <v>35400914.192</v>
      </c>
      <c r="C719" s="8">
        <v>913.648</v>
      </c>
      <c r="D719" s="11">
        <v>45217</v>
      </c>
      <c r="E719" s="21">
        <v>871.707</v>
      </c>
    </row>
    <row r="720" ht="16.5" spans="1:5">
      <c r="A720" s="7">
        <v>3045971.314</v>
      </c>
      <c r="B720" s="7">
        <v>35400914.192</v>
      </c>
      <c r="C720" s="8">
        <v>913.648</v>
      </c>
      <c r="D720" s="11">
        <v>45218</v>
      </c>
      <c r="E720" s="21"/>
    </row>
    <row r="721" ht="16.5" spans="1:5">
      <c r="A721" s="7">
        <v>3045971.314</v>
      </c>
      <c r="B721" s="7">
        <v>35400914.192</v>
      </c>
      <c r="C721" s="8">
        <v>913.648</v>
      </c>
      <c r="D721" s="11">
        <v>45219</v>
      </c>
      <c r="E721" s="21">
        <v>871.407</v>
      </c>
    </row>
    <row r="722" ht="16.5" spans="1:5">
      <c r="A722" s="7">
        <v>3045971.314</v>
      </c>
      <c r="B722" s="7">
        <v>35400914.192</v>
      </c>
      <c r="C722" s="8">
        <v>913.648</v>
      </c>
      <c r="D722" s="11">
        <v>45220</v>
      </c>
      <c r="E722" s="21">
        <v>871.274</v>
      </c>
    </row>
    <row r="723" ht="16.5" spans="1:5">
      <c r="A723" s="7">
        <v>3045971.314</v>
      </c>
      <c r="B723" s="7">
        <v>35400914.192</v>
      </c>
      <c r="C723" s="8">
        <v>913.648</v>
      </c>
      <c r="D723" s="11">
        <v>45221</v>
      </c>
      <c r="E723" s="21">
        <v>871.134</v>
      </c>
    </row>
    <row r="724" ht="16.5" spans="1:5">
      <c r="A724" s="7">
        <v>3045971.314</v>
      </c>
      <c r="B724" s="7">
        <v>35400914.192</v>
      </c>
      <c r="C724" s="8">
        <v>913.648</v>
      </c>
      <c r="D724" s="11">
        <v>45222</v>
      </c>
      <c r="E724" s="21">
        <v>871.02</v>
      </c>
    </row>
    <row r="725" ht="16.5" spans="1:5">
      <c r="A725" s="7">
        <v>3045971.314</v>
      </c>
      <c r="B725" s="7">
        <v>35400914.192</v>
      </c>
      <c r="C725" s="8">
        <v>913.648</v>
      </c>
      <c r="D725" s="11">
        <v>45223</v>
      </c>
      <c r="E725" s="21">
        <v>870.873</v>
      </c>
    </row>
    <row r="726" ht="16.5" spans="1:5">
      <c r="A726" s="7">
        <v>3045971.314</v>
      </c>
      <c r="B726" s="7">
        <v>35400914.192</v>
      </c>
      <c r="C726" s="8">
        <v>913.648</v>
      </c>
      <c r="D726" s="11">
        <v>45224</v>
      </c>
      <c r="E726" s="21">
        <v>870.731</v>
      </c>
    </row>
    <row r="727" ht="16.5" spans="1:5">
      <c r="A727" s="7">
        <v>3045971.314</v>
      </c>
      <c r="B727" s="7">
        <v>35400914.192</v>
      </c>
      <c r="C727" s="8">
        <v>913.648</v>
      </c>
      <c r="D727" s="11">
        <v>45225</v>
      </c>
      <c r="E727" s="21">
        <v>870.555</v>
      </c>
    </row>
    <row r="728" ht="16.5" spans="1:5">
      <c r="A728" s="7">
        <v>3045971.314</v>
      </c>
      <c r="B728" s="7">
        <v>35400914.192</v>
      </c>
      <c r="C728" s="8">
        <v>913.648</v>
      </c>
      <c r="D728" s="11">
        <v>45226</v>
      </c>
      <c r="E728" s="21">
        <v>870.41</v>
      </c>
    </row>
    <row r="729" ht="16.5" spans="1:5">
      <c r="A729" s="7">
        <v>3045971.314</v>
      </c>
      <c r="B729" s="7">
        <v>35400914.192</v>
      </c>
      <c r="C729" s="8">
        <v>913.648</v>
      </c>
      <c r="D729" s="11">
        <v>45227</v>
      </c>
      <c r="E729" s="21">
        <v>870.29</v>
      </c>
    </row>
    <row r="730" ht="16.5" spans="1:5">
      <c r="A730" s="7">
        <v>3045971.314</v>
      </c>
      <c r="B730" s="7">
        <v>35400914.192</v>
      </c>
      <c r="C730" s="8">
        <v>913.648</v>
      </c>
      <c r="D730" s="11">
        <v>45228</v>
      </c>
      <c r="E730" s="21">
        <v>870.14</v>
      </c>
    </row>
    <row r="731" ht="16.5" spans="1:5">
      <c r="A731" s="7">
        <v>3045971.314</v>
      </c>
      <c r="B731" s="7">
        <v>35400914.192</v>
      </c>
      <c r="C731" s="8">
        <v>913.648</v>
      </c>
      <c r="D731" s="11">
        <v>45229</v>
      </c>
      <c r="E731" s="21">
        <v>869.99</v>
      </c>
    </row>
    <row r="732" ht="16.5" spans="1:5">
      <c r="A732" s="7">
        <v>3045971.314</v>
      </c>
      <c r="B732" s="7">
        <v>35400914.192</v>
      </c>
      <c r="C732" s="8">
        <v>913.648</v>
      </c>
      <c r="D732" s="11">
        <v>45230</v>
      </c>
      <c r="E732" s="21">
        <v>869.87</v>
      </c>
    </row>
    <row r="733" ht="16.5" spans="1:5">
      <c r="A733" s="7">
        <v>3045971.314</v>
      </c>
      <c r="B733" s="7">
        <v>35400914.192</v>
      </c>
      <c r="C733" s="8">
        <v>913.648</v>
      </c>
      <c r="D733" s="11">
        <v>45231</v>
      </c>
      <c r="E733" s="21">
        <v>869.72</v>
      </c>
    </row>
    <row r="734" ht="16.5" spans="1:5">
      <c r="A734" s="7">
        <v>3045971.314</v>
      </c>
      <c r="B734" s="7">
        <v>35400914.192</v>
      </c>
      <c r="C734" s="8">
        <v>913.648</v>
      </c>
      <c r="D734" s="11">
        <v>45232</v>
      </c>
      <c r="E734" s="21">
        <v>869.544</v>
      </c>
    </row>
    <row r="735" ht="16.5" spans="1:5">
      <c r="A735" s="7">
        <v>3045971.314</v>
      </c>
      <c r="B735" s="7">
        <v>35400914.192</v>
      </c>
      <c r="C735" s="8">
        <v>913.648</v>
      </c>
      <c r="D735" s="11">
        <v>45233</v>
      </c>
      <c r="E735" s="21">
        <v>869.35</v>
      </c>
    </row>
    <row r="736" ht="16.5" spans="1:5">
      <c r="A736" s="7">
        <v>3045971.314</v>
      </c>
      <c r="B736" s="7">
        <v>35400914.192</v>
      </c>
      <c r="C736" s="8">
        <v>913.648</v>
      </c>
      <c r="D736" s="11">
        <v>45234</v>
      </c>
      <c r="E736" s="21">
        <v>869.18</v>
      </c>
    </row>
    <row r="737" ht="16.5" spans="1:5">
      <c r="A737" s="7">
        <v>3045971.314</v>
      </c>
      <c r="B737" s="7">
        <v>35400914.192</v>
      </c>
      <c r="C737" s="8">
        <v>913.648</v>
      </c>
      <c r="D737" s="11">
        <v>45235</v>
      </c>
      <c r="E737" s="21">
        <v>868.99</v>
      </c>
    </row>
    <row r="738" ht="16.5" spans="1:5">
      <c r="A738" s="7">
        <v>3045971.314</v>
      </c>
      <c r="B738" s="7">
        <v>35400914.192</v>
      </c>
      <c r="C738" s="8">
        <v>913.648</v>
      </c>
      <c r="D738" s="11">
        <v>45236</v>
      </c>
      <c r="E738" s="21">
        <v>868.78</v>
      </c>
    </row>
    <row r="739" ht="16.5" spans="1:5">
      <c r="A739" s="7">
        <v>3045971.314</v>
      </c>
      <c r="B739" s="7">
        <v>35400914.192</v>
      </c>
      <c r="C739" s="8">
        <v>913.648</v>
      </c>
      <c r="D739" s="11">
        <v>45237</v>
      </c>
      <c r="E739" s="21">
        <v>868.58</v>
      </c>
    </row>
    <row r="740" ht="16.5" spans="1:5">
      <c r="A740" s="7">
        <v>3045971.314</v>
      </c>
      <c r="B740" s="7">
        <v>35400914.192</v>
      </c>
      <c r="C740" s="8">
        <v>913.648</v>
      </c>
      <c r="D740" s="11">
        <v>45238</v>
      </c>
      <c r="E740" s="21">
        <v>868.34</v>
      </c>
    </row>
    <row r="741" ht="16.5" spans="1:5">
      <c r="A741" s="7">
        <v>3045971.314</v>
      </c>
      <c r="B741" s="7">
        <v>35400914.192</v>
      </c>
      <c r="C741" s="8">
        <v>913.648</v>
      </c>
      <c r="D741" s="11">
        <v>45239</v>
      </c>
      <c r="E741" s="21">
        <v>868.12</v>
      </c>
    </row>
    <row r="742" ht="16.5" spans="1:5">
      <c r="A742" s="7">
        <v>3045971.314</v>
      </c>
      <c r="B742" s="7">
        <v>35400914.192</v>
      </c>
      <c r="C742" s="8">
        <v>913.648</v>
      </c>
      <c r="D742" s="11">
        <v>45240</v>
      </c>
      <c r="E742" s="21">
        <v>867.872</v>
      </c>
    </row>
    <row r="743" ht="16.5" spans="1:5">
      <c r="A743" s="7">
        <v>3045971.314</v>
      </c>
      <c r="B743" s="7">
        <v>35400914.192</v>
      </c>
      <c r="C743" s="8">
        <v>913.648</v>
      </c>
      <c r="D743" s="11">
        <v>45241</v>
      </c>
      <c r="E743" s="21">
        <v>867.58</v>
      </c>
    </row>
    <row r="744" ht="16.5" spans="1:5">
      <c r="A744" s="7">
        <v>3045971.314</v>
      </c>
      <c r="B744" s="7">
        <v>35400914.192</v>
      </c>
      <c r="C744" s="8">
        <v>913.648</v>
      </c>
      <c r="D744" s="11">
        <v>45242</v>
      </c>
      <c r="E744" s="21">
        <v>867.31</v>
      </c>
    </row>
    <row r="745" ht="16.5" spans="1:5">
      <c r="A745" s="7">
        <v>3045971.314</v>
      </c>
      <c r="B745" s="7">
        <v>35400914.192</v>
      </c>
      <c r="C745" s="8">
        <v>913.648</v>
      </c>
      <c r="D745" s="11">
        <v>45243</v>
      </c>
      <c r="E745" s="21">
        <v>867.04</v>
      </c>
    </row>
    <row r="746" ht="16.5" spans="1:5">
      <c r="A746" s="7">
        <v>3045971.314</v>
      </c>
      <c r="B746" s="7">
        <v>35400914.192</v>
      </c>
      <c r="C746" s="8">
        <v>913.648</v>
      </c>
      <c r="D746" s="11">
        <v>45244</v>
      </c>
      <c r="E746" s="21">
        <v>866.82</v>
      </c>
    </row>
    <row r="747" ht="16.5" spans="1:5">
      <c r="A747" s="7">
        <v>3045971.314</v>
      </c>
      <c r="B747" s="7">
        <v>35400914.192</v>
      </c>
      <c r="C747" s="8">
        <v>913.648</v>
      </c>
      <c r="D747" s="11">
        <v>45245</v>
      </c>
      <c r="E747" s="21">
        <v>866.64</v>
      </c>
    </row>
    <row r="748" ht="16.5" spans="1:5">
      <c r="A748" s="7">
        <v>3045971.314</v>
      </c>
      <c r="B748" s="7">
        <v>35400914.192</v>
      </c>
      <c r="C748" s="8">
        <v>913.648</v>
      </c>
      <c r="D748" s="11">
        <v>45246</v>
      </c>
      <c r="E748" s="21">
        <v>866.34</v>
      </c>
    </row>
    <row r="749" ht="16.5" spans="1:5">
      <c r="A749" s="7">
        <v>3045971.314</v>
      </c>
      <c r="B749" s="7">
        <v>35400914.192</v>
      </c>
      <c r="C749" s="8">
        <v>913.648</v>
      </c>
      <c r="D749" s="11">
        <v>45247</v>
      </c>
      <c r="E749" s="21">
        <v>866.17</v>
      </c>
    </row>
    <row r="750" ht="16.5" spans="1:5">
      <c r="A750" s="7">
        <v>3045971.314</v>
      </c>
      <c r="B750" s="7">
        <v>35400914.192</v>
      </c>
      <c r="C750" s="8">
        <v>913.648</v>
      </c>
      <c r="D750" s="11">
        <v>45248</v>
      </c>
      <c r="E750" s="21">
        <v>865.98</v>
      </c>
    </row>
    <row r="751" ht="16.5" spans="1:5">
      <c r="A751" s="7">
        <v>3045971.314</v>
      </c>
      <c r="B751" s="7">
        <v>35400914.192</v>
      </c>
      <c r="C751" s="8">
        <v>913.648</v>
      </c>
      <c r="D751" s="11">
        <v>45249</v>
      </c>
      <c r="E751" s="21">
        <v>865.8</v>
      </c>
    </row>
    <row r="752" ht="16.5" spans="1:5">
      <c r="A752" s="7">
        <v>3045971.314</v>
      </c>
      <c r="B752" s="7">
        <v>35400914.192</v>
      </c>
      <c r="C752" s="8">
        <v>913.648</v>
      </c>
      <c r="D752" s="11">
        <v>45250</v>
      </c>
      <c r="E752" s="21">
        <v>865.59</v>
      </c>
    </row>
    <row r="753" ht="16.5" spans="1:5">
      <c r="A753" s="7">
        <v>3045971.314</v>
      </c>
      <c r="B753" s="7">
        <v>35400914.192</v>
      </c>
      <c r="C753" s="8">
        <v>913.648</v>
      </c>
      <c r="D753" s="11">
        <v>45251</v>
      </c>
      <c r="E753" s="21">
        <v>865.38</v>
      </c>
    </row>
    <row r="754" ht="16.5" spans="1:5">
      <c r="A754" s="7">
        <v>3045971.314</v>
      </c>
      <c r="B754" s="7">
        <v>35400914.192</v>
      </c>
      <c r="C754" s="8">
        <v>913.648</v>
      </c>
      <c r="D754" s="11">
        <v>45252</v>
      </c>
      <c r="E754" s="21">
        <v>865.21</v>
      </c>
    </row>
    <row r="755" ht="16.5" spans="1:5">
      <c r="A755" s="7">
        <v>3045971.314</v>
      </c>
      <c r="B755" s="7">
        <v>35400914.192</v>
      </c>
      <c r="C755" s="8">
        <v>913.648</v>
      </c>
      <c r="D755" s="11">
        <v>45253</v>
      </c>
      <c r="E755" s="21">
        <v>865.1</v>
      </c>
    </row>
    <row r="756" ht="16.5" spans="1:5">
      <c r="A756" s="7">
        <v>3045971.314</v>
      </c>
      <c r="B756" s="7">
        <v>35400914.192</v>
      </c>
      <c r="C756" s="8">
        <v>913.648</v>
      </c>
      <c r="D756" s="11">
        <v>45254</v>
      </c>
      <c r="E756" s="21">
        <v>864.9</v>
      </c>
    </row>
    <row r="757" ht="16.5" spans="1:5">
      <c r="A757" s="7">
        <v>3045971.314</v>
      </c>
      <c r="B757" s="7">
        <v>35400914.192</v>
      </c>
      <c r="C757" s="8">
        <v>913.648</v>
      </c>
      <c r="D757" s="11">
        <v>45255</v>
      </c>
      <c r="E757" s="21"/>
    </row>
    <row r="758" ht="16.5" spans="1:5">
      <c r="A758" s="7">
        <v>3045971.314</v>
      </c>
      <c r="B758" s="7">
        <v>35400914.192</v>
      </c>
      <c r="C758" s="8">
        <v>913.648</v>
      </c>
      <c r="D758" s="11">
        <v>45256</v>
      </c>
      <c r="E758" s="21"/>
    </row>
    <row r="759" ht="16.5" spans="1:5">
      <c r="A759" s="7">
        <v>3045971.314</v>
      </c>
      <c r="B759" s="7">
        <v>35400914.192</v>
      </c>
      <c r="C759" s="8">
        <v>913.648</v>
      </c>
      <c r="D759" s="11">
        <v>45257</v>
      </c>
      <c r="E759" s="21"/>
    </row>
    <row r="760" ht="16.5" spans="1:5">
      <c r="A760" s="7">
        <v>3045971.314</v>
      </c>
      <c r="B760" s="7">
        <v>35400914.192</v>
      </c>
      <c r="C760" s="8">
        <v>913.648</v>
      </c>
      <c r="D760" s="11">
        <v>45258</v>
      </c>
      <c r="E760" s="21">
        <v>864.15</v>
      </c>
    </row>
    <row r="761" ht="16.5" spans="1:5">
      <c r="A761" s="7">
        <v>3045971.314</v>
      </c>
      <c r="B761" s="7">
        <v>35400914.192</v>
      </c>
      <c r="C761" s="8">
        <v>913.648</v>
      </c>
      <c r="D761" s="11">
        <v>45259</v>
      </c>
      <c r="E761" s="21">
        <v>863.99</v>
      </c>
    </row>
    <row r="762" ht="16.5" spans="1:5">
      <c r="A762" s="7">
        <v>3045971.314</v>
      </c>
      <c r="B762" s="7">
        <v>35400914.192</v>
      </c>
      <c r="C762" s="8">
        <v>913.648</v>
      </c>
      <c r="D762" s="11">
        <v>45260</v>
      </c>
      <c r="E762" s="21">
        <v>863.81</v>
      </c>
    </row>
    <row r="763" ht="16.5" spans="1:5">
      <c r="A763" s="7">
        <v>3045971.314</v>
      </c>
      <c r="B763" s="7">
        <v>35400914.192</v>
      </c>
      <c r="C763" s="8">
        <v>913.648</v>
      </c>
      <c r="D763" s="11">
        <v>45261</v>
      </c>
      <c r="E763" s="21">
        <v>863.63</v>
      </c>
    </row>
    <row r="764" ht="16.5" spans="1:5">
      <c r="A764" s="7">
        <v>3045971.314</v>
      </c>
      <c r="B764" s="7">
        <v>35400914.192</v>
      </c>
      <c r="C764" s="8">
        <v>913.648</v>
      </c>
      <c r="D764" s="11">
        <v>45262</v>
      </c>
      <c r="E764" s="21">
        <v>863.49</v>
      </c>
    </row>
    <row r="765" ht="16.5" spans="1:5">
      <c r="A765" s="7">
        <v>3045971.314</v>
      </c>
      <c r="B765" s="7">
        <v>35400914.192</v>
      </c>
      <c r="C765" s="8">
        <v>913.648</v>
      </c>
      <c r="D765" s="11">
        <v>45263</v>
      </c>
      <c r="E765" s="21">
        <v>863.31</v>
      </c>
    </row>
    <row r="766" ht="16.5" spans="1:5">
      <c r="A766" s="7">
        <v>3045971.314</v>
      </c>
      <c r="B766" s="7">
        <v>35400914.192</v>
      </c>
      <c r="C766" s="8">
        <v>913.648</v>
      </c>
      <c r="D766" s="11">
        <v>45264</v>
      </c>
      <c r="E766" s="21">
        <v>863.24</v>
      </c>
    </row>
    <row r="767" ht="16.5" spans="1:5">
      <c r="A767" s="7">
        <v>3045971.314</v>
      </c>
      <c r="B767" s="7">
        <v>35400914.192</v>
      </c>
      <c r="C767" s="8">
        <v>913.648</v>
      </c>
      <c r="D767" s="11">
        <v>45265</v>
      </c>
      <c r="E767" s="21">
        <v>863.17</v>
      </c>
    </row>
    <row r="768" ht="16.5" spans="1:5">
      <c r="A768" s="7">
        <v>3045971.314</v>
      </c>
      <c r="B768" s="7">
        <v>35400914.192</v>
      </c>
      <c r="C768" s="8">
        <v>913.648</v>
      </c>
      <c r="D768" s="11">
        <v>45266</v>
      </c>
      <c r="E768" s="21">
        <v>863.02</v>
      </c>
    </row>
    <row r="769" ht="16.5" spans="1:5">
      <c r="A769" s="7">
        <v>3045971.314</v>
      </c>
      <c r="B769" s="7">
        <v>35400914.192</v>
      </c>
      <c r="C769" s="8">
        <v>913.648</v>
      </c>
      <c r="D769" s="11">
        <v>45267</v>
      </c>
      <c r="E769" s="21">
        <v>862.92</v>
      </c>
    </row>
    <row r="770" ht="16.5" spans="1:5">
      <c r="A770" s="7">
        <v>3045971.314</v>
      </c>
      <c r="B770" s="7">
        <v>35400914.192</v>
      </c>
      <c r="C770" s="8">
        <v>913.648</v>
      </c>
      <c r="D770" s="11">
        <v>45268</v>
      </c>
      <c r="E770" s="21">
        <v>862.87</v>
      </c>
    </row>
    <row r="771" ht="16.5" spans="1:5">
      <c r="A771" s="7">
        <v>3045971.314</v>
      </c>
      <c r="B771" s="7">
        <v>35400914.192</v>
      </c>
      <c r="C771" s="8">
        <v>913.648</v>
      </c>
      <c r="D771" s="11">
        <v>45269</v>
      </c>
      <c r="E771" s="21">
        <v>862.852</v>
      </c>
    </row>
    <row r="772" ht="16.5" spans="1:5">
      <c r="A772" s="7">
        <v>3045971.314</v>
      </c>
      <c r="B772" s="7">
        <v>35400914.192</v>
      </c>
      <c r="C772" s="8">
        <v>913.648</v>
      </c>
      <c r="D772" s="11">
        <v>45270</v>
      </c>
      <c r="E772" s="21">
        <v>862.784</v>
      </c>
    </row>
    <row r="773" ht="16.5" spans="1:5">
      <c r="A773" s="7">
        <v>3045971.314</v>
      </c>
      <c r="B773" s="7">
        <v>35400914.192</v>
      </c>
      <c r="C773" s="8">
        <v>913.648</v>
      </c>
      <c r="D773" s="11">
        <v>45271</v>
      </c>
      <c r="E773" s="21">
        <v>862.61</v>
      </c>
    </row>
    <row r="774" ht="16.5" spans="1:5">
      <c r="A774" s="7">
        <v>3045971.314</v>
      </c>
      <c r="B774" s="7">
        <v>35400914.192</v>
      </c>
      <c r="C774" s="8">
        <v>913.648</v>
      </c>
      <c r="D774" s="11">
        <v>45272</v>
      </c>
      <c r="E774" s="21">
        <v>862.466</v>
      </c>
    </row>
    <row r="775" ht="16.5" spans="1:5">
      <c r="A775" s="7">
        <v>3045971.314</v>
      </c>
      <c r="B775" s="7">
        <v>35400914.192</v>
      </c>
      <c r="C775" s="8">
        <v>913.648</v>
      </c>
      <c r="D775" s="11">
        <v>45273</v>
      </c>
      <c r="E775" s="21">
        <v>862.106</v>
      </c>
    </row>
    <row r="776" ht="16.5" spans="1:5">
      <c r="A776" s="7">
        <v>3045971.314</v>
      </c>
      <c r="B776" s="7">
        <v>35400914.192</v>
      </c>
      <c r="C776" s="8">
        <v>913.648</v>
      </c>
      <c r="D776" s="11">
        <v>45274</v>
      </c>
      <c r="E776" s="21">
        <v>862.106</v>
      </c>
    </row>
    <row r="777" ht="16.5" spans="1:5">
      <c r="A777" s="7">
        <v>3045971.314</v>
      </c>
      <c r="B777" s="7">
        <v>35400914.192</v>
      </c>
      <c r="C777" s="8">
        <v>913.648</v>
      </c>
      <c r="D777" s="11">
        <v>45275</v>
      </c>
      <c r="E777" s="21">
        <v>862.093</v>
      </c>
    </row>
    <row r="778" ht="16.5" spans="1:5">
      <c r="A778" s="7">
        <v>3045971.314</v>
      </c>
      <c r="B778" s="7">
        <v>35400914.192</v>
      </c>
      <c r="C778" s="8">
        <v>913.648</v>
      </c>
      <c r="D778" s="11">
        <v>45276</v>
      </c>
      <c r="E778" s="21">
        <v>861.933</v>
      </c>
    </row>
    <row r="779" ht="16.5" spans="1:5">
      <c r="A779" s="7">
        <v>3045971.314</v>
      </c>
      <c r="B779" s="7">
        <v>35400914.192</v>
      </c>
      <c r="C779" s="8">
        <v>913.648</v>
      </c>
      <c r="D779" s="11">
        <v>45277</v>
      </c>
      <c r="E779" s="21">
        <v>862.238</v>
      </c>
    </row>
    <row r="780" ht="16.5" spans="1:5">
      <c r="A780" s="7">
        <v>3045971.314</v>
      </c>
      <c r="B780" s="7">
        <v>35400914.192</v>
      </c>
      <c r="C780" s="8">
        <v>913.648</v>
      </c>
      <c r="D780" s="11">
        <v>45278</v>
      </c>
      <c r="E780" s="21">
        <v>862.321</v>
      </c>
    </row>
    <row r="781" ht="16.5" spans="1:5">
      <c r="A781" s="7">
        <v>3045971.314</v>
      </c>
      <c r="B781" s="7">
        <v>35400914.192</v>
      </c>
      <c r="C781" s="8">
        <v>913.648</v>
      </c>
      <c r="D781" s="11">
        <v>45279</v>
      </c>
      <c r="E781" s="21">
        <v>862.483</v>
      </c>
    </row>
    <row r="782" ht="16.5" spans="1:5">
      <c r="A782" s="7">
        <v>3045971.314</v>
      </c>
      <c r="B782" s="7">
        <v>35400914.192</v>
      </c>
      <c r="C782" s="8">
        <v>913.648</v>
      </c>
      <c r="D782" s="11">
        <v>45280</v>
      </c>
      <c r="E782" s="21">
        <v>862.465</v>
      </c>
    </row>
    <row r="783" ht="16.5" spans="1:5">
      <c r="A783" s="7">
        <v>3045971.314</v>
      </c>
      <c r="B783" s="7">
        <v>35400914.192</v>
      </c>
      <c r="C783" s="8">
        <v>913.648</v>
      </c>
      <c r="D783" s="11">
        <v>45281</v>
      </c>
      <c r="E783" s="21">
        <v>862.372</v>
      </c>
    </row>
    <row r="784" ht="16.5" spans="1:5">
      <c r="A784" s="7">
        <v>3045971.314</v>
      </c>
      <c r="B784" s="7">
        <v>35400914.192</v>
      </c>
      <c r="C784" s="8">
        <v>913.648</v>
      </c>
      <c r="D784" s="11">
        <v>45282</v>
      </c>
      <c r="E784" s="21">
        <v>862.256</v>
      </c>
    </row>
    <row r="785" ht="16.5" spans="1:5">
      <c r="A785" s="7">
        <v>3045971.314</v>
      </c>
      <c r="B785" s="7">
        <v>35400914.192</v>
      </c>
      <c r="C785" s="8">
        <v>913.648</v>
      </c>
      <c r="D785" s="11">
        <v>45283</v>
      </c>
      <c r="E785" s="21">
        <v>862.13</v>
      </c>
    </row>
    <row r="786" ht="16.5" spans="1:5">
      <c r="A786" s="7">
        <v>3045971.314</v>
      </c>
      <c r="B786" s="7">
        <v>35400914.192</v>
      </c>
      <c r="C786" s="8">
        <v>913.648</v>
      </c>
      <c r="D786" s="11">
        <v>45284</v>
      </c>
      <c r="E786" s="21">
        <v>861.957</v>
      </c>
    </row>
    <row r="787" ht="16.5" spans="1:5">
      <c r="A787" s="7">
        <v>3045971.314</v>
      </c>
      <c r="B787" s="7">
        <v>35400914.192</v>
      </c>
      <c r="C787" s="8">
        <v>913.648</v>
      </c>
      <c r="D787" s="11">
        <v>45285</v>
      </c>
      <c r="E787" s="21">
        <v>861.837</v>
      </c>
    </row>
    <row r="788" ht="16.5" spans="1:5">
      <c r="A788" s="7">
        <v>3045971.314</v>
      </c>
      <c r="B788" s="7">
        <v>35400914.192</v>
      </c>
      <c r="C788" s="8">
        <v>913.648</v>
      </c>
      <c r="D788" s="11">
        <v>45286</v>
      </c>
      <c r="E788" s="21">
        <v>861.726</v>
      </c>
    </row>
    <row r="789" ht="16.5" spans="1:5">
      <c r="A789" s="7">
        <v>3045971.314</v>
      </c>
      <c r="B789" s="7">
        <v>35400914.192</v>
      </c>
      <c r="C789" s="8">
        <v>913.648</v>
      </c>
      <c r="D789" s="11">
        <v>45287</v>
      </c>
      <c r="E789" s="21">
        <v>861.614</v>
      </c>
    </row>
    <row r="790" ht="16.5" spans="1:5">
      <c r="A790" s="7">
        <v>3045971.314</v>
      </c>
      <c r="B790" s="7">
        <v>35400914.192</v>
      </c>
      <c r="C790" s="8">
        <v>913.648</v>
      </c>
      <c r="D790" s="11">
        <v>45288</v>
      </c>
      <c r="E790" s="21">
        <v>861.528</v>
      </c>
    </row>
    <row r="791" ht="16.5" spans="1:5">
      <c r="A791" s="7">
        <v>3045971.314</v>
      </c>
      <c r="B791" s="7">
        <v>35400914.192</v>
      </c>
      <c r="C791" s="8">
        <v>913.648</v>
      </c>
      <c r="D791" s="11">
        <v>45289</v>
      </c>
      <c r="E791" s="21">
        <v>861.334</v>
      </c>
    </row>
    <row r="792" ht="16.5" spans="1:5">
      <c r="A792" s="7">
        <v>3045971.314</v>
      </c>
      <c r="B792" s="7">
        <v>35400914.192</v>
      </c>
      <c r="C792" s="8">
        <v>913.648</v>
      </c>
      <c r="D792" s="11">
        <v>45290</v>
      </c>
      <c r="E792" s="21">
        <v>861.16</v>
      </c>
    </row>
    <row r="793" ht="16.5" spans="1:5">
      <c r="A793" s="7">
        <v>3045971.314</v>
      </c>
      <c r="B793" s="7">
        <v>35400914.192</v>
      </c>
      <c r="C793" s="8">
        <v>913.648</v>
      </c>
      <c r="D793" s="11">
        <v>45291</v>
      </c>
      <c r="E793" s="21">
        <v>861.063</v>
      </c>
    </row>
    <row r="794" ht="16.5" spans="1:5">
      <c r="A794" s="7">
        <v>3045971.314</v>
      </c>
      <c r="B794" s="7">
        <v>35400914.192</v>
      </c>
      <c r="C794" s="8">
        <v>913.648</v>
      </c>
      <c r="D794" s="11">
        <v>45292</v>
      </c>
      <c r="E794" s="21">
        <v>861.045</v>
      </c>
    </row>
    <row r="795" ht="16.5" spans="1:5">
      <c r="A795" s="7">
        <v>3045971.314</v>
      </c>
      <c r="B795" s="7">
        <v>35400914.192</v>
      </c>
      <c r="C795" s="8">
        <v>913.648</v>
      </c>
      <c r="D795" s="11">
        <v>45293</v>
      </c>
      <c r="E795" s="21">
        <v>861.047</v>
      </c>
    </row>
    <row r="796" ht="16.5" spans="1:5">
      <c r="A796" s="7">
        <v>3045971.314</v>
      </c>
      <c r="B796" s="7">
        <v>35400914.192</v>
      </c>
      <c r="C796" s="8">
        <v>913.648</v>
      </c>
      <c r="D796" s="11">
        <v>45294</v>
      </c>
      <c r="E796" s="21">
        <v>861.023</v>
      </c>
    </row>
    <row r="797" ht="16.5" spans="1:5">
      <c r="A797" s="7">
        <v>3045971.314</v>
      </c>
      <c r="B797" s="7">
        <v>35400914.192</v>
      </c>
      <c r="C797" s="8">
        <v>913.648</v>
      </c>
      <c r="D797" s="11">
        <v>45295</v>
      </c>
      <c r="E797" s="26">
        <v>861.028</v>
      </c>
    </row>
    <row r="798" ht="16.5" spans="1:5">
      <c r="A798" s="7">
        <v>3045971.314</v>
      </c>
      <c r="B798" s="7">
        <v>35400914.192</v>
      </c>
      <c r="C798" s="8">
        <v>913.648</v>
      </c>
      <c r="D798" s="11">
        <v>45296</v>
      </c>
      <c r="E798" s="26">
        <v>860.977</v>
      </c>
    </row>
    <row r="799" ht="16.5" spans="1:5">
      <c r="A799" s="7">
        <v>3045971.314</v>
      </c>
      <c r="B799" s="7">
        <v>35400914.192</v>
      </c>
      <c r="C799" s="8">
        <v>913.648</v>
      </c>
      <c r="D799" s="11">
        <v>45297</v>
      </c>
      <c r="E799" s="26">
        <v>860.924</v>
      </c>
    </row>
    <row r="800" ht="16.5" spans="1:5">
      <c r="A800" s="7">
        <v>3045971.314</v>
      </c>
      <c r="B800" s="7">
        <v>35400914.192</v>
      </c>
      <c r="C800" s="8">
        <v>913.648</v>
      </c>
      <c r="D800" s="11">
        <v>45298</v>
      </c>
      <c r="E800" s="26">
        <v>860.878</v>
      </c>
    </row>
    <row r="801" ht="16.5" spans="1:5">
      <c r="A801" s="7">
        <v>3045971.314</v>
      </c>
      <c r="B801" s="7">
        <v>35400914.192</v>
      </c>
      <c r="C801" s="8">
        <v>913.648</v>
      </c>
      <c r="D801" s="11">
        <v>45299</v>
      </c>
      <c r="E801" s="26">
        <v>860.801</v>
      </c>
    </row>
    <row r="802" ht="16.5" spans="1:5">
      <c r="A802" s="7">
        <v>3045971.314</v>
      </c>
      <c r="B802" s="7">
        <v>35400914.192</v>
      </c>
      <c r="C802" s="8">
        <v>913.648</v>
      </c>
      <c r="D802" s="11">
        <v>45300</v>
      </c>
      <c r="E802" s="26">
        <v>860.711</v>
      </c>
    </row>
    <row r="803" ht="16.5" spans="1:5">
      <c r="A803" s="7">
        <v>3045971.314</v>
      </c>
      <c r="B803" s="7">
        <v>35400914.192</v>
      </c>
      <c r="C803" s="8">
        <v>913.648</v>
      </c>
      <c r="D803" s="11">
        <v>45301</v>
      </c>
      <c r="E803" s="26">
        <v>860.632</v>
      </c>
    </row>
    <row r="804" ht="16.5" spans="1:5">
      <c r="A804" s="7">
        <v>3045971.314</v>
      </c>
      <c r="B804" s="7">
        <v>35400914.192</v>
      </c>
      <c r="C804" s="8">
        <v>913.648</v>
      </c>
      <c r="D804" s="11">
        <v>45302</v>
      </c>
      <c r="E804" s="26">
        <v>860.557</v>
      </c>
    </row>
    <row r="805" ht="16.5" spans="1:5">
      <c r="A805" s="7">
        <v>3045971.314</v>
      </c>
      <c r="B805" s="7">
        <v>35400914.192</v>
      </c>
      <c r="C805" s="8">
        <v>913.648</v>
      </c>
      <c r="D805" s="11">
        <v>45303</v>
      </c>
      <c r="E805" s="26">
        <v>860.483</v>
      </c>
    </row>
    <row r="806" ht="16.5" spans="1:5">
      <c r="A806" s="7">
        <v>3045971.314</v>
      </c>
      <c r="B806" s="7">
        <v>35400914.192</v>
      </c>
      <c r="C806" s="8">
        <v>913.648</v>
      </c>
      <c r="D806" s="11">
        <v>45304</v>
      </c>
      <c r="E806" s="26">
        <v>860.405</v>
      </c>
    </row>
    <row r="807" ht="16.5" spans="1:5">
      <c r="A807" s="7">
        <v>3045971.314</v>
      </c>
      <c r="B807" s="7">
        <v>35400914.192</v>
      </c>
      <c r="C807" s="8">
        <v>913.648</v>
      </c>
      <c r="D807" s="11">
        <v>45305</v>
      </c>
      <c r="E807" s="27">
        <v>860.279</v>
      </c>
    </row>
    <row r="808" ht="16.5" spans="1:5">
      <c r="A808" s="7">
        <v>3045971.314</v>
      </c>
      <c r="B808" s="7">
        <v>35400914.192</v>
      </c>
      <c r="C808" s="8">
        <v>913.648</v>
      </c>
      <c r="D808" s="11">
        <v>45306</v>
      </c>
      <c r="E808" s="27">
        <v>859.371</v>
      </c>
    </row>
    <row r="809" ht="16.5" spans="1:5">
      <c r="A809" s="7">
        <v>3045971.314</v>
      </c>
      <c r="B809" s="7">
        <v>35400914.192</v>
      </c>
      <c r="C809" s="8">
        <v>913.648</v>
      </c>
      <c r="D809" s="11">
        <v>45307</v>
      </c>
      <c r="E809" s="27">
        <v>858.755</v>
      </c>
    </row>
    <row r="810" ht="16.5" spans="1:5">
      <c r="A810" s="7">
        <v>3045971.314</v>
      </c>
      <c r="B810" s="7">
        <v>35400914.192</v>
      </c>
      <c r="C810" s="8">
        <v>913.648</v>
      </c>
      <c r="D810" s="11">
        <v>45308</v>
      </c>
      <c r="E810" s="27">
        <v>858.256</v>
      </c>
    </row>
    <row r="811" ht="16.5" spans="1:5">
      <c r="A811" s="7">
        <v>3045971.314</v>
      </c>
      <c r="B811" s="7">
        <v>35400914.192</v>
      </c>
      <c r="C811" s="8">
        <v>913.648</v>
      </c>
      <c r="D811" s="11">
        <v>45309</v>
      </c>
      <c r="E811" s="27">
        <v>857.832</v>
      </c>
    </row>
    <row r="812" ht="16.5" spans="1:5">
      <c r="A812" s="7">
        <v>3045971.314</v>
      </c>
      <c r="B812" s="7">
        <v>35400914.192</v>
      </c>
      <c r="C812" s="8">
        <v>913.648</v>
      </c>
      <c r="D812" s="11">
        <v>45310</v>
      </c>
      <c r="E812" s="27">
        <v>857.481</v>
      </c>
    </row>
    <row r="813" ht="16.5" spans="1:5">
      <c r="A813" s="7">
        <v>3045971.314</v>
      </c>
      <c r="B813" s="7">
        <v>35400914.192</v>
      </c>
      <c r="C813" s="8">
        <v>913.648</v>
      </c>
      <c r="D813" s="11">
        <v>45311</v>
      </c>
      <c r="E813" s="27">
        <v>857.177</v>
      </c>
    </row>
    <row r="814" ht="16.5" spans="1:5">
      <c r="A814" s="7">
        <v>3045971.314</v>
      </c>
      <c r="B814" s="7">
        <v>35400914.192</v>
      </c>
      <c r="C814" s="8">
        <v>913.648</v>
      </c>
      <c r="D814" s="11">
        <v>45312</v>
      </c>
      <c r="E814" s="26">
        <v>856.93</v>
      </c>
    </row>
    <row r="815" ht="16.5" spans="1:5">
      <c r="A815" s="7">
        <v>3045971.314</v>
      </c>
      <c r="B815" s="7">
        <v>35400914.192</v>
      </c>
      <c r="C815" s="8">
        <v>913.648</v>
      </c>
      <c r="D815" s="11">
        <v>45313</v>
      </c>
      <c r="E815" s="26">
        <v>856.672</v>
      </c>
    </row>
    <row r="816" ht="16.5" spans="1:5">
      <c r="A816" s="7">
        <v>3045971.314</v>
      </c>
      <c r="B816" s="7">
        <v>35400914.192</v>
      </c>
      <c r="C816" s="8">
        <v>913.648</v>
      </c>
      <c r="D816" s="11">
        <v>45314</v>
      </c>
      <c r="E816" s="26">
        <v>856.48</v>
      </c>
    </row>
    <row r="817" ht="16.5" spans="1:5">
      <c r="A817" s="7">
        <v>3045971.314</v>
      </c>
      <c r="B817" s="7">
        <v>35400914.192</v>
      </c>
      <c r="C817" s="8">
        <v>913.648</v>
      </c>
      <c r="D817" s="11">
        <v>45315</v>
      </c>
      <c r="E817" s="26">
        <v>856.274</v>
      </c>
    </row>
    <row r="818" ht="16.5" spans="1:5">
      <c r="A818" s="7">
        <v>3045971.314</v>
      </c>
      <c r="B818" s="7">
        <v>35400914.192</v>
      </c>
      <c r="C818" s="8">
        <v>913.648</v>
      </c>
      <c r="D818" s="11">
        <v>45316</v>
      </c>
      <c r="E818" s="26">
        <v>856.107</v>
      </c>
    </row>
    <row r="819" ht="16.5" spans="1:5">
      <c r="A819" s="7">
        <v>3045971.314</v>
      </c>
      <c r="B819" s="7">
        <v>35400914.192</v>
      </c>
      <c r="C819" s="8">
        <v>913.648</v>
      </c>
      <c r="D819" s="11">
        <v>45317</v>
      </c>
      <c r="E819" s="26">
        <v>856.157</v>
      </c>
    </row>
    <row r="820" ht="16.5" spans="1:5">
      <c r="A820" s="7">
        <v>3045971.314</v>
      </c>
      <c r="B820" s="7">
        <v>35400914.192</v>
      </c>
      <c r="C820" s="8">
        <v>913.648</v>
      </c>
      <c r="D820" s="11">
        <v>45318</v>
      </c>
      <c r="E820" s="26">
        <v>856.045</v>
      </c>
    </row>
    <row r="821" ht="16.5" spans="1:5">
      <c r="A821" s="7">
        <v>3045971.314</v>
      </c>
      <c r="B821" s="7">
        <v>35400914.192</v>
      </c>
      <c r="C821" s="8">
        <v>913.648</v>
      </c>
      <c r="D821" s="11">
        <v>45319</v>
      </c>
      <c r="E821" s="26">
        <v>855.924</v>
      </c>
    </row>
    <row r="822" ht="16.5" spans="1:5">
      <c r="A822" s="7">
        <v>3045971.314</v>
      </c>
      <c r="B822" s="7">
        <v>35400914.192</v>
      </c>
      <c r="C822" s="8">
        <v>913.648</v>
      </c>
      <c r="D822" s="11">
        <v>45320</v>
      </c>
      <c r="E822" s="26">
        <v>856.439</v>
      </c>
    </row>
    <row r="823" ht="16.5" spans="1:5">
      <c r="A823" s="7">
        <v>3045971.314</v>
      </c>
      <c r="B823" s="7">
        <v>35400914.192</v>
      </c>
      <c r="C823" s="8">
        <v>913.648</v>
      </c>
      <c r="D823" s="11">
        <v>45321</v>
      </c>
      <c r="E823" s="26">
        <v>856.706</v>
      </c>
    </row>
    <row r="824" ht="16.5" spans="1:5">
      <c r="A824" s="7">
        <v>3045971.314</v>
      </c>
      <c r="B824" s="7">
        <v>35400914.192</v>
      </c>
      <c r="C824" s="8">
        <v>913.648</v>
      </c>
      <c r="D824" s="11">
        <v>45322</v>
      </c>
      <c r="E824" s="26">
        <v>856.95</v>
      </c>
    </row>
    <row r="825" ht="16.5" spans="1:5">
      <c r="A825" s="7">
        <v>3045971.314</v>
      </c>
      <c r="B825" s="7">
        <v>35400914.192</v>
      </c>
      <c r="C825" s="8">
        <v>913.648</v>
      </c>
      <c r="D825" s="11">
        <v>45323</v>
      </c>
      <c r="E825" s="26">
        <v>857.128</v>
      </c>
    </row>
    <row r="826" ht="16.5" spans="1:5">
      <c r="A826" s="7">
        <v>3045971.314</v>
      </c>
      <c r="B826" s="7">
        <v>35400914.192</v>
      </c>
      <c r="C826" s="8">
        <v>913.648</v>
      </c>
      <c r="D826" s="11">
        <v>45324</v>
      </c>
      <c r="E826" s="26">
        <v>857.28</v>
      </c>
    </row>
    <row r="827" ht="16.5" spans="1:5">
      <c r="A827" s="7">
        <v>3045971.314</v>
      </c>
      <c r="B827" s="7">
        <v>35400914.192</v>
      </c>
      <c r="C827" s="8">
        <v>913.648</v>
      </c>
      <c r="D827" s="11">
        <v>45325</v>
      </c>
      <c r="E827" s="26">
        <v>856.672</v>
      </c>
    </row>
    <row r="828" ht="16.5" spans="1:5">
      <c r="A828" s="7">
        <v>3045971.314</v>
      </c>
      <c r="B828" s="7">
        <v>35400914.192</v>
      </c>
      <c r="C828" s="8">
        <v>913.648</v>
      </c>
      <c r="D828" s="11">
        <v>45326</v>
      </c>
      <c r="E828" s="26">
        <v>856.349</v>
      </c>
    </row>
    <row r="829" ht="16.5" spans="1:5">
      <c r="A829" s="7">
        <v>3045971.314</v>
      </c>
      <c r="B829" s="7">
        <v>35400914.192</v>
      </c>
      <c r="C829" s="8">
        <v>913.648</v>
      </c>
      <c r="D829" s="11">
        <v>45327</v>
      </c>
      <c r="E829" s="26">
        <v>856.149</v>
      </c>
    </row>
    <row r="830" ht="16.5" spans="1:5">
      <c r="A830" s="7">
        <v>3045971.314</v>
      </c>
      <c r="B830" s="7">
        <v>35400914.192</v>
      </c>
      <c r="C830" s="8">
        <v>913.648</v>
      </c>
      <c r="D830" s="11">
        <v>45328</v>
      </c>
      <c r="E830" s="26">
        <v>855.982</v>
      </c>
    </row>
    <row r="831" ht="16.5" spans="1:5">
      <c r="A831" s="7">
        <v>3045971.314</v>
      </c>
      <c r="B831" s="7">
        <v>35400914.192</v>
      </c>
      <c r="C831" s="8">
        <v>913.648</v>
      </c>
      <c r="D831" s="11">
        <v>45329</v>
      </c>
      <c r="E831" s="26">
        <v>855.88</v>
      </c>
    </row>
    <row r="832" ht="16.5" spans="1:5">
      <c r="A832" s="7">
        <v>3045971.314</v>
      </c>
      <c r="B832" s="7">
        <v>35400914.192</v>
      </c>
      <c r="C832" s="8">
        <v>913.648</v>
      </c>
      <c r="D832" s="11">
        <v>45330</v>
      </c>
      <c r="E832" s="26">
        <v>855.774</v>
      </c>
    </row>
    <row r="833" ht="16.5" spans="1:5">
      <c r="A833" s="7">
        <v>3045971.314</v>
      </c>
      <c r="B833" s="7">
        <v>35400914.192</v>
      </c>
      <c r="C833" s="8">
        <v>913.648</v>
      </c>
      <c r="D833" s="11">
        <v>45331</v>
      </c>
      <c r="E833" s="26">
        <v>855.645</v>
      </c>
    </row>
    <row r="834" ht="16.5" spans="1:5">
      <c r="A834" s="7">
        <v>3045971.314</v>
      </c>
      <c r="B834" s="7">
        <v>35400914.192</v>
      </c>
      <c r="C834" s="8">
        <v>913.648</v>
      </c>
      <c r="D834" s="11">
        <v>45332</v>
      </c>
      <c r="E834" s="26">
        <v>855.543</v>
      </c>
    </row>
    <row r="835" ht="16.5" spans="1:5">
      <c r="A835" s="7">
        <v>3045971.314</v>
      </c>
      <c r="B835" s="7">
        <v>35400914.192</v>
      </c>
      <c r="C835" s="8">
        <v>913.648</v>
      </c>
      <c r="D835" s="11">
        <v>45333</v>
      </c>
      <c r="E835" s="26">
        <v>855.954</v>
      </c>
    </row>
    <row r="836" ht="16.5" spans="1:5">
      <c r="A836" s="7">
        <v>3045971.314</v>
      </c>
      <c r="B836" s="7">
        <v>35400914.192</v>
      </c>
      <c r="C836" s="8">
        <v>913.648</v>
      </c>
      <c r="D836" s="11">
        <v>45334</v>
      </c>
      <c r="E836" s="26">
        <v>856.263</v>
      </c>
    </row>
    <row r="837" ht="16.5" spans="1:5">
      <c r="A837" s="7">
        <v>3045971.314</v>
      </c>
      <c r="B837" s="7">
        <v>35400914.192</v>
      </c>
      <c r="C837" s="8">
        <v>913.648</v>
      </c>
      <c r="D837" s="11">
        <v>45335</v>
      </c>
      <c r="E837" s="26">
        <v>856.458</v>
      </c>
    </row>
    <row r="838" ht="16.5" spans="1:5">
      <c r="A838" s="7">
        <v>3045971.314</v>
      </c>
      <c r="B838" s="7">
        <v>35400914.192</v>
      </c>
      <c r="C838" s="8">
        <v>913.648</v>
      </c>
      <c r="D838" s="11">
        <v>45336</v>
      </c>
      <c r="E838" s="28">
        <v>856.603</v>
      </c>
    </row>
    <row r="839" ht="16.5" spans="1:5">
      <c r="A839" s="7">
        <v>3045971.314</v>
      </c>
      <c r="B839" s="7">
        <v>35400914.192</v>
      </c>
      <c r="C839" s="8">
        <v>913.648</v>
      </c>
      <c r="D839" s="11">
        <v>45337</v>
      </c>
      <c r="E839" s="22"/>
    </row>
    <row r="840" ht="16.5" spans="1:5">
      <c r="A840" s="7">
        <v>3045971.314</v>
      </c>
      <c r="B840" s="7">
        <v>35400914.192</v>
      </c>
      <c r="C840" s="8">
        <v>913.648</v>
      </c>
      <c r="D840" s="11">
        <v>45338</v>
      </c>
      <c r="E840" s="22"/>
    </row>
    <row r="841" ht="16.5" spans="1:5">
      <c r="A841" s="7">
        <v>3045971.314</v>
      </c>
      <c r="B841" s="7">
        <v>35400914.192</v>
      </c>
      <c r="C841" s="8">
        <v>913.648</v>
      </c>
      <c r="D841" s="11">
        <v>45339</v>
      </c>
      <c r="E841" s="22"/>
    </row>
    <row r="842" ht="16.5" spans="1:5">
      <c r="A842" s="7">
        <v>3045971.314</v>
      </c>
      <c r="B842" s="7">
        <v>35400914.192</v>
      </c>
      <c r="C842" s="8">
        <v>913.648</v>
      </c>
      <c r="D842" s="11">
        <v>45340</v>
      </c>
      <c r="E842" s="22"/>
    </row>
    <row r="843" ht="16.5" spans="1:5">
      <c r="A843" s="7">
        <v>3045971.314</v>
      </c>
      <c r="B843" s="7">
        <v>35400914.192</v>
      </c>
      <c r="C843" s="8">
        <v>913.648</v>
      </c>
      <c r="D843" s="11">
        <v>45341</v>
      </c>
      <c r="E843" s="26">
        <v>856.893</v>
      </c>
    </row>
    <row r="844" ht="16.5" spans="1:5">
      <c r="A844" s="7">
        <v>3045971.314</v>
      </c>
      <c r="B844" s="7">
        <v>35400914.192</v>
      </c>
      <c r="C844" s="8">
        <v>913.648</v>
      </c>
      <c r="D844" s="11">
        <v>45342</v>
      </c>
      <c r="E844" s="26">
        <v>856.849</v>
      </c>
    </row>
    <row r="845" ht="16.5" spans="1:5">
      <c r="A845" s="7">
        <v>3045971.314</v>
      </c>
      <c r="B845" s="7">
        <v>35400914.192</v>
      </c>
      <c r="C845" s="8">
        <v>913.648</v>
      </c>
      <c r="D845" s="11">
        <v>45343</v>
      </c>
      <c r="E845" s="26">
        <v>856.128</v>
      </c>
    </row>
    <row r="846" ht="16.5" spans="1:5">
      <c r="A846" s="7">
        <v>3045971.314</v>
      </c>
      <c r="B846" s="7">
        <v>35400914.192</v>
      </c>
      <c r="C846" s="8">
        <v>913.648</v>
      </c>
      <c r="D846" s="11">
        <v>45344</v>
      </c>
      <c r="E846" s="26">
        <v>855.711</v>
      </c>
    </row>
    <row r="847" ht="16.5" spans="1:5">
      <c r="A847" s="7">
        <v>3045971.314</v>
      </c>
      <c r="B847" s="7">
        <v>35400914.192</v>
      </c>
      <c r="C847" s="8">
        <v>913.648</v>
      </c>
      <c r="D847" s="11">
        <v>45345</v>
      </c>
      <c r="E847" s="26">
        <v>855.868</v>
      </c>
    </row>
    <row r="848" ht="16.5" spans="1:5">
      <c r="A848" s="7">
        <v>3045971.314</v>
      </c>
      <c r="B848" s="7">
        <v>35400914.192</v>
      </c>
      <c r="C848" s="8">
        <v>913.648</v>
      </c>
      <c r="D848" s="11">
        <v>45346</v>
      </c>
      <c r="E848" s="26">
        <v>856.059</v>
      </c>
    </row>
    <row r="849" ht="16.5" spans="1:5">
      <c r="A849" s="7">
        <v>3045971.314</v>
      </c>
      <c r="B849" s="7">
        <v>35400914.192</v>
      </c>
      <c r="C849" s="8">
        <v>913.648</v>
      </c>
      <c r="D849" s="11">
        <v>45347</v>
      </c>
      <c r="E849" s="26">
        <v>856.18</v>
      </c>
    </row>
    <row r="850" ht="16.5" spans="1:5">
      <c r="A850" s="7">
        <v>3045971.314</v>
      </c>
      <c r="B850" s="7">
        <v>35400914.192</v>
      </c>
      <c r="C850" s="8">
        <v>913.648</v>
      </c>
      <c r="D850" s="11">
        <v>45348</v>
      </c>
      <c r="E850" s="26">
        <v>856.122</v>
      </c>
    </row>
    <row r="851" ht="16.5" spans="1:5">
      <c r="A851" s="7">
        <v>3045971.314</v>
      </c>
      <c r="B851" s="7">
        <v>35400914.192</v>
      </c>
      <c r="C851" s="8">
        <v>913.648</v>
      </c>
      <c r="D851" s="11">
        <v>45349</v>
      </c>
      <c r="E851" s="26">
        <v>855.966</v>
      </c>
    </row>
    <row r="852" ht="16.5" spans="1:5">
      <c r="A852" s="7">
        <v>3045971.314</v>
      </c>
      <c r="B852" s="7">
        <v>35400914.192</v>
      </c>
      <c r="C852" s="8">
        <v>913.648</v>
      </c>
      <c r="D852" s="11">
        <v>45350</v>
      </c>
      <c r="E852" s="26">
        <v>856.069</v>
      </c>
    </row>
    <row r="853" ht="16.5" spans="1:5">
      <c r="A853" s="7">
        <v>3045971.314</v>
      </c>
      <c r="B853" s="7">
        <v>35400914.192</v>
      </c>
      <c r="C853" s="8">
        <v>913.648</v>
      </c>
      <c r="D853" s="11">
        <v>45351</v>
      </c>
      <c r="E853" s="26">
        <v>856.167</v>
      </c>
    </row>
    <row r="854" ht="16.5" spans="1:5">
      <c r="A854" s="7">
        <v>3045971.314</v>
      </c>
      <c r="B854" s="7">
        <v>35400914.192</v>
      </c>
      <c r="C854" s="8">
        <v>913.648</v>
      </c>
      <c r="D854" s="11">
        <v>45352</v>
      </c>
      <c r="E854" s="26">
        <v>856.263</v>
      </c>
    </row>
    <row r="855" ht="16.5" spans="1:5">
      <c r="A855" s="7">
        <v>3045971.314</v>
      </c>
      <c r="B855" s="7">
        <v>35400914.192</v>
      </c>
      <c r="C855" s="8">
        <v>913.648</v>
      </c>
      <c r="D855" s="11">
        <v>45353</v>
      </c>
      <c r="E855" s="26">
        <v>856.167</v>
      </c>
    </row>
    <row r="856" ht="16.5" spans="1:5">
      <c r="A856" s="7">
        <v>3045971.314</v>
      </c>
      <c r="B856" s="7">
        <v>35400914.192</v>
      </c>
      <c r="C856" s="8">
        <v>913.648</v>
      </c>
      <c r="D856" s="11">
        <v>45354</v>
      </c>
      <c r="E856" s="26">
        <v>856.263</v>
      </c>
    </row>
    <row r="857" ht="16.5" spans="1:5">
      <c r="A857" s="7">
        <v>3045971.314</v>
      </c>
      <c r="B857" s="7">
        <v>35400914.192</v>
      </c>
      <c r="C857" s="8">
        <v>913.648</v>
      </c>
      <c r="D857" s="11">
        <v>45355</v>
      </c>
      <c r="E857" s="26">
        <v>856.314</v>
      </c>
    </row>
    <row r="858" ht="16.5" spans="1:5">
      <c r="A858" s="7">
        <v>3045971.314</v>
      </c>
      <c r="B858" s="7">
        <v>35400914.192</v>
      </c>
      <c r="C858" s="8">
        <v>913.648</v>
      </c>
      <c r="D858" s="11">
        <v>45356</v>
      </c>
      <c r="E858" s="26">
        <v>856.295</v>
      </c>
    </row>
    <row r="859" ht="16.5" spans="1:5">
      <c r="A859" s="7">
        <v>3045971.314</v>
      </c>
      <c r="B859" s="7">
        <v>35400914.192</v>
      </c>
      <c r="C859" s="8">
        <v>913.648</v>
      </c>
      <c r="D859" s="11">
        <v>45357</v>
      </c>
      <c r="E859" s="26">
        <v>856.286</v>
      </c>
    </row>
    <row r="860" ht="16.5" spans="1:5">
      <c r="A860" s="7">
        <v>3045971.314</v>
      </c>
      <c r="B860" s="7">
        <v>35400914.192</v>
      </c>
      <c r="C860" s="8">
        <v>913.648</v>
      </c>
      <c r="D860" s="11">
        <v>45358</v>
      </c>
      <c r="E860" s="26">
        <v>856.285</v>
      </c>
    </row>
    <row r="861" ht="16.5" spans="1:5">
      <c r="A861" s="7">
        <v>3045971.314</v>
      </c>
      <c r="B861" s="7">
        <v>35400914.192</v>
      </c>
      <c r="C861" s="8">
        <v>913.648</v>
      </c>
      <c r="D861" s="11">
        <v>45359</v>
      </c>
      <c r="E861" s="26">
        <v>856.306</v>
      </c>
    </row>
    <row r="862" ht="16.5" spans="1:5">
      <c r="A862" s="7">
        <v>3045971.314</v>
      </c>
      <c r="B862" s="7">
        <v>35400914.192</v>
      </c>
      <c r="C862" s="8">
        <v>913.648</v>
      </c>
      <c r="D862" s="11">
        <v>45360</v>
      </c>
      <c r="E862" s="26">
        <v>856.202</v>
      </c>
    </row>
    <row r="863" ht="16.5" spans="1:5">
      <c r="A863" s="7">
        <v>3045971.314</v>
      </c>
      <c r="B863" s="7">
        <v>35400914.192</v>
      </c>
      <c r="C863" s="8">
        <v>913.648</v>
      </c>
      <c r="D863" s="11">
        <v>45361</v>
      </c>
      <c r="E863" s="26">
        <v>856.101</v>
      </c>
    </row>
    <row r="864" ht="16.5" spans="1:5">
      <c r="A864" s="7">
        <v>3045971.314</v>
      </c>
      <c r="B864" s="7">
        <v>35400914.192</v>
      </c>
      <c r="C864" s="8">
        <v>913.648</v>
      </c>
      <c r="D864" s="11">
        <v>45362</v>
      </c>
      <c r="E864" s="26">
        <v>856.011</v>
      </c>
    </row>
    <row r="865" ht="16.5" spans="1:5">
      <c r="A865" s="7">
        <v>3045971.314</v>
      </c>
      <c r="B865" s="7">
        <v>35400914.192</v>
      </c>
      <c r="C865" s="8">
        <v>913.648</v>
      </c>
      <c r="D865" s="11">
        <v>45363</v>
      </c>
      <c r="E865" s="26">
        <v>855.971</v>
      </c>
    </row>
    <row r="866" ht="16.5" spans="1:5">
      <c r="A866" s="7">
        <v>3045971.314</v>
      </c>
      <c r="B866" s="7">
        <v>35400914.192</v>
      </c>
      <c r="C866" s="8">
        <v>913.648</v>
      </c>
      <c r="D866" s="11">
        <v>45364</v>
      </c>
      <c r="E866" s="26">
        <v>855.905</v>
      </c>
    </row>
    <row r="867" ht="16.5" spans="1:5">
      <c r="A867" s="7">
        <v>3045971.314</v>
      </c>
      <c r="B867" s="7">
        <v>35400914.192</v>
      </c>
      <c r="C867" s="8">
        <v>913.648</v>
      </c>
      <c r="D867" s="11">
        <v>45365</v>
      </c>
      <c r="E867" s="26">
        <v>855.864</v>
      </c>
    </row>
    <row r="868" ht="16.5" spans="1:5">
      <c r="A868" s="7">
        <v>3045971.314</v>
      </c>
      <c r="B868" s="7">
        <v>35400914.192</v>
      </c>
      <c r="C868" s="8">
        <v>913.648</v>
      </c>
      <c r="D868" s="11">
        <v>45366</v>
      </c>
      <c r="E868" s="26">
        <v>855.063</v>
      </c>
    </row>
    <row r="869" ht="16.5" spans="1:5">
      <c r="A869" s="7">
        <v>3045971.314</v>
      </c>
      <c r="B869" s="7">
        <v>35400914.192</v>
      </c>
      <c r="C869" s="8">
        <v>913.648</v>
      </c>
      <c r="D869" s="11">
        <v>45367</v>
      </c>
      <c r="E869" s="26">
        <v>854.564</v>
      </c>
    </row>
    <row r="870" ht="16.5" spans="1:5">
      <c r="A870" s="7">
        <v>3045971.314</v>
      </c>
      <c r="B870" s="7">
        <v>35400914.192</v>
      </c>
      <c r="C870" s="8">
        <v>913.648</v>
      </c>
      <c r="D870" s="11">
        <v>45368</v>
      </c>
      <c r="E870" s="26">
        <v>854.199</v>
      </c>
    </row>
    <row r="871" ht="16.5" spans="1:5">
      <c r="A871" s="7">
        <v>3045971.314</v>
      </c>
      <c r="B871" s="7">
        <v>35400914.192</v>
      </c>
      <c r="C871" s="8">
        <v>913.648</v>
      </c>
      <c r="D871" s="11">
        <v>45369</v>
      </c>
      <c r="E871" s="26">
        <v>853.882</v>
      </c>
    </row>
    <row r="872" ht="16.5" spans="1:5">
      <c r="A872" s="7">
        <v>3045971.314</v>
      </c>
      <c r="B872" s="7">
        <v>35400914.192</v>
      </c>
      <c r="C872" s="8">
        <v>913.648</v>
      </c>
      <c r="D872" s="11">
        <v>45370</v>
      </c>
      <c r="E872" s="26">
        <v>853.605</v>
      </c>
    </row>
    <row r="873" ht="16.5" spans="1:5">
      <c r="A873" s="7">
        <v>3045971.314</v>
      </c>
      <c r="B873" s="7">
        <v>35400914.192</v>
      </c>
      <c r="C873" s="8">
        <v>913.648</v>
      </c>
      <c r="D873" s="11">
        <v>45371</v>
      </c>
      <c r="E873" s="26">
        <v>853.363</v>
      </c>
    </row>
    <row r="874" ht="16.5" spans="1:5">
      <c r="A874" s="7">
        <v>3045971.314</v>
      </c>
      <c r="B874" s="7">
        <v>35400914.192</v>
      </c>
      <c r="C874" s="8">
        <v>913.648</v>
      </c>
      <c r="D874" s="11">
        <v>45372</v>
      </c>
      <c r="E874" s="26">
        <v>853.179</v>
      </c>
    </row>
    <row r="875" ht="16.5" spans="1:5">
      <c r="A875" s="7">
        <v>3045971.314</v>
      </c>
      <c r="B875" s="7">
        <v>35400914.192</v>
      </c>
      <c r="C875" s="8">
        <v>913.648</v>
      </c>
      <c r="D875" s="11">
        <v>45373</v>
      </c>
      <c r="E875" s="26">
        <v>853.008</v>
      </c>
    </row>
    <row r="876" ht="16.5" spans="1:5">
      <c r="A876" s="7">
        <v>3045971.314</v>
      </c>
      <c r="B876" s="7">
        <v>35400914.192</v>
      </c>
      <c r="C876" s="8">
        <v>913.648</v>
      </c>
      <c r="D876" s="11">
        <v>45374</v>
      </c>
      <c r="E876" s="26">
        <v>852.837</v>
      </c>
    </row>
    <row r="877" ht="16.5" spans="1:5">
      <c r="A877" s="7">
        <v>3045971.314</v>
      </c>
      <c r="B877" s="7">
        <v>35400914.192</v>
      </c>
      <c r="C877" s="8">
        <v>913.648</v>
      </c>
      <c r="D877" s="11">
        <v>45375</v>
      </c>
      <c r="E877" s="26">
        <v>852.661</v>
      </c>
    </row>
    <row r="878" ht="16.5" spans="1:5">
      <c r="A878" s="7">
        <v>3045971.314</v>
      </c>
      <c r="B878" s="7">
        <v>35400914.192</v>
      </c>
      <c r="C878" s="8">
        <v>913.648</v>
      </c>
      <c r="D878" s="11">
        <v>45376</v>
      </c>
      <c r="E878" s="26">
        <v>852.435</v>
      </c>
    </row>
    <row r="879" ht="16.5" spans="1:5">
      <c r="A879" s="7">
        <v>3045971.314</v>
      </c>
      <c r="B879" s="7">
        <v>35400914.192</v>
      </c>
      <c r="C879" s="8">
        <v>913.648</v>
      </c>
      <c r="D879" s="11">
        <v>45377</v>
      </c>
      <c r="E879" s="26">
        <v>852.284</v>
      </c>
    </row>
    <row r="880" ht="16.5" spans="1:5">
      <c r="A880" s="7">
        <v>3045971.314</v>
      </c>
      <c r="B880" s="7">
        <v>35400914.192</v>
      </c>
      <c r="C880" s="8">
        <v>913.648</v>
      </c>
      <c r="D880" s="11">
        <v>45378</v>
      </c>
      <c r="E880" s="26">
        <v>852.169</v>
      </c>
    </row>
    <row r="881" ht="16.5" spans="1:5">
      <c r="A881" s="7">
        <v>3045971.314</v>
      </c>
      <c r="B881" s="7">
        <v>35400914.192</v>
      </c>
      <c r="C881" s="8">
        <v>913.648</v>
      </c>
      <c r="D881" s="11">
        <v>45379</v>
      </c>
      <c r="E881" s="26">
        <v>852.036</v>
      </c>
    </row>
    <row r="882" ht="16.5" spans="1:5">
      <c r="A882" s="7">
        <v>3045971.314</v>
      </c>
      <c r="B882" s="7">
        <v>35400914.192</v>
      </c>
      <c r="C882" s="8">
        <v>913.648</v>
      </c>
      <c r="D882" s="11">
        <v>45380</v>
      </c>
      <c r="E882" s="26">
        <v>851.94</v>
      </c>
    </row>
    <row r="883" ht="16.5" spans="1:5">
      <c r="A883" s="7">
        <v>3045971.314</v>
      </c>
      <c r="B883" s="7">
        <v>35400914.192</v>
      </c>
      <c r="C883" s="8">
        <v>913.648</v>
      </c>
      <c r="D883" s="11">
        <v>45381</v>
      </c>
      <c r="E883" s="26">
        <v>851.835</v>
      </c>
    </row>
    <row r="884" ht="16.5" spans="1:5">
      <c r="A884" s="7">
        <v>3045971.314</v>
      </c>
      <c r="B884" s="7">
        <v>35400914.192</v>
      </c>
      <c r="C884" s="8">
        <v>913.648</v>
      </c>
      <c r="D884" s="11">
        <v>45382</v>
      </c>
      <c r="E884" s="26">
        <v>851.742</v>
      </c>
    </row>
    <row r="885" ht="16.5" spans="1:5">
      <c r="A885" s="7">
        <v>3045971.314</v>
      </c>
      <c r="B885" s="7">
        <v>35400914.192</v>
      </c>
      <c r="C885" s="8">
        <v>913.648</v>
      </c>
      <c r="D885" s="11">
        <v>45383</v>
      </c>
      <c r="E885" s="26">
        <v>851.66</v>
      </c>
    </row>
    <row r="886" ht="16.5" spans="1:5">
      <c r="A886" s="7">
        <v>3045971.314</v>
      </c>
      <c r="B886" s="7">
        <v>35400914.192</v>
      </c>
      <c r="C886" s="8">
        <v>913.648</v>
      </c>
      <c r="D886" s="11">
        <v>45384</v>
      </c>
      <c r="E886" s="26">
        <v>851.372</v>
      </c>
    </row>
    <row r="887" ht="16.5" spans="1:5">
      <c r="A887" s="7">
        <v>3045971.314</v>
      </c>
      <c r="B887" s="7">
        <v>35400914.192</v>
      </c>
      <c r="C887" s="8">
        <v>913.648</v>
      </c>
      <c r="D887" s="11">
        <v>45385</v>
      </c>
      <c r="E887" s="26">
        <v>850.855</v>
      </c>
    </row>
    <row r="888" ht="16.5" spans="1:5">
      <c r="A888" s="7">
        <v>3045971.314</v>
      </c>
      <c r="B888" s="7">
        <v>35400914.192</v>
      </c>
      <c r="C888" s="8">
        <v>913.648</v>
      </c>
      <c r="D888" s="11">
        <v>45386</v>
      </c>
      <c r="E888" s="26">
        <v>850.477</v>
      </c>
    </row>
    <row r="889" ht="16.5" spans="1:5">
      <c r="A889" s="7">
        <v>3045971.314</v>
      </c>
      <c r="B889" s="7">
        <v>35400914.192</v>
      </c>
      <c r="C889" s="8">
        <v>913.648</v>
      </c>
      <c r="D889" s="11">
        <v>45387</v>
      </c>
      <c r="E889" s="26">
        <v>850.182</v>
      </c>
    </row>
    <row r="890" ht="16.5" spans="1:5">
      <c r="A890" s="7">
        <v>3045971.314</v>
      </c>
      <c r="B890" s="7">
        <v>35400914.192</v>
      </c>
      <c r="C890" s="8">
        <v>913.648</v>
      </c>
      <c r="D890" s="11">
        <v>45388</v>
      </c>
      <c r="E890" s="26">
        <v>849.91</v>
      </c>
    </row>
    <row r="891" ht="16.5" spans="1:5">
      <c r="A891" s="7">
        <v>3045971.314</v>
      </c>
      <c r="B891" s="7">
        <v>35400914.192</v>
      </c>
      <c r="C891" s="8">
        <v>913.648</v>
      </c>
      <c r="D891" s="11">
        <v>45389</v>
      </c>
      <c r="E891" s="26">
        <v>849.703</v>
      </c>
    </row>
    <row r="892" ht="16.5" spans="1:5">
      <c r="A892" s="7">
        <v>3045971.314</v>
      </c>
      <c r="B892" s="7">
        <v>35400914.192</v>
      </c>
      <c r="C892" s="8">
        <v>913.648</v>
      </c>
      <c r="D892" s="11">
        <v>45390</v>
      </c>
      <c r="E892" s="26">
        <v>849.455</v>
      </c>
    </row>
    <row r="893" ht="16.5" spans="1:5">
      <c r="A893" s="7">
        <v>3045971.314</v>
      </c>
      <c r="B893" s="7">
        <v>35400914.192</v>
      </c>
      <c r="C893" s="8">
        <v>913.648</v>
      </c>
      <c r="D893" s="11">
        <v>45391</v>
      </c>
      <c r="E893" s="26"/>
    </row>
    <row r="894" ht="16.5" spans="1:5">
      <c r="A894" s="7">
        <v>3045971.314</v>
      </c>
      <c r="B894" s="7">
        <v>35400914.192</v>
      </c>
      <c r="C894" s="8">
        <v>913.648</v>
      </c>
      <c r="D894" s="11">
        <v>45392</v>
      </c>
      <c r="E894" s="26"/>
    </row>
    <row r="895" ht="16.5" spans="1:5">
      <c r="A895" s="7">
        <v>3045971.314</v>
      </c>
      <c r="B895" s="7">
        <v>35400914.192</v>
      </c>
      <c r="C895" s="8">
        <v>913.648</v>
      </c>
      <c r="D895" s="11">
        <v>45393</v>
      </c>
      <c r="E895" s="26"/>
    </row>
    <row r="896" ht="16.5" spans="1:5">
      <c r="A896" s="7">
        <v>3045971.314</v>
      </c>
      <c r="B896" s="7">
        <v>35400914.192</v>
      </c>
      <c r="C896" s="8">
        <v>913.648</v>
      </c>
      <c r="D896" s="11">
        <v>45394</v>
      </c>
      <c r="E896" s="26"/>
    </row>
    <row r="897" ht="16.5" spans="1:5">
      <c r="A897" s="7">
        <v>3045971.314</v>
      </c>
      <c r="B897" s="7">
        <v>35400914.192</v>
      </c>
      <c r="C897" s="8">
        <v>913.648</v>
      </c>
      <c r="D897" s="11">
        <v>45395</v>
      </c>
      <c r="E897" s="26">
        <v>848.641</v>
      </c>
    </row>
    <row r="898" ht="16.5" spans="1:5">
      <c r="A898" s="7">
        <v>3045971.314</v>
      </c>
      <c r="B898" s="7">
        <v>35400914.192</v>
      </c>
      <c r="C898" s="8">
        <v>913.648</v>
      </c>
      <c r="D898" s="11">
        <v>45396</v>
      </c>
      <c r="E898" s="26">
        <v>848.622</v>
      </c>
    </row>
    <row r="899" ht="16.5" spans="1:5">
      <c r="A899" s="7">
        <v>3045971.314</v>
      </c>
      <c r="B899" s="7">
        <v>35400914.192</v>
      </c>
      <c r="C899" s="8">
        <v>913.648</v>
      </c>
      <c r="D899" s="11">
        <v>45397</v>
      </c>
      <c r="E899" s="26">
        <v>848.555</v>
      </c>
    </row>
    <row r="900" ht="16.5" spans="1:5">
      <c r="A900" s="7">
        <v>3045971.314</v>
      </c>
      <c r="B900" s="7">
        <v>35400914.192</v>
      </c>
      <c r="C900" s="8">
        <v>913.648</v>
      </c>
      <c r="D900" s="11">
        <v>45398</v>
      </c>
      <c r="E900" s="26">
        <v>848.446</v>
      </c>
    </row>
    <row r="901" ht="16.5" spans="1:5">
      <c r="A901" s="7">
        <v>3045971.314</v>
      </c>
      <c r="B901" s="7">
        <v>35400914.192</v>
      </c>
      <c r="C901" s="8">
        <v>913.648</v>
      </c>
      <c r="D901" s="11">
        <v>45399</v>
      </c>
      <c r="E901" s="26">
        <v>848.304</v>
      </c>
    </row>
    <row r="902" ht="16.5" spans="1:5">
      <c r="A902" s="7">
        <v>3045971.314</v>
      </c>
      <c r="B902" s="7">
        <v>35400914.192</v>
      </c>
      <c r="C902" s="8">
        <v>913.648</v>
      </c>
      <c r="D902" s="11">
        <v>45400</v>
      </c>
      <c r="E902" s="26">
        <v>848.204</v>
      </c>
    </row>
    <row r="903" ht="16.5" spans="1:5">
      <c r="A903" s="7">
        <v>3045971.314</v>
      </c>
      <c r="B903" s="7">
        <v>35400914.192</v>
      </c>
      <c r="C903" s="8">
        <v>913.648</v>
      </c>
      <c r="D903" s="11">
        <v>45401</v>
      </c>
      <c r="E903" s="26">
        <v>848.04</v>
      </c>
    </row>
    <row r="904" ht="16.5" spans="1:5">
      <c r="A904" s="7">
        <v>3045971.314</v>
      </c>
      <c r="B904" s="7">
        <v>35400914.192</v>
      </c>
      <c r="C904" s="8">
        <v>913.648</v>
      </c>
      <c r="D904" s="11">
        <v>45402</v>
      </c>
      <c r="E904" s="26">
        <v>847.859</v>
      </c>
    </row>
    <row r="905" ht="16.5" spans="1:5">
      <c r="A905" s="7">
        <v>3045971.314</v>
      </c>
      <c r="B905" s="7">
        <v>35400914.192</v>
      </c>
      <c r="C905" s="8">
        <v>913.648</v>
      </c>
      <c r="D905" s="11">
        <v>45403</v>
      </c>
      <c r="E905" s="26">
        <v>847.636</v>
      </c>
    </row>
    <row r="906" ht="16.5" spans="1:5">
      <c r="A906" s="7">
        <v>3045971.314</v>
      </c>
      <c r="B906" s="7">
        <v>35400914.192</v>
      </c>
      <c r="C906" s="8">
        <v>913.648</v>
      </c>
      <c r="D906" s="11">
        <v>45404</v>
      </c>
      <c r="E906" s="26">
        <v>847.398</v>
      </c>
    </row>
    <row r="907" ht="16.5" spans="1:5">
      <c r="A907" s="7">
        <v>3045971.314</v>
      </c>
      <c r="B907" s="7">
        <v>35400914.192</v>
      </c>
      <c r="C907" s="8">
        <v>913.648</v>
      </c>
      <c r="D907" s="11">
        <v>45405</v>
      </c>
      <c r="E907" s="26">
        <v>847.185</v>
      </c>
    </row>
    <row r="908" ht="16.5" spans="1:5">
      <c r="A908" s="7">
        <v>3045971.314</v>
      </c>
      <c r="B908" s="7">
        <v>35400914.192</v>
      </c>
      <c r="C908" s="8">
        <v>913.648</v>
      </c>
      <c r="D908" s="11">
        <v>45406</v>
      </c>
      <c r="E908" s="26">
        <v>846.736</v>
      </c>
    </row>
    <row r="909" ht="16.5" spans="1:5">
      <c r="A909" s="7">
        <v>3045971.314</v>
      </c>
      <c r="B909" s="7">
        <v>35400914.192</v>
      </c>
      <c r="C909" s="8">
        <v>913.648</v>
      </c>
      <c r="D909" s="11">
        <v>45407</v>
      </c>
      <c r="E909" s="26">
        <v>846.224</v>
      </c>
    </row>
    <row r="910" ht="16.5" spans="1:5">
      <c r="A910" s="7">
        <v>3045971.314</v>
      </c>
      <c r="B910" s="7">
        <v>35400914.192</v>
      </c>
      <c r="C910" s="8">
        <v>913.648</v>
      </c>
      <c r="D910" s="11">
        <v>45408</v>
      </c>
      <c r="E910" s="26">
        <v>845.94</v>
      </c>
    </row>
    <row r="911" ht="16.5" spans="1:5">
      <c r="A911" s="7">
        <v>3045971.314</v>
      </c>
      <c r="B911" s="7">
        <v>35400914.192</v>
      </c>
      <c r="C911" s="8">
        <v>913.648</v>
      </c>
      <c r="D911" s="11">
        <v>45409</v>
      </c>
      <c r="E911" s="26">
        <v>844.959</v>
      </c>
    </row>
    <row r="912" ht="16.5" spans="1:5">
      <c r="A912" s="7">
        <v>3045971.314</v>
      </c>
      <c r="B912" s="7">
        <v>35400914.192</v>
      </c>
      <c r="C912" s="8">
        <v>913.648</v>
      </c>
      <c r="D912" s="11">
        <v>45410</v>
      </c>
      <c r="E912" s="26">
        <v>844.427</v>
      </c>
    </row>
    <row r="913" ht="16.5" spans="1:5">
      <c r="A913" s="7">
        <v>3045971.314</v>
      </c>
      <c r="B913" s="7">
        <v>35400914.192</v>
      </c>
      <c r="C913" s="8">
        <v>913.648</v>
      </c>
      <c r="D913" s="11">
        <v>45411</v>
      </c>
      <c r="E913" s="26">
        <v>843.967</v>
      </c>
    </row>
    <row r="914" ht="16.5" spans="1:5">
      <c r="A914" s="7">
        <v>3045971.314</v>
      </c>
      <c r="B914" s="7">
        <v>35400914.192</v>
      </c>
      <c r="C914" s="8">
        <v>913.648</v>
      </c>
      <c r="D914" s="11">
        <v>45412</v>
      </c>
      <c r="E914" s="26">
        <v>843.565</v>
      </c>
    </row>
    <row r="915" ht="16.5" spans="1:5">
      <c r="A915" s="7">
        <v>3045971.314</v>
      </c>
      <c r="B915" s="7">
        <v>35400914.192</v>
      </c>
      <c r="C915" s="8">
        <v>913.648</v>
      </c>
      <c r="D915" s="11">
        <v>45413</v>
      </c>
      <c r="E915" s="26">
        <v>843.258</v>
      </c>
    </row>
    <row r="916" ht="16.5" spans="1:5">
      <c r="A916" s="7">
        <v>3045971.314</v>
      </c>
      <c r="B916" s="7">
        <v>35400914.192</v>
      </c>
      <c r="C916" s="8">
        <v>913.648</v>
      </c>
      <c r="D916" s="11">
        <v>45414</v>
      </c>
      <c r="E916" s="26">
        <v>843.014</v>
      </c>
    </row>
    <row r="917" ht="16.5" spans="1:5">
      <c r="A917" s="7">
        <v>3045971.314</v>
      </c>
      <c r="B917" s="7">
        <v>35400914.192</v>
      </c>
      <c r="C917" s="8">
        <v>913.648</v>
      </c>
      <c r="D917" s="11">
        <v>45415</v>
      </c>
      <c r="E917" s="26">
        <v>843.048</v>
      </c>
    </row>
    <row r="918" ht="16.5" spans="1:5">
      <c r="A918" s="7">
        <v>3045971.314</v>
      </c>
      <c r="B918" s="7">
        <v>35400914.192</v>
      </c>
      <c r="C918" s="8">
        <v>913.648</v>
      </c>
      <c r="D918" s="11">
        <v>45416</v>
      </c>
      <c r="E918" s="26">
        <v>842.878</v>
      </c>
    </row>
    <row r="919" ht="16.5" spans="1:5">
      <c r="A919" s="7">
        <v>3045971.314</v>
      </c>
      <c r="B919" s="7">
        <v>35400914.192</v>
      </c>
      <c r="C919" s="8">
        <v>913.648</v>
      </c>
      <c r="D919" s="11">
        <v>45417</v>
      </c>
      <c r="E919" s="26">
        <v>842.702</v>
      </c>
    </row>
    <row r="920" ht="16.5" spans="1:5">
      <c r="A920" s="7">
        <v>3045971.314</v>
      </c>
      <c r="B920" s="7">
        <v>35400914.192</v>
      </c>
      <c r="C920" s="8">
        <v>913.648</v>
      </c>
      <c r="D920" s="11">
        <v>45418</v>
      </c>
      <c r="E920" s="26">
        <v>842.558</v>
      </c>
    </row>
    <row r="921" ht="16.5" spans="1:5">
      <c r="A921" s="7">
        <v>3045971.314</v>
      </c>
      <c r="B921" s="7">
        <v>35400914.192</v>
      </c>
      <c r="C921" s="8">
        <v>913.648</v>
      </c>
      <c r="D921" s="11">
        <v>45419</v>
      </c>
      <c r="E921" s="26">
        <v>842.466</v>
      </c>
    </row>
    <row r="922" ht="16.5" spans="1:5">
      <c r="A922" s="7">
        <v>3045971.314</v>
      </c>
      <c r="B922" s="7">
        <v>35400914.192</v>
      </c>
      <c r="C922" s="8">
        <v>913.648</v>
      </c>
      <c r="D922" s="11">
        <v>45420</v>
      </c>
      <c r="E922" s="26">
        <v>842.376</v>
      </c>
    </row>
    <row r="923" ht="16.5" spans="1:5">
      <c r="A923" s="7">
        <v>3045971.314</v>
      </c>
      <c r="B923" s="7">
        <v>35400914.192</v>
      </c>
      <c r="C923" s="8">
        <v>913.648</v>
      </c>
      <c r="D923" s="11">
        <v>45421</v>
      </c>
      <c r="E923" s="26">
        <v>842.308</v>
      </c>
    </row>
    <row r="924" ht="16.5" spans="1:5">
      <c r="A924" s="7">
        <v>3045971.314</v>
      </c>
      <c r="B924" s="7">
        <v>35400914.192</v>
      </c>
      <c r="C924" s="8">
        <v>913.648</v>
      </c>
      <c r="D924" s="11">
        <v>45422</v>
      </c>
      <c r="E924" s="26">
        <v>842.269</v>
      </c>
    </row>
    <row r="925" ht="16.5" spans="1:5">
      <c r="A925" s="7">
        <v>3045971.314</v>
      </c>
      <c r="B925" s="7">
        <v>35400914.192</v>
      </c>
      <c r="C925" s="8">
        <v>913.648</v>
      </c>
      <c r="D925" s="11">
        <v>45423</v>
      </c>
      <c r="E925" s="26">
        <v>841.094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4"/>
  <sheetViews>
    <sheetView workbookViewId="0">
      <selection activeCell="I855" sqref="I855"/>
    </sheetView>
  </sheetViews>
  <sheetFormatPr defaultColWidth="9" defaultRowHeight="14.25" outlineLevelCol="5"/>
  <cols>
    <col min="1" max="1" width="11.375" style="2" customWidth="1"/>
    <col min="2" max="2" width="12.375" style="2" customWidth="1"/>
    <col min="3" max="3" width="19.25" customWidth="1"/>
    <col min="4" max="4" width="17.25" customWidth="1"/>
    <col min="6" max="6" width="24.87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6.5" spans="1:6">
      <c r="A3" s="7">
        <v>3045789.476</v>
      </c>
      <c r="B3" s="7">
        <v>35401166.591</v>
      </c>
      <c r="C3" s="8">
        <v>913.439</v>
      </c>
      <c r="D3" s="9" t="s">
        <v>372</v>
      </c>
      <c r="E3" s="10"/>
      <c r="F3" t="s">
        <v>3069</v>
      </c>
    </row>
    <row r="4" ht="16.5" spans="1:5">
      <c r="A4" s="7">
        <v>3045789.476</v>
      </c>
      <c r="B4" s="7">
        <v>35401166.591</v>
      </c>
      <c r="C4" s="8">
        <v>913.439</v>
      </c>
      <c r="D4" s="9" t="s">
        <v>373</v>
      </c>
      <c r="E4" s="10"/>
    </row>
    <row r="5" ht="16.5" spans="1:5">
      <c r="A5" s="7">
        <v>3045789.476</v>
      </c>
      <c r="B5" s="7">
        <v>35401166.591</v>
      </c>
      <c r="C5" s="8">
        <v>913.439</v>
      </c>
      <c r="D5" s="9" t="s">
        <v>374</v>
      </c>
      <c r="E5" s="10"/>
    </row>
    <row r="6" ht="16.5" spans="1:5">
      <c r="A6" s="7">
        <v>3045789.476</v>
      </c>
      <c r="B6" s="7">
        <v>35401166.591</v>
      </c>
      <c r="C6" s="8">
        <v>913.439</v>
      </c>
      <c r="D6" s="9" t="s">
        <v>375</v>
      </c>
      <c r="E6" s="10"/>
    </row>
    <row r="7" ht="16.5" spans="1:5">
      <c r="A7" s="7">
        <v>3045789.476</v>
      </c>
      <c r="B7" s="7">
        <v>35401166.591</v>
      </c>
      <c r="C7" s="8">
        <v>913.439</v>
      </c>
      <c r="D7" s="9" t="s">
        <v>376</v>
      </c>
      <c r="E7" s="10"/>
    </row>
    <row r="8" ht="16.5" spans="1:5">
      <c r="A8" s="7">
        <v>3045789.476</v>
      </c>
      <c r="B8" s="7">
        <v>35401166.591</v>
      </c>
      <c r="C8" s="8">
        <v>913.439</v>
      </c>
      <c r="D8" s="9" t="s">
        <v>377</v>
      </c>
      <c r="E8" s="10"/>
    </row>
    <row r="9" ht="16.5" spans="1:5">
      <c r="A9" s="7">
        <v>3045789.476</v>
      </c>
      <c r="B9" s="7">
        <v>35401166.591</v>
      </c>
      <c r="C9" s="8">
        <v>913.439</v>
      </c>
      <c r="D9" s="9" t="s">
        <v>378</v>
      </c>
      <c r="E9" s="10"/>
    </row>
    <row r="10" ht="16.5" spans="1:5">
      <c r="A10" s="7">
        <v>3045789.476</v>
      </c>
      <c r="B10" s="7">
        <v>35401166.591</v>
      </c>
      <c r="C10" s="8">
        <v>913.439</v>
      </c>
      <c r="D10" s="9" t="s">
        <v>379</v>
      </c>
      <c r="E10" s="10"/>
    </row>
    <row r="11" ht="16.5" spans="1:5">
      <c r="A11" s="7">
        <v>3045789.476</v>
      </c>
      <c r="B11" s="7">
        <v>35401166.591</v>
      </c>
      <c r="C11" s="8">
        <v>913.439</v>
      </c>
      <c r="D11" s="9" t="s">
        <v>380</v>
      </c>
      <c r="E11" s="10"/>
    </row>
    <row r="12" ht="16.5" spans="1:5">
      <c r="A12" s="7">
        <v>3045789.476</v>
      </c>
      <c r="B12" s="7">
        <v>35401166.591</v>
      </c>
      <c r="C12" s="8">
        <v>913.439</v>
      </c>
      <c r="D12" s="9" t="s">
        <v>381</v>
      </c>
      <c r="E12" s="10"/>
    </row>
    <row r="13" ht="16.5" spans="1:5">
      <c r="A13" s="7">
        <v>3045789.476</v>
      </c>
      <c r="B13" s="7">
        <v>35401166.591</v>
      </c>
      <c r="C13" s="8">
        <v>913.439</v>
      </c>
      <c r="D13" s="9" t="s">
        <v>382</v>
      </c>
      <c r="E13" s="10">
        <v>869.239</v>
      </c>
    </row>
    <row r="14" ht="16.5" spans="1:5">
      <c r="A14" s="7">
        <v>3045789.476</v>
      </c>
      <c r="B14" s="7">
        <v>35401166.591</v>
      </c>
      <c r="C14" s="8">
        <v>913.439</v>
      </c>
      <c r="D14" s="9" t="s">
        <v>383</v>
      </c>
      <c r="E14" s="10"/>
    </row>
    <row r="15" ht="16.5" spans="1:5">
      <c r="A15" s="7">
        <v>3045789.476</v>
      </c>
      <c r="B15" s="7">
        <v>35401166.591</v>
      </c>
      <c r="C15" s="8">
        <v>913.439</v>
      </c>
      <c r="D15" s="9" t="s">
        <v>384</v>
      </c>
      <c r="E15" s="10"/>
    </row>
    <row r="16" ht="16.5" spans="1:5">
      <c r="A16" s="7">
        <v>3045789.476</v>
      </c>
      <c r="B16" s="7">
        <v>35401166.591</v>
      </c>
      <c r="C16" s="8">
        <v>913.439</v>
      </c>
      <c r="D16" s="9" t="s">
        <v>385</v>
      </c>
      <c r="E16" s="10"/>
    </row>
    <row r="17" ht="16.5" spans="1:5">
      <c r="A17" s="7">
        <v>3045789.476</v>
      </c>
      <c r="B17" s="7">
        <v>35401166.591</v>
      </c>
      <c r="C17" s="8">
        <v>913.439</v>
      </c>
      <c r="D17" s="9" t="s">
        <v>386</v>
      </c>
      <c r="E17" s="10"/>
    </row>
    <row r="18" ht="16.5" spans="1:5">
      <c r="A18" s="7">
        <v>3045789.476</v>
      </c>
      <c r="B18" s="7">
        <v>35401166.591</v>
      </c>
      <c r="C18" s="8">
        <v>913.439</v>
      </c>
      <c r="D18" s="9" t="s">
        <v>387</v>
      </c>
      <c r="E18" s="10">
        <v>869.049</v>
      </c>
    </row>
    <row r="19" ht="16.5" spans="1:5">
      <c r="A19" s="7">
        <v>3045789.476</v>
      </c>
      <c r="B19" s="7">
        <v>35401166.591</v>
      </c>
      <c r="C19" s="8">
        <v>913.439</v>
      </c>
      <c r="D19" s="9" t="s">
        <v>388</v>
      </c>
      <c r="E19" s="10">
        <v>867.939</v>
      </c>
    </row>
    <row r="20" ht="16.5" spans="1:5">
      <c r="A20" s="7">
        <v>3045789.476</v>
      </c>
      <c r="B20" s="7">
        <v>35401166.591</v>
      </c>
      <c r="C20" s="8">
        <v>913.439</v>
      </c>
      <c r="D20" s="9" t="s">
        <v>389</v>
      </c>
      <c r="E20" s="10"/>
    </row>
    <row r="21" ht="16.5" spans="1:5">
      <c r="A21" s="7">
        <v>3045789.476</v>
      </c>
      <c r="B21" s="7">
        <v>35401166.591</v>
      </c>
      <c r="C21" s="8">
        <v>913.439</v>
      </c>
      <c r="D21" s="9" t="s">
        <v>390</v>
      </c>
      <c r="E21" s="10"/>
    </row>
    <row r="22" ht="16.5" spans="1:5">
      <c r="A22" s="7">
        <v>3045789.476</v>
      </c>
      <c r="B22" s="7">
        <v>35401166.591</v>
      </c>
      <c r="C22" s="8">
        <v>913.439</v>
      </c>
      <c r="D22" s="9" t="s">
        <v>391</v>
      </c>
      <c r="E22" s="10"/>
    </row>
    <row r="23" ht="16.5" spans="1:5">
      <c r="A23" s="7">
        <v>3045789.476</v>
      </c>
      <c r="B23" s="7">
        <v>35401166.591</v>
      </c>
      <c r="C23" s="8">
        <v>913.439</v>
      </c>
      <c r="D23" s="9" t="s">
        <v>392</v>
      </c>
      <c r="E23" s="10"/>
    </row>
    <row r="24" ht="16.5" spans="1:5">
      <c r="A24" s="7">
        <v>3045789.476</v>
      </c>
      <c r="B24" s="7">
        <v>35401166.591</v>
      </c>
      <c r="C24" s="8">
        <v>913.439</v>
      </c>
      <c r="D24" s="9" t="s">
        <v>393</v>
      </c>
      <c r="E24" s="10"/>
    </row>
    <row r="25" ht="16.5" spans="1:5">
      <c r="A25" s="7">
        <v>3045789.476</v>
      </c>
      <c r="B25" s="7">
        <v>35401166.591</v>
      </c>
      <c r="C25" s="8">
        <v>913.439</v>
      </c>
      <c r="D25" s="9" t="s">
        <v>394</v>
      </c>
      <c r="E25" s="10"/>
    </row>
    <row r="26" ht="16.5" spans="1:5">
      <c r="A26" s="7">
        <v>3045789.476</v>
      </c>
      <c r="B26" s="7">
        <v>35401166.591</v>
      </c>
      <c r="C26" s="8">
        <v>913.439</v>
      </c>
      <c r="D26" s="9" t="s">
        <v>395</v>
      </c>
      <c r="E26" s="10"/>
    </row>
    <row r="27" ht="16.5" spans="1:5">
      <c r="A27" s="7">
        <v>3045789.476</v>
      </c>
      <c r="B27" s="7">
        <v>35401166.591</v>
      </c>
      <c r="C27" s="8">
        <v>913.439</v>
      </c>
      <c r="D27" s="9" t="s">
        <v>396</v>
      </c>
      <c r="E27" s="10"/>
    </row>
    <row r="28" ht="16.5" spans="1:5">
      <c r="A28" s="7">
        <v>3045789.476</v>
      </c>
      <c r="B28" s="7">
        <v>35401166.591</v>
      </c>
      <c r="C28" s="8">
        <v>913.439</v>
      </c>
      <c r="D28" s="9" t="s">
        <v>397</v>
      </c>
      <c r="E28" s="10">
        <v>868.769</v>
      </c>
    </row>
    <row r="29" ht="16.5" spans="1:5">
      <c r="A29" s="7">
        <v>3045789.476</v>
      </c>
      <c r="B29" s="7">
        <v>35401166.591</v>
      </c>
      <c r="C29" s="8">
        <v>913.439</v>
      </c>
      <c r="D29" s="9" t="s">
        <v>398</v>
      </c>
      <c r="E29" s="10"/>
    </row>
    <row r="30" ht="16.5" spans="1:5">
      <c r="A30" s="7">
        <v>3045789.476</v>
      </c>
      <c r="B30" s="7">
        <v>35401166.591</v>
      </c>
      <c r="C30" s="8">
        <v>913.439</v>
      </c>
      <c r="D30" s="9" t="s">
        <v>399</v>
      </c>
      <c r="E30" s="10"/>
    </row>
    <row r="31" ht="16.5" spans="1:5">
      <c r="A31" s="7">
        <v>3045789.476</v>
      </c>
      <c r="B31" s="7">
        <v>35401166.591</v>
      </c>
      <c r="C31" s="8">
        <v>913.439</v>
      </c>
      <c r="D31" s="9" t="s">
        <v>400</v>
      </c>
      <c r="E31" s="10"/>
    </row>
    <row r="32" ht="16.5" spans="1:5">
      <c r="A32" s="7">
        <v>3045789.476</v>
      </c>
      <c r="B32" s="7">
        <v>35401166.591</v>
      </c>
      <c r="C32" s="8">
        <v>913.439</v>
      </c>
      <c r="D32" s="9" t="s">
        <v>401</v>
      </c>
      <c r="E32" s="10"/>
    </row>
    <row r="33" ht="16.5" spans="1:5">
      <c r="A33" s="7">
        <v>3045789.476</v>
      </c>
      <c r="B33" s="7">
        <v>35401166.591</v>
      </c>
      <c r="C33" s="8">
        <v>913.439</v>
      </c>
      <c r="D33" s="9" t="s">
        <v>402</v>
      </c>
      <c r="E33" s="10"/>
    </row>
    <row r="34" ht="16.5" spans="1:5">
      <c r="A34" s="7">
        <v>3045789.476</v>
      </c>
      <c r="B34" s="7">
        <v>35401166.591</v>
      </c>
      <c r="C34" s="8">
        <v>913.439</v>
      </c>
      <c r="D34" s="9" t="s">
        <v>403</v>
      </c>
      <c r="E34" s="10"/>
    </row>
    <row r="35" ht="16.5" spans="1:5">
      <c r="A35" s="7">
        <v>3045789.476</v>
      </c>
      <c r="B35" s="7">
        <v>35401166.591</v>
      </c>
      <c r="C35" s="8">
        <v>913.439</v>
      </c>
      <c r="D35" s="9" t="s">
        <v>404</v>
      </c>
      <c r="E35" s="10"/>
    </row>
    <row r="36" ht="16.5" spans="1:5">
      <c r="A36" s="7">
        <v>3045789.476</v>
      </c>
      <c r="B36" s="7">
        <v>35401166.591</v>
      </c>
      <c r="C36" s="8">
        <v>913.439</v>
      </c>
      <c r="D36" s="9" t="s">
        <v>405</v>
      </c>
      <c r="E36" s="10"/>
    </row>
    <row r="37" ht="16.5" spans="1:5">
      <c r="A37" s="7">
        <v>3045789.476</v>
      </c>
      <c r="B37" s="7">
        <v>35401166.591</v>
      </c>
      <c r="C37" s="8">
        <v>913.439</v>
      </c>
      <c r="D37" s="9" t="s">
        <v>406</v>
      </c>
      <c r="E37" s="10"/>
    </row>
    <row r="38" ht="16.5" spans="1:5">
      <c r="A38" s="7">
        <v>3045789.476</v>
      </c>
      <c r="B38" s="7">
        <v>35401166.591</v>
      </c>
      <c r="C38" s="8">
        <v>913.439</v>
      </c>
      <c r="D38" s="9" t="s">
        <v>407</v>
      </c>
      <c r="E38" s="10"/>
    </row>
    <row r="39" ht="16.5" spans="1:5">
      <c r="A39" s="7">
        <v>3045789.476</v>
      </c>
      <c r="B39" s="7">
        <v>35401166.591</v>
      </c>
      <c r="C39" s="8">
        <v>913.439</v>
      </c>
      <c r="D39" s="9" t="s">
        <v>408</v>
      </c>
      <c r="E39" s="10"/>
    </row>
    <row r="40" ht="16.5" spans="1:5">
      <c r="A40" s="7">
        <v>3045789.476</v>
      </c>
      <c r="B40" s="7">
        <v>35401166.591</v>
      </c>
      <c r="C40" s="8">
        <v>913.439</v>
      </c>
      <c r="D40" s="9" t="s">
        <v>409</v>
      </c>
      <c r="E40" s="10"/>
    </row>
    <row r="41" ht="16.5" spans="1:5">
      <c r="A41" s="7">
        <v>3045789.476</v>
      </c>
      <c r="B41" s="7">
        <v>35401166.591</v>
      </c>
      <c r="C41" s="8">
        <v>913.439</v>
      </c>
      <c r="D41" s="9" t="s">
        <v>410</v>
      </c>
      <c r="E41" s="10"/>
    </row>
    <row r="42" ht="16.5" spans="1:5">
      <c r="A42" s="7">
        <v>3045789.476</v>
      </c>
      <c r="B42" s="7">
        <v>35401166.591</v>
      </c>
      <c r="C42" s="8">
        <v>913.439</v>
      </c>
      <c r="D42" s="9" t="s">
        <v>411</v>
      </c>
      <c r="E42" s="10"/>
    </row>
    <row r="43" ht="16.5" spans="1:5">
      <c r="A43" s="7">
        <v>3045789.476</v>
      </c>
      <c r="B43" s="7">
        <v>35401166.591</v>
      </c>
      <c r="C43" s="8">
        <v>913.439</v>
      </c>
      <c r="D43" s="9" t="s">
        <v>412</v>
      </c>
      <c r="E43" s="10">
        <v>862.709</v>
      </c>
    </row>
    <row r="44" ht="16.5" spans="1:5">
      <c r="A44" s="7">
        <v>3045789.476</v>
      </c>
      <c r="B44" s="7">
        <v>35401166.591</v>
      </c>
      <c r="C44" s="8">
        <v>913.439</v>
      </c>
      <c r="D44" s="9" t="s">
        <v>413</v>
      </c>
      <c r="E44" s="10"/>
    </row>
    <row r="45" ht="16.5" spans="1:5">
      <c r="A45" s="7">
        <v>3045789.476</v>
      </c>
      <c r="B45" s="7">
        <v>35401166.591</v>
      </c>
      <c r="C45" s="8">
        <v>913.439</v>
      </c>
      <c r="D45" s="9" t="s">
        <v>414</v>
      </c>
      <c r="E45" s="10"/>
    </row>
    <row r="46" ht="16.5" spans="1:5">
      <c r="A46" s="7">
        <v>3045789.476</v>
      </c>
      <c r="B46" s="7">
        <v>35401166.591</v>
      </c>
      <c r="C46" s="8">
        <v>913.439</v>
      </c>
      <c r="D46" s="9" t="s">
        <v>415</v>
      </c>
      <c r="E46" s="10">
        <v>858.7</v>
      </c>
    </row>
    <row r="47" ht="16.5" spans="1:5">
      <c r="A47" s="7">
        <v>3045789.476</v>
      </c>
      <c r="B47" s="7">
        <v>35401166.591</v>
      </c>
      <c r="C47" s="8">
        <v>913.439</v>
      </c>
      <c r="D47" s="9" t="s">
        <v>416</v>
      </c>
      <c r="E47" s="10"/>
    </row>
    <row r="48" ht="16.5" spans="1:5">
      <c r="A48" s="7">
        <v>3045789.476</v>
      </c>
      <c r="B48" s="7">
        <v>35401166.591</v>
      </c>
      <c r="C48" s="8">
        <v>913.439</v>
      </c>
      <c r="D48" s="9" t="s">
        <v>417</v>
      </c>
      <c r="E48" s="10"/>
    </row>
    <row r="49" ht="16.5" spans="1:5">
      <c r="A49" s="7">
        <v>3045789.476</v>
      </c>
      <c r="B49" s="7">
        <v>35401166.591</v>
      </c>
      <c r="C49" s="8">
        <v>913.439</v>
      </c>
      <c r="D49" s="9" t="s">
        <v>418</v>
      </c>
      <c r="E49" s="10"/>
    </row>
    <row r="50" ht="16.5" spans="1:5">
      <c r="A50" s="7">
        <v>3045789.476</v>
      </c>
      <c r="B50" s="7">
        <v>35401166.591</v>
      </c>
      <c r="C50" s="8">
        <v>913.439</v>
      </c>
      <c r="D50" s="9" t="s">
        <v>419</v>
      </c>
      <c r="E50" s="10"/>
    </row>
    <row r="51" ht="16.5" spans="1:5">
      <c r="A51" s="7">
        <v>3045789.476</v>
      </c>
      <c r="B51" s="7">
        <v>35401166.591</v>
      </c>
      <c r="C51" s="8">
        <v>913.439</v>
      </c>
      <c r="D51" s="9" t="s">
        <v>420</v>
      </c>
      <c r="E51" s="10"/>
    </row>
    <row r="52" ht="16.5" spans="1:5">
      <c r="A52" s="7">
        <v>3045789.476</v>
      </c>
      <c r="B52" s="7">
        <v>35401166.591</v>
      </c>
      <c r="C52" s="8">
        <v>913.439</v>
      </c>
      <c r="D52" s="9" t="s">
        <v>421</v>
      </c>
      <c r="E52" s="10"/>
    </row>
    <row r="53" ht="16.5" spans="1:5">
      <c r="A53" s="7">
        <v>3045789.476</v>
      </c>
      <c r="B53" s="7">
        <v>35401166.591</v>
      </c>
      <c r="C53" s="8">
        <v>913.439</v>
      </c>
      <c r="D53" s="9" t="s">
        <v>422</v>
      </c>
      <c r="E53" s="10"/>
    </row>
    <row r="54" ht="16.5" spans="1:5">
      <c r="A54" s="7">
        <v>3045789.476</v>
      </c>
      <c r="B54" s="7">
        <v>35401166.591</v>
      </c>
      <c r="C54" s="8">
        <v>913.439</v>
      </c>
      <c r="D54" s="9" t="s">
        <v>423</v>
      </c>
      <c r="E54" s="10"/>
    </row>
    <row r="55" ht="16.5" spans="1:5">
      <c r="A55" s="7">
        <v>3045789.476</v>
      </c>
      <c r="B55" s="7">
        <v>35401166.591</v>
      </c>
      <c r="C55" s="8">
        <v>913.439</v>
      </c>
      <c r="D55" s="9" t="s">
        <v>424</v>
      </c>
      <c r="E55" s="10"/>
    </row>
    <row r="56" ht="16.5" spans="1:5">
      <c r="A56" s="7">
        <v>3045789.476</v>
      </c>
      <c r="B56" s="7">
        <v>35401166.591</v>
      </c>
      <c r="C56" s="8">
        <v>913.439</v>
      </c>
      <c r="D56" s="9" t="s">
        <v>425</v>
      </c>
      <c r="E56" s="10">
        <v>862.439</v>
      </c>
    </row>
    <row r="57" ht="16.5" spans="1:5">
      <c r="A57" s="7">
        <v>3045789.476</v>
      </c>
      <c r="B57" s="7">
        <v>35401166.591</v>
      </c>
      <c r="C57" s="8">
        <v>913.439</v>
      </c>
      <c r="D57" s="9" t="s">
        <v>426</v>
      </c>
      <c r="E57" s="10"/>
    </row>
    <row r="58" ht="16.5" spans="1:5">
      <c r="A58" s="7">
        <v>3045789.476</v>
      </c>
      <c r="B58" s="7">
        <v>35401166.591</v>
      </c>
      <c r="C58" s="8">
        <v>913.439</v>
      </c>
      <c r="D58" s="9" t="s">
        <v>427</v>
      </c>
      <c r="E58" s="10"/>
    </row>
    <row r="59" ht="16.5" spans="1:5">
      <c r="A59" s="7">
        <v>3045789.476</v>
      </c>
      <c r="B59" s="7">
        <v>35401166.591</v>
      </c>
      <c r="C59" s="8">
        <v>913.439</v>
      </c>
      <c r="D59" s="9" t="s">
        <v>428</v>
      </c>
      <c r="E59" s="10"/>
    </row>
    <row r="60" ht="16.5" spans="1:5">
      <c r="A60" s="7">
        <v>3045789.476</v>
      </c>
      <c r="B60" s="7">
        <v>35401166.591</v>
      </c>
      <c r="C60" s="8">
        <v>913.439</v>
      </c>
      <c r="D60" s="9" t="s">
        <v>429</v>
      </c>
      <c r="E60" s="10"/>
    </row>
    <row r="61" ht="16.5" spans="1:5">
      <c r="A61" s="7">
        <v>3045789.476</v>
      </c>
      <c r="B61" s="7">
        <v>35401166.591</v>
      </c>
      <c r="C61" s="8">
        <v>913.439</v>
      </c>
      <c r="D61" s="9" t="s">
        <v>430</v>
      </c>
      <c r="E61" s="10"/>
    </row>
    <row r="62" ht="16.5" spans="1:5">
      <c r="A62" s="7">
        <v>3045789.476</v>
      </c>
      <c r="B62" s="7">
        <v>35401166.591</v>
      </c>
      <c r="C62" s="8">
        <v>913.439</v>
      </c>
      <c r="D62" s="9" t="s">
        <v>431</v>
      </c>
      <c r="E62" s="10"/>
    </row>
    <row r="63" ht="16.5" spans="1:5">
      <c r="A63" s="7">
        <v>3045789.476</v>
      </c>
      <c r="B63" s="7">
        <v>35401166.591</v>
      </c>
      <c r="C63" s="8">
        <v>913.439</v>
      </c>
      <c r="D63" s="9" t="s">
        <v>432</v>
      </c>
      <c r="E63" s="10"/>
    </row>
    <row r="64" ht="16.5" spans="1:5">
      <c r="A64" s="7">
        <v>3045789.476</v>
      </c>
      <c r="B64" s="7">
        <v>35401166.591</v>
      </c>
      <c r="C64" s="8">
        <v>913.439</v>
      </c>
      <c r="D64" s="9" t="s">
        <v>433</v>
      </c>
      <c r="E64" s="10">
        <v>864.839</v>
      </c>
    </row>
    <row r="65" ht="16.5" spans="1:5">
      <c r="A65" s="7">
        <v>3045789.476</v>
      </c>
      <c r="B65" s="7">
        <v>35401166.591</v>
      </c>
      <c r="C65" s="8">
        <v>913.439</v>
      </c>
      <c r="D65" s="9" t="s">
        <v>434</v>
      </c>
      <c r="E65" s="10"/>
    </row>
    <row r="66" ht="16.5" spans="1:5">
      <c r="A66" s="7">
        <v>3045789.476</v>
      </c>
      <c r="B66" s="7">
        <v>35401166.591</v>
      </c>
      <c r="C66" s="8">
        <v>913.439</v>
      </c>
      <c r="D66" s="9" t="s">
        <v>435</v>
      </c>
      <c r="E66" s="10"/>
    </row>
    <row r="67" ht="16.5" spans="1:5">
      <c r="A67" s="7">
        <v>3045789.476</v>
      </c>
      <c r="B67" s="7">
        <v>35401166.591</v>
      </c>
      <c r="C67" s="8">
        <v>913.439</v>
      </c>
      <c r="D67" s="9" t="s">
        <v>436</v>
      </c>
      <c r="E67" s="10"/>
    </row>
    <row r="68" ht="16.5" spans="1:5">
      <c r="A68" s="7">
        <v>3045789.476</v>
      </c>
      <c r="B68" s="7">
        <v>35401166.591</v>
      </c>
      <c r="C68" s="8">
        <v>913.439</v>
      </c>
      <c r="D68" s="9" t="s">
        <v>437</v>
      </c>
      <c r="E68" s="10">
        <v>863.439</v>
      </c>
    </row>
    <row r="69" ht="16.5" spans="1:5">
      <c r="A69" s="7">
        <v>3045789.476</v>
      </c>
      <c r="B69" s="7">
        <v>35401166.591</v>
      </c>
      <c r="C69" s="8">
        <v>913.439</v>
      </c>
      <c r="D69" s="9" t="s">
        <v>438</v>
      </c>
      <c r="E69" s="10"/>
    </row>
    <row r="70" ht="16.5" spans="1:5">
      <c r="A70" s="7">
        <v>3045789.476</v>
      </c>
      <c r="B70" s="7">
        <v>35401166.591</v>
      </c>
      <c r="C70" s="8">
        <v>913.439</v>
      </c>
      <c r="D70" s="9" t="s">
        <v>439</v>
      </c>
      <c r="E70" s="10"/>
    </row>
    <row r="71" ht="16.5" spans="1:5">
      <c r="A71" s="7">
        <v>3045789.476</v>
      </c>
      <c r="B71" s="7">
        <v>35401166.591</v>
      </c>
      <c r="C71" s="8">
        <v>913.439</v>
      </c>
      <c r="D71" s="9" t="s">
        <v>440</v>
      </c>
      <c r="E71" s="10"/>
    </row>
    <row r="72" ht="16.5" spans="1:5">
      <c r="A72" s="7">
        <v>3045789.476</v>
      </c>
      <c r="B72" s="7">
        <v>35401166.591</v>
      </c>
      <c r="C72" s="8">
        <v>913.439</v>
      </c>
      <c r="D72" s="9" t="s">
        <v>441</v>
      </c>
      <c r="E72" s="10"/>
    </row>
    <row r="73" ht="16.5" spans="1:5">
      <c r="A73" s="7">
        <v>3045789.476</v>
      </c>
      <c r="B73" s="7">
        <v>35401166.591</v>
      </c>
      <c r="C73" s="8">
        <v>913.439</v>
      </c>
      <c r="D73" s="9" t="s">
        <v>442</v>
      </c>
      <c r="E73" s="10"/>
    </row>
    <row r="74" ht="16.5" spans="1:5">
      <c r="A74" s="7">
        <v>3045789.476</v>
      </c>
      <c r="B74" s="7">
        <v>35401166.591</v>
      </c>
      <c r="C74" s="8">
        <v>913.439</v>
      </c>
      <c r="D74" s="9" t="s">
        <v>443</v>
      </c>
      <c r="E74" s="10"/>
    </row>
    <row r="75" ht="16.5" spans="1:5">
      <c r="A75" s="7">
        <v>3045789.476</v>
      </c>
      <c r="B75" s="7">
        <v>35401166.591</v>
      </c>
      <c r="C75" s="8">
        <v>913.439</v>
      </c>
      <c r="D75" s="9" t="s">
        <v>444</v>
      </c>
      <c r="E75" s="10"/>
    </row>
    <row r="76" ht="16.5" spans="1:5">
      <c r="A76" s="7">
        <v>3045789.476</v>
      </c>
      <c r="B76" s="7">
        <v>35401166.591</v>
      </c>
      <c r="C76" s="8">
        <v>913.439</v>
      </c>
      <c r="D76" s="9" t="s">
        <v>445</v>
      </c>
      <c r="E76" s="10"/>
    </row>
    <row r="77" ht="16.5" spans="1:5">
      <c r="A77" s="7">
        <v>3045789.476</v>
      </c>
      <c r="B77" s="7">
        <v>35401166.591</v>
      </c>
      <c r="C77" s="8">
        <v>913.439</v>
      </c>
      <c r="D77" s="9" t="s">
        <v>446</v>
      </c>
      <c r="E77" s="10"/>
    </row>
    <row r="78" ht="16.5" spans="1:5">
      <c r="A78" s="7">
        <v>3045789.476</v>
      </c>
      <c r="B78" s="7">
        <v>35401166.591</v>
      </c>
      <c r="C78" s="8">
        <v>913.439</v>
      </c>
      <c r="D78" s="9" t="s">
        <v>447</v>
      </c>
      <c r="E78" s="10">
        <v>862.939</v>
      </c>
    </row>
    <row r="79" ht="16.5" spans="1:5">
      <c r="A79" s="7">
        <v>3045789.476</v>
      </c>
      <c r="B79" s="7">
        <v>35401166.591</v>
      </c>
      <c r="C79" s="8">
        <v>913.439</v>
      </c>
      <c r="D79" s="9" t="s">
        <v>448</v>
      </c>
      <c r="E79" s="10"/>
    </row>
    <row r="80" ht="16.5" spans="1:5">
      <c r="A80" s="7">
        <v>3045789.476</v>
      </c>
      <c r="B80" s="7">
        <v>35401166.591</v>
      </c>
      <c r="C80" s="8">
        <v>913.439</v>
      </c>
      <c r="D80" s="9" t="s">
        <v>449</v>
      </c>
      <c r="E80" s="10"/>
    </row>
    <row r="81" ht="16.5" spans="1:5">
      <c r="A81" s="7">
        <v>3045789.476</v>
      </c>
      <c r="B81" s="7">
        <v>35401166.591</v>
      </c>
      <c r="C81" s="8">
        <v>913.439</v>
      </c>
      <c r="D81" s="9" t="s">
        <v>450</v>
      </c>
      <c r="E81" s="10"/>
    </row>
    <row r="82" ht="16.5" spans="1:5">
      <c r="A82" s="7">
        <v>3045789.476</v>
      </c>
      <c r="B82" s="7">
        <v>35401166.591</v>
      </c>
      <c r="C82" s="8">
        <v>913.439</v>
      </c>
      <c r="D82" s="9" t="s">
        <v>451</v>
      </c>
      <c r="E82" s="10"/>
    </row>
    <row r="83" ht="16.5" spans="1:5">
      <c r="A83" s="7">
        <v>3045789.476</v>
      </c>
      <c r="B83" s="7">
        <v>35401166.591</v>
      </c>
      <c r="C83" s="8">
        <v>913.439</v>
      </c>
      <c r="D83" s="9" t="s">
        <v>452</v>
      </c>
      <c r="E83" s="10">
        <v>859.15</v>
      </c>
    </row>
    <row r="84" ht="16.5" spans="1:5">
      <c r="A84" s="7">
        <v>3045789.476</v>
      </c>
      <c r="B84" s="7">
        <v>35401166.591</v>
      </c>
      <c r="C84" s="8">
        <v>913.439</v>
      </c>
      <c r="D84" s="9" t="s">
        <v>453</v>
      </c>
      <c r="E84" s="10"/>
    </row>
    <row r="85" ht="16.5" spans="1:5">
      <c r="A85" s="7">
        <v>3045789.476</v>
      </c>
      <c r="B85" s="7">
        <v>35401166.591</v>
      </c>
      <c r="C85" s="8">
        <v>913.439</v>
      </c>
      <c r="D85" s="9" t="s">
        <v>454</v>
      </c>
      <c r="E85" s="10"/>
    </row>
    <row r="86" ht="16.5" spans="1:5">
      <c r="A86" s="7">
        <v>3045789.476</v>
      </c>
      <c r="B86" s="7">
        <v>35401166.591</v>
      </c>
      <c r="C86" s="8">
        <v>913.439</v>
      </c>
      <c r="D86" s="9" t="s">
        <v>455</v>
      </c>
      <c r="E86" s="10"/>
    </row>
    <row r="87" ht="16.5" spans="1:5">
      <c r="A87" s="7">
        <v>3045789.476</v>
      </c>
      <c r="B87" s="7">
        <v>35401166.591</v>
      </c>
      <c r="C87" s="8">
        <v>913.439</v>
      </c>
      <c r="D87" s="9" t="s">
        <v>456</v>
      </c>
      <c r="E87" s="10"/>
    </row>
    <row r="88" ht="16.5" spans="1:5">
      <c r="A88" s="7">
        <v>3045789.476</v>
      </c>
      <c r="B88" s="7">
        <v>35401166.591</v>
      </c>
      <c r="C88" s="8">
        <v>913.439</v>
      </c>
      <c r="D88" s="9" t="s">
        <v>457</v>
      </c>
      <c r="E88" s="10"/>
    </row>
    <row r="89" ht="16.5" spans="1:5">
      <c r="A89" s="7">
        <v>3045789.476</v>
      </c>
      <c r="B89" s="7">
        <v>35401166.591</v>
      </c>
      <c r="C89" s="8">
        <v>913.439</v>
      </c>
      <c r="D89" s="9" t="s">
        <v>458</v>
      </c>
      <c r="E89" s="10"/>
    </row>
    <row r="90" ht="16.5" spans="1:5">
      <c r="A90" s="7">
        <v>3045789.476</v>
      </c>
      <c r="B90" s="7">
        <v>35401166.591</v>
      </c>
      <c r="C90" s="8">
        <v>913.439</v>
      </c>
      <c r="D90" s="9" t="s">
        <v>459</v>
      </c>
      <c r="E90" s="10"/>
    </row>
    <row r="91" ht="16.5" spans="1:5">
      <c r="A91" s="7">
        <v>3045789.476</v>
      </c>
      <c r="B91" s="7">
        <v>35401166.591</v>
      </c>
      <c r="C91" s="8">
        <v>913.439</v>
      </c>
      <c r="D91" s="9" t="s">
        <v>460</v>
      </c>
      <c r="E91" s="10"/>
    </row>
    <row r="92" ht="16.5" spans="1:5">
      <c r="A92" s="7">
        <v>3045789.476</v>
      </c>
      <c r="B92" s="7">
        <v>35401166.591</v>
      </c>
      <c r="C92" s="8">
        <v>913.439</v>
      </c>
      <c r="D92" s="9" t="s">
        <v>461</v>
      </c>
      <c r="E92" s="10"/>
    </row>
    <row r="93" ht="16.5" spans="1:5">
      <c r="A93" s="7">
        <v>3045789.476</v>
      </c>
      <c r="B93" s="7">
        <v>35401166.591</v>
      </c>
      <c r="C93" s="8">
        <v>913.439</v>
      </c>
      <c r="D93" s="9" t="s">
        <v>462</v>
      </c>
      <c r="E93" s="10"/>
    </row>
    <row r="94" ht="16.5" spans="1:5">
      <c r="A94" s="7">
        <v>3045789.476</v>
      </c>
      <c r="B94" s="7">
        <v>35401166.591</v>
      </c>
      <c r="C94" s="8">
        <v>913.439</v>
      </c>
      <c r="D94" s="9" t="s">
        <v>463</v>
      </c>
      <c r="E94" s="10">
        <v>864.579</v>
      </c>
    </row>
    <row r="95" ht="16.5" spans="1:5">
      <c r="A95" s="7">
        <v>3045789.476</v>
      </c>
      <c r="B95" s="7">
        <v>35401166.591</v>
      </c>
      <c r="C95" s="8">
        <v>913.439</v>
      </c>
      <c r="D95" s="9" t="s">
        <v>464</v>
      </c>
      <c r="E95" s="10">
        <v>864.949</v>
      </c>
    </row>
    <row r="96" ht="16.5" spans="1:5">
      <c r="A96" s="7">
        <v>3045789.476</v>
      </c>
      <c r="B96" s="7">
        <v>35401166.591</v>
      </c>
      <c r="C96" s="8">
        <v>913.439</v>
      </c>
      <c r="D96" s="9" t="s">
        <v>465</v>
      </c>
      <c r="E96" s="10"/>
    </row>
    <row r="97" ht="16.5" spans="1:5">
      <c r="A97" s="7">
        <v>3045789.476</v>
      </c>
      <c r="B97" s="7">
        <v>35401166.591</v>
      </c>
      <c r="C97" s="8">
        <v>913.439</v>
      </c>
      <c r="D97" s="9" t="s">
        <v>466</v>
      </c>
      <c r="E97" s="10">
        <v>866.759</v>
      </c>
    </row>
    <row r="98" ht="16.5" spans="1:5">
      <c r="A98" s="7">
        <v>3045789.476</v>
      </c>
      <c r="B98" s="7">
        <v>35401166.591</v>
      </c>
      <c r="C98" s="8">
        <v>913.439</v>
      </c>
      <c r="D98" s="9" t="s">
        <v>467</v>
      </c>
      <c r="E98" s="10"/>
    </row>
    <row r="99" ht="16.5" spans="1:5">
      <c r="A99" s="7">
        <v>3045789.476</v>
      </c>
      <c r="B99" s="7">
        <v>35401166.591</v>
      </c>
      <c r="C99" s="8">
        <v>913.439</v>
      </c>
      <c r="D99" s="9" t="s">
        <v>468</v>
      </c>
      <c r="E99" s="10">
        <v>865.759</v>
      </c>
    </row>
    <row r="100" ht="16.5" spans="1:5">
      <c r="A100" s="7">
        <v>3045789.476</v>
      </c>
      <c r="B100" s="7">
        <v>35401166.591</v>
      </c>
      <c r="C100" s="8">
        <v>913.439</v>
      </c>
      <c r="D100" s="9" t="s">
        <v>469</v>
      </c>
      <c r="E100" s="10">
        <v>866.169</v>
      </c>
    </row>
    <row r="101" ht="16.5" spans="1:5">
      <c r="A101" s="7">
        <v>3045789.476</v>
      </c>
      <c r="B101" s="7">
        <v>35401166.591</v>
      </c>
      <c r="C101" s="8">
        <v>913.439</v>
      </c>
      <c r="D101" s="9" t="s">
        <v>470</v>
      </c>
      <c r="E101" s="10">
        <v>866.049</v>
      </c>
    </row>
    <row r="102" ht="16.5" spans="1:5">
      <c r="A102" s="7">
        <v>3045789.476</v>
      </c>
      <c r="B102" s="7">
        <v>35401166.591</v>
      </c>
      <c r="C102" s="8">
        <v>913.439</v>
      </c>
      <c r="D102" s="9" t="s">
        <v>471</v>
      </c>
      <c r="E102" s="10">
        <v>866.279</v>
      </c>
    </row>
    <row r="103" ht="16.5" spans="1:5">
      <c r="A103" s="7">
        <v>3045789.476</v>
      </c>
      <c r="B103" s="7">
        <v>35401166.591</v>
      </c>
      <c r="C103" s="8">
        <v>913.439</v>
      </c>
      <c r="D103" s="9" t="s">
        <v>472</v>
      </c>
      <c r="E103" s="10">
        <v>866.229</v>
      </c>
    </row>
    <row r="104" ht="16.5" spans="1:5">
      <c r="A104" s="7">
        <v>3045789.476</v>
      </c>
      <c r="B104" s="7">
        <v>35401166.591</v>
      </c>
      <c r="C104" s="8">
        <v>913.439</v>
      </c>
      <c r="D104" s="9" t="s">
        <v>473</v>
      </c>
      <c r="E104" s="10">
        <v>865.899</v>
      </c>
    </row>
    <row r="105" ht="16.5" spans="1:5">
      <c r="A105" s="7">
        <v>3045789.476</v>
      </c>
      <c r="B105" s="7">
        <v>35401166.591</v>
      </c>
      <c r="C105" s="8">
        <v>913.439</v>
      </c>
      <c r="D105" s="9" t="s">
        <v>474</v>
      </c>
      <c r="E105" s="10">
        <v>868.119</v>
      </c>
    </row>
    <row r="106" ht="16.5" spans="1:5">
      <c r="A106" s="7">
        <v>3045789.476</v>
      </c>
      <c r="B106" s="7">
        <v>35401166.591</v>
      </c>
      <c r="C106" s="8">
        <v>913.439</v>
      </c>
      <c r="D106" s="9" t="s">
        <v>475</v>
      </c>
      <c r="E106" s="10">
        <v>868.029</v>
      </c>
    </row>
    <row r="107" ht="16.5" spans="1:5">
      <c r="A107" s="7">
        <v>3045789.476</v>
      </c>
      <c r="B107" s="7">
        <v>35401166.591</v>
      </c>
      <c r="C107" s="8">
        <v>913.439</v>
      </c>
      <c r="D107" s="9" t="s">
        <v>476</v>
      </c>
      <c r="E107" s="10">
        <v>872.609</v>
      </c>
    </row>
    <row r="108" ht="16.5" spans="1:5">
      <c r="A108" s="7">
        <v>3045789.476</v>
      </c>
      <c r="B108" s="7">
        <v>35401166.591</v>
      </c>
      <c r="C108" s="8">
        <v>913.439</v>
      </c>
      <c r="D108" s="9" t="s">
        <v>477</v>
      </c>
      <c r="E108" s="10">
        <v>872.319</v>
      </c>
    </row>
    <row r="109" ht="16.5" spans="1:5">
      <c r="A109" s="7">
        <v>3045789.476</v>
      </c>
      <c r="B109" s="7">
        <v>35401166.591</v>
      </c>
      <c r="C109" s="8">
        <v>913.439</v>
      </c>
      <c r="D109" s="9" t="s">
        <v>478</v>
      </c>
      <c r="E109" s="10">
        <v>872.039</v>
      </c>
    </row>
    <row r="110" ht="16.5" spans="1:5">
      <c r="A110" s="7">
        <v>3045789.476</v>
      </c>
      <c r="B110" s="7">
        <v>35401166.591</v>
      </c>
      <c r="C110" s="8">
        <v>913.439</v>
      </c>
      <c r="D110" s="9" t="s">
        <v>479</v>
      </c>
      <c r="E110" s="10">
        <v>871.699</v>
      </c>
    </row>
    <row r="111" ht="16.5" spans="1:5">
      <c r="A111" s="7">
        <v>3045789.476</v>
      </c>
      <c r="B111" s="7">
        <v>35401166.591</v>
      </c>
      <c r="C111" s="8">
        <v>913.439</v>
      </c>
      <c r="D111" s="9" t="s">
        <v>480</v>
      </c>
      <c r="E111" s="10">
        <v>871.619</v>
      </c>
    </row>
    <row r="112" ht="16.5" spans="1:5">
      <c r="A112" s="7">
        <v>3045789.476</v>
      </c>
      <c r="B112" s="7">
        <v>35401166.591</v>
      </c>
      <c r="C112" s="8">
        <v>913.439</v>
      </c>
      <c r="D112" s="9" t="s">
        <v>481</v>
      </c>
      <c r="E112" s="10">
        <v>868.589</v>
      </c>
    </row>
    <row r="113" ht="16.5" spans="1:5">
      <c r="A113" s="7">
        <v>3045789.476</v>
      </c>
      <c r="B113" s="7">
        <v>35401166.591</v>
      </c>
      <c r="C113" s="8">
        <v>913.439</v>
      </c>
      <c r="D113" s="9" t="s">
        <v>482</v>
      </c>
      <c r="E113" s="10">
        <v>870.309</v>
      </c>
    </row>
    <row r="114" ht="16.5" spans="1:5">
      <c r="A114" s="7">
        <v>3045789.476</v>
      </c>
      <c r="B114" s="7">
        <v>35401166.591</v>
      </c>
      <c r="C114" s="8">
        <v>913.439</v>
      </c>
      <c r="D114" s="9" t="s">
        <v>483</v>
      </c>
      <c r="E114" s="10">
        <v>863.259</v>
      </c>
    </row>
    <row r="115" ht="16.5" spans="1:5">
      <c r="A115" s="7">
        <v>3045789.476</v>
      </c>
      <c r="B115" s="7">
        <v>35401166.591</v>
      </c>
      <c r="C115" s="8">
        <v>913.439</v>
      </c>
      <c r="D115" s="9" t="s">
        <v>484</v>
      </c>
      <c r="E115" s="10">
        <v>854.759</v>
      </c>
    </row>
    <row r="116" ht="16.5" spans="1:5">
      <c r="A116" s="7">
        <v>3045789.476</v>
      </c>
      <c r="B116" s="7">
        <v>35401166.591</v>
      </c>
      <c r="C116" s="8">
        <v>913.439</v>
      </c>
      <c r="D116" s="9" t="s">
        <v>485</v>
      </c>
      <c r="E116" s="10">
        <v>847.629</v>
      </c>
    </row>
    <row r="117" ht="16.5" spans="1:5">
      <c r="A117" s="7">
        <v>3045789.476</v>
      </c>
      <c r="B117" s="7">
        <v>35401166.591</v>
      </c>
      <c r="C117" s="8">
        <v>913.439</v>
      </c>
      <c r="D117" s="9" t="s">
        <v>486</v>
      </c>
      <c r="E117" s="10">
        <v>847.469</v>
      </c>
    </row>
    <row r="118" ht="16.5" spans="1:5">
      <c r="A118" s="7">
        <v>3045789.476</v>
      </c>
      <c r="B118" s="7">
        <v>35401166.591</v>
      </c>
      <c r="C118" s="8">
        <v>913.439</v>
      </c>
      <c r="D118" s="9" t="s">
        <v>487</v>
      </c>
      <c r="E118" s="10">
        <v>846.079</v>
      </c>
    </row>
    <row r="119" ht="16.5" spans="1:5">
      <c r="A119" s="7">
        <v>3045789.476</v>
      </c>
      <c r="B119" s="7">
        <v>35401166.591</v>
      </c>
      <c r="C119" s="8">
        <v>913.439</v>
      </c>
      <c r="D119" s="9" t="s">
        <v>488</v>
      </c>
      <c r="E119" s="10">
        <v>847.449</v>
      </c>
    </row>
    <row r="120" ht="16.5" spans="1:5">
      <c r="A120" s="7">
        <v>3045789.476</v>
      </c>
      <c r="B120" s="7">
        <v>35401166.591</v>
      </c>
      <c r="C120" s="8">
        <v>913.439</v>
      </c>
      <c r="D120" s="9" t="s">
        <v>489</v>
      </c>
      <c r="E120" s="10">
        <v>848.319</v>
      </c>
    </row>
    <row r="121" ht="16.5" spans="1:5">
      <c r="A121" s="7">
        <v>3045789.476</v>
      </c>
      <c r="B121" s="7">
        <v>35401166.591</v>
      </c>
      <c r="C121" s="8">
        <v>913.439</v>
      </c>
      <c r="D121" s="9" t="s">
        <v>490</v>
      </c>
      <c r="E121" s="10">
        <v>847.129</v>
      </c>
    </row>
    <row r="122" ht="16.5" spans="1:5">
      <c r="A122" s="7">
        <v>3045789.476</v>
      </c>
      <c r="B122" s="7">
        <v>35401166.591</v>
      </c>
      <c r="C122" s="8">
        <v>913.439</v>
      </c>
      <c r="D122" s="9" t="s">
        <v>491</v>
      </c>
      <c r="E122" s="10">
        <v>850.119</v>
      </c>
    </row>
    <row r="123" ht="16.5" spans="1:5">
      <c r="A123" s="7">
        <v>3045789.476</v>
      </c>
      <c r="B123" s="7">
        <v>35401166.591</v>
      </c>
      <c r="C123" s="8">
        <v>913.439</v>
      </c>
      <c r="D123" s="11">
        <v>44682</v>
      </c>
      <c r="E123" s="10">
        <v>849.019</v>
      </c>
    </row>
    <row r="124" ht="16.5" spans="1:5">
      <c r="A124" s="7">
        <v>3045789.476</v>
      </c>
      <c r="B124" s="7">
        <v>35401166.591</v>
      </c>
      <c r="C124" s="8">
        <v>913.439</v>
      </c>
      <c r="D124" s="11">
        <v>44683</v>
      </c>
      <c r="E124" s="10"/>
    </row>
    <row r="125" ht="16.5" spans="1:5">
      <c r="A125" s="7">
        <v>3045789.476</v>
      </c>
      <c r="B125" s="7">
        <v>35401166.591</v>
      </c>
      <c r="C125" s="8">
        <v>913.439</v>
      </c>
      <c r="D125" s="11">
        <v>44684</v>
      </c>
      <c r="E125" s="10"/>
    </row>
    <row r="126" ht="16.5" spans="1:5">
      <c r="A126" s="7">
        <v>3045789.476</v>
      </c>
      <c r="B126" s="7">
        <v>35401166.591</v>
      </c>
      <c r="C126" s="8">
        <v>913.439</v>
      </c>
      <c r="D126" s="11">
        <v>44685</v>
      </c>
      <c r="E126" s="10"/>
    </row>
    <row r="127" ht="16.5" spans="1:5">
      <c r="A127" s="7">
        <v>3045789.476</v>
      </c>
      <c r="B127" s="7">
        <v>35401166.591</v>
      </c>
      <c r="C127" s="8">
        <v>913.439</v>
      </c>
      <c r="D127" s="11">
        <v>44686</v>
      </c>
      <c r="E127" s="10"/>
    </row>
    <row r="128" ht="16.5" spans="1:5">
      <c r="A128" s="7">
        <v>3045789.476</v>
      </c>
      <c r="B128" s="7">
        <v>35401166.591</v>
      </c>
      <c r="C128" s="8">
        <v>913.439</v>
      </c>
      <c r="D128" s="11">
        <v>44687</v>
      </c>
      <c r="E128" s="10"/>
    </row>
    <row r="129" ht="16.5" spans="1:5">
      <c r="A129" s="7">
        <v>3045789.476</v>
      </c>
      <c r="B129" s="7">
        <v>35401166.591</v>
      </c>
      <c r="C129" s="8">
        <v>913.439</v>
      </c>
      <c r="D129" s="11">
        <v>44688</v>
      </c>
      <c r="E129" s="10">
        <v>858.379</v>
      </c>
    </row>
    <row r="130" ht="16.5" spans="1:5">
      <c r="A130" s="7">
        <v>3045789.476</v>
      </c>
      <c r="B130" s="7">
        <v>35401166.591</v>
      </c>
      <c r="C130" s="8">
        <v>913.439</v>
      </c>
      <c r="D130" s="11">
        <v>44689</v>
      </c>
      <c r="E130" s="10"/>
    </row>
    <row r="131" ht="16.5" spans="1:5">
      <c r="A131" s="7">
        <v>3045789.476</v>
      </c>
      <c r="B131" s="7">
        <v>35401166.591</v>
      </c>
      <c r="C131" s="8">
        <v>913.439</v>
      </c>
      <c r="D131" s="11">
        <v>44690</v>
      </c>
      <c r="E131" s="10"/>
    </row>
    <row r="132" ht="16.5" spans="1:5">
      <c r="A132" s="7">
        <v>3045789.476</v>
      </c>
      <c r="B132" s="7">
        <v>35401166.591</v>
      </c>
      <c r="C132" s="8">
        <v>913.439</v>
      </c>
      <c r="D132" s="11">
        <v>44691</v>
      </c>
      <c r="E132" s="10"/>
    </row>
    <row r="133" ht="16.5" spans="1:5">
      <c r="A133" s="7">
        <v>3045789.476</v>
      </c>
      <c r="B133" s="7">
        <v>35401166.591</v>
      </c>
      <c r="C133" s="8">
        <v>913.439</v>
      </c>
      <c r="D133" s="11">
        <v>44692</v>
      </c>
      <c r="E133" s="10"/>
    </row>
    <row r="134" ht="16.5" spans="1:5">
      <c r="A134" s="7">
        <v>3045789.476</v>
      </c>
      <c r="B134" s="7">
        <v>35401166.591</v>
      </c>
      <c r="C134" s="8">
        <v>913.439</v>
      </c>
      <c r="D134" s="11">
        <v>44693</v>
      </c>
      <c r="E134" s="10">
        <v>856.519</v>
      </c>
    </row>
    <row r="135" ht="16.5" spans="1:5">
      <c r="A135" s="7">
        <v>3045789.476</v>
      </c>
      <c r="B135" s="7">
        <v>35401166.591</v>
      </c>
      <c r="C135" s="8">
        <v>913.439</v>
      </c>
      <c r="D135" s="11">
        <v>44694</v>
      </c>
      <c r="E135" s="10">
        <v>857.129</v>
      </c>
    </row>
    <row r="136" ht="16.5" spans="1:5">
      <c r="A136" s="7">
        <v>3045789.476</v>
      </c>
      <c r="B136" s="7">
        <v>35401166.591</v>
      </c>
      <c r="C136" s="8">
        <v>913.439</v>
      </c>
      <c r="D136" s="11">
        <v>44695</v>
      </c>
      <c r="E136" s="10">
        <v>857.827</v>
      </c>
    </row>
    <row r="137" ht="16.5" spans="1:5">
      <c r="A137" s="7">
        <v>3045789.476</v>
      </c>
      <c r="B137" s="7">
        <v>35401166.591</v>
      </c>
      <c r="C137" s="8">
        <v>913.439</v>
      </c>
      <c r="D137" s="11">
        <v>44696</v>
      </c>
      <c r="E137" s="10">
        <v>861.499</v>
      </c>
    </row>
    <row r="138" ht="16.5" spans="1:5">
      <c r="A138" s="7">
        <v>3045789.476</v>
      </c>
      <c r="B138" s="7">
        <v>35401166.591</v>
      </c>
      <c r="C138" s="8">
        <v>913.439</v>
      </c>
      <c r="D138" s="11">
        <v>44697</v>
      </c>
      <c r="E138" s="10">
        <v>860.759</v>
      </c>
    </row>
    <row r="139" ht="16.5" spans="1:5">
      <c r="A139" s="7">
        <v>3045789.476</v>
      </c>
      <c r="B139" s="7">
        <v>35401166.591</v>
      </c>
      <c r="C139" s="8">
        <v>913.439</v>
      </c>
      <c r="D139" s="11">
        <v>44698</v>
      </c>
      <c r="E139" s="10">
        <v>862.999</v>
      </c>
    </row>
    <row r="140" ht="16.5" spans="1:5">
      <c r="A140" s="7">
        <v>3045789.476</v>
      </c>
      <c r="B140" s="7">
        <v>35401166.591</v>
      </c>
      <c r="C140" s="8">
        <v>913.439</v>
      </c>
      <c r="D140" s="11">
        <v>44699</v>
      </c>
      <c r="E140" s="10">
        <v>863.569</v>
      </c>
    </row>
    <row r="141" ht="16.5" spans="1:5">
      <c r="A141" s="7">
        <v>3045789.476</v>
      </c>
      <c r="B141" s="7">
        <v>35401166.591</v>
      </c>
      <c r="C141" s="8">
        <v>913.439</v>
      </c>
      <c r="D141" s="11">
        <v>44700</v>
      </c>
      <c r="E141" s="10">
        <v>861.809</v>
      </c>
    </row>
    <row r="142" ht="16.5" spans="1:5">
      <c r="A142" s="7">
        <v>3045789.476</v>
      </c>
      <c r="B142" s="7">
        <v>35401166.591</v>
      </c>
      <c r="C142" s="8">
        <v>913.439</v>
      </c>
      <c r="D142" s="11">
        <v>44701</v>
      </c>
      <c r="E142" s="10">
        <v>862.649</v>
      </c>
    </row>
    <row r="143" ht="16.5" spans="1:5">
      <c r="A143" s="7">
        <v>3045789.476</v>
      </c>
      <c r="B143" s="7">
        <v>35401166.591</v>
      </c>
      <c r="C143" s="8">
        <v>913.439</v>
      </c>
      <c r="D143" s="11">
        <v>44702</v>
      </c>
      <c r="E143" s="10">
        <v>862.069</v>
      </c>
    </row>
    <row r="144" ht="16.5" spans="1:5">
      <c r="A144" s="7">
        <v>3045789.476</v>
      </c>
      <c r="B144" s="7">
        <v>35401166.591</v>
      </c>
      <c r="C144" s="8">
        <v>913.439</v>
      </c>
      <c r="D144" s="11">
        <v>44703</v>
      </c>
      <c r="E144" s="10">
        <v>863.439</v>
      </c>
    </row>
    <row r="145" ht="16.5" spans="1:5">
      <c r="A145" s="7">
        <v>3045789.476</v>
      </c>
      <c r="B145" s="7">
        <v>35401166.591</v>
      </c>
      <c r="C145" s="8">
        <v>913.439</v>
      </c>
      <c r="D145" s="11">
        <v>44704</v>
      </c>
      <c r="E145" s="10">
        <v>862.409</v>
      </c>
    </row>
    <row r="146" ht="16.5" spans="1:5">
      <c r="A146" s="7">
        <v>3045789.476</v>
      </c>
      <c r="B146" s="7">
        <v>35401166.591</v>
      </c>
      <c r="C146" s="8">
        <v>913.439</v>
      </c>
      <c r="D146" s="11">
        <v>44705</v>
      </c>
      <c r="E146" s="10">
        <v>862.519</v>
      </c>
    </row>
    <row r="147" ht="16.5" spans="1:5">
      <c r="A147" s="7">
        <v>3045789.476</v>
      </c>
      <c r="B147" s="7">
        <v>35401166.591</v>
      </c>
      <c r="C147" s="8">
        <v>913.439</v>
      </c>
      <c r="D147" s="11">
        <v>44706</v>
      </c>
      <c r="E147" s="10">
        <v>861.869</v>
      </c>
    </row>
    <row r="148" ht="16.5" spans="1:5">
      <c r="A148" s="7">
        <v>3045789.476</v>
      </c>
      <c r="B148" s="7">
        <v>35401166.591</v>
      </c>
      <c r="C148" s="8">
        <v>913.439</v>
      </c>
      <c r="D148" s="11">
        <v>44707</v>
      </c>
      <c r="E148" s="10">
        <v>863.999</v>
      </c>
    </row>
    <row r="149" ht="16.5" spans="1:5">
      <c r="A149" s="7">
        <v>3045789.476</v>
      </c>
      <c r="B149" s="7">
        <v>35401166.591</v>
      </c>
      <c r="C149" s="8">
        <v>913.439</v>
      </c>
      <c r="D149" s="11">
        <v>44708</v>
      </c>
      <c r="E149" s="10">
        <v>867.119</v>
      </c>
    </row>
    <row r="150" ht="16.5" spans="1:5">
      <c r="A150" s="7">
        <v>3045789.476</v>
      </c>
      <c r="B150" s="7">
        <v>35401166.591</v>
      </c>
      <c r="C150" s="8">
        <v>913.439</v>
      </c>
      <c r="D150" s="11">
        <v>44709</v>
      </c>
      <c r="E150" s="10">
        <v>872.789</v>
      </c>
    </row>
    <row r="151" ht="16.5" spans="1:5">
      <c r="A151" s="7">
        <v>3045789.476</v>
      </c>
      <c r="B151" s="7">
        <v>35401166.591</v>
      </c>
      <c r="C151" s="8">
        <v>913.439</v>
      </c>
      <c r="D151" s="11">
        <v>44710</v>
      </c>
      <c r="E151" s="10">
        <v>882.119</v>
      </c>
    </row>
    <row r="152" ht="16.5" spans="1:5">
      <c r="A152" s="7">
        <v>3045789.476</v>
      </c>
      <c r="B152" s="7">
        <v>35401166.591</v>
      </c>
      <c r="C152" s="8">
        <v>913.439</v>
      </c>
      <c r="D152" s="11">
        <v>44711</v>
      </c>
      <c r="E152" s="10">
        <v>886.119</v>
      </c>
    </row>
    <row r="153" ht="16.5" spans="1:5">
      <c r="A153" s="7">
        <v>3045789.476</v>
      </c>
      <c r="B153" s="7">
        <v>35401166.591</v>
      </c>
      <c r="C153" s="8">
        <v>913.439</v>
      </c>
      <c r="D153" s="11">
        <v>44712</v>
      </c>
      <c r="E153" s="10">
        <v>882.719</v>
      </c>
    </row>
    <row r="154" ht="16.5" spans="1:5">
      <c r="A154" s="7">
        <v>3045789.476</v>
      </c>
      <c r="B154" s="7">
        <v>35401166.591</v>
      </c>
      <c r="C154" s="8">
        <v>913.439</v>
      </c>
      <c r="D154" s="11">
        <v>44713</v>
      </c>
      <c r="E154" s="10">
        <v>884.919</v>
      </c>
    </row>
    <row r="155" ht="16.5" spans="1:5">
      <c r="A155" s="7">
        <v>3045789.476</v>
      </c>
      <c r="B155" s="7">
        <v>35401166.591</v>
      </c>
      <c r="C155" s="8">
        <v>913.439</v>
      </c>
      <c r="D155" s="11">
        <v>44714</v>
      </c>
      <c r="E155" s="10">
        <v>883.639</v>
      </c>
    </row>
    <row r="156" ht="16.5" spans="1:5">
      <c r="A156" s="7">
        <v>3045789.476</v>
      </c>
      <c r="B156" s="7">
        <v>35401166.591</v>
      </c>
      <c r="C156" s="8">
        <v>913.439</v>
      </c>
      <c r="D156" s="11">
        <v>44715</v>
      </c>
      <c r="E156" s="10">
        <v>882.619</v>
      </c>
    </row>
    <row r="157" ht="16.5" spans="1:5">
      <c r="A157" s="7">
        <v>3045789.476</v>
      </c>
      <c r="B157" s="7">
        <v>35401166.591</v>
      </c>
      <c r="C157" s="8">
        <v>913.439</v>
      </c>
      <c r="D157" s="11">
        <v>44716</v>
      </c>
      <c r="E157" s="10">
        <v>882.719</v>
      </c>
    </row>
    <row r="158" ht="16.5" spans="1:5">
      <c r="A158" s="7">
        <v>3045789.476</v>
      </c>
      <c r="B158" s="7">
        <v>35401166.591</v>
      </c>
      <c r="C158" s="8">
        <v>913.439</v>
      </c>
      <c r="D158" s="11">
        <v>44717</v>
      </c>
      <c r="E158" s="10">
        <v>880.419</v>
      </c>
    </row>
    <row r="159" ht="16.5" spans="1:5">
      <c r="A159" s="7">
        <v>3045789.476</v>
      </c>
      <c r="B159" s="7">
        <v>35401166.591</v>
      </c>
      <c r="C159" s="8">
        <v>913.439</v>
      </c>
      <c r="D159" s="11">
        <v>44718</v>
      </c>
      <c r="E159" s="10"/>
    </row>
    <row r="160" ht="16.5" spans="1:5">
      <c r="A160" s="7">
        <v>3045789.476</v>
      </c>
      <c r="B160" s="7">
        <v>35401166.591</v>
      </c>
      <c r="C160" s="8">
        <v>913.439</v>
      </c>
      <c r="D160" s="11">
        <v>44719</v>
      </c>
      <c r="E160" s="10">
        <v>880.319</v>
      </c>
    </row>
    <row r="161" ht="16.5" spans="1:5">
      <c r="A161" s="7">
        <v>3045789.476</v>
      </c>
      <c r="B161" s="7">
        <v>35401166.591</v>
      </c>
      <c r="C161" s="8">
        <v>913.439</v>
      </c>
      <c r="D161" s="11">
        <v>44720</v>
      </c>
      <c r="E161" s="10">
        <v>880.249</v>
      </c>
    </row>
    <row r="162" ht="16.5" spans="1:5">
      <c r="A162" s="7">
        <v>3045789.476</v>
      </c>
      <c r="B162" s="7">
        <v>35401166.591</v>
      </c>
      <c r="C162" s="8">
        <v>913.439</v>
      </c>
      <c r="D162" s="11">
        <v>44721</v>
      </c>
      <c r="E162" s="12"/>
    </row>
    <row r="163" ht="16.5" spans="1:5">
      <c r="A163" s="7">
        <v>3045789.476</v>
      </c>
      <c r="B163" s="7">
        <v>35401166.591</v>
      </c>
      <c r="C163" s="8">
        <v>913.439</v>
      </c>
      <c r="D163" s="11">
        <v>44722</v>
      </c>
      <c r="E163" s="12"/>
    </row>
    <row r="164" ht="16.5" spans="1:5">
      <c r="A164" s="7">
        <v>3045789.476</v>
      </c>
      <c r="B164" s="7">
        <v>35401166.591</v>
      </c>
      <c r="C164" s="8">
        <v>913.439</v>
      </c>
      <c r="D164" s="11">
        <v>44723</v>
      </c>
      <c r="E164" s="10">
        <v>881.579</v>
      </c>
    </row>
    <row r="165" ht="16.5" spans="1:5">
      <c r="A165" s="7">
        <v>3045789.476</v>
      </c>
      <c r="B165" s="7">
        <v>35401166.591</v>
      </c>
      <c r="C165" s="8">
        <v>913.439</v>
      </c>
      <c r="D165" s="11">
        <v>44724</v>
      </c>
      <c r="E165" s="10">
        <v>882.919</v>
      </c>
    </row>
    <row r="166" ht="16.5" spans="1:5">
      <c r="A166" s="7">
        <v>3045789.476</v>
      </c>
      <c r="B166" s="7">
        <v>35401166.591</v>
      </c>
      <c r="C166" s="8">
        <v>913.439</v>
      </c>
      <c r="D166" s="11">
        <v>44725</v>
      </c>
      <c r="E166" s="10"/>
    </row>
    <row r="167" ht="16.5" spans="1:5">
      <c r="A167" s="7">
        <v>3045789.476</v>
      </c>
      <c r="B167" s="7">
        <v>35401166.591</v>
      </c>
      <c r="C167" s="8">
        <v>913.439</v>
      </c>
      <c r="D167" s="11">
        <v>44726</v>
      </c>
      <c r="E167" s="10">
        <v>892.059</v>
      </c>
    </row>
    <row r="168" ht="16.5" spans="1:5">
      <c r="A168" s="7">
        <v>3045789.476</v>
      </c>
      <c r="B168" s="7">
        <v>35401166.591</v>
      </c>
      <c r="C168" s="8">
        <v>913.439</v>
      </c>
      <c r="D168" s="11">
        <v>44727</v>
      </c>
      <c r="E168" s="10"/>
    </row>
    <row r="169" ht="16.5" spans="1:5">
      <c r="A169" s="7">
        <v>3045789.476</v>
      </c>
      <c r="B169" s="7">
        <v>35401166.591</v>
      </c>
      <c r="C169" s="8">
        <v>913.439</v>
      </c>
      <c r="D169" s="11">
        <v>44728</v>
      </c>
      <c r="E169" s="10">
        <v>884.059</v>
      </c>
    </row>
    <row r="170" ht="16.5" spans="1:5">
      <c r="A170" s="7">
        <v>3045789.476</v>
      </c>
      <c r="B170" s="7">
        <v>35401166.591</v>
      </c>
      <c r="C170" s="8">
        <v>913.439</v>
      </c>
      <c r="D170" s="11">
        <v>44729</v>
      </c>
      <c r="E170" s="10"/>
    </row>
    <row r="171" ht="16.5" spans="1:5">
      <c r="A171" s="7">
        <v>3045789.476</v>
      </c>
      <c r="B171" s="7">
        <v>35401166.591</v>
      </c>
      <c r="C171" s="8">
        <v>913.439</v>
      </c>
      <c r="D171" s="11">
        <v>44730</v>
      </c>
      <c r="E171" s="10"/>
    </row>
    <row r="172" ht="16.5" spans="1:5">
      <c r="A172" s="7">
        <v>3045789.476</v>
      </c>
      <c r="B172" s="7">
        <v>35401166.591</v>
      </c>
      <c r="C172" s="8">
        <v>913.439</v>
      </c>
      <c r="D172" s="11">
        <v>44731</v>
      </c>
      <c r="E172" s="10">
        <v>883.809</v>
      </c>
    </row>
    <row r="173" ht="16.5" spans="1:5">
      <c r="A173" s="7">
        <v>3045789.476</v>
      </c>
      <c r="B173" s="7">
        <v>35401166.591</v>
      </c>
      <c r="C173" s="8">
        <v>913.439</v>
      </c>
      <c r="D173" s="13">
        <v>44732</v>
      </c>
      <c r="E173" s="10"/>
    </row>
    <row r="174" ht="16.5" spans="1:5">
      <c r="A174" s="7">
        <v>3045789.476</v>
      </c>
      <c r="B174" s="7">
        <v>35401166.591</v>
      </c>
      <c r="C174" s="8">
        <v>913.439</v>
      </c>
      <c r="D174" s="13">
        <v>44733</v>
      </c>
      <c r="E174" s="10"/>
    </row>
    <row r="175" ht="16.5" spans="1:5">
      <c r="A175" s="7">
        <v>3045789.476</v>
      </c>
      <c r="B175" s="7">
        <v>35401166.591</v>
      </c>
      <c r="C175" s="8">
        <v>913.439</v>
      </c>
      <c r="D175" s="13">
        <v>44734</v>
      </c>
      <c r="E175" s="10"/>
    </row>
    <row r="176" ht="16.5" spans="1:5">
      <c r="A176" s="7">
        <v>3045789.476</v>
      </c>
      <c r="B176" s="7">
        <v>35401166.591</v>
      </c>
      <c r="C176" s="8">
        <v>913.439</v>
      </c>
      <c r="D176" s="13">
        <v>44735</v>
      </c>
      <c r="E176" s="10">
        <v>889.589</v>
      </c>
    </row>
    <row r="177" ht="16.5" spans="1:5">
      <c r="A177" s="7">
        <v>3045789.476</v>
      </c>
      <c r="B177" s="7">
        <v>35401166.591</v>
      </c>
      <c r="C177" s="8">
        <v>913.439</v>
      </c>
      <c r="D177" s="13">
        <v>44736</v>
      </c>
      <c r="E177" s="10">
        <v>888.579</v>
      </c>
    </row>
    <row r="178" ht="16.5" spans="1:5">
      <c r="A178" s="7">
        <v>3045789.476</v>
      </c>
      <c r="B178" s="7">
        <v>35401166.591</v>
      </c>
      <c r="C178" s="8">
        <v>913.439</v>
      </c>
      <c r="D178" s="13">
        <v>44737</v>
      </c>
      <c r="E178" s="10"/>
    </row>
    <row r="179" ht="16.5" spans="1:5">
      <c r="A179" s="7">
        <v>3045789.476</v>
      </c>
      <c r="B179" s="7">
        <v>35401166.591</v>
      </c>
      <c r="C179" s="8">
        <v>913.439</v>
      </c>
      <c r="D179" s="13">
        <v>44738</v>
      </c>
      <c r="E179" s="10"/>
    </row>
    <row r="180" ht="16.5" spans="1:5">
      <c r="A180" s="7">
        <v>3045789.476</v>
      </c>
      <c r="B180" s="7">
        <v>35401166.591</v>
      </c>
      <c r="C180" s="8">
        <v>913.439</v>
      </c>
      <c r="D180" s="13">
        <v>44739</v>
      </c>
      <c r="E180" s="12"/>
    </row>
    <row r="181" ht="16.5" spans="1:5">
      <c r="A181" s="7">
        <v>3045789.476</v>
      </c>
      <c r="B181" s="7">
        <v>35401166.591</v>
      </c>
      <c r="C181" s="8">
        <v>913.439</v>
      </c>
      <c r="D181" s="13">
        <v>44740</v>
      </c>
      <c r="E181" s="12"/>
    </row>
    <row r="182" ht="16.5" spans="1:5">
      <c r="A182" s="7">
        <v>3045789.476</v>
      </c>
      <c r="B182" s="7">
        <v>35401166.591</v>
      </c>
      <c r="C182" s="8">
        <v>913.439</v>
      </c>
      <c r="D182" s="13">
        <v>44741</v>
      </c>
      <c r="E182" s="12"/>
    </row>
    <row r="183" ht="16.5" spans="1:5">
      <c r="A183" s="7">
        <v>3045789.476</v>
      </c>
      <c r="B183" s="7">
        <v>35401166.591</v>
      </c>
      <c r="C183" s="8">
        <v>913.439</v>
      </c>
      <c r="D183" s="13">
        <v>44742</v>
      </c>
      <c r="E183" s="12"/>
    </row>
    <row r="184" ht="16.5" spans="1:5">
      <c r="A184" s="7">
        <v>3045789.476</v>
      </c>
      <c r="B184" s="7">
        <v>35401166.591</v>
      </c>
      <c r="C184" s="8">
        <v>913.439</v>
      </c>
      <c r="D184" s="13">
        <v>44743</v>
      </c>
      <c r="E184" s="12"/>
    </row>
    <row r="185" ht="16.5" spans="1:5">
      <c r="A185" s="7">
        <v>3045789.476</v>
      </c>
      <c r="B185" s="7">
        <v>35401166.591</v>
      </c>
      <c r="C185" s="8">
        <v>913.439</v>
      </c>
      <c r="D185" s="13">
        <v>44744</v>
      </c>
      <c r="E185" s="12"/>
    </row>
    <row r="186" ht="16.5" spans="1:5">
      <c r="A186" s="7">
        <v>3045789.476</v>
      </c>
      <c r="B186" s="7">
        <v>35401166.591</v>
      </c>
      <c r="C186" s="8">
        <v>913.439</v>
      </c>
      <c r="D186" s="13">
        <v>44745</v>
      </c>
      <c r="E186" s="12"/>
    </row>
    <row r="187" ht="16.5" spans="1:5">
      <c r="A187" s="7">
        <v>3045789.476</v>
      </c>
      <c r="B187" s="7">
        <v>35401166.591</v>
      </c>
      <c r="C187" s="8">
        <v>913.439</v>
      </c>
      <c r="D187" s="13">
        <v>44746</v>
      </c>
      <c r="E187" s="10"/>
    </row>
    <row r="188" ht="16.5" spans="1:5">
      <c r="A188" s="7">
        <v>3045789.476</v>
      </c>
      <c r="B188" s="7">
        <v>35401166.591</v>
      </c>
      <c r="C188" s="8">
        <v>913.439</v>
      </c>
      <c r="D188" s="13">
        <v>44747</v>
      </c>
      <c r="E188" s="12"/>
    </row>
    <row r="189" ht="16.5" spans="1:5">
      <c r="A189" s="7">
        <v>3045789.476</v>
      </c>
      <c r="B189" s="7">
        <v>35401166.591</v>
      </c>
      <c r="C189" s="8">
        <v>913.439</v>
      </c>
      <c r="D189" s="13">
        <v>44748</v>
      </c>
      <c r="E189" s="10">
        <v>886.23</v>
      </c>
    </row>
    <row r="190" ht="16.5" spans="1:5">
      <c r="A190" s="7">
        <v>3045789.476</v>
      </c>
      <c r="B190" s="7">
        <v>35401166.591</v>
      </c>
      <c r="C190" s="8">
        <v>913.439</v>
      </c>
      <c r="D190" s="13">
        <v>44749</v>
      </c>
      <c r="E190" s="12"/>
    </row>
    <row r="191" ht="16.5" spans="1:5">
      <c r="A191" s="7">
        <v>3045789.476</v>
      </c>
      <c r="B191" s="7">
        <v>35401166.591</v>
      </c>
      <c r="C191" s="8">
        <v>913.439</v>
      </c>
      <c r="D191" s="13">
        <v>44750</v>
      </c>
      <c r="E191" s="12"/>
    </row>
    <row r="192" ht="16.5" spans="1:5">
      <c r="A192" s="7">
        <v>3045789.476</v>
      </c>
      <c r="B192" s="7">
        <v>35401166.591</v>
      </c>
      <c r="C192" s="8">
        <v>913.439</v>
      </c>
      <c r="D192" s="13">
        <v>44751</v>
      </c>
      <c r="E192" s="12"/>
    </row>
    <row r="193" ht="16.5" spans="1:5">
      <c r="A193" s="7">
        <v>3045789.476</v>
      </c>
      <c r="B193" s="7">
        <v>35401166.591</v>
      </c>
      <c r="C193" s="8">
        <v>913.439</v>
      </c>
      <c r="D193" s="13">
        <v>44752</v>
      </c>
      <c r="E193" s="12"/>
    </row>
    <row r="194" ht="16.5" spans="1:5">
      <c r="A194" s="7">
        <v>3045789.476</v>
      </c>
      <c r="B194" s="7">
        <v>35401166.591</v>
      </c>
      <c r="C194" s="8">
        <v>913.439</v>
      </c>
      <c r="D194" s="13">
        <v>44753</v>
      </c>
      <c r="E194" s="12"/>
    </row>
    <row r="195" ht="16.5" spans="1:5">
      <c r="A195" s="7">
        <v>3045789.476</v>
      </c>
      <c r="B195" s="7">
        <v>35401166.591</v>
      </c>
      <c r="C195" s="8">
        <v>913.439</v>
      </c>
      <c r="D195" s="13">
        <v>44754</v>
      </c>
      <c r="E195" s="12"/>
    </row>
    <row r="196" ht="16.5" spans="1:5">
      <c r="A196" s="7">
        <v>3045789.476</v>
      </c>
      <c r="B196" s="7">
        <v>35401166.591</v>
      </c>
      <c r="C196" s="8">
        <v>913.439</v>
      </c>
      <c r="D196" s="13">
        <v>44755</v>
      </c>
      <c r="E196" s="12"/>
    </row>
    <row r="197" ht="16.5" spans="1:5">
      <c r="A197" s="7">
        <v>3045789.476</v>
      </c>
      <c r="B197" s="7">
        <v>35401166.591</v>
      </c>
      <c r="C197" s="8">
        <v>913.439</v>
      </c>
      <c r="D197" s="13">
        <v>44756</v>
      </c>
      <c r="E197" s="12"/>
    </row>
    <row r="198" ht="16.5" spans="1:5">
      <c r="A198" s="7">
        <v>3045789.476</v>
      </c>
      <c r="B198" s="7">
        <v>35401166.591</v>
      </c>
      <c r="C198" s="8">
        <v>913.439</v>
      </c>
      <c r="D198" s="13">
        <v>44757</v>
      </c>
      <c r="E198" s="12"/>
    </row>
    <row r="199" ht="16.5" spans="1:5">
      <c r="A199" s="7">
        <v>3045789.476</v>
      </c>
      <c r="B199" s="7">
        <v>35401166.591</v>
      </c>
      <c r="C199" s="8">
        <v>913.439</v>
      </c>
      <c r="D199" s="13">
        <v>44758</v>
      </c>
      <c r="E199" s="12"/>
    </row>
    <row r="200" ht="16.5" spans="1:5">
      <c r="A200" s="7">
        <v>3045789.476</v>
      </c>
      <c r="B200" s="7">
        <v>35401166.591</v>
      </c>
      <c r="C200" s="8">
        <v>913.439</v>
      </c>
      <c r="D200" s="13">
        <v>44759</v>
      </c>
      <c r="E200" s="12"/>
    </row>
    <row r="201" ht="16.5" spans="1:5">
      <c r="A201" s="7">
        <v>3045789.476</v>
      </c>
      <c r="B201" s="7">
        <v>35401166.591</v>
      </c>
      <c r="C201" s="8">
        <v>913.439</v>
      </c>
      <c r="D201" s="13">
        <v>44760</v>
      </c>
      <c r="E201" s="12"/>
    </row>
    <row r="202" ht="16.5" spans="1:5">
      <c r="A202" s="7">
        <v>3045789.476</v>
      </c>
      <c r="B202" s="7">
        <v>35401166.591</v>
      </c>
      <c r="C202" s="8">
        <v>913.439</v>
      </c>
      <c r="D202" s="13">
        <v>44761</v>
      </c>
      <c r="E202" s="10">
        <v>884.339</v>
      </c>
    </row>
    <row r="203" ht="16.5" spans="1:5">
      <c r="A203" s="7">
        <v>3045789.476</v>
      </c>
      <c r="B203" s="7">
        <v>35401166.591</v>
      </c>
      <c r="C203" s="8">
        <v>913.439</v>
      </c>
      <c r="D203" s="13">
        <v>44762</v>
      </c>
      <c r="E203" s="10">
        <v>885.219</v>
      </c>
    </row>
    <row r="204" ht="16.5" spans="1:5">
      <c r="A204" s="7">
        <v>3045789.476</v>
      </c>
      <c r="B204" s="7">
        <v>35401166.591</v>
      </c>
      <c r="C204" s="8">
        <v>913.439</v>
      </c>
      <c r="D204" s="13">
        <v>44763</v>
      </c>
      <c r="E204" s="10">
        <v>882.189</v>
      </c>
    </row>
    <row r="205" ht="16.5" spans="1:5">
      <c r="A205" s="7">
        <v>3045789.476</v>
      </c>
      <c r="B205" s="7">
        <v>35401166.591</v>
      </c>
      <c r="C205" s="8">
        <v>913.439</v>
      </c>
      <c r="D205" s="13">
        <v>44764</v>
      </c>
      <c r="E205" s="10">
        <v>881.659</v>
      </c>
    </row>
    <row r="206" ht="16.5" spans="1:5">
      <c r="A206" s="7">
        <v>3045789.476</v>
      </c>
      <c r="B206" s="7">
        <v>35401166.591</v>
      </c>
      <c r="C206" s="8">
        <v>913.439</v>
      </c>
      <c r="D206" s="13">
        <v>44765</v>
      </c>
      <c r="E206" s="10">
        <v>881.069</v>
      </c>
    </row>
    <row r="207" ht="16.5" spans="1:5">
      <c r="A207" s="7">
        <v>3045789.476</v>
      </c>
      <c r="B207" s="7">
        <v>35401166.591</v>
      </c>
      <c r="C207" s="8">
        <v>913.439</v>
      </c>
      <c r="D207" s="13">
        <v>44766</v>
      </c>
      <c r="E207" s="10">
        <v>880.589</v>
      </c>
    </row>
    <row r="208" ht="16.5" spans="1:5">
      <c r="A208" s="7">
        <v>3045789.476</v>
      </c>
      <c r="B208" s="7">
        <v>35401166.591</v>
      </c>
      <c r="C208" s="8">
        <v>913.439</v>
      </c>
      <c r="D208" s="13">
        <v>44767</v>
      </c>
      <c r="E208" s="10">
        <v>880.399</v>
      </c>
    </row>
    <row r="209" ht="16.5" spans="1:5">
      <c r="A209" s="7">
        <v>3045789.476</v>
      </c>
      <c r="B209" s="7">
        <v>35401166.591</v>
      </c>
      <c r="C209" s="8">
        <v>913.439</v>
      </c>
      <c r="D209" s="13">
        <v>44768</v>
      </c>
      <c r="E209" s="10">
        <v>879.759</v>
      </c>
    </row>
    <row r="210" ht="16.5" spans="1:5">
      <c r="A210" s="7">
        <v>3045789.476</v>
      </c>
      <c r="B210" s="7">
        <v>35401166.591</v>
      </c>
      <c r="C210" s="8">
        <v>913.439</v>
      </c>
      <c r="D210" s="13">
        <v>44769</v>
      </c>
      <c r="E210" s="10">
        <v>879.689</v>
      </c>
    </row>
    <row r="211" ht="16.5" spans="1:5">
      <c r="A211" s="7">
        <v>3045789.476</v>
      </c>
      <c r="B211" s="7">
        <v>35401166.591</v>
      </c>
      <c r="C211" s="8">
        <v>913.439</v>
      </c>
      <c r="D211" s="13">
        <v>44770</v>
      </c>
      <c r="E211" s="10">
        <v>879.549</v>
      </c>
    </row>
    <row r="212" ht="16.5" spans="1:5">
      <c r="A212" s="7">
        <v>3045789.476</v>
      </c>
      <c r="B212" s="7">
        <v>35401166.591</v>
      </c>
      <c r="C212" s="8">
        <v>913.439</v>
      </c>
      <c r="D212" s="13">
        <v>44771</v>
      </c>
      <c r="E212" s="10">
        <v>879.639</v>
      </c>
    </row>
    <row r="213" ht="16.5" spans="1:5">
      <c r="A213" s="7">
        <v>3045789.476</v>
      </c>
      <c r="B213" s="7">
        <v>35401166.591</v>
      </c>
      <c r="C213" s="8">
        <v>913.439</v>
      </c>
      <c r="D213" s="13">
        <v>44772</v>
      </c>
      <c r="E213" s="10">
        <v>878.629</v>
      </c>
    </row>
    <row r="214" ht="16.5" spans="1:5">
      <c r="A214" s="7">
        <v>3045789.476</v>
      </c>
      <c r="B214" s="7">
        <v>35401166.591</v>
      </c>
      <c r="C214" s="8">
        <v>913.439</v>
      </c>
      <c r="D214" s="13">
        <v>44773</v>
      </c>
      <c r="E214" s="10">
        <v>880.939</v>
      </c>
    </row>
    <row r="215" ht="16.5" spans="1:5">
      <c r="A215" s="7">
        <v>3045789.476</v>
      </c>
      <c r="B215" s="7">
        <v>35401166.591</v>
      </c>
      <c r="C215" s="8">
        <v>913.439</v>
      </c>
      <c r="D215" s="13">
        <v>44774</v>
      </c>
      <c r="E215" s="10">
        <v>878.499</v>
      </c>
    </row>
    <row r="216" ht="16.5" spans="1:5">
      <c r="A216" s="7">
        <v>3045789.476</v>
      </c>
      <c r="B216" s="7">
        <v>35401166.591</v>
      </c>
      <c r="C216" s="8">
        <v>913.439</v>
      </c>
      <c r="D216" s="13">
        <v>44775</v>
      </c>
      <c r="E216" s="10">
        <v>879.169</v>
      </c>
    </row>
    <row r="217" ht="16.5" spans="1:5">
      <c r="A217" s="7">
        <v>3045789.476</v>
      </c>
      <c r="B217" s="7">
        <v>35401166.591</v>
      </c>
      <c r="C217" s="8">
        <v>913.439</v>
      </c>
      <c r="D217" s="13">
        <v>44776</v>
      </c>
      <c r="E217" s="10">
        <v>881.529</v>
      </c>
    </row>
    <row r="218" ht="16.5" spans="1:5">
      <c r="A218" s="7">
        <v>3045789.476</v>
      </c>
      <c r="B218" s="7">
        <v>35401166.591</v>
      </c>
      <c r="C218" s="8">
        <v>913.439</v>
      </c>
      <c r="D218" s="13">
        <v>44777</v>
      </c>
      <c r="E218" s="10">
        <v>881.089</v>
      </c>
    </row>
    <row r="219" ht="16.5" spans="1:5">
      <c r="A219" s="7">
        <v>3045789.476</v>
      </c>
      <c r="B219" s="7">
        <v>35401166.591</v>
      </c>
      <c r="C219" s="8">
        <v>913.439</v>
      </c>
      <c r="D219" s="13">
        <v>44778</v>
      </c>
      <c r="E219" s="10">
        <v>881.199</v>
      </c>
    </row>
    <row r="220" ht="16.5" spans="1:5">
      <c r="A220" s="7">
        <v>3045789.476</v>
      </c>
      <c r="B220" s="7">
        <v>35401166.591</v>
      </c>
      <c r="C220" s="8">
        <v>913.439</v>
      </c>
      <c r="D220" s="13">
        <v>44779</v>
      </c>
      <c r="E220" s="10">
        <v>881.339</v>
      </c>
    </row>
    <row r="221" ht="16.5" spans="1:5">
      <c r="A221" s="7">
        <v>3045789.476</v>
      </c>
      <c r="B221" s="7">
        <v>35401166.591</v>
      </c>
      <c r="C221" s="8">
        <v>913.439</v>
      </c>
      <c r="D221" s="13">
        <v>44780</v>
      </c>
      <c r="E221" s="10">
        <v>880.829</v>
      </c>
    </row>
    <row r="222" ht="16.5" spans="1:5">
      <c r="A222" s="7">
        <v>3045789.476</v>
      </c>
      <c r="B222" s="7">
        <v>35401166.591</v>
      </c>
      <c r="C222" s="8">
        <v>913.439</v>
      </c>
      <c r="D222" s="13">
        <v>44781</v>
      </c>
      <c r="E222" s="10"/>
    </row>
    <row r="223" ht="16.5" spans="1:5">
      <c r="A223" s="7">
        <v>3045789.476</v>
      </c>
      <c r="B223" s="7">
        <v>35401166.591</v>
      </c>
      <c r="C223" s="8">
        <v>913.439</v>
      </c>
      <c r="D223" s="13">
        <v>44782</v>
      </c>
      <c r="E223" s="10"/>
    </row>
    <row r="224" ht="16.5" spans="1:5">
      <c r="A224" s="7">
        <v>3045789.476</v>
      </c>
      <c r="B224" s="7">
        <v>35401166.591</v>
      </c>
      <c r="C224" s="8">
        <v>913.439</v>
      </c>
      <c r="D224" s="13">
        <v>44783</v>
      </c>
      <c r="E224" s="10">
        <v>880.559</v>
      </c>
    </row>
    <row r="225" ht="16.5" spans="1:5">
      <c r="A225" s="7">
        <v>3045789.476</v>
      </c>
      <c r="B225" s="7">
        <v>35401166.591</v>
      </c>
      <c r="C225" s="8">
        <v>913.439</v>
      </c>
      <c r="D225" s="13">
        <v>44784</v>
      </c>
      <c r="E225" s="10">
        <v>880.909</v>
      </c>
    </row>
    <row r="226" ht="16.5" spans="1:5">
      <c r="A226" s="7">
        <v>3045789.476</v>
      </c>
      <c r="B226" s="7">
        <v>35401166.591</v>
      </c>
      <c r="C226" s="8">
        <v>913.439</v>
      </c>
      <c r="D226" s="13">
        <v>44785</v>
      </c>
      <c r="E226" s="10">
        <v>880.719</v>
      </c>
    </row>
    <row r="227" ht="16.5" spans="1:5">
      <c r="A227" s="7">
        <v>3045789.476</v>
      </c>
      <c r="B227" s="7">
        <v>35401166.591</v>
      </c>
      <c r="C227" s="8">
        <v>913.439</v>
      </c>
      <c r="D227" s="13">
        <v>44786</v>
      </c>
      <c r="E227" s="10">
        <v>880.259</v>
      </c>
    </row>
    <row r="228" ht="16.5" spans="1:5">
      <c r="A228" s="7">
        <v>3045789.476</v>
      </c>
      <c r="B228" s="7">
        <v>35401166.591</v>
      </c>
      <c r="C228" s="8">
        <v>913.439</v>
      </c>
      <c r="D228" s="13">
        <v>44787</v>
      </c>
      <c r="E228" s="10">
        <v>879.549</v>
      </c>
    </row>
    <row r="229" ht="16.5" spans="1:5">
      <c r="A229" s="7">
        <v>3045789.476</v>
      </c>
      <c r="B229" s="7">
        <v>35401166.591</v>
      </c>
      <c r="C229" s="8">
        <v>913.439</v>
      </c>
      <c r="D229" s="13">
        <v>44788</v>
      </c>
      <c r="E229" s="10">
        <v>879.379</v>
      </c>
    </row>
    <row r="230" ht="16.5" spans="1:5">
      <c r="A230" s="7">
        <v>3045789.476</v>
      </c>
      <c r="B230" s="7">
        <v>35401166.591</v>
      </c>
      <c r="C230" s="8">
        <v>913.439</v>
      </c>
      <c r="D230" s="13">
        <v>44789</v>
      </c>
      <c r="E230" s="10">
        <v>879.349</v>
      </c>
    </row>
    <row r="231" ht="16.5" spans="1:5">
      <c r="A231" s="7">
        <v>3045789.476</v>
      </c>
      <c r="B231" s="7">
        <v>35401166.591</v>
      </c>
      <c r="C231" s="8">
        <v>913.439</v>
      </c>
      <c r="D231" s="13">
        <v>44790</v>
      </c>
      <c r="E231" s="10">
        <v>879.339</v>
      </c>
    </row>
    <row r="232" ht="16.5" spans="1:5">
      <c r="A232" s="7">
        <v>3045789.476</v>
      </c>
      <c r="B232" s="7">
        <v>35401166.591</v>
      </c>
      <c r="C232" s="8">
        <v>913.439</v>
      </c>
      <c r="D232" s="13">
        <v>44791</v>
      </c>
      <c r="E232" s="10">
        <v>879.149</v>
      </c>
    </row>
    <row r="233" ht="16.5" spans="1:5">
      <c r="A233" s="7">
        <v>3045789.476</v>
      </c>
      <c r="B233" s="7">
        <v>35401166.591</v>
      </c>
      <c r="C233" s="8">
        <v>913.439</v>
      </c>
      <c r="D233" s="13">
        <v>44792</v>
      </c>
      <c r="E233" s="10">
        <v>877.929</v>
      </c>
    </row>
    <row r="234" ht="16.5" spans="1:5">
      <c r="A234" s="7">
        <v>3045789.476</v>
      </c>
      <c r="B234" s="7">
        <v>35401166.591</v>
      </c>
      <c r="C234" s="8">
        <v>913.439</v>
      </c>
      <c r="D234" s="13">
        <v>44793</v>
      </c>
      <c r="E234" s="10">
        <v>877.239</v>
      </c>
    </row>
    <row r="235" ht="16.5" spans="1:5">
      <c r="A235" s="7">
        <v>3045789.476</v>
      </c>
      <c r="B235" s="7">
        <v>35401166.591</v>
      </c>
      <c r="C235" s="8">
        <v>913.439</v>
      </c>
      <c r="D235" s="13">
        <v>44794</v>
      </c>
      <c r="E235" s="10"/>
    </row>
    <row r="236" ht="16.5" spans="1:5">
      <c r="A236" s="7">
        <v>3045789.476</v>
      </c>
      <c r="B236" s="7">
        <v>35401166.591</v>
      </c>
      <c r="C236" s="8">
        <v>913.439</v>
      </c>
      <c r="D236" s="13">
        <v>44795</v>
      </c>
      <c r="E236" s="10"/>
    </row>
    <row r="237" ht="16.5" spans="1:5">
      <c r="A237" s="7">
        <v>3045789.476</v>
      </c>
      <c r="B237" s="7">
        <v>35401166.591</v>
      </c>
      <c r="C237" s="8">
        <v>913.439</v>
      </c>
      <c r="D237" s="13">
        <v>44796</v>
      </c>
      <c r="E237" s="10">
        <v>877.559</v>
      </c>
    </row>
    <row r="238" ht="16.5" spans="1:5">
      <c r="A238" s="7">
        <v>3045789.476</v>
      </c>
      <c r="B238" s="7">
        <v>35401166.591</v>
      </c>
      <c r="C238" s="8">
        <v>913.439</v>
      </c>
      <c r="D238" s="13">
        <v>44797</v>
      </c>
      <c r="E238" s="10">
        <v>883.329</v>
      </c>
    </row>
    <row r="239" ht="16.5" spans="1:5">
      <c r="A239" s="7">
        <v>3045789.476</v>
      </c>
      <c r="B239" s="7">
        <v>35401166.591</v>
      </c>
      <c r="C239" s="8">
        <v>913.439</v>
      </c>
      <c r="D239" s="13">
        <v>44798</v>
      </c>
      <c r="E239" s="10">
        <v>878.789</v>
      </c>
    </row>
    <row r="240" ht="16.5" spans="1:5">
      <c r="A240" s="7">
        <v>3045789.476</v>
      </c>
      <c r="B240" s="7">
        <v>35401166.591</v>
      </c>
      <c r="C240" s="8">
        <v>913.439</v>
      </c>
      <c r="D240" s="13">
        <v>44799</v>
      </c>
      <c r="E240" s="10">
        <v>877.669</v>
      </c>
    </row>
    <row r="241" ht="16.5" spans="1:5">
      <c r="A241" s="7">
        <v>3045789.476</v>
      </c>
      <c r="B241" s="7">
        <v>35401166.591</v>
      </c>
      <c r="C241" s="8">
        <v>913.439</v>
      </c>
      <c r="D241" s="13">
        <v>44800</v>
      </c>
      <c r="E241" s="10">
        <v>872.859</v>
      </c>
    </row>
    <row r="242" ht="16.5" spans="1:5">
      <c r="A242" s="7">
        <v>3045789.476</v>
      </c>
      <c r="B242" s="7">
        <v>35401166.591</v>
      </c>
      <c r="C242" s="8">
        <v>913.439</v>
      </c>
      <c r="D242" s="13">
        <v>44801</v>
      </c>
      <c r="E242" s="10">
        <v>874.669</v>
      </c>
    </row>
    <row r="243" ht="16.5" spans="1:5">
      <c r="A243" s="7">
        <v>3045789.476</v>
      </c>
      <c r="B243" s="7">
        <v>35401166.591</v>
      </c>
      <c r="C243" s="8">
        <v>913.439</v>
      </c>
      <c r="D243" s="13">
        <v>44802</v>
      </c>
      <c r="E243" s="10">
        <v>872.819</v>
      </c>
    </row>
    <row r="244" ht="16.5" spans="1:5">
      <c r="A244" s="7">
        <v>3045789.476</v>
      </c>
      <c r="B244" s="7">
        <v>35401166.591</v>
      </c>
      <c r="C244" s="8">
        <v>913.439</v>
      </c>
      <c r="D244" s="13">
        <v>44803</v>
      </c>
      <c r="E244" s="10">
        <v>871.619</v>
      </c>
    </row>
    <row r="245" ht="16.5" spans="1:5">
      <c r="A245" s="7">
        <v>3045789.476</v>
      </c>
      <c r="B245" s="7">
        <v>35401166.591</v>
      </c>
      <c r="C245" s="8">
        <v>913.439</v>
      </c>
      <c r="D245" s="13">
        <v>44804</v>
      </c>
      <c r="E245" s="10">
        <v>873.789</v>
      </c>
    </row>
    <row r="246" ht="16.5" spans="1:5">
      <c r="A246" s="7">
        <v>3045789.476</v>
      </c>
      <c r="B246" s="7">
        <v>35401166.591</v>
      </c>
      <c r="C246" s="8">
        <v>913.439</v>
      </c>
      <c r="D246" s="13">
        <v>44805</v>
      </c>
      <c r="E246" s="10">
        <v>873.669</v>
      </c>
    </row>
    <row r="247" ht="16.5" spans="1:5">
      <c r="A247" s="7">
        <v>3045789.476</v>
      </c>
      <c r="B247" s="7">
        <v>35401166.591</v>
      </c>
      <c r="C247" s="8">
        <v>913.439</v>
      </c>
      <c r="D247" s="13">
        <v>44806</v>
      </c>
      <c r="E247" s="10">
        <v>871.389</v>
      </c>
    </row>
    <row r="248" ht="16.5" spans="1:5">
      <c r="A248" s="7">
        <v>3045789.476</v>
      </c>
      <c r="B248" s="7">
        <v>35401166.591</v>
      </c>
      <c r="C248" s="8">
        <v>913.439</v>
      </c>
      <c r="D248" s="13">
        <v>44807</v>
      </c>
      <c r="E248" s="10">
        <v>870.459</v>
      </c>
    </row>
    <row r="249" ht="16.5" spans="1:5">
      <c r="A249" s="7">
        <v>3045789.476</v>
      </c>
      <c r="B249" s="7">
        <v>35401166.591</v>
      </c>
      <c r="C249" s="8">
        <v>913.439</v>
      </c>
      <c r="D249" s="13">
        <v>44808</v>
      </c>
      <c r="E249" s="10">
        <v>870.159</v>
      </c>
    </row>
    <row r="250" ht="16.5" spans="1:5">
      <c r="A250" s="7">
        <v>3045789.476</v>
      </c>
      <c r="B250" s="7">
        <v>35401166.591</v>
      </c>
      <c r="C250" s="8">
        <v>913.439</v>
      </c>
      <c r="D250" s="13">
        <v>44809</v>
      </c>
      <c r="E250" s="10">
        <v>870.299</v>
      </c>
    </row>
    <row r="251" ht="16.5" spans="1:5">
      <c r="A251" s="7">
        <v>3045789.476</v>
      </c>
      <c r="B251" s="7">
        <v>35401166.591</v>
      </c>
      <c r="C251" s="8">
        <v>913.439</v>
      </c>
      <c r="D251" s="13">
        <v>44810</v>
      </c>
      <c r="E251" s="10">
        <v>870.959</v>
      </c>
    </row>
    <row r="252" ht="16.5" spans="1:5">
      <c r="A252" s="7">
        <v>3045789.476</v>
      </c>
      <c r="B252" s="7">
        <v>35401166.591</v>
      </c>
      <c r="C252" s="8">
        <v>913.439</v>
      </c>
      <c r="D252" s="13">
        <v>44811</v>
      </c>
      <c r="E252" s="10">
        <v>870.839</v>
      </c>
    </row>
    <row r="253" ht="16.5" spans="1:5">
      <c r="A253" s="7">
        <v>3045789.476</v>
      </c>
      <c r="B253" s="7">
        <v>35401166.591</v>
      </c>
      <c r="C253" s="8">
        <v>913.439</v>
      </c>
      <c r="D253" s="13">
        <v>44812</v>
      </c>
      <c r="E253" s="10"/>
    </row>
    <row r="254" ht="16.5" spans="1:5">
      <c r="A254" s="7">
        <v>3045789.476</v>
      </c>
      <c r="B254" s="7">
        <v>35401166.591</v>
      </c>
      <c r="C254" s="8">
        <v>913.439</v>
      </c>
      <c r="D254" s="13">
        <v>44813</v>
      </c>
      <c r="E254" s="10">
        <v>868.839</v>
      </c>
    </row>
    <row r="255" ht="16.5" spans="1:5">
      <c r="A255" s="7">
        <v>3045789.476</v>
      </c>
      <c r="B255" s="7">
        <v>35401166.591</v>
      </c>
      <c r="C255" s="8">
        <v>913.439</v>
      </c>
      <c r="D255" s="13">
        <v>44814</v>
      </c>
      <c r="E255" s="10">
        <v>868.899</v>
      </c>
    </row>
    <row r="256" ht="16.5" spans="1:5">
      <c r="A256" s="7">
        <v>3045789.476</v>
      </c>
      <c r="B256" s="7">
        <v>35401166.591</v>
      </c>
      <c r="C256" s="8">
        <v>913.439</v>
      </c>
      <c r="D256" s="13">
        <v>44815</v>
      </c>
      <c r="E256" s="10">
        <v>868.179</v>
      </c>
    </row>
    <row r="257" ht="16.5" spans="1:5">
      <c r="A257" s="7">
        <v>3045789.476</v>
      </c>
      <c r="B257" s="7">
        <v>35401166.591</v>
      </c>
      <c r="C257" s="8">
        <v>913.439</v>
      </c>
      <c r="D257" s="13">
        <v>44816</v>
      </c>
      <c r="E257" s="10">
        <v>867.809</v>
      </c>
    </row>
    <row r="258" ht="16.5" spans="1:5">
      <c r="A258" s="7">
        <v>3045789.476</v>
      </c>
      <c r="B258" s="7">
        <v>35401166.591</v>
      </c>
      <c r="C258" s="8">
        <v>913.439</v>
      </c>
      <c r="D258" s="13">
        <v>44817</v>
      </c>
      <c r="E258" s="10">
        <v>867.679</v>
      </c>
    </row>
    <row r="259" ht="16.5" spans="1:5">
      <c r="A259" s="7">
        <v>3045789.476</v>
      </c>
      <c r="B259" s="7">
        <v>35401166.591</v>
      </c>
      <c r="C259" s="8">
        <v>913.439</v>
      </c>
      <c r="D259" s="13">
        <v>44818</v>
      </c>
      <c r="E259" s="10">
        <v>867.409</v>
      </c>
    </row>
    <row r="260" ht="16.5" spans="1:5">
      <c r="A260" s="7">
        <v>3045789.476</v>
      </c>
      <c r="B260" s="7">
        <v>35401166.591</v>
      </c>
      <c r="C260" s="8">
        <v>913.439</v>
      </c>
      <c r="D260" s="11">
        <v>44819</v>
      </c>
      <c r="E260" s="10">
        <v>867.119</v>
      </c>
    </row>
    <row r="261" ht="16.5" spans="1:5">
      <c r="A261" s="7">
        <v>3045789.476</v>
      </c>
      <c r="B261" s="7">
        <v>35401166.591</v>
      </c>
      <c r="C261" s="8">
        <v>913.439</v>
      </c>
      <c r="D261" s="11">
        <v>44820</v>
      </c>
      <c r="E261" s="10">
        <v>866.929</v>
      </c>
    </row>
    <row r="262" ht="16.5" spans="1:5">
      <c r="A262" s="7">
        <v>3045789.476</v>
      </c>
      <c r="B262" s="7">
        <v>35401166.591</v>
      </c>
      <c r="C262" s="8">
        <v>913.439</v>
      </c>
      <c r="D262" s="11">
        <v>44821</v>
      </c>
      <c r="E262" s="10">
        <v>871.869</v>
      </c>
    </row>
    <row r="263" ht="16.5" spans="1:5">
      <c r="A263" s="7">
        <v>3045789.476</v>
      </c>
      <c r="B263" s="7">
        <v>35401166.591</v>
      </c>
      <c r="C263" s="8">
        <v>913.439</v>
      </c>
      <c r="D263" s="11">
        <v>44822</v>
      </c>
      <c r="E263" s="10">
        <v>871.159</v>
      </c>
    </row>
    <row r="264" ht="16.5" spans="1:5">
      <c r="A264" s="7">
        <v>3045789.476</v>
      </c>
      <c r="B264" s="7">
        <v>35401166.591</v>
      </c>
      <c r="C264" s="8">
        <v>913.439</v>
      </c>
      <c r="D264" s="11">
        <v>44823</v>
      </c>
      <c r="E264" s="10">
        <v>871.359</v>
      </c>
    </row>
    <row r="265" ht="16.5" spans="1:5">
      <c r="A265" s="7">
        <v>3045789.476</v>
      </c>
      <c r="B265" s="7">
        <v>35401166.591</v>
      </c>
      <c r="C265" s="8">
        <v>913.439</v>
      </c>
      <c r="D265" s="11">
        <v>44824</v>
      </c>
      <c r="E265" s="10">
        <v>871.429</v>
      </c>
    </row>
    <row r="266" ht="16.5" spans="1:5">
      <c r="A266" s="7">
        <v>3045789.476</v>
      </c>
      <c r="B266" s="7">
        <v>35401166.591</v>
      </c>
      <c r="C266" s="8">
        <v>913.439</v>
      </c>
      <c r="D266" s="11">
        <v>44825</v>
      </c>
      <c r="E266" s="10">
        <v>870.529</v>
      </c>
    </row>
    <row r="267" ht="16.5" spans="1:5">
      <c r="A267" s="7">
        <v>3045789.476</v>
      </c>
      <c r="B267" s="7">
        <v>35401166.591</v>
      </c>
      <c r="C267" s="8">
        <v>913.439</v>
      </c>
      <c r="D267" s="11">
        <v>44826</v>
      </c>
      <c r="E267" s="10">
        <v>871.419</v>
      </c>
    </row>
    <row r="268" ht="16.5" spans="1:5">
      <c r="A268" s="7">
        <v>3045789.476</v>
      </c>
      <c r="B268" s="7">
        <v>35401166.591</v>
      </c>
      <c r="C268" s="8">
        <v>913.439</v>
      </c>
      <c r="D268" s="11">
        <v>44827</v>
      </c>
      <c r="E268" s="10"/>
    </row>
    <row r="269" ht="16.5" spans="1:5">
      <c r="A269" s="7">
        <v>3045789.476</v>
      </c>
      <c r="B269" s="7">
        <v>35401166.591</v>
      </c>
      <c r="C269" s="8">
        <v>913.439</v>
      </c>
      <c r="D269" s="11">
        <v>44828</v>
      </c>
      <c r="E269" s="10">
        <v>871.379</v>
      </c>
    </row>
    <row r="270" ht="16.5" spans="1:5">
      <c r="A270" s="7">
        <v>3045789.476</v>
      </c>
      <c r="B270" s="7">
        <v>35401166.591</v>
      </c>
      <c r="C270" s="8">
        <v>913.439</v>
      </c>
      <c r="D270" s="11">
        <v>44829</v>
      </c>
      <c r="E270" s="10">
        <v>871.949</v>
      </c>
    </row>
    <row r="271" ht="16.5" spans="1:5">
      <c r="A271" s="7">
        <v>3045789.476</v>
      </c>
      <c r="B271" s="7">
        <v>35401166.591</v>
      </c>
      <c r="C271" s="8">
        <v>913.439</v>
      </c>
      <c r="D271" s="11">
        <v>44830</v>
      </c>
      <c r="E271" s="10">
        <v>872.869</v>
      </c>
    </row>
    <row r="272" ht="16.5" spans="1:5">
      <c r="A272" s="7">
        <v>3045789.476</v>
      </c>
      <c r="B272" s="7">
        <v>35401166.591</v>
      </c>
      <c r="C272" s="8">
        <v>913.439</v>
      </c>
      <c r="D272" s="11">
        <v>44831</v>
      </c>
      <c r="E272" s="10">
        <v>873.009</v>
      </c>
    </row>
    <row r="273" ht="16.5" spans="1:5">
      <c r="A273" s="7">
        <v>3045789.476</v>
      </c>
      <c r="B273" s="7">
        <v>35401166.591</v>
      </c>
      <c r="C273" s="8">
        <v>913.439</v>
      </c>
      <c r="D273" s="11">
        <v>44832</v>
      </c>
      <c r="E273" s="10">
        <v>872.869</v>
      </c>
    </row>
    <row r="274" ht="16.5" spans="1:5">
      <c r="A274" s="7">
        <v>3045789.476</v>
      </c>
      <c r="B274" s="7">
        <v>35401166.591</v>
      </c>
      <c r="C274" s="8">
        <v>913.439</v>
      </c>
      <c r="D274" s="11">
        <v>44833</v>
      </c>
      <c r="E274" s="10">
        <v>871.809</v>
      </c>
    </row>
    <row r="275" ht="16.5" spans="1:5">
      <c r="A275" s="7">
        <v>3045789.476</v>
      </c>
      <c r="B275" s="7">
        <v>35401166.591</v>
      </c>
      <c r="C275" s="8">
        <v>913.439</v>
      </c>
      <c r="D275" s="11">
        <v>44834</v>
      </c>
      <c r="E275" s="10">
        <v>871.759</v>
      </c>
    </row>
    <row r="276" ht="16.5" spans="1:5">
      <c r="A276" s="7">
        <v>3045789.476</v>
      </c>
      <c r="B276" s="7">
        <v>35401166.591</v>
      </c>
      <c r="C276" s="8">
        <v>913.439</v>
      </c>
      <c r="D276" s="11">
        <v>44835</v>
      </c>
      <c r="E276" s="10">
        <v>872.189</v>
      </c>
    </row>
    <row r="277" ht="16.5" spans="1:5">
      <c r="A277" s="7">
        <v>3045789.476</v>
      </c>
      <c r="B277" s="7">
        <v>35401166.591</v>
      </c>
      <c r="C277" s="8">
        <v>913.439</v>
      </c>
      <c r="D277" s="11">
        <v>44836</v>
      </c>
      <c r="E277" s="10"/>
    </row>
    <row r="278" ht="16.5" spans="1:5">
      <c r="A278" s="7">
        <v>3045789.476</v>
      </c>
      <c r="B278" s="7">
        <v>35401166.591</v>
      </c>
      <c r="C278" s="8">
        <v>913.439</v>
      </c>
      <c r="D278" s="11">
        <v>44837</v>
      </c>
      <c r="E278" s="10">
        <v>871.589</v>
      </c>
    </row>
    <row r="279" ht="16.5" spans="1:5">
      <c r="A279" s="7">
        <v>3045789.476</v>
      </c>
      <c r="B279" s="7">
        <v>35401166.591</v>
      </c>
      <c r="C279" s="8">
        <v>913.439</v>
      </c>
      <c r="D279" s="11">
        <v>44838</v>
      </c>
      <c r="E279" s="10">
        <v>871.169</v>
      </c>
    </row>
    <row r="280" ht="16.5" spans="1:5">
      <c r="A280" s="7">
        <v>3045789.476</v>
      </c>
      <c r="B280" s="7">
        <v>35401166.591</v>
      </c>
      <c r="C280" s="8">
        <v>913.439</v>
      </c>
      <c r="D280" s="11">
        <v>44839</v>
      </c>
      <c r="E280" s="10">
        <v>870.209</v>
      </c>
    </row>
    <row r="281" ht="16.5" spans="1:5">
      <c r="A281" s="7">
        <v>3045789.476</v>
      </c>
      <c r="B281" s="7">
        <v>35401166.591</v>
      </c>
      <c r="C281" s="8">
        <v>913.439</v>
      </c>
      <c r="D281" s="11">
        <v>44840</v>
      </c>
      <c r="E281" s="10">
        <v>869.289</v>
      </c>
    </row>
    <row r="282" ht="16.5" spans="1:5">
      <c r="A282" s="7">
        <v>3045789.476</v>
      </c>
      <c r="B282" s="7">
        <v>35401166.591</v>
      </c>
      <c r="C282" s="8">
        <v>913.439</v>
      </c>
      <c r="D282" s="11">
        <v>44841</v>
      </c>
      <c r="E282" s="10">
        <v>868.419</v>
      </c>
    </row>
    <row r="283" ht="16.5" spans="1:5">
      <c r="A283" s="7">
        <v>3045789.476</v>
      </c>
      <c r="B283" s="7">
        <v>35401166.591</v>
      </c>
      <c r="C283" s="8">
        <v>913.439</v>
      </c>
      <c r="D283" s="11">
        <v>44842</v>
      </c>
      <c r="E283" s="10"/>
    </row>
    <row r="284" ht="16.5" spans="1:5">
      <c r="A284" s="7">
        <v>3045789.476</v>
      </c>
      <c r="B284" s="7">
        <v>35401166.591</v>
      </c>
      <c r="C284" s="8">
        <v>913.439</v>
      </c>
      <c r="D284" s="11">
        <v>44843</v>
      </c>
      <c r="E284" s="10"/>
    </row>
    <row r="285" ht="16.5" spans="1:5">
      <c r="A285" s="7">
        <v>3045789.476</v>
      </c>
      <c r="B285" s="7">
        <v>35401166.591</v>
      </c>
      <c r="C285" s="8">
        <v>913.439</v>
      </c>
      <c r="D285" s="11">
        <v>44844</v>
      </c>
      <c r="E285" s="10"/>
    </row>
    <row r="286" ht="16.5" spans="1:5">
      <c r="A286" s="7">
        <v>3045789.476</v>
      </c>
      <c r="B286" s="7">
        <v>35401166.591</v>
      </c>
      <c r="C286" s="8">
        <v>913.439</v>
      </c>
      <c r="D286" s="11">
        <v>44845</v>
      </c>
      <c r="E286" s="10"/>
    </row>
    <row r="287" ht="16.5" spans="1:5">
      <c r="A287" s="7">
        <v>3045789.476</v>
      </c>
      <c r="B287" s="7">
        <v>35401166.591</v>
      </c>
      <c r="C287" s="8">
        <v>913.439</v>
      </c>
      <c r="D287" s="11">
        <v>44846</v>
      </c>
      <c r="E287" s="10">
        <v>866.689</v>
      </c>
    </row>
    <row r="288" ht="16.5" spans="1:5">
      <c r="A288" s="7">
        <v>3045789.476</v>
      </c>
      <c r="B288" s="7">
        <v>35401166.591</v>
      </c>
      <c r="C288" s="8">
        <v>913.439</v>
      </c>
      <c r="D288" s="11">
        <v>44847</v>
      </c>
      <c r="E288" s="10">
        <v>866.119</v>
      </c>
    </row>
    <row r="289" ht="16.5" spans="1:5">
      <c r="A289" s="7">
        <v>3045789.476</v>
      </c>
      <c r="B289" s="7">
        <v>35401166.591</v>
      </c>
      <c r="C289" s="8">
        <v>913.439</v>
      </c>
      <c r="D289" s="11">
        <v>44848</v>
      </c>
      <c r="E289" s="10">
        <v>865.629</v>
      </c>
    </row>
    <row r="290" ht="16.5" spans="1:5">
      <c r="A290" s="7">
        <v>3045789.476</v>
      </c>
      <c r="B290" s="7">
        <v>35401166.591</v>
      </c>
      <c r="C290" s="8">
        <v>913.439</v>
      </c>
      <c r="D290" s="11">
        <v>44849</v>
      </c>
      <c r="E290" s="10">
        <v>865.149</v>
      </c>
    </row>
    <row r="291" ht="16.5" spans="1:5">
      <c r="A291" s="7">
        <v>3045789.476</v>
      </c>
      <c r="B291" s="7">
        <v>35401166.591</v>
      </c>
      <c r="C291" s="8">
        <v>913.439</v>
      </c>
      <c r="D291" s="11">
        <v>44850</v>
      </c>
      <c r="E291" s="10">
        <v>864.549</v>
      </c>
    </row>
    <row r="292" ht="16.5" spans="1:5">
      <c r="A292" s="7">
        <v>3045789.476</v>
      </c>
      <c r="B292" s="7">
        <v>35401166.591</v>
      </c>
      <c r="C292" s="8">
        <v>913.439</v>
      </c>
      <c r="D292" s="11">
        <v>44851</v>
      </c>
      <c r="E292" s="10">
        <v>864.049</v>
      </c>
    </row>
    <row r="293" ht="16.5" spans="1:5">
      <c r="A293" s="7">
        <v>3045789.476</v>
      </c>
      <c r="B293" s="7">
        <v>35401166.591</v>
      </c>
      <c r="C293" s="8">
        <v>913.439</v>
      </c>
      <c r="D293" s="11">
        <v>44852</v>
      </c>
      <c r="E293" s="10">
        <v>863.649</v>
      </c>
    </row>
    <row r="294" ht="16.5" spans="1:5">
      <c r="A294" s="7">
        <v>3045789.476</v>
      </c>
      <c r="B294" s="7">
        <v>35401166.591</v>
      </c>
      <c r="C294" s="8">
        <v>913.439</v>
      </c>
      <c r="D294" s="11">
        <v>44853</v>
      </c>
      <c r="E294" s="10">
        <v>862.209</v>
      </c>
    </row>
    <row r="295" ht="16.5" spans="1:5">
      <c r="A295" s="7">
        <v>3045789.476</v>
      </c>
      <c r="B295" s="7">
        <v>35401166.591</v>
      </c>
      <c r="C295" s="8">
        <v>913.439</v>
      </c>
      <c r="D295" s="11">
        <v>44854</v>
      </c>
      <c r="E295" s="10">
        <v>861.929</v>
      </c>
    </row>
    <row r="296" ht="16.5" spans="1:5">
      <c r="A296" s="7">
        <v>3045789.476</v>
      </c>
      <c r="B296" s="7">
        <v>35401166.591</v>
      </c>
      <c r="C296" s="8">
        <v>913.439</v>
      </c>
      <c r="D296" s="11">
        <v>44855</v>
      </c>
      <c r="E296" s="10">
        <v>861.269</v>
      </c>
    </row>
    <row r="297" ht="16.5" spans="1:5">
      <c r="A297" s="7">
        <v>3045789.476</v>
      </c>
      <c r="B297" s="7">
        <v>35401166.591</v>
      </c>
      <c r="C297" s="8">
        <v>913.439</v>
      </c>
      <c r="D297" s="11">
        <v>44856</v>
      </c>
      <c r="E297" s="10">
        <v>860.489</v>
      </c>
    </row>
    <row r="298" ht="16.5" spans="1:5">
      <c r="A298" s="7">
        <v>3045789.476</v>
      </c>
      <c r="B298" s="7">
        <v>35401166.591</v>
      </c>
      <c r="C298" s="8">
        <v>913.439</v>
      </c>
      <c r="D298" s="11">
        <v>44857</v>
      </c>
      <c r="E298" s="10">
        <v>859.589</v>
      </c>
    </row>
    <row r="299" ht="16.5" spans="1:5">
      <c r="A299" s="7">
        <v>3045789.476</v>
      </c>
      <c r="B299" s="7">
        <v>35401166.591</v>
      </c>
      <c r="C299" s="8">
        <v>913.439</v>
      </c>
      <c r="D299" s="11">
        <v>44858</v>
      </c>
      <c r="E299" s="10">
        <v>859.379</v>
      </c>
    </row>
    <row r="300" ht="16.5" spans="1:5">
      <c r="A300" s="7">
        <v>3045789.476</v>
      </c>
      <c r="B300" s="7">
        <v>35401166.591</v>
      </c>
      <c r="C300" s="8">
        <v>913.439</v>
      </c>
      <c r="D300" s="11">
        <v>44859</v>
      </c>
      <c r="E300" s="10">
        <v>858.649</v>
      </c>
    </row>
    <row r="301" ht="16.5" spans="1:5">
      <c r="A301" s="7">
        <v>3045789.476</v>
      </c>
      <c r="B301" s="7">
        <v>35401166.591</v>
      </c>
      <c r="C301" s="8">
        <v>913.439</v>
      </c>
      <c r="D301" s="11">
        <v>44860</v>
      </c>
      <c r="E301" s="10">
        <v>858.209</v>
      </c>
    </row>
    <row r="302" ht="16.5" spans="1:5">
      <c r="A302" s="7">
        <v>3045789.476</v>
      </c>
      <c r="B302" s="7">
        <v>35401166.591</v>
      </c>
      <c r="C302" s="8">
        <v>913.439</v>
      </c>
      <c r="D302" s="11">
        <v>44861</v>
      </c>
      <c r="E302" s="10">
        <v>857.969</v>
      </c>
    </row>
    <row r="303" ht="16.5" spans="1:5">
      <c r="A303" s="7">
        <v>3045789.476</v>
      </c>
      <c r="B303" s="7">
        <v>35401166.591</v>
      </c>
      <c r="C303" s="8">
        <v>913.439</v>
      </c>
      <c r="D303" s="11">
        <v>44862</v>
      </c>
      <c r="E303" s="10">
        <v>857.279</v>
      </c>
    </row>
    <row r="304" ht="16.5" spans="1:5">
      <c r="A304" s="7">
        <v>3045789.476</v>
      </c>
      <c r="B304" s="7">
        <v>35401166.591</v>
      </c>
      <c r="C304" s="8">
        <v>913.439</v>
      </c>
      <c r="D304" s="11">
        <v>44863</v>
      </c>
      <c r="E304" s="10">
        <v>856.739</v>
      </c>
    </row>
    <row r="305" ht="16.5" spans="1:5">
      <c r="A305" s="7">
        <v>3045789.476</v>
      </c>
      <c r="B305" s="7">
        <v>35401166.591</v>
      </c>
      <c r="C305" s="8">
        <v>913.439</v>
      </c>
      <c r="D305" s="11">
        <v>44864</v>
      </c>
      <c r="E305" s="10">
        <v>856.309</v>
      </c>
    </row>
    <row r="306" ht="16.5" spans="1:5">
      <c r="A306" s="7">
        <v>3045789.476</v>
      </c>
      <c r="B306" s="7">
        <v>35401166.591</v>
      </c>
      <c r="C306" s="8">
        <v>913.439</v>
      </c>
      <c r="D306" s="11">
        <v>44865</v>
      </c>
      <c r="E306" s="10">
        <v>855.489</v>
      </c>
    </row>
    <row r="307" ht="16.5" spans="1:5">
      <c r="A307" s="7">
        <v>3045789.476</v>
      </c>
      <c r="B307" s="7">
        <v>35401166.591</v>
      </c>
      <c r="C307" s="8">
        <v>913.439</v>
      </c>
      <c r="D307" s="11">
        <v>44866</v>
      </c>
      <c r="E307" s="10">
        <v>854.999</v>
      </c>
    </row>
    <row r="308" ht="16.5" spans="1:5">
      <c r="A308" s="7">
        <v>3045789.476</v>
      </c>
      <c r="B308" s="7">
        <v>35401166.591</v>
      </c>
      <c r="C308" s="8">
        <v>913.439</v>
      </c>
      <c r="D308" s="11">
        <v>44867</v>
      </c>
      <c r="E308" s="10">
        <v>854.819</v>
      </c>
    </row>
    <row r="309" ht="16.5" spans="1:5">
      <c r="A309" s="7">
        <v>3045789.476</v>
      </c>
      <c r="B309" s="7">
        <v>35401166.591</v>
      </c>
      <c r="C309" s="8">
        <v>913.439</v>
      </c>
      <c r="D309" s="11">
        <v>44868</v>
      </c>
      <c r="E309" s="12">
        <v>854.279</v>
      </c>
    </row>
    <row r="310" ht="16.5" spans="1:5">
      <c r="A310" s="7">
        <v>3045789.476</v>
      </c>
      <c r="B310" s="7">
        <v>35401166.591</v>
      </c>
      <c r="C310" s="8">
        <v>913.439</v>
      </c>
      <c r="D310" s="11">
        <v>44869</v>
      </c>
      <c r="E310" s="10">
        <v>854.039</v>
      </c>
    </row>
    <row r="311" ht="16.5" spans="1:5">
      <c r="A311" s="7">
        <v>3045789.476</v>
      </c>
      <c r="B311" s="7">
        <v>35401166.591</v>
      </c>
      <c r="C311" s="8">
        <v>913.439</v>
      </c>
      <c r="D311" s="11">
        <v>44870</v>
      </c>
      <c r="E311" s="10">
        <v>853.979</v>
      </c>
    </row>
    <row r="312" ht="16.5" spans="1:5">
      <c r="A312" s="7">
        <v>3045789.476</v>
      </c>
      <c r="B312" s="7">
        <v>35401166.591</v>
      </c>
      <c r="C312" s="8">
        <v>913.439</v>
      </c>
      <c r="D312" s="11">
        <v>44871</v>
      </c>
      <c r="E312" s="10">
        <v>853.889</v>
      </c>
    </row>
    <row r="313" ht="16.5" spans="1:5">
      <c r="A313" s="7">
        <v>3045789.476</v>
      </c>
      <c r="B313" s="7">
        <v>35401166.591</v>
      </c>
      <c r="C313" s="8">
        <v>913.439</v>
      </c>
      <c r="D313" s="11">
        <v>44872</v>
      </c>
      <c r="E313" s="10">
        <v>853.369</v>
      </c>
    </row>
    <row r="314" ht="16.5" spans="1:5">
      <c r="A314" s="7">
        <v>3045789.476</v>
      </c>
      <c r="B314" s="7">
        <v>35401166.591</v>
      </c>
      <c r="C314" s="8">
        <v>913.439</v>
      </c>
      <c r="D314" s="11">
        <v>44873</v>
      </c>
      <c r="E314" s="10">
        <v>852.719</v>
      </c>
    </row>
    <row r="315" ht="16.5" spans="1:5">
      <c r="A315" s="7">
        <v>3045789.476</v>
      </c>
      <c r="B315" s="7">
        <v>35401166.591</v>
      </c>
      <c r="C315" s="8">
        <v>913.439</v>
      </c>
      <c r="D315" s="11">
        <v>44874</v>
      </c>
      <c r="E315" s="10">
        <v>852.109</v>
      </c>
    </row>
    <row r="316" ht="16.5" spans="1:5">
      <c r="A316" s="7">
        <v>3045789.476</v>
      </c>
      <c r="B316" s="7">
        <v>35401166.591</v>
      </c>
      <c r="C316" s="8">
        <v>913.439</v>
      </c>
      <c r="D316" s="11">
        <v>44875</v>
      </c>
      <c r="E316" s="10">
        <v>851.619</v>
      </c>
    </row>
    <row r="317" ht="16.5" spans="1:5">
      <c r="A317" s="7">
        <v>3045789.476</v>
      </c>
      <c r="B317" s="7">
        <v>35401166.591</v>
      </c>
      <c r="C317" s="8">
        <v>913.439</v>
      </c>
      <c r="D317" s="11">
        <v>44876</v>
      </c>
      <c r="E317" s="10">
        <v>851.089</v>
      </c>
    </row>
    <row r="318" ht="16.5" spans="1:5">
      <c r="A318" s="7">
        <v>3045789.476</v>
      </c>
      <c r="B318" s="7">
        <v>35401166.591</v>
      </c>
      <c r="C318" s="8">
        <v>913.439</v>
      </c>
      <c r="D318" s="11">
        <v>44877</v>
      </c>
      <c r="E318" s="10">
        <v>851.039</v>
      </c>
    </row>
    <row r="319" ht="16.5" spans="1:5">
      <c r="A319" s="7">
        <v>3045789.476</v>
      </c>
      <c r="B319" s="7">
        <v>35401166.591</v>
      </c>
      <c r="C319" s="8">
        <v>913.439</v>
      </c>
      <c r="D319" s="11">
        <v>44878</v>
      </c>
      <c r="E319" s="10">
        <v>846.519</v>
      </c>
    </row>
    <row r="320" ht="16.5" spans="1:5">
      <c r="A320" s="7">
        <v>3045789.476</v>
      </c>
      <c r="B320" s="7">
        <v>35401166.591</v>
      </c>
      <c r="C320" s="8">
        <v>913.439</v>
      </c>
      <c r="D320" s="11">
        <v>44879</v>
      </c>
      <c r="E320" s="10">
        <v>848.379</v>
      </c>
    </row>
    <row r="321" ht="16.5" spans="1:5">
      <c r="A321" s="7">
        <v>3045789.476</v>
      </c>
      <c r="B321" s="7">
        <v>35401166.591</v>
      </c>
      <c r="C321" s="8">
        <v>913.439</v>
      </c>
      <c r="D321" s="11">
        <v>44880</v>
      </c>
      <c r="E321" s="10">
        <v>847.579</v>
      </c>
    </row>
    <row r="322" ht="16.5" spans="1:5">
      <c r="A322" s="7">
        <v>3045789.476</v>
      </c>
      <c r="B322" s="7">
        <v>35401166.591</v>
      </c>
      <c r="C322" s="8">
        <v>913.439</v>
      </c>
      <c r="D322" s="11">
        <v>44881</v>
      </c>
      <c r="E322" s="10">
        <v>847.539</v>
      </c>
    </row>
    <row r="323" ht="16.5" spans="1:5">
      <c r="A323" s="7">
        <v>3045789.476</v>
      </c>
      <c r="B323" s="7">
        <v>35401166.591</v>
      </c>
      <c r="C323" s="8">
        <v>913.439</v>
      </c>
      <c r="D323" s="11">
        <v>44882</v>
      </c>
      <c r="E323" s="10">
        <v>846.579</v>
      </c>
    </row>
    <row r="324" ht="16.5" spans="1:5">
      <c r="A324" s="7">
        <v>3045789.476</v>
      </c>
      <c r="B324" s="7">
        <v>35401166.591</v>
      </c>
      <c r="C324" s="8">
        <v>913.439</v>
      </c>
      <c r="D324" s="11">
        <v>44883</v>
      </c>
      <c r="E324" s="10">
        <v>845.799</v>
      </c>
    </row>
    <row r="325" ht="16.5" spans="1:5">
      <c r="A325" s="7">
        <v>3045789.476</v>
      </c>
      <c r="B325" s="7">
        <v>35401166.591</v>
      </c>
      <c r="C325" s="8">
        <v>913.439</v>
      </c>
      <c r="D325" s="11">
        <v>44884</v>
      </c>
      <c r="E325" s="10">
        <v>845.339</v>
      </c>
    </row>
    <row r="326" ht="16.5" spans="1:5">
      <c r="A326" s="7">
        <v>3045789.476</v>
      </c>
      <c r="B326" s="7">
        <v>35401166.591</v>
      </c>
      <c r="C326" s="8">
        <v>913.439</v>
      </c>
      <c r="D326" s="11">
        <v>44885</v>
      </c>
      <c r="E326" s="10">
        <v>844.619</v>
      </c>
    </row>
    <row r="327" ht="16.5" spans="1:5">
      <c r="A327" s="7">
        <v>3045789.476</v>
      </c>
      <c r="B327" s="7">
        <v>35401166.591</v>
      </c>
      <c r="C327" s="8">
        <v>913.439</v>
      </c>
      <c r="D327" s="11">
        <v>44886</v>
      </c>
      <c r="E327" s="10">
        <v>844.239</v>
      </c>
    </row>
    <row r="328" ht="16.5" spans="1:5">
      <c r="A328" s="7">
        <v>3045789.476</v>
      </c>
      <c r="B328" s="7">
        <v>35401166.591</v>
      </c>
      <c r="C328" s="8">
        <v>913.439</v>
      </c>
      <c r="D328" s="11">
        <v>44887</v>
      </c>
      <c r="E328" s="14">
        <v>844.039</v>
      </c>
    </row>
    <row r="329" ht="16.5" spans="1:5">
      <c r="A329" s="7">
        <v>3045789.476</v>
      </c>
      <c r="B329" s="7">
        <v>35401166.591</v>
      </c>
      <c r="C329" s="8">
        <v>913.439</v>
      </c>
      <c r="D329" s="11">
        <v>44888</v>
      </c>
      <c r="E329" s="10">
        <v>843.659</v>
      </c>
    </row>
    <row r="330" ht="16.5" spans="1:5">
      <c r="A330" s="7">
        <v>3045789.476</v>
      </c>
      <c r="B330" s="7">
        <v>35401166.591</v>
      </c>
      <c r="C330" s="8">
        <v>913.439</v>
      </c>
      <c r="D330" s="11">
        <v>44889</v>
      </c>
      <c r="E330" s="10">
        <v>843.199</v>
      </c>
    </row>
    <row r="331" ht="16.5" spans="1:5">
      <c r="A331" s="7">
        <v>3045789.476</v>
      </c>
      <c r="B331" s="7">
        <v>35401166.591</v>
      </c>
      <c r="C331" s="8">
        <v>913.439</v>
      </c>
      <c r="D331" s="11">
        <v>44890</v>
      </c>
      <c r="E331" s="10">
        <v>843.539</v>
      </c>
    </row>
    <row r="332" ht="16.5" spans="1:5">
      <c r="A332" s="7">
        <v>3045789.476</v>
      </c>
      <c r="B332" s="7">
        <v>35401166.591</v>
      </c>
      <c r="C332" s="8">
        <v>913.439</v>
      </c>
      <c r="D332" s="11">
        <v>44891</v>
      </c>
      <c r="E332" s="10">
        <v>843.649</v>
      </c>
    </row>
    <row r="333" ht="16.5" spans="1:5">
      <c r="A333" s="7">
        <v>3045789.476</v>
      </c>
      <c r="B333" s="7">
        <v>35401166.591</v>
      </c>
      <c r="C333" s="8">
        <v>913.439</v>
      </c>
      <c r="D333" s="11">
        <v>44892</v>
      </c>
      <c r="E333" s="10">
        <v>842.129</v>
      </c>
    </row>
    <row r="334" ht="16.5" spans="1:5">
      <c r="A334" s="7">
        <v>3045789.476</v>
      </c>
      <c r="B334" s="7">
        <v>35401166.591</v>
      </c>
      <c r="C334" s="8">
        <v>913.439</v>
      </c>
      <c r="D334" s="11">
        <v>44893</v>
      </c>
      <c r="E334" s="10">
        <v>841.619</v>
      </c>
    </row>
    <row r="335" ht="16.5" spans="1:5">
      <c r="A335" s="7">
        <v>3045789.476</v>
      </c>
      <c r="B335" s="7">
        <v>35401166.591</v>
      </c>
      <c r="C335" s="8">
        <v>913.439</v>
      </c>
      <c r="D335" s="11">
        <v>44894</v>
      </c>
      <c r="E335" s="10">
        <v>841.169</v>
      </c>
    </row>
    <row r="336" ht="16.5" spans="1:5">
      <c r="A336" s="7">
        <v>3045789.476</v>
      </c>
      <c r="B336" s="7">
        <v>35401166.591</v>
      </c>
      <c r="C336" s="8">
        <v>913.439</v>
      </c>
      <c r="D336" s="11">
        <v>44895</v>
      </c>
      <c r="E336" s="12">
        <v>840.809</v>
      </c>
    </row>
    <row r="337" ht="16.5" spans="1:5">
      <c r="A337" s="7">
        <v>3045789.476</v>
      </c>
      <c r="B337" s="7">
        <v>35401166.591</v>
      </c>
      <c r="C337" s="8">
        <v>913.439</v>
      </c>
      <c r="D337" s="11">
        <v>44896</v>
      </c>
      <c r="E337" s="10">
        <v>840.389</v>
      </c>
    </row>
    <row r="338" ht="16.5" spans="1:5">
      <c r="A338" s="7">
        <v>3045789.476</v>
      </c>
      <c r="B338" s="7">
        <v>35401166.591</v>
      </c>
      <c r="C338" s="8">
        <v>913.439</v>
      </c>
      <c r="D338" s="11">
        <v>44897</v>
      </c>
      <c r="E338" s="10">
        <v>840.009</v>
      </c>
    </row>
    <row r="339" ht="16.5" spans="1:5">
      <c r="A339" s="7">
        <v>3045789.476</v>
      </c>
      <c r="B339" s="7">
        <v>35401166.591</v>
      </c>
      <c r="C339" s="8">
        <v>913.439</v>
      </c>
      <c r="D339" s="11">
        <v>44898</v>
      </c>
      <c r="E339" s="10">
        <v>839.629</v>
      </c>
    </row>
    <row r="340" ht="16.5" spans="1:5">
      <c r="A340" s="7">
        <v>3045789.476</v>
      </c>
      <c r="B340" s="7">
        <v>35401166.591</v>
      </c>
      <c r="C340" s="8">
        <v>913.439</v>
      </c>
      <c r="D340" s="11">
        <v>44899</v>
      </c>
      <c r="E340" s="10">
        <v>839.279</v>
      </c>
    </row>
    <row r="341" ht="16.5" spans="1:5">
      <c r="A341" s="7">
        <v>3045789.476</v>
      </c>
      <c r="B341" s="7">
        <v>35401166.591</v>
      </c>
      <c r="C341" s="8">
        <v>913.439</v>
      </c>
      <c r="D341" s="11">
        <v>44900</v>
      </c>
      <c r="E341" s="10">
        <v>838.889</v>
      </c>
    </row>
    <row r="342" ht="16.5" spans="1:5">
      <c r="A342" s="7">
        <v>3045789.476</v>
      </c>
      <c r="B342" s="7">
        <v>35401166.591</v>
      </c>
      <c r="C342" s="8">
        <v>913.439</v>
      </c>
      <c r="D342" s="11">
        <v>44901</v>
      </c>
      <c r="E342" s="10">
        <v>838.559</v>
      </c>
    </row>
    <row r="343" ht="16.5" spans="1:5">
      <c r="A343" s="7">
        <v>3045789.476</v>
      </c>
      <c r="B343" s="7">
        <v>35401166.591</v>
      </c>
      <c r="C343" s="8">
        <v>913.439</v>
      </c>
      <c r="D343" s="11">
        <v>44902</v>
      </c>
      <c r="E343" s="10">
        <v>838.249</v>
      </c>
    </row>
    <row r="344" ht="16.5" spans="1:5">
      <c r="A344" s="7">
        <v>3045789.476</v>
      </c>
      <c r="B344" s="7">
        <v>35401166.591</v>
      </c>
      <c r="C344" s="8">
        <v>913.439</v>
      </c>
      <c r="D344" s="11">
        <v>44903</v>
      </c>
      <c r="E344" s="10">
        <v>838.209</v>
      </c>
    </row>
    <row r="345" ht="16.5" spans="1:5">
      <c r="A345" s="7">
        <v>3045789.476</v>
      </c>
      <c r="B345" s="7">
        <v>35401166.591</v>
      </c>
      <c r="C345" s="8">
        <v>913.439</v>
      </c>
      <c r="D345" s="11">
        <v>44904</v>
      </c>
      <c r="E345" s="10">
        <v>837.679</v>
      </c>
    </row>
    <row r="346" ht="16.5" spans="1:5">
      <c r="A346" s="7">
        <v>3045789.476</v>
      </c>
      <c r="B346" s="7">
        <v>35401166.591</v>
      </c>
      <c r="C346" s="8">
        <v>913.439</v>
      </c>
      <c r="D346" s="11">
        <v>44905</v>
      </c>
      <c r="E346" s="10">
        <v>837.519</v>
      </c>
    </row>
    <row r="347" ht="16.5" spans="1:5">
      <c r="A347" s="7">
        <v>3045789.476</v>
      </c>
      <c r="B347" s="7">
        <v>35401166.591</v>
      </c>
      <c r="C347" s="8">
        <v>913.439</v>
      </c>
      <c r="D347" s="11">
        <v>44906</v>
      </c>
      <c r="E347" s="10">
        <v>837.109</v>
      </c>
    </row>
    <row r="348" ht="16.5" spans="1:5">
      <c r="A348" s="7">
        <v>3045789.476</v>
      </c>
      <c r="B348" s="7">
        <v>35401166.591</v>
      </c>
      <c r="C348" s="8">
        <v>913.439</v>
      </c>
      <c r="D348" s="11">
        <v>44907</v>
      </c>
      <c r="E348" s="10">
        <v>839.239</v>
      </c>
    </row>
    <row r="349" ht="16.5" spans="1:5">
      <c r="A349" s="7">
        <v>3045789.476</v>
      </c>
      <c r="B349" s="7">
        <v>35401166.591</v>
      </c>
      <c r="C349" s="8">
        <v>913.439</v>
      </c>
      <c r="D349" s="11">
        <v>44908</v>
      </c>
      <c r="E349" s="10">
        <v>834.209</v>
      </c>
    </row>
    <row r="350" ht="16.5" spans="1:5">
      <c r="A350" s="7">
        <v>3045789.476</v>
      </c>
      <c r="B350" s="7">
        <v>35401166.591</v>
      </c>
      <c r="C350" s="8">
        <v>913.439</v>
      </c>
      <c r="D350" s="11">
        <v>44909</v>
      </c>
      <c r="E350" s="10">
        <v>833.289</v>
      </c>
    </row>
    <row r="351" ht="16.5" spans="1:5">
      <c r="A351" s="7">
        <v>3045789.476</v>
      </c>
      <c r="B351" s="7">
        <v>35401166.591</v>
      </c>
      <c r="C351" s="8">
        <v>913.439</v>
      </c>
      <c r="D351" s="11">
        <v>44910</v>
      </c>
      <c r="E351" s="10">
        <v>832.869</v>
      </c>
    </row>
    <row r="352" ht="16.5" spans="1:5">
      <c r="A352" s="7">
        <v>3045789.476</v>
      </c>
      <c r="B352" s="7">
        <v>35401166.591</v>
      </c>
      <c r="C352" s="8">
        <v>913.439</v>
      </c>
      <c r="D352" s="11">
        <v>44911</v>
      </c>
      <c r="E352" s="10">
        <v>832.479</v>
      </c>
    </row>
    <row r="353" ht="16.5" spans="1:5">
      <c r="A353" s="7">
        <v>3045789.476</v>
      </c>
      <c r="B353" s="7">
        <v>35401166.591</v>
      </c>
      <c r="C353" s="8">
        <v>913.439</v>
      </c>
      <c r="D353" s="11">
        <v>44912</v>
      </c>
      <c r="E353" s="10">
        <v>832.079</v>
      </c>
    </row>
    <row r="354" ht="16.5" spans="1:5">
      <c r="A354" s="7">
        <v>3045789.476</v>
      </c>
      <c r="B354" s="7">
        <v>35401166.591</v>
      </c>
      <c r="C354" s="8">
        <v>913.439</v>
      </c>
      <c r="D354" s="11">
        <v>44913</v>
      </c>
      <c r="E354" s="10">
        <v>831.919</v>
      </c>
    </row>
    <row r="355" ht="16.5" spans="1:5">
      <c r="A355" s="7">
        <v>3045789.476</v>
      </c>
      <c r="B355" s="7">
        <v>35401166.591</v>
      </c>
      <c r="C355" s="8">
        <v>913.439</v>
      </c>
      <c r="D355" s="11">
        <v>44914</v>
      </c>
      <c r="E355" s="10">
        <v>831.559</v>
      </c>
    </row>
    <row r="356" ht="16.5" spans="1:5">
      <c r="A356" s="7">
        <v>3045789.476</v>
      </c>
      <c r="B356" s="7">
        <v>35401166.591</v>
      </c>
      <c r="C356" s="8">
        <v>913.439</v>
      </c>
      <c r="D356" s="11">
        <v>44915</v>
      </c>
      <c r="E356" s="10">
        <v>831.269</v>
      </c>
    </row>
    <row r="357" ht="16.5" spans="1:5">
      <c r="A357" s="7">
        <v>3045789.476</v>
      </c>
      <c r="B357" s="7">
        <v>35401166.591</v>
      </c>
      <c r="C357" s="8">
        <v>913.439</v>
      </c>
      <c r="D357" s="11">
        <v>44916</v>
      </c>
      <c r="E357" s="10">
        <v>831.049</v>
      </c>
    </row>
    <row r="358" ht="16.5" spans="1:5">
      <c r="A358" s="7">
        <v>3045789.476</v>
      </c>
      <c r="B358" s="7">
        <v>35401166.591</v>
      </c>
      <c r="C358" s="8">
        <v>913.439</v>
      </c>
      <c r="D358" s="11">
        <v>44917</v>
      </c>
      <c r="E358" s="10">
        <v>830.789</v>
      </c>
    </row>
    <row r="359" ht="16.5" spans="1:5">
      <c r="A359" s="7">
        <v>3045789.476</v>
      </c>
      <c r="B359" s="7">
        <v>35401166.591</v>
      </c>
      <c r="C359" s="8">
        <v>913.439</v>
      </c>
      <c r="D359" s="11">
        <v>44918</v>
      </c>
      <c r="E359" s="10">
        <v>830.559</v>
      </c>
    </row>
    <row r="360" ht="16.5" spans="1:5">
      <c r="A360" s="7">
        <v>3045789.476</v>
      </c>
      <c r="B360" s="7">
        <v>35401166.591</v>
      </c>
      <c r="C360" s="8">
        <v>913.439</v>
      </c>
      <c r="D360" s="11">
        <v>44919</v>
      </c>
      <c r="E360" s="10">
        <v>830.289</v>
      </c>
    </row>
    <row r="361" ht="16.5" spans="1:5">
      <c r="A361" s="7">
        <v>3045789.476</v>
      </c>
      <c r="B361" s="7">
        <v>35401166.591</v>
      </c>
      <c r="C361" s="8">
        <v>913.439</v>
      </c>
      <c r="D361" s="11">
        <v>44920</v>
      </c>
      <c r="E361" s="10">
        <v>829.989</v>
      </c>
    </row>
    <row r="362" ht="16.5" spans="1:5">
      <c r="A362" s="7">
        <v>3045789.476</v>
      </c>
      <c r="B362" s="7">
        <v>35401166.591</v>
      </c>
      <c r="C362" s="8">
        <v>913.439</v>
      </c>
      <c r="D362" s="11">
        <v>44921</v>
      </c>
      <c r="E362" s="10">
        <v>829.229</v>
      </c>
    </row>
    <row r="363" ht="16.5" spans="1:5">
      <c r="A363" s="7">
        <v>3045789.476</v>
      </c>
      <c r="B363" s="7">
        <v>35401166.591</v>
      </c>
      <c r="C363" s="8">
        <v>913.439</v>
      </c>
      <c r="D363" s="11">
        <v>44922</v>
      </c>
      <c r="E363" s="10">
        <v>828.679</v>
      </c>
    </row>
    <row r="364" ht="16.5" spans="1:5">
      <c r="A364" s="7">
        <v>3045789.476</v>
      </c>
      <c r="B364" s="7">
        <v>35401166.591</v>
      </c>
      <c r="C364" s="8">
        <v>913.439</v>
      </c>
      <c r="D364" s="11">
        <v>44923</v>
      </c>
      <c r="E364" s="16"/>
    </row>
    <row r="365" ht="16.5" spans="1:5">
      <c r="A365" s="7">
        <v>3045789.476</v>
      </c>
      <c r="B365" s="7">
        <v>35401166.591</v>
      </c>
      <c r="C365" s="8">
        <v>913.439</v>
      </c>
      <c r="D365" s="11">
        <v>44924</v>
      </c>
      <c r="E365" s="16"/>
    </row>
    <row r="366" ht="16.5" spans="1:5">
      <c r="A366" s="7">
        <v>3045789.476</v>
      </c>
      <c r="B366" s="7">
        <v>35401166.591</v>
      </c>
      <c r="C366" s="8">
        <v>913.439</v>
      </c>
      <c r="D366" s="11">
        <v>44925</v>
      </c>
      <c r="E366" s="16"/>
    </row>
    <row r="367" ht="16.5" spans="1:5">
      <c r="A367" s="7">
        <v>3045789.476</v>
      </c>
      <c r="B367" s="7">
        <v>35401166.591</v>
      </c>
      <c r="C367" s="8">
        <v>913.439</v>
      </c>
      <c r="D367" s="11">
        <v>44926</v>
      </c>
      <c r="E367" s="16"/>
    </row>
    <row r="368" ht="16.5" spans="1:5">
      <c r="A368" s="7">
        <v>3045789.476</v>
      </c>
      <c r="B368" s="7">
        <v>35401166.591</v>
      </c>
      <c r="C368" s="8">
        <v>913.439</v>
      </c>
      <c r="D368" s="11">
        <v>44927</v>
      </c>
      <c r="E368" s="16"/>
    </row>
    <row r="369" ht="16.5" spans="1:5">
      <c r="A369" s="7">
        <v>3045789.476</v>
      </c>
      <c r="B369" s="7">
        <v>35401166.591</v>
      </c>
      <c r="C369" s="8">
        <v>913.439</v>
      </c>
      <c r="D369" s="11">
        <v>44928</v>
      </c>
      <c r="E369" s="16"/>
    </row>
    <row r="370" ht="16.5" spans="1:5">
      <c r="A370" s="7">
        <v>3045789.476</v>
      </c>
      <c r="B370" s="7">
        <v>35401166.591</v>
      </c>
      <c r="C370" s="8">
        <v>913.439</v>
      </c>
      <c r="D370" s="11">
        <v>44929</v>
      </c>
      <c r="E370" s="16"/>
    </row>
    <row r="371" ht="16.5" spans="1:5">
      <c r="A371" s="7">
        <v>3045789.476</v>
      </c>
      <c r="B371" s="7">
        <v>35401166.591</v>
      </c>
      <c r="C371" s="8">
        <v>913.439</v>
      </c>
      <c r="D371" s="11">
        <v>44930</v>
      </c>
      <c r="E371" s="16"/>
    </row>
    <row r="372" ht="16.5" spans="1:5">
      <c r="A372" s="7">
        <v>3045789.476</v>
      </c>
      <c r="B372" s="7">
        <v>35401166.591</v>
      </c>
      <c r="C372" s="8">
        <v>913.439</v>
      </c>
      <c r="D372" s="11">
        <v>44931</v>
      </c>
      <c r="E372" s="16"/>
    </row>
    <row r="373" ht="16.5" spans="1:5">
      <c r="A373" s="7">
        <v>3045789.476</v>
      </c>
      <c r="B373" s="7">
        <v>35401166.591</v>
      </c>
      <c r="C373" s="8">
        <v>913.439</v>
      </c>
      <c r="D373" s="11">
        <v>44932</v>
      </c>
      <c r="E373" s="10"/>
    </row>
    <row r="374" ht="16.5" spans="1:5">
      <c r="A374" s="7">
        <v>3045789.476</v>
      </c>
      <c r="B374" s="7">
        <v>35401166.591</v>
      </c>
      <c r="C374" s="8">
        <v>913.439</v>
      </c>
      <c r="D374" s="11">
        <v>44933</v>
      </c>
      <c r="E374" s="10"/>
    </row>
    <row r="375" ht="16.5" spans="1:5">
      <c r="A375" s="7">
        <v>3045789.476</v>
      </c>
      <c r="B375" s="7">
        <v>35401166.591</v>
      </c>
      <c r="C375" s="8">
        <v>913.439</v>
      </c>
      <c r="D375" s="11">
        <v>44934</v>
      </c>
      <c r="E375" s="10">
        <v>825.809</v>
      </c>
    </row>
    <row r="376" ht="16.5" spans="1:5">
      <c r="A376" s="7">
        <v>3045789.476</v>
      </c>
      <c r="B376" s="7">
        <v>35401166.591</v>
      </c>
      <c r="C376" s="8">
        <v>913.439</v>
      </c>
      <c r="D376" s="11">
        <v>44935</v>
      </c>
      <c r="E376" s="10">
        <v>825.419</v>
      </c>
    </row>
    <row r="377" ht="16.5" spans="1:5">
      <c r="A377" s="7">
        <v>3045789.476</v>
      </c>
      <c r="B377" s="7">
        <v>35401166.591</v>
      </c>
      <c r="C377" s="8">
        <v>913.439</v>
      </c>
      <c r="D377" s="11">
        <v>44936</v>
      </c>
      <c r="E377" s="10">
        <v>825.389</v>
      </c>
    </row>
    <row r="378" ht="16.5" spans="1:5">
      <c r="A378" s="7">
        <v>3045789.476</v>
      </c>
      <c r="B378" s="7">
        <v>35401166.591</v>
      </c>
      <c r="C378" s="8">
        <v>913.439</v>
      </c>
      <c r="D378" s="11">
        <v>44937</v>
      </c>
      <c r="E378" s="10">
        <v>825.259</v>
      </c>
    </row>
    <row r="379" ht="16.5" spans="1:5">
      <c r="A379" s="7">
        <v>3045789.476</v>
      </c>
      <c r="B379" s="7">
        <v>35401166.591</v>
      </c>
      <c r="C379" s="8">
        <v>913.439</v>
      </c>
      <c r="D379" s="11">
        <v>44938</v>
      </c>
      <c r="E379" s="12"/>
    </row>
    <row r="380" ht="16.5" spans="1:5">
      <c r="A380" s="7">
        <v>3045789.476</v>
      </c>
      <c r="B380" s="7">
        <v>35401166.591</v>
      </c>
      <c r="C380" s="8">
        <v>913.439</v>
      </c>
      <c r="D380" s="11">
        <v>44939</v>
      </c>
      <c r="E380" s="12"/>
    </row>
    <row r="381" ht="16.5" spans="1:5">
      <c r="A381" s="7">
        <v>3045789.476</v>
      </c>
      <c r="B381" s="7">
        <v>35401166.591</v>
      </c>
      <c r="C381" s="8">
        <v>913.439</v>
      </c>
      <c r="D381" s="11">
        <v>44940</v>
      </c>
      <c r="E381" s="12"/>
    </row>
    <row r="382" ht="16.5" spans="1:5">
      <c r="A382" s="7">
        <v>3045789.476</v>
      </c>
      <c r="B382" s="7">
        <v>35401166.591</v>
      </c>
      <c r="C382" s="8">
        <v>913.439</v>
      </c>
      <c r="D382" s="11">
        <v>44941</v>
      </c>
      <c r="E382" s="12"/>
    </row>
    <row r="383" ht="16.5" spans="1:5">
      <c r="A383" s="7">
        <v>3045789.476</v>
      </c>
      <c r="B383" s="7">
        <v>35401166.591</v>
      </c>
      <c r="C383" s="8">
        <v>913.439</v>
      </c>
      <c r="D383" s="11">
        <v>44942</v>
      </c>
      <c r="E383" s="10">
        <v>824.119</v>
      </c>
    </row>
    <row r="384" ht="16.5" spans="1:5">
      <c r="A384" s="7">
        <v>3045789.476</v>
      </c>
      <c r="B384" s="7">
        <v>35401166.591</v>
      </c>
      <c r="C384" s="8">
        <v>913.439</v>
      </c>
      <c r="D384" s="11">
        <v>44943</v>
      </c>
      <c r="E384" s="10">
        <v>823.909</v>
      </c>
    </row>
    <row r="385" ht="16.5" spans="1:5">
      <c r="A385" s="7">
        <v>3045789.476</v>
      </c>
      <c r="B385" s="7">
        <v>35401166.591</v>
      </c>
      <c r="C385" s="8">
        <v>913.439</v>
      </c>
      <c r="D385" s="11">
        <v>44944</v>
      </c>
      <c r="E385" s="10">
        <v>823.769</v>
      </c>
    </row>
    <row r="386" ht="16.5" spans="1:5">
      <c r="A386" s="7">
        <v>3045789.476</v>
      </c>
      <c r="B386" s="7">
        <v>35401166.591</v>
      </c>
      <c r="C386" s="8">
        <v>913.439</v>
      </c>
      <c r="D386" s="11">
        <v>44945</v>
      </c>
      <c r="E386" s="10">
        <v>823.569</v>
      </c>
    </row>
    <row r="387" ht="16.5" spans="1:5">
      <c r="A387" s="7">
        <v>3045789.476</v>
      </c>
      <c r="B387" s="7">
        <v>35401166.591</v>
      </c>
      <c r="C387" s="8">
        <v>913.439</v>
      </c>
      <c r="D387" s="11">
        <v>44946</v>
      </c>
      <c r="E387" s="10">
        <v>823.419</v>
      </c>
    </row>
    <row r="388" ht="16.5" spans="1:5">
      <c r="A388" s="7">
        <v>3045789.476</v>
      </c>
      <c r="B388" s="7">
        <v>35401166.591</v>
      </c>
      <c r="C388" s="8">
        <v>913.439</v>
      </c>
      <c r="D388" s="11">
        <v>44947</v>
      </c>
      <c r="E388" s="10">
        <v>823.259</v>
      </c>
    </row>
    <row r="389" ht="16.5" spans="1:5">
      <c r="A389" s="7">
        <v>3045789.476</v>
      </c>
      <c r="B389" s="7">
        <v>35401166.591</v>
      </c>
      <c r="C389" s="8">
        <v>913.439</v>
      </c>
      <c r="D389" s="11">
        <v>44948</v>
      </c>
      <c r="E389" s="10">
        <v>823.079</v>
      </c>
    </row>
    <row r="390" ht="16.5" spans="1:5">
      <c r="A390" s="7">
        <v>3045789.476</v>
      </c>
      <c r="B390" s="7">
        <v>35401166.591</v>
      </c>
      <c r="C390" s="8">
        <v>913.439</v>
      </c>
      <c r="D390" s="11">
        <v>44949</v>
      </c>
      <c r="E390" s="10">
        <v>822.889</v>
      </c>
    </row>
    <row r="391" ht="16.5" spans="1:5">
      <c r="A391" s="7">
        <v>3045789.476</v>
      </c>
      <c r="B391" s="7">
        <v>35401166.591</v>
      </c>
      <c r="C391" s="8">
        <v>913.439</v>
      </c>
      <c r="D391" s="11">
        <v>44950</v>
      </c>
      <c r="E391" s="10">
        <v>822.649</v>
      </c>
    </row>
    <row r="392" ht="16.5" spans="1:5">
      <c r="A392" s="7">
        <v>3045789.476</v>
      </c>
      <c r="B392" s="7">
        <v>35401166.591</v>
      </c>
      <c r="C392" s="8">
        <v>913.439</v>
      </c>
      <c r="D392" s="11">
        <v>44951</v>
      </c>
      <c r="E392" s="10">
        <v>822.569</v>
      </c>
    </row>
    <row r="393" ht="16.5" spans="1:5">
      <c r="A393" s="7">
        <v>3045789.476</v>
      </c>
      <c r="B393" s="7">
        <v>35401166.591</v>
      </c>
      <c r="C393" s="8">
        <v>913.439</v>
      </c>
      <c r="D393" s="11">
        <v>44952</v>
      </c>
      <c r="E393" s="10">
        <v>822.329</v>
      </c>
    </row>
    <row r="394" ht="16.5" spans="1:5">
      <c r="A394" s="7">
        <v>3045789.476</v>
      </c>
      <c r="B394" s="7">
        <v>35401166.591</v>
      </c>
      <c r="C394" s="8">
        <v>913.439</v>
      </c>
      <c r="D394" s="11">
        <v>44953</v>
      </c>
      <c r="E394" s="10">
        <v>822.119</v>
      </c>
    </row>
    <row r="395" ht="16.5" spans="1:5">
      <c r="A395" s="7">
        <v>3045789.476</v>
      </c>
      <c r="B395" s="7">
        <v>35401166.591</v>
      </c>
      <c r="C395" s="8">
        <v>913.439</v>
      </c>
      <c r="D395" s="11">
        <v>44954</v>
      </c>
      <c r="E395" s="10">
        <v>821.979</v>
      </c>
    </row>
    <row r="396" ht="16.5" spans="1:5">
      <c r="A396" s="7">
        <v>3045789.476</v>
      </c>
      <c r="B396" s="7">
        <v>35401166.591</v>
      </c>
      <c r="C396" s="8">
        <v>913.439</v>
      </c>
      <c r="D396" s="11">
        <v>44955</v>
      </c>
      <c r="E396" s="10">
        <v>821.769</v>
      </c>
    </row>
    <row r="397" ht="16.5" spans="1:5">
      <c r="A397" s="7">
        <v>3045789.476</v>
      </c>
      <c r="B397" s="7">
        <v>35401166.591</v>
      </c>
      <c r="C397" s="8">
        <v>913.439</v>
      </c>
      <c r="D397" s="11">
        <v>44956</v>
      </c>
      <c r="E397" s="10">
        <v>821.129</v>
      </c>
    </row>
    <row r="398" ht="16.5" spans="1:5">
      <c r="A398" s="7">
        <v>3045789.476</v>
      </c>
      <c r="B398" s="7">
        <v>35401166.591</v>
      </c>
      <c r="C398" s="8">
        <v>913.439</v>
      </c>
      <c r="D398" s="11">
        <v>44957</v>
      </c>
      <c r="E398" s="10">
        <v>821.009</v>
      </c>
    </row>
    <row r="399" ht="16.5" spans="1:5">
      <c r="A399" s="7">
        <v>3045789.476</v>
      </c>
      <c r="B399" s="7">
        <v>35401166.591</v>
      </c>
      <c r="C399" s="8">
        <v>913.439</v>
      </c>
      <c r="D399" s="11">
        <v>44958</v>
      </c>
      <c r="E399" s="10">
        <v>820.819</v>
      </c>
    </row>
    <row r="400" ht="16.5" spans="1:5">
      <c r="A400" s="7">
        <v>3045789.476</v>
      </c>
      <c r="B400" s="7">
        <v>35401166.591</v>
      </c>
      <c r="C400" s="8">
        <v>913.439</v>
      </c>
      <c r="D400" s="11">
        <v>44959</v>
      </c>
      <c r="E400" s="14">
        <v>820.669</v>
      </c>
    </row>
    <row r="401" ht="16.5" spans="1:5">
      <c r="A401" s="7">
        <v>3045789.476</v>
      </c>
      <c r="B401" s="7">
        <v>35401166.591</v>
      </c>
      <c r="C401" s="8">
        <v>913.439</v>
      </c>
      <c r="D401" s="11">
        <v>44960</v>
      </c>
      <c r="E401" s="10">
        <v>822.149</v>
      </c>
    </row>
    <row r="402" ht="16.5" spans="1:5">
      <c r="A402" s="7">
        <v>3045789.476</v>
      </c>
      <c r="B402" s="7">
        <v>35401166.591</v>
      </c>
      <c r="C402" s="8">
        <v>913.439</v>
      </c>
      <c r="D402" s="11">
        <v>44961</v>
      </c>
      <c r="E402" s="10">
        <v>822.599</v>
      </c>
    </row>
    <row r="403" ht="16.5" spans="1:5">
      <c r="A403" s="7">
        <v>3045789.476</v>
      </c>
      <c r="B403" s="7">
        <v>35401166.591</v>
      </c>
      <c r="C403" s="8">
        <v>913.439</v>
      </c>
      <c r="D403" s="11">
        <v>44962</v>
      </c>
      <c r="E403" s="10">
        <v>822.299</v>
      </c>
    </row>
    <row r="404" ht="16.5" spans="1:5">
      <c r="A404" s="7">
        <v>3045789.476</v>
      </c>
      <c r="B404" s="7">
        <v>35401166.591</v>
      </c>
      <c r="C404" s="8">
        <v>913.439</v>
      </c>
      <c r="D404" s="11">
        <v>44963</v>
      </c>
      <c r="E404" s="10">
        <v>822.339</v>
      </c>
    </row>
    <row r="405" ht="16.5" spans="1:5">
      <c r="A405" s="7">
        <v>3045789.476</v>
      </c>
      <c r="B405" s="7">
        <v>35401166.591</v>
      </c>
      <c r="C405" s="8">
        <v>913.439</v>
      </c>
      <c r="D405" s="11">
        <v>44964</v>
      </c>
      <c r="E405" s="10">
        <v>821.049</v>
      </c>
    </row>
    <row r="406" ht="16.5" spans="1:5">
      <c r="A406" s="7">
        <v>3045789.476</v>
      </c>
      <c r="B406" s="7">
        <v>35401166.591</v>
      </c>
      <c r="C406" s="8">
        <v>913.439</v>
      </c>
      <c r="D406" s="11">
        <v>44965</v>
      </c>
      <c r="E406" s="10">
        <v>820.439</v>
      </c>
    </row>
    <row r="407" ht="16.5" spans="1:5">
      <c r="A407" s="7">
        <v>3045789.476</v>
      </c>
      <c r="B407" s="7">
        <v>35401166.591</v>
      </c>
      <c r="C407" s="8">
        <v>913.439</v>
      </c>
      <c r="D407" s="11">
        <v>44966</v>
      </c>
      <c r="E407" s="10">
        <v>820.859</v>
      </c>
    </row>
    <row r="408" ht="16.5" spans="1:5">
      <c r="A408" s="7">
        <v>3045789.476</v>
      </c>
      <c r="B408" s="7">
        <v>35401166.591</v>
      </c>
      <c r="C408" s="8">
        <v>913.439</v>
      </c>
      <c r="D408" s="11">
        <v>44967</v>
      </c>
      <c r="E408" s="10">
        <v>821.339</v>
      </c>
    </row>
    <row r="409" ht="16.5" spans="1:5">
      <c r="A409" s="7">
        <v>3045789.476</v>
      </c>
      <c r="B409" s="7">
        <v>35401166.591</v>
      </c>
      <c r="C409" s="8">
        <v>913.439</v>
      </c>
      <c r="D409" s="11">
        <v>44968</v>
      </c>
      <c r="E409" s="10">
        <v>820.669</v>
      </c>
    </row>
    <row r="410" ht="16.5" spans="1:5">
      <c r="A410" s="7">
        <v>3045789.476</v>
      </c>
      <c r="B410" s="7">
        <v>35401166.591</v>
      </c>
      <c r="C410" s="8">
        <v>913.439</v>
      </c>
      <c r="D410" s="11">
        <v>44969</v>
      </c>
      <c r="E410" s="10">
        <v>821.459</v>
      </c>
    </row>
    <row r="411" ht="16.5" spans="1:5">
      <c r="A411" s="7">
        <v>3045789.476</v>
      </c>
      <c r="B411" s="7">
        <v>35401166.591</v>
      </c>
      <c r="C411" s="8">
        <v>913.439</v>
      </c>
      <c r="D411" s="11">
        <v>44970</v>
      </c>
      <c r="E411" s="14">
        <v>821.289</v>
      </c>
    </row>
    <row r="412" ht="16.5" spans="1:5">
      <c r="A412" s="7">
        <v>3045789.476</v>
      </c>
      <c r="B412" s="7">
        <v>35401166.591</v>
      </c>
      <c r="C412" s="8">
        <v>913.439</v>
      </c>
      <c r="D412" s="11">
        <v>44971</v>
      </c>
      <c r="E412" s="10">
        <v>821.239</v>
      </c>
    </row>
    <row r="413" ht="16.5" spans="1:5">
      <c r="A413" s="7">
        <v>3045789.476</v>
      </c>
      <c r="B413" s="7">
        <v>35401166.591</v>
      </c>
      <c r="C413" s="8">
        <v>913.439</v>
      </c>
      <c r="D413" s="11">
        <v>44972</v>
      </c>
      <c r="E413" s="10">
        <v>821.199</v>
      </c>
    </row>
    <row r="414" ht="16.5" spans="1:5">
      <c r="A414" s="7">
        <v>3045789.476</v>
      </c>
      <c r="B414" s="7">
        <v>35401166.591</v>
      </c>
      <c r="C414" s="8">
        <v>913.439</v>
      </c>
      <c r="D414" s="11">
        <v>44973</v>
      </c>
      <c r="E414" s="10">
        <v>820.939</v>
      </c>
    </row>
    <row r="415" ht="16.5" spans="1:5">
      <c r="A415" s="7">
        <v>3045789.476</v>
      </c>
      <c r="B415" s="7">
        <v>35401166.591</v>
      </c>
      <c r="C415" s="8">
        <v>913.439</v>
      </c>
      <c r="D415" s="11">
        <v>44974</v>
      </c>
      <c r="E415" s="10">
        <v>820.939</v>
      </c>
    </row>
    <row r="416" ht="16.5" spans="1:5">
      <c r="A416" s="7">
        <v>3045789.476</v>
      </c>
      <c r="B416" s="7">
        <v>35401166.591</v>
      </c>
      <c r="C416" s="8">
        <v>913.439</v>
      </c>
      <c r="D416" s="11">
        <v>44975</v>
      </c>
      <c r="E416" s="10">
        <v>820.689</v>
      </c>
    </row>
    <row r="417" ht="16.5" spans="1:5">
      <c r="A417" s="7">
        <v>3045789.476</v>
      </c>
      <c r="B417" s="7">
        <v>35401166.591</v>
      </c>
      <c r="C417" s="8">
        <v>913.439</v>
      </c>
      <c r="D417" s="11">
        <v>44976</v>
      </c>
      <c r="E417" s="10">
        <v>819.939</v>
      </c>
    </row>
    <row r="418" ht="16.5" spans="1:5">
      <c r="A418" s="7">
        <v>3045789.476</v>
      </c>
      <c r="B418" s="7">
        <v>35401166.591</v>
      </c>
      <c r="C418" s="8">
        <v>913.439</v>
      </c>
      <c r="D418" s="11">
        <v>44977</v>
      </c>
      <c r="E418" s="10">
        <v>819.439</v>
      </c>
    </row>
    <row r="419" ht="16.5" spans="1:5">
      <c r="A419" s="7">
        <v>3045789.476</v>
      </c>
      <c r="B419" s="7">
        <v>35401166.591</v>
      </c>
      <c r="C419" s="8">
        <v>913.439</v>
      </c>
      <c r="D419" s="11">
        <v>44978</v>
      </c>
      <c r="E419" s="10">
        <v>819.189</v>
      </c>
    </row>
    <row r="420" ht="16.5" spans="1:5">
      <c r="A420" s="7">
        <v>3045789.476</v>
      </c>
      <c r="B420" s="7">
        <v>35401166.591</v>
      </c>
      <c r="C420" s="8">
        <v>913.439</v>
      </c>
      <c r="D420" s="11">
        <v>44979</v>
      </c>
      <c r="E420" s="10">
        <v>819.039</v>
      </c>
    </row>
    <row r="421" ht="16.5" spans="1:5">
      <c r="A421" s="7">
        <v>3045789.476</v>
      </c>
      <c r="B421" s="7">
        <v>35401166.591</v>
      </c>
      <c r="C421" s="8">
        <v>913.439</v>
      </c>
      <c r="D421" s="11">
        <v>44980</v>
      </c>
      <c r="E421" s="10">
        <v>818.939</v>
      </c>
    </row>
    <row r="422" ht="16.5" spans="1:5">
      <c r="A422" s="7">
        <v>3045789.476</v>
      </c>
      <c r="B422" s="7">
        <v>35401166.591</v>
      </c>
      <c r="C422" s="8">
        <v>913.439</v>
      </c>
      <c r="D422" s="11">
        <v>44981</v>
      </c>
      <c r="E422" s="10">
        <v>818.649</v>
      </c>
    </row>
    <row r="423" ht="16.5" spans="1:5">
      <c r="A423" s="7">
        <v>3045789.476</v>
      </c>
      <c r="B423" s="7">
        <v>35401166.591</v>
      </c>
      <c r="C423" s="8">
        <v>913.439</v>
      </c>
      <c r="D423" s="11">
        <v>44982</v>
      </c>
      <c r="E423" s="10">
        <v>816.299</v>
      </c>
    </row>
    <row r="424" ht="16.5" spans="1:5">
      <c r="A424" s="7">
        <v>3045789.476</v>
      </c>
      <c r="B424" s="7">
        <v>35401166.591</v>
      </c>
      <c r="C424" s="8">
        <v>913.439</v>
      </c>
      <c r="D424" s="11">
        <v>44983</v>
      </c>
      <c r="E424" s="10">
        <v>815.419</v>
      </c>
    </row>
    <row r="425" ht="16.5" spans="1:5">
      <c r="A425" s="7">
        <v>3045789.476</v>
      </c>
      <c r="B425" s="7">
        <v>35401166.591</v>
      </c>
      <c r="C425" s="8">
        <v>913.439</v>
      </c>
      <c r="D425" s="11">
        <v>44984</v>
      </c>
      <c r="E425" s="10">
        <v>814.619</v>
      </c>
    </row>
    <row r="426" ht="16.5" spans="1:5">
      <c r="A426" s="7">
        <v>3045789.476</v>
      </c>
      <c r="B426" s="7">
        <v>35401166.591</v>
      </c>
      <c r="C426" s="8">
        <v>913.439</v>
      </c>
      <c r="D426" s="11">
        <v>44985</v>
      </c>
      <c r="E426" s="19"/>
    </row>
    <row r="427" ht="16.5" spans="1:5">
      <c r="A427" s="7">
        <v>3045789.476</v>
      </c>
      <c r="B427" s="7">
        <v>35401166.591</v>
      </c>
      <c r="C427" s="8">
        <v>913.439</v>
      </c>
      <c r="D427" s="11">
        <v>44986</v>
      </c>
      <c r="E427" s="19"/>
    </row>
    <row r="428" ht="16.5" spans="1:5">
      <c r="A428" s="7">
        <v>3045789.476</v>
      </c>
      <c r="B428" s="7">
        <v>35401166.591</v>
      </c>
      <c r="C428" s="8">
        <v>913.439</v>
      </c>
      <c r="D428" s="11">
        <v>44987</v>
      </c>
      <c r="E428" s="19"/>
    </row>
    <row r="429" ht="16.5" spans="1:5">
      <c r="A429" s="7">
        <v>3045789.476</v>
      </c>
      <c r="B429" s="7">
        <v>35401166.591</v>
      </c>
      <c r="C429" s="8">
        <v>913.439</v>
      </c>
      <c r="D429" s="11">
        <v>44988</v>
      </c>
      <c r="E429" s="19"/>
    </row>
    <row r="430" ht="16.5" spans="1:5">
      <c r="A430" s="7">
        <v>3045789.476</v>
      </c>
      <c r="B430" s="7">
        <v>35401166.591</v>
      </c>
      <c r="C430" s="8">
        <v>913.439</v>
      </c>
      <c r="D430" s="11">
        <v>44989</v>
      </c>
      <c r="E430" s="10">
        <v>813.25</v>
      </c>
    </row>
    <row r="431" ht="16.5" spans="1:5">
      <c r="A431" s="7">
        <v>3045789.476</v>
      </c>
      <c r="B431" s="7">
        <v>35401166.591</v>
      </c>
      <c r="C431" s="8">
        <v>913.439</v>
      </c>
      <c r="D431" s="11">
        <v>44990</v>
      </c>
      <c r="E431" s="19"/>
    </row>
    <row r="432" ht="16.5" spans="1:5">
      <c r="A432" s="7">
        <v>3045789.476</v>
      </c>
      <c r="B432" s="7">
        <v>35401166.591</v>
      </c>
      <c r="C432" s="8">
        <v>913.439</v>
      </c>
      <c r="D432" s="11">
        <v>44991</v>
      </c>
      <c r="E432" s="19"/>
    </row>
    <row r="433" ht="16.5" spans="1:5">
      <c r="A433" s="7">
        <v>3045789.476</v>
      </c>
      <c r="B433" s="7">
        <v>35401166.591</v>
      </c>
      <c r="C433" s="8">
        <v>913.439</v>
      </c>
      <c r="D433" s="11">
        <v>44992</v>
      </c>
      <c r="E433" s="19"/>
    </row>
    <row r="434" ht="16.5" spans="1:5">
      <c r="A434" s="7">
        <v>3045789.476</v>
      </c>
      <c r="B434" s="7">
        <v>35401166.591</v>
      </c>
      <c r="C434" s="8">
        <v>913.439</v>
      </c>
      <c r="D434" s="11">
        <v>44993</v>
      </c>
      <c r="E434" s="19"/>
    </row>
    <row r="435" ht="16.5" spans="1:5">
      <c r="A435" s="7">
        <v>3045789.476</v>
      </c>
      <c r="B435" s="7">
        <v>35401166.591</v>
      </c>
      <c r="C435" s="8">
        <v>913.439</v>
      </c>
      <c r="D435" s="11">
        <v>44994</v>
      </c>
      <c r="E435" s="10">
        <v>814.29</v>
      </c>
    </row>
    <row r="436" ht="16.5" spans="1:5">
      <c r="A436" s="7">
        <v>3045789.476</v>
      </c>
      <c r="B436" s="7">
        <v>35401166.591</v>
      </c>
      <c r="C436" s="8">
        <v>913.439</v>
      </c>
      <c r="D436" s="11">
        <v>44995</v>
      </c>
      <c r="E436" s="10">
        <v>811.28</v>
      </c>
    </row>
    <row r="437" ht="16.5" spans="1:5">
      <c r="A437" s="7">
        <v>3045789.476</v>
      </c>
      <c r="B437" s="7">
        <v>35401166.591</v>
      </c>
      <c r="C437" s="8">
        <v>913.439</v>
      </c>
      <c r="D437" s="11">
        <v>44996</v>
      </c>
      <c r="E437" s="10">
        <v>811.21</v>
      </c>
    </row>
    <row r="438" ht="16.5" spans="1:5">
      <c r="A438" s="7">
        <v>3045789.476</v>
      </c>
      <c r="B438" s="7">
        <v>35401166.591</v>
      </c>
      <c r="C438" s="8">
        <v>913.439</v>
      </c>
      <c r="D438" s="11">
        <v>44997</v>
      </c>
      <c r="E438" s="10">
        <v>808.29</v>
      </c>
    </row>
    <row r="439" ht="16.5" spans="1:5">
      <c r="A439" s="7">
        <v>3045789.476</v>
      </c>
      <c r="B439" s="7">
        <v>35401166.591</v>
      </c>
      <c r="C439" s="8">
        <v>913.439</v>
      </c>
      <c r="D439" s="11">
        <v>44998</v>
      </c>
      <c r="E439" s="10">
        <v>807.23</v>
      </c>
    </row>
    <row r="440" ht="16.5" spans="1:5">
      <c r="A440" s="7">
        <v>3045789.476</v>
      </c>
      <c r="B440" s="7">
        <v>35401166.591</v>
      </c>
      <c r="C440" s="8">
        <v>913.439</v>
      </c>
      <c r="D440" s="11">
        <v>44999</v>
      </c>
      <c r="E440" s="10">
        <v>807.59</v>
      </c>
    </row>
    <row r="441" ht="16.5" spans="1:5">
      <c r="A441" s="7">
        <v>3045789.476</v>
      </c>
      <c r="B441" s="7">
        <v>35401166.591</v>
      </c>
      <c r="C441" s="8">
        <v>913.439</v>
      </c>
      <c r="D441" s="11">
        <v>45000</v>
      </c>
      <c r="E441" s="10">
        <v>807.92</v>
      </c>
    </row>
    <row r="442" ht="16.5" spans="1:5">
      <c r="A442" s="7">
        <v>3045789.476</v>
      </c>
      <c r="B442" s="7">
        <v>35401166.591</v>
      </c>
      <c r="C442" s="8">
        <v>913.439</v>
      </c>
      <c r="D442" s="11">
        <v>45001</v>
      </c>
      <c r="E442" s="10">
        <v>807.68</v>
      </c>
    </row>
    <row r="443" ht="16.5" spans="1:5">
      <c r="A443" s="7">
        <v>3045789.476</v>
      </c>
      <c r="B443" s="7">
        <v>35401166.591</v>
      </c>
      <c r="C443" s="8">
        <v>913.439</v>
      </c>
      <c r="D443" s="11">
        <v>45002</v>
      </c>
      <c r="E443" s="16"/>
    </row>
    <row r="444" ht="16.5" spans="1:5">
      <c r="A444" s="7">
        <v>3045789.476</v>
      </c>
      <c r="B444" s="7">
        <v>35401166.591</v>
      </c>
      <c r="C444" s="8">
        <v>913.439</v>
      </c>
      <c r="D444" s="11">
        <v>45003</v>
      </c>
      <c r="E444" s="10"/>
    </row>
    <row r="445" ht="16.5" spans="1:5">
      <c r="A445" s="7">
        <v>3045789.476</v>
      </c>
      <c r="B445" s="7">
        <v>35401166.591</v>
      </c>
      <c r="C445" s="8">
        <v>913.439</v>
      </c>
      <c r="D445" s="11">
        <v>45004</v>
      </c>
      <c r="E445" s="10">
        <v>808.61</v>
      </c>
    </row>
    <row r="446" ht="16.5" spans="1:5">
      <c r="A446" s="7">
        <v>3045789.476</v>
      </c>
      <c r="B446" s="7">
        <v>35401166.591</v>
      </c>
      <c r="C446" s="8">
        <v>913.439</v>
      </c>
      <c r="D446" s="11">
        <v>45005</v>
      </c>
      <c r="E446" s="10">
        <v>808.81</v>
      </c>
    </row>
    <row r="447" ht="16.5" spans="1:5">
      <c r="A447" s="7">
        <v>3045789.476</v>
      </c>
      <c r="B447" s="7">
        <v>35401166.591</v>
      </c>
      <c r="C447" s="8">
        <v>913.439</v>
      </c>
      <c r="D447" s="11">
        <v>45006</v>
      </c>
      <c r="E447" s="10">
        <v>809.07</v>
      </c>
    </row>
    <row r="448" ht="16.5" spans="1:5">
      <c r="A448" s="7">
        <v>3045789.476</v>
      </c>
      <c r="B448" s="7">
        <v>35401166.591</v>
      </c>
      <c r="C448" s="8">
        <v>913.439</v>
      </c>
      <c r="D448" s="11">
        <v>45007</v>
      </c>
      <c r="E448" s="10">
        <v>808.94</v>
      </c>
    </row>
    <row r="449" ht="16.5" spans="1:5">
      <c r="A449" s="7">
        <v>3045789.476</v>
      </c>
      <c r="B449" s="7">
        <v>35401166.591</v>
      </c>
      <c r="C449" s="8">
        <v>913.439</v>
      </c>
      <c r="D449" s="11">
        <v>45008</v>
      </c>
      <c r="E449" s="10">
        <v>808.79</v>
      </c>
    </row>
    <row r="450" ht="16.5" spans="1:5">
      <c r="A450" s="7">
        <v>3045789.476</v>
      </c>
      <c r="B450" s="7">
        <v>35401166.591</v>
      </c>
      <c r="C450" s="8">
        <v>913.439</v>
      </c>
      <c r="D450" s="11">
        <v>45009</v>
      </c>
      <c r="E450" s="10">
        <v>808.59</v>
      </c>
    </row>
    <row r="451" ht="16.5" spans="1:5">
      <c r="A451" s="7">
        <v>3045789.476</v>
      </c>
      <c r="B451" s="7">
        <v>35401166.591</v>
      </c>
      <c r="C451" s="8">
        <v>913.439</v>
      </c>
      <c r="D451" s="11">
        <v>45010</v>
      </c>
      <c r="E451" s="10">
        <v>808.4</v>
      </c>
    </row>
    <row r="452" ht="16.5" spans="1:5">
      <c r="A452" s="7">
        <v>3045789.476</v>
      </c>
      <c r="B452" s="7">
        <v>35401166.591</v>
      </c>
      <c r="C452" s="8">
        <v>913.439</v>
      </c>
      <c r="D452" s="11">
        <v>45011</v>
      </c>
      <c r="E452" s="10">
        <v>808.24</v>
      </c>
    </row>
    <row r="453" ht="16.5" spans="1:5">
      <c r="A453" s="7">
        <v>3045789.476</v>
      </c>
      <c r="B453" s="7">
        <v>35401166.591</v>
      </c>
      <c r="C453" s="8">
        <v>913.439</v>
      </c>
      <c r="D453" s="11">
        <v>45012</v>
      </c>
      <c r="E453" s="10">
        <v>808.11</v>
      </c>
    </row>
    <row r="454" ht="16.5" spans="1:5">
      <c r="A454" s="7">
        <v>3045789.476</v>
      </c>
      <c r="B454" s="7">
        <v>35401166.591</v>
      </c>
      <c r="C454" s="8">
        <v>913.439</v>
      </c>
      <c r="D454" s="11">
        <v>45013</v>
      </c>
      <c r="E454" s="12"/>
    </row>
    <row r="455" ht="16.5" spans="1:5">
      <c r="A455" s="7">
        <v>3045789.476</v>
      </c>
      <c r="B455" s="7">
        <v>35401166.591</v>
      </c>
      <c r="C455" s="8">
        <v>913.439</v>
      </c>
      <c r="D455" s="11">
        <v>45014</v>
      </c>
      <c r="E455" s="12"/>
    </row>
    <row r="456" ht="16.5" spans="1:5">
      <c r="A456" s="7">
        <v>3045789.476</v>
      </c>
      <c r="B456" s="7">
        <v>35401166.591</v>
      </c>
      <c r="C456" s="8">
        <v>913.439</v>
      </c>
      <c r="D456" s="11">
        <v>45015</v>
      </c>
      <c r="E456" s="17">
        <v>807.91</v>
      </c>
    </row>
    <row r="457" ht="16.5" spans="1:5">
      <c r="A457" s="7">
        <v>3045789.476</v>
      </c>
      <c r="B457" s="7">
        <v>35401166.591</v>
      </c>
      <c r="C457" s="8">
        <v>913.439</v>
      </c>
      <c r="D457" s="11">
        <v>45016</v>
      </c>
      <c r="E457" s="12"/>
    </row>
    <row r="458" ht="16.5" spans="1:5">
      <c r="A458" s="7">
        <v>3045789.476</v>
      </c>
      <c r="B458" s="7">
        <v>35401166.591</v>
      </c>
      <c r="C458" s="8">
        <v>913.439</v>
      </c>
      <c r="D458" s="11">
        <v>45017</v>
      </c>
      <c r="E458" s="10">
        <v>807.77</v>
      </c>
    </row>
    <row r="459" ht="16.5" spans="1:5">
      <c r="A459" s="7">
        <v>3045789.476</v>
      </c>
      <c r="B459" s="7">
        <v>35401166.591</v>
      </c>
      <c r="C459" s="8">
        <v>913.439</v>
      </c>
      <c r="D459" s="11">
        <v>45018</v>
      </c>
      <c r="E459" s="10">
        <v>807.74</v>
      </c>
    </row>
    <row r="460" ht="16.5" spans="1:5">
      <c r="A460" s="7">
        <v>3045789.476</v>
      </c>
      <c r="B460" s="7">
        <v>35401166.591</v>
      </c>
      <c r="C460" s="8">
        <v>913.439</v>
      </c>
      <c r="D460" s="11">
        <v>45019</v>
      </c>
      <c r="E460" s="10">
        <v>807.62</v>
      </c>
    </row>
    <row r="461" ht="16.5" spans="1:5">
      <c r="A461" s="7">
        <v>3045789.476</v>
      </c>
      <c r="B461" s="7">
        <v>35401166.591</v>
      </c>
      <c r="C461" s="8">
        <v>913.439</v>
      </c>
      <c r="D461" s="11">
        <v>45020</v>
      </c>
      <c r="E461" s="10">
        <v>807.4</v>
      </c>
    </row>
    <row r="462" ht="16.5" spans="1:5">
      <c r="A462" s="7">
        <v>3045789.476</v>
      </c>
      <c r="B462" s="7">
        <v>35401166.591</v>
      </c>
      <c r="C462" s="8">
        <v>913.439</v>
      </c>
      <c r="D462" s="11">
        <v>45021</v>
      </c>
      <c r="E462" s="10">
        <v>807.23</v>
      </c>
    </row>
    <row r="463" ht="16.5" spans="1:5">
      <c r="A463" s="7">
        <v>3045789.476</v>
      </c>
      <c r="B463" s="7">
        <v>35401166.591</v>
      </c>
      <c r="C463" s="8">
        <v>913.439</v>
      </c>
      <c r="D463" s="11">
        <v>45022</v>
      </c>
      <c r="E463" s="10">
        <v>807.09</v>
      </c>
    </row>
    <row r="464" ht="16.5" spans="1:5">
      <c r="A464" s="7">
        <v>3045789.476</v>
      </c>
      <c r="B464" s="7">
        <v>35401166.591</v>
      </c>
      <c r="C464" s="8">
        <v>913.439</v>
      </c>
      <c r="D464" s="11">
        <v>45023</v>
      </c>
      <c r="E464" s="10">
        <v>807.09</v>
      </c>
    </row>
    <row r="465" ht="16.5" spans="1:5">
      <c r="A465" s="7">
        <v>3045789.476</v>
      </c>
      <c r="B465" s="7">
        <v>35401166.591</v>
      </c>
      <c r="C465" s="8">
        <v>913.439</v>
      </c>
      <c r="D465" s="11">
        <v>45024</v>
      </c>
      <c r="E465" s="10">
        <v>806.86</v>
      </c>
    </row>
    <row r="466" ht="16.5" spans="1:5">
      <c r="A466" s="7">
        <v>3045789.476</v>
      </c>
      <c r="B466" s="7">
        <v>35401166.591</v>
      </c>
      <c r="C466" s="8">
        <v>913.439</v>
      </c>
      <c r="D466" s="11">
        <v>45025</v>
      </c>
      <c r="E466" s="10">
        <v>806.66</v>
      </c>
    </row>
    <row r="467" ht="16.5" spans="1:5">
      <c r="A467" s="7">
        <v>3045789.476</v>
      </c>
      <c r="B467" s="7">
        <v>35401166.591</v>
      </c>
      <c r="C467" s="8">
        <v>913.439</v>
      </c>
      <c r="D467" s="11">
        <v>45026</v>
      </c>
      <c r="E467" s="10">
        <v>806.62</v>
      </c>
    </row>
    <row r="468" ht="16.5" spans="1:5">
      <c r="A468" s="7">
        <v>3045789.476</v>
      </c>
      <c r="B468" s="7">
        <v>35401166.591</v>
      </c>
      <c r="C468" s="8">
        <v>913.439</v>
      </c>
      <c r="D468" s="11">
        <v>45027</v>
      </c>
      <c r="E468" s="10">
        <v>807.66</v>
      </c>
    </row>
    <row r="469" ht="16.5" spans="1:5">
      <c r="A469" s="7">
        <v>3045789.476</v>
      </c>
      <c r="B469" s="7">
        <v>35401166.591</v>
      </c>
      <c r="C469" s="8">
        <v>913.439</v>
      </c>
      <c r="D469" s="11">
        <v>45028</v>
      </c>
      <c r="E469" s="10">
        <v>807.7</v>
      </c>
    </row>
    <row r="470" ht="16.5" spans="1:5">
      <c r="A470" s="7">
        <v>3045789.476</v>
      </c>
      <c r="B470" s="7">
        <v>35401166.591</v>
      </c>
      <c r="C470" s="8">
        <v>913.439</v>
      </c>
      <c r="D470" s="11">
        <v>45029</v>
      </c>
      <c r="E470" s="10">
        <v>807.35</v>
      </c>
    </row>
    <row r="471" ht="16.5" spans="1:5">
      <c r="A471" s="7">
        <v>3045789.476</v>
      </c>
      <c r="B471" s="7">
        <v>35401166.591</v>
      </c>
      <c r="C471" s="8">
        <v>913.439</v>
      </c>
      <c r="D471" s="11">
        <v>45030</v>
      </c>
      <c r="E471" s="10">
        <v>807.15</v>
      </c>
    </row>
    <row r="472" ht="16.5" spans="1:5">
      <c r="A472" s="7">
        <v>3045789.476</v>
      </c>
      <c r="B472" s="7">
        <v>35401166.591</v>
      </c>
      <c r="C472" s="8">
        <v>913.439</v>
      </c>
      <c r="D472" s="11">
        <v>45031</v>
      </c>
      <c r="E472" s="10">
        <v>806.9</v>
      </c>
    </row>
    <row r="473" ht="16.5" spans="1:5">
      <c r="A473" s="7">
        <v>3045789.476</v>
      </c>
      <c r="B473" s="7">
        <v>35401166.591</v>
      </c>
      <c r="C473" s="8">
        <v>913.439</v>
      </c>
      <c r="D473" s="11">
        <v>45032</v>
      </c>
      <c r="E473" s="10">
        <v>806.88</v>
      </c>
    </row>
    <row r="474" ht="16.5" spans="1:5">
      <c r="A474" s="7">
        <v>3045789.476</v>
      </c>
      <c r="B474" s="7">
        <v>35401166.591</v>
      </c>
      <c r="C474" s="8">
        <v>913.439</v>
      </c>
      <c r="D474" s="11">
        <v>45033</v>
      </c>
      <c r="E474" s="10">
        <v>806.78</v>
      </c>
    </row>
    <row r="475" ht="16.5" spans="1:5">
      <c r="A475" s="7">
        <v>3045789.476</v>
      </c>
      <c r="B475" s="7">
        <v>35401166.591</v>
      </c>
      <c r="C475" s="8">
        <v>913.439</v>
      </c>
      <c r="D475" s="11">
        <v>45034</v>
      </c>
      <c r="E475" s="10">
        <v>806.57</v>
      </c>
    </row>
    <row r="476" ht="16.5" spans="1:5">
      <c r="A476" s="7">
        <v>3045789.476</v>
      </c>
      <c r="B476" s="7">
        <v>35401166.591</v>
      </c>
      <c r="C476" s="8">
        <v>913.439</v>
      </c>
      <c r="D476" s="11">
        <v>45035</v>
      </c>
      <c r="E476" s="10">
        <v>806.36</v>
      </c>
    </row>
    <row r="477" ht="16.5" spans="1:5">
      <c r="A477" s="7">
        <v>3045789.476</v>
      </c>
      <c r="B477" s="7">
        <v>35401166.591</v>
      </c>
      <c r="C477" s="8">
        <v>913.439</v>
      </c>
      <c r="D477" s="11">
        <v>45036</v>
      </c>
      <c r="E477" s="10">
        <v>805.9</v>
      </c>
    </row>
    <row r="478" ht="16.5" spans="1:5">
      <c r="A478" s="7">
        <v>3045789.476</v>
      </c>
      <c r="B478" s="7">
        <v>35401166.591</v>
      </c>
      <c r="C478" s="8">
        <v>913.439</v>
      </c>
      <c r="D478" s="11">
        <v>45037</v>
      </c>
      <c r="E478" s="10">
        <v>805.66</v>
      </c>
    </row>
    <row r="479" ht="16.5" spans="1:5">
      <c r="A479" s="7">
        <v>3045789.476</v>
      </c>
      <c r="B479" s="7">
        <v>35401166.591</v>
      </c>
      <c r="C479" s="8">
        <v>913.439</v>
      </c>
      <c r="D479" s="11">
        <v>45038</v>
      </c>
      <c r="E479" s="10">
        <v>805.39</v>
      </c>
    </row>
    <row r="480" ht="16.5" spans="1:5">
      <c r="A480" s="7">
        <v>3045789.476</v>
      </c>
      <c r="B480" s="7">
        <v>35401166.591</v>
      </c>
      <c r="C480" s="8">
        <v>913.439</v>
      </c>
      <c r="D480" s="11">
        <v>45039</v>
      </c>
      <c r="E480" s="10">
        <v>805.15</v>
      </c>
    </row>
    <row r="481" ht="16.5" spans="1:5">
      <c r="A481" s="7">
        <v>3045789.476</v>
      </c>
      <c r="B481" s="7">
        <v>35401166.591</v>
      </c>
      <c r="C481" s="8">
        <v>913.439</v>
      </c>
      <c r="D481" s="11">
        <v>45040</v>
      </c>
      <c r="E481" s="10">
        <v>804.9</v>
      </c>
    </row>
    <row r="482" ht="16.5" spans="1:5">
      <c r="A482" s="7">
        <v>3045789.476</v>
      </c>
      <c r="B482" s="7">
        <v>35401166.591</v>
      </c>
      <c r="C482" s="8">
        <v>913.439</v>
      </c>
      <c r="D482" s="11">
        <v>45041</v>
      </c>
      <c r="E482" s="10">
        <v>804.72</v>
      </c>
    </row>
    <row r="483" ht="16.5" spans="1:5">
      <c r="A483" s="7">
        <v>3045789.476</v>
      </c>
      <c r="B483" s="7">
        <v>35401166.591</v>
      </c>
      <c r="C483" s="8">
        <v>913.439</v>
      </c>
      <c r="D483" s="11">
        <v>45042</v>
      </c>
      <c r="E483" s="10">
        <v>804.57</v>
      </c>
    </row>
    <row r="484" ht="16.5" spans="1:5">
      <c r="A484" s="7">
        <v>3045789.476</v>
      </c>
      <c r="B484" s="7">
        <v>35401166.591</v>
      </c>
      <c r="C484" s="8">
        <v>913.439</v>
      </c>
      <c r="D484" s="11">
        <v>45043</v>
      </c>
      <c r="E484" s="16"/>
    </row>
    <row r="485" ht="16.5" spans="1:5">
      <c r="A485" s="7">
        <v>3045789.476</v>
      </c>
      <c r="B485" s="7">
        <v>35401166.591</v>
      </c>
      <c r="C485" s="8">
        <v>913.439</v>
      </c>
      <c r="D485" s="11">
        <v>45044</v>
      </c>
      <c r="E485" s="10">
        <v>804.15</v>
      </c>
    </row>
    <row r="486" ht="16.5" spans="1:5">
      <c r="A486" s="7">
        <v>3045789.476</v>
      </c>
      <c r="B486" s="7">
        <v>35401166.591</v>
      </c>
      <c r="C486" s="8">
        <v>913.439</v>
      </c>
      <c r="D486" s="11">
        <v>45045</v>
      </c>
      <c r="E486" s="10">
        <v>803.95</v>
      </c>
    </row>
    <row r="487" ht="16.5" spans="1:5">
      <c r="A487" s="7">
        <v>3045789.476</v>
      </c>
      <c r="B487" s="7">
        <v>35401166.591</v>
      </c>
      <c r="C487" s="8">
        <v>913.439</v>
      </c>
      <c r="D487" s="11">
        <v>45046</v>
      </c>
      <c r="E487" s="10">
        <v>803.92</v>
      </c>
    </row>
    <row r="488" ht="16.5" spans="1:5">
      <c r="A488" s="7">
        <v>3045789.476</v>
      </c>
      <c r="B488" s="7">
        <v>35401166.591</v>
      </c>
      <c r="C488" s="8">
        <v>913.439</v>
      </c>
      <c r="D488" s="11">
        <v>45047</v>
      </c>
      <c r="E488" s="10">
        <v>803.89</v>
      </c>
    </row>
    <row r="489" ht="16.5" spans="1:5">
      <c r="A489" s="7">
        <v>3045789.476</v>
      </c>
      <c r="B489" s="7">
        <v>35401166.591</v>
      </c>
      <c r="C489" s="8">
        <v>913.439</v>
      </c>
      <c r="D489" s="11">
        <v>45048</v>
      </c>
      <c r="E489" s="10">
        <v>803.68</v>
      </c>
    </row>
    <row r="490" ht="16.5" spans="1:5">
      <c r="A490" s="7">
        <v>3045789.476</v>
      </c>
      <c r="B490" s="7">
        <v>35401166.591</v>
      </c>
      <c r="C490" s="8">
        <v>913.439</v>
      </c>
      <c r="D490" s="11">
        <v>45049</v>
      </c>
      <c r="E490" s="10">
        <v>803.55</v>
      </c>
    </row>
    <row r="491" ht="16.5" spans="1:5">
      <c r="A491" s="7">
        <v>3045789.476</v>
      </c>
      <c r="B491" s="7">
        <v>35401166.591</v>
      </c>
      <c r="C491" s="8">
        <v>913.439</v>
      </c>
      <c r="D491" s="11">
        <v>45050</v>
      </c>
      <c r="E491" s="10">
        <v>803.38</v>
      </c>
    </row>
    <row r="492" ht="16.5" spans="1:5">
      <c r="A492" s="7">
        <v>3045789.476</v>
      </c>
      <c r="B492" s="7">
        <v>35401166.591</v>
      </c>
      <c r="C492" s="8">
        <v>913.439</v>
      </c>
      <c r="D492" s="11">
        <v>45051</v>
      </c>
      <c r="E492" s="10">
        <v>803.27</v>
      </c>
    </row>
    <row r="493" ht="16.5" spans="1:5">
      <c r="A493" s="7">
        <v>3045789.476</v>
      </c>
      <c r="B493" s="7">
        <v>35401166.591</v>
      </c>
      <c r="C493" s="8">
        <v>913.439</v>
      </c>
      <c r="D493" s="11">
        <v>45052</v>
      </c>
      <c r="E493" s="10">
        <v>803.13</v>
      </c>
    </row>
    <row r="494" ht="16.5" spans="1:5">
      <c r="A494" s="7">
        <v>3045789.476</v>
      </c>
      <c r="B494" s="7">
        <v>35401166.591</v>
      </c>
      <c r="C494" s="8">
        <v>913.439</v>
      </c>
      <c r="D494" s="11">
        <v>45053</v>
      </c>
      <c r="E494" s="10">
        <v>802.95</v>
      </c>
    </row>
    <row r="495" ht="16.5" spans="1:5">
      <c r="A495" s="7">
        <v>3045789.476</v>
      </c>
      <c r="B495" s="7">
        <v>35401166.591</v>
      </c>
      <c r="C495" s="8">
        <v>913.439</v>
      </c>
      <c r="D495" s="11">
        <v>45054</v>
      </c>
      <c r="E495" s="10">
        <v>802.77</v>
      </c>
    </row>
    <row r="496" ht="16.5" spans="1:5">
      <c r="A496" s="7">
        <v>3045789.476</v>
      </c>
      <c r="B496" s="7">
        <v>35401166.591</v>
      </c>
      <c r="C496" s="8">
        <v>913.439</v>
      </c>
      <c r="D496" s="11">
        <v>45055</v>
      </c>
      <c r="E496" s="10">
        <v>802.82</v>
      </c>
    </row>
    <row r="497" ht="16.5" spans="1:5">
      <c r="A497" s="7">
        <v>3045789.476</v>
      </c>
      <c r="B497" s="7">
        <v>35401166.591</v>
      </c>
      <c r="C497" s="8">
        <v>913.439</v>
      </c>
      <c r="D497" s="11">
        <v>45056</v>
      </c>
      <c r="E497" s="10">
        <v>802.74</v>
      </c>
    </row>
    <row r="498" ht="16.5" spans="1:5">
      <c r="A498" s="7">
        <v>3045789.476</v>
      </c>
      <c r="B498" s="7">
        <v>35401166.591</v>
      </c>
      <c r="C498" s="8">
        <v>913.439</v>
      </c>
      <c r="D498" s="11">
        <v>45057</v>
      </c>
      <c r="E498" s="10">
        <v>802.63</v>
      </c>
    </row>
    <row r="499" ht="16.5" spans="1:5">
      <c r="A499" s="7">
        <v>3045789.476</v>
      </c>
      <c r="B499" s="7">
        <v>35401166.591</v>
      </c>
      <c r="C499" s="8">
        <v>913.439</v>
      </c>
      <c r="D499" s="11">
        <v>45058</v>
      </c>
      <c r="E499" s="10"/>
    </row>
    <row r="500" ht="16.5" spans="1:5">
      <c r="A500" s="7">
        <v>3045789.476</v>
      </c>
      <c r="B500" s="7">
        <v>35401166.591</v>
      </c>
      <c r="C500" s="8">
        <v>913.439</v>
      </c>
      <c r="D500" s="11">
        <v>45059</v>
      </c>
      <c r="E500" s="10">
        <v>802.45</v>
      </c>
    </row>
    <row r="501" ht="16.5" spans="1:5">
      <c r="A501" s="7">
        <v>3045789.476</v>
      </c>
      <c r="B501" s="7">
        <v>35401166.591</v>
      </c>
      <c r="C501" s="8">
        <v>913.439</v>
      </c>
      <c r="D501" s="11">
        <v>45060</v>
      </c>
      <c r="E501" s="10">
        <v>802.33</v>
      </c>
    </row>
    <row r="502" ht="16.5" spans="1:5">
      <c r="A502" s="7">
        <v>3045789.476</v>
      </c>
      <c r="B502" s="7">
        <v>35401166.591</v>
      </c>
      <c r="C502" s="8">
        <v>913.439</v>
      </c>
      <c r="D502" s="11">
        <v>45061</v>
      </c>
      <c r="E502" s="10">
        <v>802.28</v>
      </c>
    </row>
    <row r="503" ht="16.5" spans="1:5">
      <c r="A503" s="7">
        <v>3045789.476</v>
      </c>
      <c r="B503" s="7">
        <v>35401166.591</v>
      </c>
      <c r="C503" s="8">
        <v>913.439</v>
      </c>
      <c r="D503" s="11">
        <v>45062</v>
      </c>
      <c r="E503" s="10">
        <v>802.26</v>
      </c>
    </row>
    <row r="504" ht="16.5" spans="1:5">
      <c r="A504" s="7">
        <v>3045789.476</v>
      </c>
      <c r="B504" s="7">
        <v>35401166.591</v>
      </c>
      <c r="C504" s="8">
        <v>913.439</v>
      </c>
      <c r="D504" s="11">
        <v>45063</v>
      </c>
      <c r="E504" s="10">
        <v>802.16</v>
      </c>
    </row>
    <row r="505" ht="16.5" spans="1:5">
      <c r="A505" s="7">
        <v>3045789.476</v>
      </c>
      <c r="B505" s="7">
        <v>35401166.591</v>
      </c>
      <c r="C505" s="8">
        <v>913.439</v>
      </c>
      <c r="D505" s="11">
        <v>45064</v>
      </c>
      <c r="E505" s="10">
        <v>802.19</v>
      </c>
    </row>
    <row r="506" ht="16.5" spans="1:5">
      <c r="A506" s="7">
        <v>3045789.476</v>
      </c>
      <c r="B506" s="7">
        <v>35401166.591</v>
      </c>
      <c r="C506" s="8">
        <v>913.439</v>
      </c>
      <c r="D506" s="11">
        <v>45065</v>
      </c>
      <c r="E506" s="10">
        <v>802.12</v>
      </c>
    </row>
    <row r="507" ht="16.5" spans="1:5">
      <c r="A507" s="7">
        <v>3045789.476</v>
      </c>
      <c r="B507" s="7">
        <v>35401166.591</v>
      </c>
      <c r="C507" s="8">
        <v>913.439</v>
      </c>
      <c r="D507" s="11">
        <v>45066</v>
      </c>
      <c r="E507" s="10">
        <v>802.14</v>
      </c>
    </row>
    <row r="508" ht="16.5" spans="1:5">
      <c r="A508" s="7">
        <v>3045789.476</v>
      </c>
      <c r="B508" s="7">
        <v>35401166.591</v>
      </c>
      <c r="C508" s="8">
        <v>913.439</v>
      </c>
      <c r="D508" s="11">
        <v>45067</v>
      </c>
      <c r="E508" s="10">
        <v>802.03</v>
      </c>
    </row>
    <row r="509" ht="16.5" spans="1:5">
      <c r="A509" s="7">
        <v>3045789.476</v>
      </c>
      <c r="B509" s="7">
        <v>35401166.591</v>
      </c>
      <c r="C509" s="8">
        <v>913.439</v>
      </c>
      <c r="D509" s="11">
        <v>45068</v>
      </c>
      <c r="E509" s="10">
        <v>802.04</v>
      </c>
    </row>
    <row r="510" ht="16.5" spans="1:5">
      <c r="A510" s="7">
        <v>3045789.476</v>
      </c>
      <c r="B510" s="7">
        <v>35401166.591</v>
      </c>
      <c r="C510" s="8">
        <v>913.439</v>
      </c>
      <c r="D510" s="11">
        <v>45069</v>
      </c>
      <c r="E510" s="10">
        <v>801.92</v>
      </c>
    </row>
    <row r="511" ht="16.5" spans="1:5">
      <c r="A511" s="7">
        <v>3045789.476</v>
      </c>
      <c r="B511" s="7">
        <v>35401166.591</v>
      </c>
      <c r="C511" s="8">
        <v>913.439</v>
      </c>
      <c r="D511" s="11">
        <v>45070</v>
      </c>
      <c r="E511" s="10">
        <v>801.7</v>
      </c>
    </row>
    <row r="512" ht="16.5" spans="1:5">
      <c r="A512" s="7">
        <v>3045789.476</v>
      </c>
      <c r="B512" s="7">
        <v>35401166.591</v>
      </c>
      <c r="C512" s="8">
        <v>913.439</v>
      </c>
      <c r="D512" s="11">
        <v>45071</v>
      </c>
      <c r="E512" s="10">
        <v>801.54</v>
      </c>
    </row>
    <row r="513" ht="16.5" spans="1:5">
      <c r="A513" s="7">
        <v>3045789.476</v>
      </c>
      <c r="B513" s="7">
        <v>35401166.591</v>
      </c>
      <c r="C513" s="8">
        <v>913.439</v>
      </c>
      <c r="D513" s="11">
        <v>45072</v>
      </c>
      <c r="E513" s="10">
        <v>801.64</v>
      </c>
    </row>
    <row r="514" ht="16.5" spans="1:5">
      <c r="A514" s="7">
        <v>3045789.476</v>
      </c>
      <c r="B514" s="7">
        <v>35401166.591</v>
      </c>
      <c r="C514" s="8">
        <v>913.439</v>
      </c>
      <c r="D514" s="11">
        <v>45073</v>
      </c>
      <c r="E514" s="10">
        <v>801.72</v>
      </c>
    </row>
    <row r="515" ht="16.5" spans="1:5">
      <c r="A515" s="7">
        <v>3045789.476</v>
      </c>
      <c r="B515" s="7">
        <v>35401166.591</v>
      </c>
      <c r="C515" s="8">
        <v>913.439</v>
      </c>
      <c r="D515" s="11">
        <v>45074</v>
      </c>
      <c r="E515" s="10">
        <v>799.97</v>
      </c>
    </row>
    <row r="516" ht="16.5" spans="1:5">
      <c r="A516" s="7">
        <v>3045789.476</v>
      </c>
      <c r="B516" s="7">
        <v>35401166.591</v>
      </c>
      <c r="C516" s="8">
        <v>913.439</v>
      </c>
      <c r="D516" s="11">
        <v>45075</v>
      </c>
      <c r="E516" s="10">
        <v>799.18</v>
      </c>
    </row>
    <row r="517" ht="16.5" spans="1:5">
      <c r="A517" s="7">
        <v>3045789.476</v>
      </c>
      <c r="B517" s="7">
        <v>35401166.591</v>
      </c>
      <c r="C517" s="8">
        <v>913.439</v>
      </c>
      <c r="D517" s="11">
        <v>45076</v>
      </c>
      <c r="E517" s="10">
        <v>797.16</v>
      </c>
    </row>
    <row r="518" ht="16.5" spans="1:5">
      <c r="A518" s="7">
        <v>3045789.476</v>
      </c>
      <c r="B518" s="7">
        <v>35401166.591</v>
      </c>
      <c r="C518" s="8">
        <v>913.439</v>
      </c>
      <c r="D518" s="11">
        <v>45077</v>
      </c>
      <c r="E518" s="10">
        <v>796.02</v>
      </c>
    </row>
    <row r="519" ht="16.5" spans="1:5">
      <c r="A519" s="7">
        <v>3045789.476</v>
      </c>
      <c r="B519" s="7">
        <v>35401166.591</v>
      </c>
      <c r="C519" s="8">
        <v>913.439</v>
      </c>
      <c r="D519" s="11">
        <v>45078</v>
      </c>
      <c r="E519" s="10">
        <v>795.52</v>
      </c>
    </row>
    <row r="520" ht="16.5" spans="1:5">
      <c r="A520" s="7">
        <v>3045789.476</v>
      </c>
      <c r="B520" s="7">
        <v>35401166.591</v>
      </c>
      <c r="C520" s="8">
        <v>913.439</v>
      </c>
      <c r="D520" s="11">
        <v>45079</v>
      </c>
      <c r="E520" s="10">
        <v>796.19</v>
      </c>
    </row>
    <row r="521" ht="16.5" spans="1:5">
      <c r="A521" s="7">
        <v>3045789.476</v>
      </c>
      <c r="B521" s="7">
        <v>35401166.591</v>
      </c>
      <c r="C521" s="8">
        <v>913.439</v>
      </c>
      <c r="D521" s="11">
        <v>45080</v>
      </c>
      <c r="E521" s="10">
        <v>795.59</v>
      </c>
    </row>
    <row r="522" ht="16.5" spans="1:5">
      <c r="A522" s="7">
        <v>3045789.476</v>
      </c>
      <c r="B522" s="7">
        <v>35401166.591</v>
      </c>
      <c r="C522" s="8">
        <v>913.439</v>
      </c>
      <c r="D522" s="11">
        <v>45081</v>
      </c>
      <c r="E522" s="10">
        <v>790.78</v>
      </c>
    </row>
    <row r="523" ht="16.5" spans="1:5">
      <c r="A523" s="7">
        <v>3045789.476</v>
      </c>
      <c r="B523" s="7">
        <v>35401166.591</v>
      </c>
      <c r="C523" s="8">
        <v>913.439</v>
      </c>
      <c r="D523" s="11">
        <v>45082</v>
      </c>
      <c r="E523" s="10">
        <v>787.67</v>
      </c>
    </row>
    <row r="524" ht="16.5" spans="1:5">
      <c r="A524" s="7">
        <v>3045789.476</v>
      </c>
      <c r="B524" s="7">
        <v>35401166.591</v>
      </c>
      <c r="C524" s="8">
        <v>913.439</v>
      </c>
      <c r="D524" s="11">
        <v>45083</v>
      </c>
      <c r="E524" s="10">
        <v>788.92</v>
      </c>
    </row>
    <row r="525" ht="16.5" spans="1:5">
      <c r="A525" s="7">
        <v>3045789.476</v>
      </c>
      <c r="B525" s="7">
        <v>35401166.591</v>
      </c>
      <c r="C525" s="8">
        <v>913.439</v>
      </c>
      <c r="D525" s="11">
        <v>45084</v>
      </c>
      <c r="E525" s="10">
        <v>779.56</v>
      </c>
    </row>
    <row r="526" ht="16.5" spans="1:5">
      <c r="A526" s="7">
        <v>3045789.476</v>
      </c>
      <c r="B526" s="7">
        <v>35401166.591</v>
      </c>
      <c r="C526" s="8">
        <v>913.439</v>
      </c>
      <c r="D526" s="11">
        <v>45085</v>
      </c>
      <c r="E526" s="10">
        <v>778.34</v>
      </c>
    </row>
    <row r="527" ht="16.5" spans="1:5">
      <c r="A527" s="7">
        <v>3045789.476</v>
      </c>
      <c r="B527" s="7">
        <v>35401166.591</v>
      </c>
      <c r="C527" s="8">
        <v>913.439</v>
      </c>
      <c r="D527" s="11">
        <v>45086</v>
      </c>
      <c r="E527" s="10">
        <v>777.11</v>
      </c>
    </row>
    <row r="528" ht="16.5" spans="1:5">
      <c r="A528" s="7">
        <v>3045789.476</v>
      </c>
      <c r="B528" s="7">
        <v>35401166.591</v>
      </c>
      <c r="C528" s="8">
        <v>913.439</v>
      </c>
      <c r="D528" s="11">
        <v>45087</v>
      </c>
      <c r="E528" s="10">
        <v>773.41</v>
      </c>
    </row>
    <row r="529" ht="16.5" spans="1:5">
      <c r="A529" s="7">
        <v>3045789.476</v>
      </c>
      <c r="B529" s="7">
        <v>35401166.591</v>
      </c>
      <c r="C529" s="8">
        <v>913.439</v>
      </c>
      <c r="D529" s="11">
        <v>45088</v>
      </c>
      <c r="E529" s="10">
        <v>773.79</v>
      </c>
    </row>
    <row r="530" ht="16.5" spans="1:5">
      <c r="A530" s="7">
        <v>3045789.476</v>
      </c>
      <c r="B530" s="7">
        <v>35401166.591</v>
      </c>
      <c r="C530" s="8">
        <v>913.439</v>
      </c>
      <c r="D530" s="11">
        <v>45089</v>
      </c>
      <c r="E530" s="10">
        <v>771.92</v>
      </c>
    </row>
    <row r="531" ht="16.5" spans="1:5">
      <c r="A531" s="7">
        <v>3045789.476</v>
      </c>
      <c r="B531" s="7">
        <v>35401166.591</v>
      </c>
      <c r="C531" s="8">
        <v>913.439</v>
      </c>
      <c r="D531" s="11">
        <v>45090</v>
      </c>
      <c r="E531" s="10">
        <v>769.75</v>
      </c>
    </row>
    <row r="532" ht="16.5" spans="1:5">
      <c r="A532" s="7">
        <v>3045789.476</v>
      </c>
      <c r="B532" s="7">
        <v>35401166.591</v>
      </c>
      <c r="C532" s="8">
        <v>913.439</v>
      </c>
      <c r="D532" s="11">
        <v>45091</v>
      </c>
      <c r="E532" s="10">
        <v>770.22</v>
      </c>
    </row>
    <row r="533" ht="16.5" spans="1:5">
      <c r="A533" s="7">
        <v>3045789.476</v>
      </c>
      <c r="B533" s="7">
        <v>35401166.591</v>
      </c>
      <c r="C533" s="8">
        <v>913.439</v>
      </c>
      <c r="D533" s="11">
        <v>45092</v>
      </c>
      <c r="E533" s="10">
        <v>769.61</v>
      </c>
    </row>
    <row r="534" ht="16.5" spans="1:5">
      <c r="A534" s="7">
        <v>3045789.476</v>
      </c>
      <c r="B534" s="7">
        <v>35401166.591</v>
      </c>
      <c r="C534" s="8">
        <v>913.439</v>
      </c>
      <c r="D534" s="11">
        <v>45093</v>
      </c>
      <c r="E534" s="10">
        <v>769.04</v>
      </c>
    </row>
    <row r="535" ht="16.5" spans="1:5">
      <c r="A535" s="7">
        <v>3045789.476</v>
      </c>
      <c r="B535" s="7">
        <v>35401166.591</v>
      </c>
      <c r="C535" s="8">
        <v>913.439</v>
      </c>
      <c r="D535" s="11">
        <v>45094</v>
      </c>
      <c r="E535" s="10">
        <v>769.87</v>
      </c>
    </row>
    <row r="536" ht="16.5" spans="1:5">
      <c r="A536" s="7">
        <v>3045789.476</v>
      </c>
      <c r="B536" s="7">
        <v>35401166.591</v>
      </c>
      <c r="C536" s="8">
        <v>913.439</v>
      </c>
      <c r="D536" s="11">
        <v>45095</v>
      </c>
      <c r="E536" s="10">
        <v>770.86</v>
      </c>
    </row>
    <row r="537" ht="16.5" spans="1:5">
      <c r="A537" s="7">
        <v>3045789.476</v>
      </c>
      <c r="B537" s="7">
        <v>35401166.591</v>
      </c>
      <c r="C537" s="8">
        <v>913.439</v>
      </c>
      <c r="D537" s="11">
        <v>45096</v>
      </c>
      <c r="E537" s="10">
        <v>768.13</v>
      </c>
    </row>
    <row r="538" ht="16.5" spans="1:5">
      <c r="A538" s="7">
        <v>3045789.476</v>
      </c>
      <c r="B538" s="7">
        <v>35401166.591</v>
      </c>
      <c r="C538" s="8">
        <v>913.439</v>
      </c>
      <c r="D538" s="11">
        <v>45097</v>
      </c>
      <c r="E538" s="12"/>
    </row>
    <row r="539" ht="16.5" spans="1:5">
      <c r="A539" s="7">
        <v>3045789.476</v>
      </c>
      <c r="B539" s="7">
        <v>35401166.591</v>
      </c>
      <c r="C539" s="8">
        <v>913.439</v>
      </c>
      <c r="D539" s="11">
        <v>45098</v>
      </c>
      <c r="E539" s="10">
        <v>770.39</v>
      </c>
    </row>
    <row r="540" ht="16.5" spans="1:5">
      <c r="A540" s="7">
        <v>3045789.476</v>
      </c>
      <c r="B540" s="7">
        <v>35401166.591</v>
      </c>
      <c r="C540" s="8">
        <v>913.439</v>
      </c>
      <c r="D540" s="11">
        <v>45099</v>
      </c>
      <c r="E540" s="10">
        <v>775.24</v>
      </c>
    </row>
    <row r="541" ht="16.5" spans="1:5">
      <c r="A541" s="7">
        <v>3045789.476</v>
      </c>
      <c r="B541" s="7">
        <v>35401166.591</v>
      </c>
      <c r="C541" s="8">
        <v>913.439</v>
      </c>
      <c r="D541" s="11">
        <v>45100</v>
      </c>
      <c r="E541" s="10">
        <v>775.67</v>
      </c>
    </row>
    <row r="542" ht="16.5" spans="1:5">
      <c r="A542" s="7">
        <v>3045789.476</v>
      </c>
      <c r="B542" s="7">
        <v>35401166.591</v>
      </c>
      <c r="C542" s="8">
        <v>913.439</v>
      </c>
      <c r="D542" s="11">
        <v>45101</v>
      </c>
      <c r="E542" s="10">
        <v>766.88</v>
      </c>
    </row>
    <row r="543" ht="16.5" spans="1:5">
      <c r="A543" s="7">
        <v>3045789.476</v>
      </c>
      <c r="B543" s="7">
        <v>35401166.591</v>
      </c>
      <c r="C543" s="8">
        <v>913.439</v>
      </c>
      <c r="D543" s="11">
        <v>45102</v>
      </c>
      <c r="E543" s="10">
        <v>767.7</v>
      </c>
    </row>
    <row r="544" ht="16.5" spans="1:5">
      <c r="A544" s="7">
        <v>3045789.476</v>
      </c>
      <c r="B544" s="7">
        <v>35401166.591</v>
      </c>
      <c r="C544" s="8">
        <v>913.439</v>
      </c>
      <c r="D544" s="11">
        <v>45103</v>
      </c>
      <c r="E544" s="10">
        <v>767.41</v>
      </c>
    </row>
    <row r="545" ht="16.5" spans="1:5">
      <c r="A545" s="7">
        <v>3045789.476</v>
      </c>
      <c r="B545" s="7">
        <v>35401166.591</v>
      </c>
      <c r="C545" s="8">
        <v>913.439</v>
      </c>
      <c r="D545" s="11">
        <v>45104</v>
      </c>
      <c r="E545" s="10">
        <v>772.38</v>
      </c>
    </row>
    <row r="546" ht="16.5" spans="1:5">
      <c r="A546" s="7">
        <v>3045789.476</v>
      </c>
      <c r="B546" s="7">
        <v>35401166.591</v>
      </c>
      <c r="C546" s="8">
        <v>913.439</v>
      </c>
      <c r="D546" s="11">
        <v>45105</v>
      </c>
      <c r="E546" s="10">
        <v>770.69</v>
      </c>
    </row>
    <row r="547" ht="16.5" spans="1:5">
      <c r="A547" s="7">
        <v>3045789.476</v>
      </c>
      <c r="B547" s="7">
        <v>35401166.591</v>
      </c>
      <c r="C547" s="8">
        <v>913.439</v>
      </c>
      <c r="D547" s="11">
        <v>45106</v>
      </c>
      <c r="E547" s="10">
        <v>774.9</v>
      </c>
    </row>
    <row r="548" ht="16.5" spans="1:5">
      <c r="A548" s="7">
        <v>3045789.476</v>
      </c>
      <c r="B548" s="7">
        <v>35401166.591</v>
      </c>
      <c r="C548" s="8">
        <v>913.439</v>
      </c>
      <c r="D548" s="11">
        <v>45107</v>
      </c>
      <c r="E548" s="10">
        <v>767.41</v>
      </c>
    </row>
    <row r="549" ht="16.5" spans="1:5">
      <c r="A549" s="7">
        <v>3045789.476</v>
      </c>
      <c r="B549" s="7">
        <v>35401166.591</v>
      </c>
      <c r="C549" s="8">
        <v>913.439</v>
      </c>
      <c r="D549" s="11">
        <v>45108</v>
      </c>
      <c r="E549" s="10">
        <v>764.09</v>
      </c>
    </row>
    <row r="550" ht="16.5" spans="1:5">
      <c r="A550" s="7">
        <v>3045789.476</v>
      </c>
      <c r="B550" s="7">
        <v>35401166.591</v>
      </c>
      <c r="C550" s="8">
        <v>913.439</v>
      </c>
      <c r="D550" s="11">
        <v>45109</v>
      </c>
      <c r="E550" s="10">
        <v>770.19</v>
      </c>
    </row>
    <row r="551" ht="16.5" spans="1:5">
      <c r="A551" s="7">
        <v>3045789.476</v>
      </c>
      <c r="B551" s="7">
        <v>35401166.591</v>
      </c>
      <c r="C551" s="8">
        <v>913.439</v>
      </c>
      <c r="D551" s="11">
        <v>45110</v>
      </c>
      <c r="E551" s="10">
        <v>770.72</v>
      </c>
    </row>
    <row r="552" ht="16.5" spans="1:5">
      <c r="A552" s="7">
        <v>3045789.476</v>
      </c>
      <c r="B552" s="7">
        <v>35401166.591</v>
      </c>
      <c r="C552" s="8">
        <v>913.439</v>
      </c>
      <c r="D552" s="11">
        <v>45111</v>
      </c>
      <c r="E552" s="10">
        <v>762.77</v>
      </c>
    </row>
    <row r="553" ht="16.5" spans="1:5">
      <c r="A553" s="7">
        <v>3045789.476</v>
      </c>
      <c r="B553" s="7">
        <v>35401166.591</v>
      </c>
      <c r="C553" s="8">
        <v>913.439</v>
      </c>
      <c r="D553" s="11">
        <v>45112</v>
      </c>
      <c r="E553" s="10">
        <v>764.61</v>
      </c>
    </row>
    <row r="554" ht="16.5" spans="1:5">
      <c r="A554" s="7">
        <v>3045789.476</v>
      </c>
      <c r="B554" s="7">
        <v>35401166.591</v>
      </c>
      <c r="C554" s="8">
        <v>913.439</v>
      </c>
      <c r="D554" s="11">
        <v>45113</v>
      </c>
      <c r="E554" s="10">
        <v>767.12</v>
      </c>
    </row>
    <row r="555" ht="16.5" spans="1:5">
      <c r="A555" s="7">
        <v>3045789.476</v>
      </c>
      <c r="B555" s="7">
        <v>35401166.591</v>
      </c>
      <c r="C555" s="8">
        <v>913.439</v>
      </c>
      <c r="D555" s="11">
        <v>45114</v>
      </c>
      <c r="E555" s="10">
        <v>772.61</v>
      </c>
    </row>
    <row r="556" ht="16.5" spans="1:5">
      <c r="A556" s="7">
        <v>3045789.476</v>
      </c>
      <c r="B556" s="7">
        <v>35401166.591</v>
      </c>
      <c r="C556" s="8">
        <v>913.439</v>
      </c>
      <c r="D556" s="11">
        <v>45115</v>
      </c>
      <c r="E556" s="10">
        <v>768.8</v>
      </c>
    </row>
    <row r="557" ht="16.5" spans="1:5">
      <c r="A557" s="7">
        <v>3045789.476</v>
      </c>
      <c r="B557" s="7">
        <v>35401166.591</v>
      </c>
      <c r="C557" s="8">
        <v>913.439</v>
      </c>
      <c r="D557" s="11">
        <v>45116</v>
      </c>
      <c r="E557" s="10">
        <v>766.14</v>
      </c>
    </row>
    <row r="558" ht="16.5" spans="1:5">
      <c r="A558" s="7">
        <v>3045789.476</v>
      </c>
      <c r="B558" s="7">
        <v>35401166.591</v>
      </c>
      <c r="C558" s="8">
        <v>913.439</v>
      </c>
      <c r="D558" s="11">
        <v>45117</v>
      </c>
      <c r="E558" s="10">
        <v>771.77</v>
      </c>
    </row>
    <row r="559" ht="16.5" spans="1:5">
      <c r="A559" s="7">
        <v>3045789.476</v>
      </c>
      <c r="B559" s="7">
        <v>35401166.591</v>
      </c>
      <c r="C559" s="8">
        <v>913.439</v>
      </c>
      <c r="D559" s="11">
        <v>45118</v>
      </c>
      <c r="E559" s="10">
        <v>772.89</v>
      </c>
    </row>
    <row r="560" ht="16.5" spans="1:5">
      <c r="A560" s="7">
        <v>3045789.476</v>
      </c>
      <c r="B560" s="7">
        <v>35401166.591</v>
      </c>
      <c r="C560" s="8">
        <v>913.439</v>
      </c>
      <c r="D560" s="11">
        <v>45119</v>
      </c>
      <c r="E560" s="10">
        <v>765.9</v>
      </c>
    </row>
    <row r="561" ht="16.5" spans="1:5">
      <c r="A561" s="7">
        <v>3045789.476</v>
      </c>
      <c r="B561" s="7">
        <v>35401166.591</v>
      </c>
      <c r="C561" s="8">
        <v>913.439</v>
      </c>
      <c r="D561" s="11">
        <v>45120</v>
      </c>
      <c r="E561" s="10">
        <v>765.72</v>
      </c>
    </row>
    <row r="562" ht="16.5" spans="1:5">
      <c r="A562" s="7">
        <v>3045789.476</v>
      </c>
      <c r="B562" s="7">
        <v>35401166.591</v>
      </c>
      <c r="C562" s="8">
        <v>913.439</v>
      </c>
      <c r="D562" s="11">
        <v>45121</v>
      </c>
      <c r="E562" s="10">
        <v>766.25</v>
      </c>
    </row>
    <row r="563" ht="16.5" spans="1:5">
      <c r="A563" s="7">
        <v>3045789.476</v>
      </c>
      <c r="B563" s="7">
        <v>35401166.591</v>
      </c>
      <c r="C563" s="8">
        <v>913.439</v>
      </c>
      <c r="D563" s="11">
        <v>45122</v>
      </c>
      <c r="E563" s="10">
        <v>768.45</v>
      </c>
    </row>
    <row r="564" ht="16.5" spans="1:5">
      <c r="A564" s="7">
        <v>3045789.476</v>
      </c>
      <c r="B564" s="7">
        <v>35401166.591</v>
      </c>
      <c r="C564" s="8">
        <v>913.439</v>
      </c>
      <c r="D564" s="11">
        <v>45123</v>
      </c>
      <c r="E564" s="10">
        <v>769.32</v>
      </c>
    </row>
    <row r="565" ht="16.5" spans="1:5">
      <c r="A565" s="7">
        <v>3045789.476</v>
      </c>
      <c r="B565" s="7">
        <v>35401166.591</v>
      </c>
      <c r="C565" s="8">
        <v>913.439</v>
      </c>
      <c r="D565" s="11">
        <v>45124</v>
      </c>
      <c r="E565" s="10">
        <v>771.4</v>
      </c>
    </row>
    <row r="566" ht="16.5" spans="1:5">
      <c r="A566" s="7">
        <v>3045789.476</v>
      </c>
      <c r="B566" s="7">
        <v>35401166.591</v>
      </c>
      <c r="C566" s="8">
        <v>913.439</v>
      </c>
      <c r="D566" s="11">
        <v>45125</v>
      </c>
      <c r="E566" s="10">
        <v>775.07</v>
      </c>
    </row>
    <row r="567" ht="16.5" spans="1:5">
      <c r="A567" s="7">
        <v>3045789.476</v>
      </c>
      <c r="B567" s="7">
        <v>35401166.591</v>
      </c>
      <c r="C567" s="8">
        <v>913.439</v>
      </c>
      <c r="D567" s="11">
        <v>45126</v>
      </c>
      <c r="E567" s="10">
        <v>773.11</v>
      </c>
    </row>
    <row r="568" ht="16.5" spans="1:5">
      <c r="A568" s="7">
        <v>3045789.476</v>
      </c>
      <c r="B568" s="7">
        <v>35401166.591</v>
      </c>
      <c r="C568" s="8">
        <v>913.439</v>
      </c>
      <c r="D568" s="11">
        <v>45127</v>
      </c>
      <c r="E568" s="10">
        <v>770.86</v>
      </c>
    </row>
    <row r="569" ht="16.5" spans="1:5">
      <c r="A569" s="7">
        <v>3045789.476</v>
      </c>
      <c r="B569" s="7">
        <v>35401166.591</v>
      </c>
      <c r="C569" s="8">
        <v>913.439</v>
      </c>
      <c r="D569" s="11">
        <v>45128</v>
      </c>
      <c r="E569" s="10">
        <v>772.19</v>
      </c>
    </row>
    <row r="570" ht="16.5" spans="1:5">
      <c r="A570" s="7">
        <v>3045789.476</v>
      </c>
      <c r="B570" s="7">
        <v>35401166.591</v>
      </c>
      <c r="C570" s="8">
        <v>913.439</v>
      </c>
      <c r="D570" s="11">
        <v>45129</v>
      </c>
      <c r="E570" s="10">
        <v>770.51</v>
      </c>
    </row>
    <row r="571" ht="16.5" spans="1:5">
      <c r="A571" s="7">
        <v>3045789.476</v>
      </c>
      <c r="B571" s="7">
        <v>35401166.591</v>
      </c>
      <c r="C571" s="8">
        <v>913.439</v>
      </c>
      <c r="D571" s="11">
        <v>45130</v>
      </c>
      <c r="E571" s="10">
        <v>769.95</v>
      </c>
    </row>
    <row r="572" ht="16.5" spans="1:5">
      <c r="A572" s="7">
        <v>3045789.476</v>
      </c>
      <c r="B572" s="7">
        <v>35401166.591</v>
      </c>
      <c r="C572" s="8">
        <v>913.439</v>
      </c>
      <c r="D572" s="11">
        <v>45131</v>
      </c>
      <c r="E572" s="10">
        <v>770.22</v>
      </c>
    </row>
    <row r="573" ht="16.5" spans="1:5">
      <c r="A573" s="7">
        <v>3045789.476</v>
      </c>
      <c r="B573" s="7">
        <v>35401166.591</v>
      </c>
      <c r="C573" s="8">
        <v>913.439</v>
      </c>
      <c r="D573" s="11">
        <v>45132</v>
      </c>
      <c r="E573" s="10">
        <v>772.83</v>
      </c>
    </row>
    <row r="574" ht="16.5" spans="1:5">
      <c r="A574" s="7">
        <v>3045789.476</v>
      </c>
      <c r="B574" s="7">
        <v>35401166.591</v>
      </c>
      <c r="C574" s="8">
        <v>913.439</v>
      </c>
      <c r="D574" s="11">
        <v>45133</v>
      </c>
      <c r="E574" s="10">
        <v>774.97</v>
      </c>
    </row>
    <row r="575" ht="16.5" spans="1:5">
      <c r="A575" s="7">
        <v>3045789.476</v>
      </c>
      <c r="B575" s="7">
        <v>35401166.591</v>
      </c>
      <c r="C575" s="8">
        <v>913.439</v>
      </c>
      <c r="D575" s="11">
        <v>45134</v>
      </c>
      <c r="E575" s="10">
        <v>774.99</v>
      </c>
    </row>
    <row r="576" ht="16.5" spans="1:5">
      <c r="A576" s="7">
        <v>3045789.476</v>
      </c>
      <c r="B576" s="7">
        <v>35401166.591</v>
      </c>
      <c r="C576" s="8">
        <v>913.439</v>
      </c>
      <c r="D576" s="11">
        <v>45135</v>
      </c>
      <c r="E576" s="10">
        <v>775.34</v>
      </c>
    </row>
    <row r="577" ht="16.5" spans="1:5">
      <c r="A577" s="7">
        <v>3045789.476</v>
      </c>
      <c r="B577" s="7">
        <v>35401166.591</v>
      </c>
      <c r="C577" s="8">
        <v>913.439</v>
      </c>
      <c r="D577" s="11">
        <v>45136</v>
      </c>
      <c r="E577" s="10">
        <v>777.69</v>
      </c>
    </row>
    <row r="578" ht="16.5" spans="1:5">
      <c r="A578" s="7">
        <v>3045789.476</v>
      </c>
      <c r="B578" s="7">
        <v>35401166.591</v>
      </c>
      <c r="C578" s="8">
        <v>913.439</v>
      </c>
      <c r="D578" s="11">
        <v>45137</v>
      </c>
      <c r="E578" s="10">
        <v>777.16</v>
      </c>
    </row>
    <row r="579" ht="16.5" spans="1:5">
      <c r="A579" s="7">
        <v>3045789.476</v>
      </c>
      <c r="B579" s="7">
        <v>35401166.591</v>
      </c>
      <c r="C579" s="8">
        <v>913.439</v>
      </c>
      <c r="D579" s="11">
        <v>45138</v>
      </c>
      <c r="E579" s="10">
        <v>778.22</v>
      </c>
    </row>
    <row r="580" ht="16.5" spans="1:5">
      <c r="A580" s="7">
        <v>3045789.476</v>
      </c>
      <c r="B580" s="7">
        <v>35401166.591</v>
      </c>
      <c r="C580" s="8">
        <v>913.439</v>
      </c>
      <c r="D580" s="11">
        <v>45139</v>
      </c>
      <c r="E580" s="10">
        <v>776.53</v>
      </c>
    </row>
    <row r="581" ht="16.5" spans="1:5">
      <c r="A581" s="7">
        <v>3045789.476</v>
      </c>
      <c r="B581" s="7">
        <v>35401166.591</v>
      </c>
      <c r="C581" s="8">
        <v>913.439</v>
      </c>
      <c r="D581" s="11">
        <v>45140</v>
      </c>
      <c r="E581" s="10">
        <v>777.03</v>
      </c>
    </row>
    <row r="582" ht="16.5" spans="1:5">
      <c r="A582" s="7">
        <v>3045789.476</v>
      </c>
      <c r="B582" s="7">
        <v>35401166.591</v>
      </c>
      <c r="C582" s="8">
        <v>913.439</v>
      </c>
      <c r="D582" s="11">
        <v>45141</v>
      </c>
      <c r="E582" s="14">
        <v>778.964</v>
      </c>
    </row>
    <row r="583" ht="16.5" spans="1:5">
      <c r="A583" s="7">
        <v>3045789.476</v>
      </c>
      <c r="B583" s="7">
        <v>35401166.591</v>
      </c>
      <c r="C583" s="8">
        <v>913.439</v>
      </c>
      <c r="D583" s="11">
        <v>45142</v>
      </c>
      <c r="E583" s="10">
        <v>782.006</v>
      </c>
    </row>
    <row r="584" ht="16.5" spans="1:5">
      <c r="A584" s="7">
        <v>3045789.476</v>
      </c>
      <c r="B584" s="7">
        <v>35401166.591</v>
      </c>
      <c r="C584" s="8">
        <v>913.439</v>
      </c>
      <c r="D584" s="11">
        <v>45143</v>
      </c>
      <c r="E584" s="10">
        <v>793.043</v>
      </c>
    </row>
    <row r="585" ht="16.5" spans="1:5">
      <c r="A585" s="7">
        <v>3045789.476</v>
      </c>
      <c r="B585" s="7">
        <v>35401166.591</v>
      </c>
      <c r="C585" s="8">
        <v>913.439</v>
      </c>
      <c r="D585" s="11">
        <v>45144</v>
      </c>
      <c r="E585" s="10">
        <v>797.031</v>
      </c>
    </row>
    <row r="586" ht="16.5" spans="1:5">
      <c r="A586" s="7">
        <v>3045789.476</v>
      </c>
      <c r="B586" s="7">
        <v>35401166.591</v>
      </c>
      <c r="C586" s="8">
        <v>913.439</v>
      </c>
      <c r="D586" s="11">
        <v>45145</v>
      </c>
      <c r="E586" s="10">
        <v>799.13</v>
      </c>
    </row>
    <row r="587" ht="16.5" spans="1:5">
      <c r="A587" s="7">
        <v>3045789.476</v>
      </c>
      <c r="B587" s="7">
        <v>35401166.591</v>
      </c>
      <c r="C587" s="8">
        <v>913.439</v>
      </c>
      <c r="D587" s="11">
        <v>45146</v>
      </c>
      <c r="E587" s="10">
        <v>800.484</v>
      </c>
    </row>
    <row r="588" ht="16.5" spans="1:5">
      <c r="A588" s="7">
        <v>3045789.476</v>
      </c>
      <c r="B588" s="7">
        <v>35401166.591</v>
      </c>
      <c r="C588" s="8">
        <v>913.439</v>
      </c>
      <c r="D588" s="11">
        <v>45147</v>
      </c>
      <c r="E588" s="10">
        <v>799.374</v>
      </c>
    </row>
    <row r="589" ht="16.5" spans="1:5">
      <c r="A589" s="7">
        <v>3045789.476</v>
      </c>
      <c r="B589" s="7">
        <v>35401166.591</v>
      </c>
      <c r="C589" s="8">
        <v>913.439</v>
      </c>
      <c r="D589" s="11">
        <v>45148</v>
      </c>
      <c r="E589" s="12"/>
    </row>
    <row r="590" ht="16.5" spans="1:5">
      <c r="A590" s="7">
        <v>3045789.476</v>
      </c>
      <c r="B590" s="7">
        <v>35401166.591</v>
      </c>
      <c r="C590" s="8">
        <v>913.439</v>
      </c>
      <c r="D590" s="11">
        <v>45149</v>
      </c>
      <c r="E590" s="10">
        <v>799.544</v>
      </c>
    </row>
    <row r="591" ht="16.5" spans="1:5">
      <c r="A591" s="7">
        <v>3045789.476</v>
      </c>
      <c r="B591" s="7">
        <v>35401166.591</v>
      </c>
      <c r="C591" s="8">
        <v>913.439</v>
      </c>
      <c r="D591" s="11">
        <v>45150</v>
      </c>
      <c r="E591" s="10">
        <v>801.303</v>
      </c>
    </row>
    <row r="592" ht="16.5" spans="1:5">
      <c r="A592" s="7">
        <v>3045789.476</v>
      </c>
      <c r="B592" s="7">
        <v>35401166.591</v>
      </c>
      <c r="C592" s="8">
        <v>913.439</v>
      </c>
      <c r="D592" s="11">
        <v>45151</v>
      </c>
      <c r="E592" s="10">
        <v>801.313</v>
      </c>
    </row>
    <row r="593" ht="16.5" spans="1:5">
      <c r="A593" s="7">
        <v>3045789.476</v>
      </c>
      <c r="B593" s="7">
        <v>35401166.591</v>
      </c>
      <c r="C593" s="8">
        <v>913.439</v>
      </c>
      <c r="D593" s="11">
        <v>45152</v>
      </c>
      <c r="E593" s="10">
        <v>801.332</v>
      </c>
    </row>
    <row r="594" ht="16.5" spans="1:5">
      <c r="A594" s="7">
        <v>3045789.476</v>
      </c>
      <c r="B594" s="7">
        <v>35401166.591</v>
      </c>
      <c r="C594" s="8">
        <v>913.439</v>
      </c>
      <c r="D594" s="11">
        <v>45153</v>
      </c>
      <c r="E594" s="17">
        <v>801.072</v>
      </c>
    </row>
    <row r="595" ht="16.5" spans="1:5">
      <c r="A595" s="7">
        <v>3045789.476</v>
      </c>
      <c r="B595" s="7">
        <v>35401166.591</v>
      </c>
      <c r="C595" s="8">
        <v>913.439</v>
      </c>
      <c r="D595" s="11">
        <v>45154</v>
      </c>
      <c r="E595" s="10">
        <v>800.573</v>
      </c>
    </row>
    <row r="596" ht="16.5" spans="1:5">
      <c r="A596" s="7">
        <v>3045789.476</v>
      </c>
      <c r="B596" s="7">
        <v>35401166.591</v>
      </c>
      <c r="C596" s="8">
        <v>913.439</v>
      </c>
      <c r="D596" s="11">
        <v>45155</v>
      </c>
      <c r="E596" s="10">
        <v>800.064</v>
      </c>
    </row>
    <row r="597" ht="16.5" spans="1:5">
      <c r="A597" s="7">
        <v>3045789.476</v>
      </c>
      <c r="B597" s="7">
        <v>35401166.591</v>
      </c>
      <c r="C597" s="8">
        <v>913.439</v>
      </c>
      <c r="D597" s="11">
        <v>45156</v>
      </c>
      <c r="E597" s="10">
        <v>799.008</v>
      </c>
    </row>
    <row r="598" ht="16.5" spans="1:5">
      <c r="A598" s="7">
        <v>3045789.476</v>
      </c>
      <c r="B598" s="7">
        <v>35401166.591</v>
      </c>
      <c r="C598" s="8">
        <v>913.439</v>
      </c>
      <c r="D598" s="11">
        <v>45157</v>
      </c>
      <c r="E598" s="10">
        <v>798.806</v>
      </c>
    </row>
    <row r="599" ht="16.5" spans="1:5">
      <c r="A599" s="7">
        <v>3045789.476</v>
      </c>
      <c r="B599" s="7">
        <v>35401166.591</v>
      </c>
      <c r="C599" s="8">
        <v>913.439</v>
      </c>
      <c r="D599" s="11">
        <v>45158</v>
      </c>
      <c r="E599" s="10">
        <v>799.824</v>
      </c>
    </row>
    <row r="600" ht="16.5" spans="1:5">
      <c r="A600" s="7">
        <v>3045789.476</v>
      </c>
      <c r="B600" s="7">
        <v>35401166.591</v>
      </c>
      <c r="C600" s="8">
        <v>913.439</v>
      </c>
      <c r="D600" s="11">
        <v>45159</v>
      </c>
      <c r="E600" s="10">
        <v>799.955</v>
      </c>
    </row>
    <row r="601" ht="16.5" spans="1:5">
      <c r="A601" s="7">
        <v>3045789.476</v>
      </c>
      <c r="B601" s="7">
        <v>35401166.591</v>
      </c>
      <c r="C601" s="8">
        <v>913.439</v>
      </c>
      <c r="D601" s="11">
        <v>45160</v>
      </c>
      <c r="E601" s="10">
        <v>799.206</v>
      </c>
    </row>
    <row r="602" ht="16.5" spans="1:5">
      <c r="A602" s="7">
        <v>3045789.476</v>
      </c>
      <c r="B602" s="7">
        <v>35401166.591</v>
      </c>
      <c r="C602" s="8">
        <v>913.439</v>
      </c>
      <c r="D602" s="11">
        <v>45161</v>
      </c>
      <c r="E602" s="10">
        <v>799.251</v>
      </c>
    </row>
    <row r="603" ht="16.5" spans="1:5">
      <c r="A603" s="7">
        <v>3045789.476</v>
      </c>
      <c r="B603" s="7">
        <v>35401166.591</v>
      </c>
      <c r="C603" s="8">
        <v>913.439</v>
      </c>
      <c r="D603" s="11">
        <v>45162</v>
      </c>
      <c r="E603" s="10">
        <v>800.38</v>
      </c>
    </row>
    <row r="604" ht="16.5" spans="1:5">
      <c r="A604" s="7">
        <v>3045789.476</v>
      </c>
      <c r="B604" s="7">
        <v>35401166.591</v>
      </c>
      <c r="C604" s="8">
        <v>913.439</v>
      </c>
      <c r="D604" s="11">
        <v>45163</v>
      </c>
      <c r="E604" s="10">
        <v>806.449</v>
      </c>
    </row>
    <row r="605" ht="16.5" spans="1:5">
      <c r="A605" s="7">
        <v>3045789.476</v>
      </c>
      <c r="B605" s="7">
        <v>35401166.591</v>
      </c>
      <c r="C605" s="8">
        <v>913.439</v>
      </c>
      <c r="D605" s="11">
        <v>45164</v>
      </c>
      <c r="E605" s="10">
        <v>806.388</v>
      </c>
    </row>
    <row r="606" ht="16.5" spans="1:5">
      <c r="A606" s="7">
        <v>3045789.476</v>
      </c>
      <c r="B606" s="7">
        <v>35401166.591</v>
      </c>
      <c r="C606" s="8">
        <v>913.439</v>
      </c>
      <c r="D606" s="11">
        <v>45165</v>
      </c>
      <c r="E606" s="10">
        <v>808.748</v>
      </c>
    </row>
    <row r="607" ht="16.5" spans="1:5">
      <c r="A607" s="7">
        <v>3045789.476</v>
      </c>
      <c r="B607" s="7">
        <v>35401166.591</v>
      </c>
      <c r="C607" s="8">
        <v>913.439</v>
      </c>
      <c r="D607" s="11">
        <v>45166</v>
      </c>
      <c r="E607" s="10">
        <v>810.173</v>
      </c>
    </row>
    <row r="608" ht="16.5" spans="1:5">
      <c r="A608" s="7">
        <v>3045789.476</v>
      </c>
      <c r="B608" s="7">
        <v>35401166.591</v>
      </c>
      <c r="C608" s="8">
        <v>913.439</v>
      </c>
      <c r="D608" s="11">
        <v>45167</v>
      </c>
      <c r="E608" s="10">
        <v>810.056</v>
      </c>
    </row>
    <row r="609" ht="16.5" spans="1:5">
      <c r="A609" s="7">
        <v>3045789.476</v>
      </c>
      <c r="B609" s="7">
        <v>35401166.591</v>
      </c>
      <c r="C609" s="8">
        <v>913.439</v>
      </c>
      <c r="D609" s="11">
        <v>45168</v>
      </c>
      <c r="E609" s="10">
        <v>810.797</v>
      </c>
    </row>
    <row r="610" ht="16.5" spans="1:5">
      <c r="A610" s="7">
        <v>3045789.476</v>
      </c>
      <c r="B610" s="7">
        <v>35401166.591</v>
      </c>
      <c r="C610" s="8">
        <v>913.439</v>
      </c>
      <c r="D610" s="11">
        <v>45169</v>
      </c>
      <c r="E610" s="10">
        <v>811.702</v>
      </c>
    </row>
    <row r="611" ht="16.5" spans="1:5">
      <c r="A611" s="7">
        <v>3045789.476</v>
      </c>
      <c r="B611" s="7">
        <v>35401166.591</v>
      </c>
      <c r="C611" s="8">
        <v>913.439</v>
      </c>
      <c r="D611" s="11">
        <v>45170</v>
      </c>
      <c r="E611" s="10"/>
    </row>
    <row r="612" ht="16.5" spans="1:5">
      <c r="A612" s="7">
        <v>3045789.476</v>
      </c>
      <c r="B612" s="7">
        <v>35401166.591</v>
      </c>
      <c r="C612" s="8">
        <v>913.439</v>
      </c>
      <c r="D612" s="11">
        <v>45171</v>
      </c>
      <c r="E612" s="10">
        <v>812.154</v>
      </c>
    </row>
    <row r="613" ht="16.5" spans="1:5">
      <c r="A613" s="7">
        <v>3045789.476</v>
      </c>
      <c r="B613" s="7">
        <v>35401166.591</v>
      </c>
      <c r="C613" s="8">
        <v>913.439</v>
      </c>
      <c r="D613" s="11">
        <v>45172</v>
      </c>
      <c r="E613" s="10">
        <v>812.777</v>
      </c>
    </row>
    <row r="614" ht="16.5" spans="1:5">
      <c r="A614" s="7">
        <v>3045789.476</v>
      </c>
      <c r="B614" s="7">
        <v>35401166.591</v>
      </c>
      <c r="C614" s="8">
        <v>913.439</v>
      </c>
      <c r="D614" s="11">
        <v>45173</v>
      </c>
      <c r="E614" s="10">
        <v>812.825</v>
      </c>
    </row>
    <row r="615" ht="16.5" spans="1:5">
      <c r="A615" s="7">
        <v>3045789.476</v>
      </c>
      <c r="B615" s="7">
        <v>35401166.591</v>
      </c>
      <c r="C615" s="8">
        <v>913.439</v>
      </c>
      <c r="D615" s="11">
        <v>45174</v>
      </c>
      <c r="E615" s="10">
        <v>812.784</v>
      </c>
    </row>
    <row r="616" ht="16.5" spans="1:5">
      <c r="A616" s="7">
        <v>3045789.476</v>
      </c>
      <c r="B616" s="7">
        <v>35401166.591</v>
      </c>
      <c r="C616" s="8">
        <v>913.439</v>
      </c>
      <c r="D616" s="11">
        <v>45175</v>
      </c>
      <c r="E616" s="10">
        <v>813.175</v>
      </c>
    </row>
    <row r="617" ht="16.5" spans="1:5">
      <c r="A617" s="7">
        <v>3045789.476</v>
      </c>
      <c r="B617" s="7">
        <v>35401166.591</v>
      </c>
      <c r="C617" s="8">
        <v>913.439</v>
      </c>
      <c r="D617" s="11">
        <v>45176</v>
      </c>
      <c r="E617" s="10">
        <v>811.493</v>
      </c>
    </row>
    <row r="618" ht="16.5" spans="1:5">
      <c r="A618" s="7">
        <v>3045789.476</v>
      </c>
      <c r="B618" s="7">
        <v>35401166.591</v>
      </c>
      <c r="C618" s="8">
        <v>913.439</v>
      </c>
      <c r="D618" s="11">
        <v>45177</v>
      </c>
      <c r="E618" s="10">
        <v>812.603</v>
      </c>
    </row>
    <row r="619" ht="16.5" spans="1:5">
      <c r="A619" s="7">
        <v>3045789.476</v>
      </c>
      <c r="B619" s="7">
        <v>35401166.591</v>
      </c>
      <c r="C619" s="8">
        <v>913.439</v>
      </c>
      <c r="D619" s="11">
        <v>45178</v>
      </c>
      <c r="E619" s="10">
        <v>811.461</v>
      </c>
    </row>
    <row r="620" ht="16.5" spans="1:5">
      <c r="A620" s="7">
        <v>3045789.476</v>
      </c>
      <c r="B620" s="7">
        <v>35401166.591</v>
      </c>
      <c r="C620" s="8">
        <v>913.439</v>
      </c>
      <c r="D620" s="11">
        <v>45179</v>
      </c>
      <c r="E620" s="10">
        <v>810.706</v>
      </c>
    </row>
    <row r="621" ht="16.5" spans="1:5">
      <c r="A621" s="7">
        <v>3045789.476</v>
      </c>
      <c r="B621" s="7">
        <v>35401166.591</v>
      </c>
      <c r="C621" s="8">
        <v>913.439</v>
      </c>
      <c r="D621" s="11">
        <v>45180</v>
      </c>
      <c r="E621" s="10"/>
    </row>
    <row r="622" ht="16.5" spans="1:5">
      <c r="A622" s="7">
        <v>3045789.476</v>
      </c>
      <c r="B622" s="7">
        <v>35401166.591</v>
      </c>
      <c r="C622" s="8">
        <v>913.439</v>
      </c>
      <c r="D622" s="11">
        <v>45181</v>
      </c>
      <c r="E622" s="10"/>
    </row>
    <row r="623" ht="16.5" spans="1:5">
      <c r="A623" s="7">
        <v>3045789.476</v>
      </c>
      <c r="B623" s="7">
        <v>35401166.591</v>
      </c>
      <c r="C623" s="8">
        <v>913.439</v>
      </c>
      <c r="D623" s="11">
        <v>45182</v>
      </c>
      <c r="E623" s="10"/>
    </row>
    <row r="624" ht="16.5" spans="1:5">
      <c r="A624" s="7">
        <v>3045789.476</v>
      </c>
      <c r="B624" s="7">
        <v>35401166.591</v>
      </c>
      <c r="C624" s="8">
        <v>913.439</v>
      </c>
      <c r="D624" s="11">
        <v>45183</v>
      </c>
      <c r="E624" s="10">
        <v>810.389</v>
      </c>
    </row>
    <row r="625" ht="16.5" spans="1:5">
      <c r="A625" s="7">
        <v>3045789.476</v>
      </c>
      <c r="B625" s="7">
        <v>35401166.591</v>
      </c>
      <c r="C625" s="8">
        <v>913.439</v>
      </c>
      <c r="D625" s="11">
        <v>45184</v>
      </c>
      <c r="E625" s="12"/>
    </row>
    <row r="626" ht="16.5" spans="1:5">
      <c r="A626" s="7">
        <v>3045789.476</v>
      </c>
      <c r="B626" s="7">
        <v>35401166.591</v>
      </c>
      <c r="C626" s="8">
        <v>913.439</v>
      </c>
      <c r="D626" s="11">
        <v>45185</v>
      </c>
      <c r="E626" s="12"/>
    </row>
    <row r="627" ht="16.5" spans="1:5">
      <c r="A627" s="7">
        <v>3045789.476</v>
      </c>
      <c r="B627" s="7">
        <v>35401166.591</v>
      </c>
      <c r="C627" s="8">
        <v>913.439</v>
      </c>
      <c r="D627" s="11">
        <v>45186</v>
      </c>
      <c r="E627" s="12"/>
    </row>
    <row r="628" ht="16.5" spans="1:5">
      <c r="A628" s="7">
        <v>3045789.476</v>
      </c>
      <c r="B628" s="7">
        <v>35401166.591</v>
      </c>
      <c r="C628" s="8">
        <v>913.439</v>
      </c>
      <c r="D628" s="11">
        <v>45187</v>
      </c>
      <c r="E628" s="12"/>
    </row>
    <row r="629" ht="16.5" spans="1:5">
      <c r="A629" s="7">
        <v>3045789.476</v>
      </c>
      <c r="B629" s="7">
        <v>35401166.591</v>
      </c>
      <c r="C629" s="8">
        <v>913.439</v>
      </c>
      <c r="D629" s="11">
        <v>45188</v>
      </c>
      <c r="E629" s="12"/>
    </row>
    <row r="630" ht="16.5" spans="1:5">
      <c r="A630" s="7">
        <v>3045789.476</v>
      </c>
      <c r="B630" s="7">
        <v>35401166.591</v>
      </c>
      <c r="C630" s="8">
        <v>913.439</v>
      </c>
      <c r="D630" s="11">
        <v>45189</v>
      </c>
      <c r="E630" s="10">
        <v>805.608</v>
      </c>
    </row>
    <row r="631" ht="16.5" spans="1:5">
      <c r="A631" s="7">
        <v>3045789.476</v>
      </c>
      <c r="B631" s="7">
        <v>35401166.591</v>
      </c>
      <c r="C631" s="8">
        <v>913.439</v>
      </c>
      <c r="D631" s="11">
        <v>45190</v>
      </c>
      <c r="E631" s="10">
        <v>805.615</v>
      </c>
    </row>
    <row r="632" ht="16.5" spans="1:5">
      <c r="A632" s="7">
        <v>3045789.476</v>
      </c>
      <c r="B632" s="7">
        <v>35401166.591</v>
      </c>
      <c r="C632" s="8">
        <v>913.439</v>
      </c>
      <c r="D632" s="11">
        <v>45191</v>
      </c>
      <c r="E632" s="10">
        <v>804.078</v>
      </c>
    </row>
    <row r="633" ht="16.5" spans="1:5">
      <c r="A633" s="7">
        <v>3045789.476</v>
      </c>
      <c r="B633" s="7">
        <v>35401166.591</v>
      </c>
      <c r="C633" s="8">
        <v>913.439</v>
      </c>
      <c r="D633" s="11">
        <v>45192</v>
      </c>
      <c r="E633" s="10">
        <v>803.432</v>
      </c>
    </row>
    <row r="634" ht="16.5" spans="1:5">
      <c r="A634" s="7">
        <v>3045789.476</v>
      </c>
      <c r="B634" s="7">
        <v>35401166.591</v>
      </c>
      <c r="C634" s="8">
        <v>913.439</v>
      </c>
      <c r="D634" s="11">
        <v>45193</v>
      </c>
      <c r="E634" s="10">
        <v>804.126</v>
      </c>
    </row>
    <row r="635" ht="16.5" spans="1:5">
      <c r="A635" s="7">
        <v>3045789.476</v>
      </c>
      <c r="B635" s="7">
        <v>35401166.591</v>
      </c>
      <c r="C635" s="8">
        <v>913.439</v>
      </c>
      <c r="D635" s="11">
        <v>45194</v>
      </c>
      <c r="E635" s="10">
        <v>803.753</v>
      </c>
    </row>
    <row r="636" ht="16.5" spans="1:5">
      <c r="A636" s="7">
        <v>3045789.476</v>
      </c>
      <c r="B636" s="7">
        <v>35401166.591</v>
      </c>
      <c r="C636" s="8">
        <v>913.439</v>
      </c>
      <c r="D636" s="11">
        <v>45195</v>
      </c>
      <c r="E636" s="10">
        <v>801.624</v>
      </c>
    </row>
    <row r="637" ht="16.5" spans="1:5">
      <c r="A637" s="7">
        <v>3045789.476</v>
      </c>
      <c r="B637" s="7">
        <v>35401166.591</v>
      </c>
      <c r="C637" s="8">
        <v>913.439</v>
      </c>
      <c r="D637" s="11">
        <v>45196</v>
      </c>
      <c r="E637" s="10">
        <v>800.892</v>
      </c>
    </row>
    <row r="638" ht="16.5" spans="1:5">
      <c r="A638" s="7">
        <v>3045789.476</v>
      </c>
      <c r="B638" s="7">
        <v>35401166.591</v>
      </c>
      <c r="C638" s="8">
        <v>913.439</v>
      </c>
      <c r="D638" s="11">
        <v>45197</v>
      </c>
      <c r="E638" s="10">
        <v>798.932</v>
      </c>
    </row>
    <row r="639" ht="16.5" spans="1:5">
      <c r="A639" s="7">
        <v>3045789.476</v>
      </c>
      <c r="B639" s="7">
        <v>35401166.591</v>
      </c>
      <c r="C639" s="8">
        <v>913.439</v>
      </c>
      <c r="D639" s="11">
        <v>45198</v>
      </c>
      <c r="E639" s="10">
        <v>797.297</v>
      </c>
    </row>
    <row r="640" ht="16.5" spans="1:5">
      <c r="A640" s="7">
        <v>3045789.476</v>
      </c>
      <c r="B640" s="7">
        <v>35401166.591</v>
      </c>
      <c r="C640" s="8">
        <v>913.439</v>
      </c>
      <c r="D640" s="11">
        <v>45199</v>
      </c>
      <c r="E640" s="10">
        <v>796.722</v>
      </c>
    </row>
    <row r="641" ht="16.5" spans="1:5">
      <c r="A641" s="7">
        <v>3045789.476</v>
      </c>
      <c r="B641" s="7">
        <v>35401166.591</v>
      </c>
      <c r="C641" s="8">
        <v>913.439</v>
      </c>
      <c r="D641" s="11">
        <v>45200</v>
      </c>
      <c r="E641" s="10">
        <v>796.314</v>
      </c>
    </row>
    <row r="642" ht="16.5" spans="1:5">
      <c r="A642" s="7">
        <v>3045789.476</v>
      </c>
      <c r="B642" s="7">
        <v>35401166.591</v>
      </c>
      <c r="C642" s="8">
        <v>913.439</v>
      </c>
      <c r="D642" s="11">
        <v>45201</v>
      </c>
      <c r="E642" s="10">
        <v>795.925</v>
      </c>
    </row>
    <row r="643" ht="16.5" spans="1:5">
      <c r="A643" s="7">
        <v>3045789.476</v>
      </c>
      <c r="B643" s="7">
        <v>35401166.591</v>
      </c>
      <c r="C643" s="8">
        <v>913.439</v>
      </c>
      <c r="D643" s="11">
        <v>45202</v>
      </c>
      <c r="E643" s="10">
        <v>795.215</v>
      </c>
    </row>
    <row r="644" ht="16.5" spans="1:5">
      <c r="A644" s="7">
        <v>3045789.476</v>
      </c>
      <c r="B644" s="7">
        <v>35401166.591</v>
      </c>
      <c r="C644" s="8">
        <v>913.439</v>
      </c>
      <c r="D644" s="11">
        <v>45203</v>
      </c>
      <c r="E644" s="10">
        <v>795.282</v>
      </c>
    </row>
    <row r="645" ht="16.5" spans="1:5">
      <c r="A645" s="7">
        <v>3045789.476</v>
      </c>
      <c r="B645" s="7">
        <v>35401166.591</v>
      </c>
      <c r="C645" s="8">
        <v>913.439</v>
      </c>
      <c r="D645" s="11">
        <v>45204</v>
      </c>
      <c r="E645" s="10">
        <v>794.889</v>
      </c>
    </row>
    <row r="646" ht="16.5" spans="1:5">
      <c r="A646" s="7">
        <v>3045789.476</v>
      </c>
      <c r="B646" s="7">
        <v>35401166.591</v>
      </c>
      <c r="C646" s="8">
        <v>913.439</v>
      </c>
      <c r="D646" s="11">
        <v>45205</v>
      </c>
      <c r="E646" s="10">
        <v>794.889</v>
      </c>
    </row>
    <row r="647" ht="16.5" spans="1:5">
      <c r="A647" s="7">
        <v>3045789.476</v>
      </c>
      <c r="B647" s="7">
        <v>35401166.591</v>
      </c>
      <c r="C647" s="8">
        <v>913.439</v>
      </c>
      <c r="D647" s="11">
        <v>45206</v>
      </c>
      <c r="E647" s="10">
        <v>793.252</v>
      </c>
    </row>
    <row r="648" ht="16.5" spans="1:5">
      <c r="A648" s="7">
        <v>3045789.476</v>
      </c>
      <c r="B648" s="7">
        <v>35401166.591</v>
      </c>
      <c r="C648" s="8">
        <v>913.439</v>
      </c>
      <c r="D648" s="11">
        <v>45207</v>
      </c>
      <c r="E648" s="10">
        <v>792.336</v>
      </c>
    </row>
    <row r="649" ht="16.5" spans="1:5">
      <c r="A649" s="7">
        <v>3045789.476</v>
      </c>
      <c r="B649" s="7">
        <v>35401166.591</v>
      </c>
      <c r="C649" s="8">
        <v>913.439</v>
      </c>
      <c r="D649" s="11">
        <v>45208</v>
      </c>
      <c r="E649" s="10">
        <v>790.542</v>
      </c>
    </row>
    <row r="650" ht="16.5" spans="1:5">
      <c r="A650" s="7">
        <v>3045789.476</v>
      </c>
      <c r="B650" s="7">
        <v>35401166.591</v>
      </c>
      <c r="C650" s="8">
        <v>913.439</v>
      </c>
      <c r="D650" s="11">
        <v>45209</v>
      </c>
      <c r="E650" s="10">
        <v>791.476</v>
      </c>
    </row>
    <row r="651" ht="16.5" spans="1:5">
      <c r="A651" s="7">
        <v>3045789.476</v>
      </c>
      <c r="B651" s="7">
        <v>35401166.591</v>
      </c>
      <c r="C651" s="8">
        <v>913.439</v>
      </c>
      <c r="D651" s="11">
        <v>45210</v>
      </c>
      <c r="E651" s="10">
        <v>792.036</v>
      </c>
    </row>
    <row r="652" ht="16.5" spans="1:5">
      <c r="A652" s="7">
        <v>3045789.476</v>
      </c>
      <c r="B652" s="7">
        <v>35401166.591</v>
      </c>
      <c r="C652" s="8">
        <v>913.439</v>
      </c>
      <c r="D652" s="11">
        <v>45211</v>
      </c>
      <c r="E652" s="10">
        <v>790.692</v>
      </c>
    </row>
    <row r="653" ht="16.5" spans="1:5">
      <c r="A653" s="7">
        <v>3045789.476</v>
      </c>
      <c r="B653" s="7">
        <v>35401166.591</v>
      </c>
      <c r="C653" s="8">
        <v>913.439</v>
      </c>
      <c r="D653" s="11">
        <v>45212</v>
      </c>
      <c r="E653" s="10">
        <v>791.972</v>
      </c>
    </row>
    <row r="654" ht="16.5" spans="1:5">
      <c r="A654" s="7">
        <v>3045789.476</v>
      </c>
      <c r="B654" s="7">
        <v>35401166.591</v>
      </c>
      <c r="C654" s="8">
        <v>913.439</v>
      </c>
      <c r="D654" s="11">
        <v>45213</v>
      </c>
      <c r="E654" s="10">
        <v>791.724</v>
      </c>
    </row>
    <row r="655" ht="16.5" spans="1:5">
      <c r="A655" s="7">
        <v>3045789.476</v>
      </c>
      <c r="B655" s="7">
        <v>35401166.591</v>
      </c>
      <c r="C655" s="8">
        <v>913.439</v>
      </c>
      <c r="D655" s="11">
        <v>45214</v>
      </c>
      <c r="E655" s="10">
        <v>790.882</v>
      </c>
    </row>
    <row r="656" ht="16.5" spans="1:5">
      <c r="A656" s="7">
        <v>3045789.476</v>
      </c>
      <c r="B656" s="7">
        <v>35401166.591</v>
      </c>
      <c r="C656" s="8">
        <v>913.439</v>
      </c>
      <c r="D656" s="11">
        <v>45215</v>
      </c>
      <c r="E656" s="10">
        <v>790.976</v>
      </c>
    </row>
    <row r="657" ht="16.5" spans="1:5">
      <c r="A657" s="7">
        <v>3045789.476</v>
      </c>
      <c r="B657" s="7">
        <v>35401166.591</v>
      </c>
      <c r="C657" s="8">
        <v>913.439</v>
      </c>
      <c r="D657" s="11">
        <v>45216</v>
      </c>
      <c r="E657" s="10">
        <v>790.219</v>
      </c>
    </row>
    <row r="658" ht="16.5" spans="1:5">
      <c r="A658" s="7">
        <v>3045789.476</v>
      </c>
      <c r="B658" s="7">
        <v>35401166.591</v>
      </c>
      <c r="C658" s="8">
        <v>913.439</v>
      </c>
      <c r="D658" s="11">
        <v>45217</v>
      </c>
      <c r="E658" s="10">
        <v>790.419</v>
      </c>
    </row>
    <row r="659" ht="16.5" spans="1:5">
      <c r="A659" s="7">
        <v>3045789.476</v>
      </c>
      <c r="B659" s="7">
        <v>35401166.591</v>
      </c>
      <c r="C659" s="8">
        <v>913.439</v>
      </c>
      <c r="D659" s="11">
        <v>45218</v>
      </c>
      <c r="E659" s="10"/>
    </row>
    <row r="660" ht="16.5" spans="1:5">
      <c r="A660" s="7">
        <v>3045789.476</v>
      </c>
      <c r="B660" s="7">
        <v>35401166.591</v>
      </c>
      <c r="C660" s="8">
        <v>913.439</v>
      </c>
      <c r="D660" s="11">
        <v>45219</v>
      </c>
      <c r="E660" s="10">
        <v>790.343</v>
      </c>
    </row>
    <row r="661" ht="16.5" spans="1:5">
      <c r="A661" s="7">
        <v>3045789.476</v>
      </c>
      <c r="B661" s="7">
        <v>35401166.591</v>
      </c>
      <c r="C661" s="8">
        <v>913.439</v>
      </c>
      <c r="D661" s="11">
        <v>45220</v>
      </c>
      <c r="E661" s="10"/>
    </row>
    <row r="662" ht="16.5" spans="1:5">
      <c r="A662" s="7">
        <v>3045789.476</v>
      </c>
      <c r="B662" s="7">
        <v>35401166.591</v>
      </c>
      <c r="C662" s="8">
        <v>913.439</v>
      </c>
      <c r="D662" s="11">
        <v>45221</v>
      </c>
      <c r="E662" s="10"/>
    </row>
    <row r="663" ht="16.5" spans="1:5">
      <c r="A663" s="7">
        <v>3045789.476</v>
      </c>
      <c r="B663" s="7">
        <v>35401166.591</v>
      </c>
      <c r="C663" s="8">
        <v>913.439</v>
      </c>
      <c r="D663" s="11">
        <v>45222</v>
      </c>
      <c r="E663" s="10"/>
    </row>
    <row r="664" ht="16.5" spans="1:5">
      <c r="A664" s="7">
        <v>3045789.476</v>
      </c>
      <c r="B664" s="7">
        <v>35401166.591</v>
      </c>
      <c r="C664" s="8">
        <v>913.439</v>
      </c>
      <c r="D664" s="11">
        <v>45223</v>
      </c>
      <c r="E664" s="10"/>
    </row>
    <row r="665" ht="16.5" spans="1:5">
      <c r="A665" s="7">
        <v>3045789.476</v>
      </c>
      <c r="B665" s="7">
        <v>35401166.591</v>
      </c>
      <c r="C665" s="8">
        <v>913.439</v>
      </c>
      <c r="D665" s="11">
        <v>45224</v>
      </c>
      <c r="E665" s="10"/>
    </row>
    <row r="666" ht="16.5" spans="1:5">
      <c r="A666" s="7">
        <v>3045789.476</v>
      </c>
      <c r="B666" s="7">
        <v>35401166.591</v>
      </c>
      <c r="C666" s="8">
        <v>913.439</v>
      </c>
      <c r="D666" s="11">
        <v>45225</v>
      </c>
      <c r="E666" s="10"/>
    </row>
    <row r="667" ht="16.5" spans="1:5">
      <c r="A667" s="7">
        <v>3045789.476</v>
      </c>
      <c r="B667" s="7">
        <v>35401166.591</v>
      </c>
      <c r="C667" s="8">
        <v>913.439</v>
      </c>
      <c r="D667" s="11">
        <v>45226</v>
      </c>
      <c r="E667" s="12"/>
    </row>
    <row r="668" ht="16.5" spans="1:5">
      <c r="A668" s="7">
        <v>3045789.476</v>
      </c>
      <c r="B668" s="7">
        <v>35401166.591</v>
      </c>
      <c r="C668" s="8">
        <v>913.439</v>
      </c>
      <c r="D668" s="11">
        <v>45227</v>
      </c>
      <c r="E668" s="12"/>
    </row>
    <row r="669" ht="16.5" spans="1:5">
      <c r="A669" s="7">
        <v>3045789.476</v>
      </c>
      <c r="B669" s="7">
        <v>35401166.591</v>
      </c>
      <c r="C669" s="8">
        <v>913.439</v>
      </c>
      <c r="D669" s="11">
        <v>45228</v>
      </c>
      <c r="E669" s="12"/>
    </row>
    <row r="670" ht="16.5" spans="1:5">
      <c r="A670" s="7">
        <v>3045789.476</v>
      </c>
      <c r="B670" s="7">
        <v>35401166.591</v>
      </c>
      <c r="C670" s="8">
        <v>913.439</v>
      </c>
      <c r="D670" s="11">
        <v>45229</v>
      </c>
      <c r="E670" s="12"/>
    </row>
    <row r="671" ht="16.5" spans="1:5">
      <c r="A671" s="7">
        <v>3045789.476</v>
      </c>
      <c r="B671" s="7">
        <v>35401166.591</v>
      </c>
      <c r="C671" s="8">
        <v>913.439</v>
      </c>
      <c r="D671" s="11">
        <v>45230</v>
      </c>
      <c r="E671" s="12"/>
    </row>
    <row r="672" ht="16.5" spans="1:5">
      <c r="A672" s="7">
        <v>3045789.476</v>
      </c>
      <c r="B672" s="7">
        <v>35401166.591</v>
      </c>
      <c r="C672" s="8">
        <v>913.439</v>
      </c>
      <c r="D672" s="11">
        <v>45231</v>
      </c>
      <c r="E672" s="12"/>
    </row>
    <row r="673" ht="16.5" spans="1:5">
      <c r="A673" s="7">
        <v>3045789.476</v>
      </c>
      <c r="B673" s="7">
        <v>35401166.591</v>
      </c>
      <c r="C673" s="8">
        <v>913.439</v>
      </c>
      <c r="D673" s="11">
        <v>45232</v>
      </c>
      <c r="E673" s="10">
        <v>789.351</v>
      </c>
    </row>
    <row r="674" ht="16.5" spans="1:5">
      <c r="A674" s="7">
        <v>3045789.476</v>
      </c>
      <c r="B674" s="7">
        <v>35401166.591</v>
      </c>
      <c r="C674" s="8">
        <v>913.439</v>
      </c>
      <c r="D674" s="11">
        <v>45233</v>
      </c>
      <c r="E674" s="12"/>
    </row>
    <row r="675" ht="16.5" spans="1:5">
      <c r="A675" s="7">
        <v>3045789.476</v>
      </c>
      <c r="B675" s="7">
        <v>35401166.591</v>
      </c>
      <c r="C675" s="8">
        <v>913.439</v>
      </c>
      <c r="D675" s="11">
        <v>45234</v>
      </c>
      <c r="E675" s="12"/>
    </row>
    <row r="676" ht="16.5" spans="1:5">
      <c r="A676" s="7">
        <v>3045789.476</v>
      </c>
      <c r="B676" s="7">
        <v>35401166.591</v>
      </c>
      <c r="C676" s="8">
        <v>913.439</v>
      </c>
      <c r="D676" s="11">
        <v>45235</v>
      </c>
      <c r="E676" s="12"/>
    </row>
    <row r="677" ht="16.5" spans="1:5">
      <c r="A677" s="7">
        <v>3045789.476</v>
      </c>
      <c r="B677" s="7">
        <v>35401166.591</v>
      </c>
      <c r="C677" s="8">
        <v>913.439</v>
      </c>
      <c r="D677" s="11">
        <v>45236</v>
      </c>
      <c r="E677" s="12"/>
    </row>
    <row r="678" ht="16.5" spans="1:5">
      <c r="A678" s="7">
        <v>3045789.476</v>
      </c>
      <c r="B678" s="7">
        <v>35401166.591</v>
      </c>
      <c r="C678" s="8">
        <v>913.439</v>
      </c>
      <c r="D678" s="11">
        <v>45237</v>
      </c>
      <c r="E678" s="12"/>
    </row>
    <row r="679" ht="16.5" spans="1:5">
      <c r="A679" s="7">
        <v>3045789.476</v>
      </c>
      <c r="B679" s="7">
        <v>35401166.591</v>
      </c>
      <c r="C679" s="8">
        <v>913.439</v>
      </c>
      <c r="D679" s="11">
        <v>45238</v>
      </c>
      <c r="E679" s="12"/>
    </row>
    <row r="680" ht="16.5" spans="1:5">
      <c r="A680" s="7">
        <v>3045789.476</v>
      </c>
      <c r="B680" s="7">
        <v>35401166.591</v>
      </c>
      <c r="C680" s="8">
        <v>913.439</v>
      </c>
      <c r="D680" s="11">
        <v>45239</v>
      </c>
      <c r="E680" s="12"/>
    </row>
    <row r="681" ht="16.5" spans="1:5">
      <c r="A681" s="7">
        <v>3045789.476</v>
      </c>
      <c r="B681" s="7">
        <v>35401166.591</v>
      </c>
      <c r="C681" s="8">
        <v>913.439</v>
      </c>
      <c r="D681" s="11">
        <v>45240</v>
      </c>
      <c r="E681" s="10">
        <v>788.28</v>
      </c>
    </row>
    <row r="682" ht="16.5" spans="1:5">
      <c r="A682" s="7">
        <v>3045789.476</v>
      </c>
      <c r="B682" s="7">
        <v>35401166.591</v>
      </c>
      <c r="C682" s="8">
        <v>913.439</v>
      </c>
      <c r="D682" s="11">
        <v>45241</v>
      </c>
      <c r="E682" s="10"/>
    </row>
    <row r="683" ht="16.5" spans="1:5">
      <c r="A683" s="7">
        <v>3045789.476</v>
      </c>
      <c r="B683" s="7">
        <v>35401166.591</v>
      </c>
      <c r="C683" s="8">
        <v>913.439</v>
      </c>
      <c r="D683" s="11">
        <v>45242</v>
      </c>
      <c r="E683" s="10"/>
    </row>
    <row r="684" ht="16.5" spans="1:5">
      <c r="A684" s="7">
        <v>3045789.476</v>
      </c>
      <c r="B684" s="7">
        <v>35401166.591</v>
      </c>
      <c r="C684" s="8">
        <v>913.439</v>
      </c>
      <c r="D684" s="11">
        <v>45243</v>
      </c>
      <c r="E684" s="10"/>
    </row>
    <row r="685" ht="16.5" spans="1:5">
      <c r="A685" s="7">
        <v>3045789.476</v>
      </c>
      <c r="B685" s="7">
        <v>35401166.591</v>
      </c>
      <c r="C685" s="8">
        <v>913.439</v>
      </c>
      <c r="D685" s="11">
        <v>45244</v>
      </c>
      <c r="E685" s="10"/>
    </row>
    <row r="686" ht="16.5" spans="1:5">
      <c r="A686" s="7">
        <v>3045789.476</v>
      </c>
      <c r="B686" s="7">
        <v>35401166.591</v>
      </c>
      <c r="C686" s="8">
        <v>913.439</v>
      </c>
      <c r="D686" s="11">
        <v>45245</v>
      </c>
      <c r="E686" s="10"/>
    </row>
    <row r="687" ht="16.5" spans="1:5">
      <c r="A687" s="7">
        <v>3045789.476</v>
      </c>
      <c r="B687" s="7">
        <v>35401166.591</v>
      </c>
      <c r="C687" s="8">
        <v>913.439</v>
      </c>
      <c r="D687" s="11">
        <v>45246</v>
      </c>
      <c r="E687" s="10">
        <v>779.04</v>
      </c>
    </row>
    <row r="688" ht="16.5" spans="1:5">
      <c r="A688" s="7">
        <v>3045789.476</v>
      </c>
      <c r="B688" s="7">
        <v>35401166.591</v>
      </c>
      <c r="C688" s="8">
        <v>913.439</v>
      </c>
      <c r="D688" s="11">
        <v>45247</v>
      </c>
      <c r="E688" s="10">
        <v>779.04</v>
      </c>
    </row>
    <row r="689" ht="16.5" spans="1:5">
      <c r="A689" s="7">
        <v>3045789.476</v>
      </c>
      <c r="B689" s="7">
        <v>35401166.591</v>
      </c>
      <c r="C689" s="8">
        <v>913.439</v>
      </c>
      <c r="D689" s="11">
        <v>45248</v>
      </c>
      <c r="E689" s="10">
        <v>778.74</v>
      </c>
    </row>
    <row r="690" ht="16.5" spans="1:5">
      <c r="A690" s="7">
        <v>3045789.476</v>
      </c>
      <c r="B690" s="7">
        <v>35401166.591</v>
      </c>
      <c r="C690" s="8">
        <v>913.439</v>
      </c>
      <c r="D690" s="11">
        <v>45249</v>
      </c>
      <c r="E690" s="10">
        <v>778.55</v>
      </c>
    </row>
    <row r="691" ht="16.5" spans="1:5">
      <c r="A691" s="7">
        <v>3045789.476</v>
      </c>
      <c r="B691" s="7">
        <v>35401166.591</v>
      </c>
      <c r="C691" s="8">
        <v>913.439</v>
      </c>
      <c r="D691" s="11">
        <v>45250</v>
      </c>
      <c r="E691" s="10">
        <v>778.01</v>
      </c>
    </row>
    <row r="692" ht="16.5" spans="1:5">
      <c r="A692" s="7">
        <v>3045789.476</v>
      </c>
      <c r="B692" s="7">
        <v>35401166.591</v>
      </c>
      <c r="C692" s="8">
        <v>913.439</v>
      </c>
      <c r="D692" s="11">
        <v>45251</v>
      </c>
      <c r="E692" s="10">
        <v>777.44</v>
      </c>
    </row>
    <row r="693" ht="16.5" spans="1:5">
      <c r="A693" s="7">
        <v>3045789.476</v>
      </c>
      <c r="B693" s="7">
        <v>35401166.591</v>
      </c>
      <c r="C693" s="8">
        <v>913.439</v>
      </c>
      <c r="D693" s="11">
        <v>45252</v>
      </c>
      <c r="E693" s="10">
        <v>778.74</v>
      </c>
    </row>
    <row r="694" ht="16.5" spans="1:5">
      <c r="A694" s="7">
        <v>3045789.476</v>
      </c>
      <c r="B694" s="7">
        <v>35401166.591</v>
      </c>
      <c r="C694" s="8">
        <v>913.439</v>
      </c>
      <c r="D694" s="11">
        <v>45253</v>
      </c>
      <c r="E694" s="10">
        <v>778.25</v>
      </c>
    </row>
    <row r="695" ht="16.5" spans="1:5">
      <c r="A695" s="7">
        <v>3045789.476</v>
      </c>
      <c r="B695" s="7">
        <v>35401166.591</v>
      </c>
      <c r="C695" s="8">
        <v>913.439</v>
      </c>
      <c r="D695" s="11">
        <v>45254</v>
      </c>
      <c r="E695" s="10">
        <v>777.51</v>
      </c>
    </row>
    <row r="696" ht="16.5" spans="1:5">
      <c r="A696" s="7">
        <v>3045789.476</v>
      </c>
      <c r="B696" s="7">
        <v>35401166.591</v>
      </c>
      <c r="C696" s="8">
        <v>913.439</v>
      </c>
      <c r="D696" s="11">
        <v>45255</v>
      </c>
      <c r="E696" s="10"/>
    </row>
    <row r="697" ht="16.5" spans="1:5">
      <c r="A697" s="7">
        <v>3045789.476</v>
      </c>
      <c r="B697" s="7">
        <v>35401166.591</v>
      </c>
      <c r="C697" s="8">
        <v>913.439</v>
      </c>
      <c r="D697" s="11">
        <v>45256</v>
      </c>
      <c r="E697" s="10"/>
    </row>
    <row r="698" ht="16.5" spans="1:5">
      <c r="A698" s="7">
        <v>3045789.476</v>
      </c>
      <c r="B698" s="7">
        <v>35401166.591</v>
      </c>
      <c r="C698" s="8">
        <v>913.439</v>
      </c>
      <c r="D698" s="11">
        <v>45257</v>
      </c>
      <c r="E698" s="10"/>
    </row>
    <row r="699" ht="16.5" spans="1:5">
      <c r="A699" s="7">
        <v>3045789.476</v>
      </c>
      <c r="B699" s="7">
        <v>35401166.591</v>
      </c>
      <c r="C699" s="8">
        <v>913.439</v>
      </c>
      <c r="D699" s="11">
        <v>45258</v>
      </c>
      <c r="E699" s="10">
        <v>773.73</v>
      </c>
    </row>
    <row r="700" ht="16.5" spans="1:5">
      <c r="A700" s="7">
        <v>3045789.476</v>
      </c>
      <c r="B700" s="7">
        <v>35401166.591</v>
      </c>
      <c r="C700" s="8">
        <v>913.439</v>
      </c>
      <c r="D700" s="11">
        <v>45259</v>
      </c>
      <c r="E700" s="10">
        <v>773.85</v>
      </c>
    </row>
    <row r="701" ht="16.5" spans="1:5">
      <c r="A701" s="7">
        <v>3045789.476</v>
      </c>
      <c r="B701" s="7">
        <v>35401166.591</v>
      </c>
      <c r="C701" s="8">
        <v>913.439</v>
      </c>
      <c r="D701" s="11">
        <v>45260</v>
      </c>
      <c r="E701" s="10">
        <v>774.87</v>
      </c>
    </row>
    <row r="702" ht="16.5" spans="1:5">
      <c r="A702" s="7">
        <v>3045789.476</v>
      </c>
      <c r="B702" s="7">
        <v>35401166.591</v>
      </c>
      <c r="C702" s="8">
        <v>913.439</v>
      </c>
      <c r="D702" s="11">
        <v>45261</v>
      </c>
      <c r="E702" s="10">
        <v>773.99</v>
      </c>
    </row>
    <row r="703" ht="16.5" spans="1:5">
      <c r="A703" s="7">
        <v>3045789.476</v>
      </c>
      <c r="B703" s="7">
        <v>35401166.591</v>
      </c>
      <c r="C703" s="8">
        <v>913.439</v>
      </c>
      <c r="D703" s="11">
        <v>45262</v>
      </c>
      <c r="E703" s="10">
        <v>773.67</v>
      </c>
    </row>
    <row r="704" ht="16.5" spans="1:5">
      <c r="A704" s="7">
        <v>3045789.476</v>
      </c>
      <c r="B704" s="7">
        <v>35401166.591</v>
      </c>
      <c r="C704" s="8">
        <v>913.439</v>
      </c>
      <c r="D704" s="11">
        <v>45263</v>
      </c>
      <c r="E704" s="10">
        <v>773.86</v>
      </c>
    </row>
    <row r="705" ht="16.5" spans="1:5">
      <c r="A705" s="7">
        <v>3045789.476</v>
      </c>
      <c r="B705" s="7">
        <v>35401166.591</v>
      </c>
      <c r="C705" s="8">
        <v>913.439</v>
      </c>
      <c r="D705" s="11">
        <v>45264</v>
      </c>
      <c r="E705" s="10">
        <v>775.25</v>
      </c>
    </row>
    <row r="706" ht="16.5" spans="1:5">
      <c r="A706" s="7">
        <v>3045789.476</v>
      </c>
      <c r="B706" s="7">
        <v>35401166.591</v>
      </c>
      <c r="C706" s="8">
        <v>913.439</v>
      </c>
      <c r="D706" s="11">
        <v>45265</v>
      </c>
      <c r="E706" s="10">
        <v>775.17</v>
      </c>
    </row>
    <row r="707" ht="16.5" spans="1:5">
      <c r="A707" s="7">
        <v>3045789.476</v>
      </c>
      <c r="B707" s="7">
        <v>35401166.591</v>
      </c>
      <c r="C707" s="8">
        <v>913.439</v>
      </c>
      <c r="D707" s="11">
        <v>45266</v>
      </c>
      <c r="E707" s="10">
        <v>774.8</v>
      </c>
    </row>
    <row r="708" ht="16.5" spans="1:5">
      <c r="A708" s="7">
        <v>3045789.476</v>
      </c>
      <c r="B708" s="7">
        <v>35401166.591</v>
      </c>
      <c r="C708" s="8">
        <v>913.439</v>
      </c>
      <c r="D708" s="11">
        <v>45267</v>
      </c>
      <c r="E708" s="10">
        <v>774.77</v>
      </c>
    </row>
    <row r="709" ht="16.5" spans="1:5">
      <c r="A709" s="7">
        <v>3045789.476</v>
      </c>
      <c r="B709" s="7">
        <v>35401166.591</v>
      </c>
      <c r="C709" s="8">
        <v>913.439</v>
      </c>
      <c r="D709" s="11">
        <v>45268</v>
      </c>
      <c r="E709" s="10">
        <v>774.986</v>
      </c>
    </row>
    <row r="710" ht="16.5" spans="1:5">
      <c r="A710" s="7">
        <v>3045789.476</v>
      </c>
      <c r="B710" s="7">
        <v>35401166.591</v>
      </c>
      <c r="C710" s="8">
        <v>913.439</v>
      </c>
      <c r="D710" s="11">
        <v>45269</v>
      </c>
      <c r="E710" s="10">
        <v>774.913</v>
      </c>
    </row>
    <row r="711" ht="16.5" spans="1:5">
      <c r="A711" s="7">
        <v>3045789.476</v>
      </c>
      <c r="B711" s="7">
        <v>35401166.591</v>
      </c>
      <c r="C711" s="8">
        <v>913.439</v>
      </c>
      <c r="D711" s="11">
        <v>45270</v>
      </c>
      <c r="E711" s="10">
        <v>773.471</v>
      </c>
    </row>
    <row r="712" ht="16.5" spans="1:5">
      <c r="A712" s="7">
        <v>3045789.476</v>
      </c>
      <c r="B712" s="7">
        <v>35401166.591</v>
      </c>
      <c r="C712" s="8">
        <v>913.439</v>
      </c>
      <c r="D712" s="11">
        <v>45271</v>
      </c>
      <c r="E712" s="10">
        <v>773.272</v>
      </c>
    </row>
    <row r="713" ht="16.5" spans="1:5">
      <c r="A713" s="7">
        <v>3045789.476</v>
      </c>
      <c r="B713" s="7">
        <v>35401166.591</v>
      </c>
      <c r="C713" s="8">
        <v>913.439</v>
      </c>
      <c r="D713" s="11">
        <v>45272</v>
      </c>
      <c r="E713" s="10">
        <v>773.18</v>
      </c>
    </row>
    <row r="714" ht="16.5" spans="1:5">
      <c r="A714" s="7">
        <v>3045789.476</v>
      </c>
      <c r="B714" s="7">
        <v>35401166.591</v>
      </c>
      <c r="C714" s="8">
        <v>913.439</v>
      </c>
      <c r="D714" s="11">
        <v>45273</v>
      </c>
      <c r="E714" s="10">
        <v>772.601</v>
      </c>
    </row>
    <row r="715" ht="16.5" spans="1:5">
      <c r="A715" s="7">
        <v>3045789.476</v>
      </c>
      <c r="B715" s="7">
        <v>35401166.591</v>
      </c>
      <c r="C715" s="8">
        <v>913.439</v>
      </c>
      <c r="D715" s="11">
        <v>45274</v>
      </c>
      <c r="E715" s="10">
        <v>772.601</v>
      </c>
    </row>
    <row r="716" ht="16.5" spans="1:5">
      <c r="A716" s="7">
        <v>3045789.476</v>
      </c>
      <c r="B716" s="7">
        <v>35401166.591</v>
      </c>
      <c r="C716" s="8">
        <v>913.439</v>
      </c>
      <c r="D716" s="11">
        <v>45275</v>
      </c>
      <c r="E716" s="10">
        <v>772.578</v>
      </c>
    </row>
    <row r="717" ht="16.5" spans="1:5">
      <c r="A717" s="7">
        <v>3045789.476</v>
      </c>
      <c r="B717" s="7">
        <v>35401166.591</v>
      </c>
      <c r="C717" s="8">
        <v>913.439</v>
      </c>
      <c r="D717" s="11">
        <v>45276</v>
      </c>
      <c r="E717" s="10">
        <v>779.496</v>
      </c>
    </row>
    <row r="718" ht="16.5" spans="1:5">
      <c r="A718" s="7">
        <v>3045789.476</v>
      </c>
      <c r="B718" s="7">
        <v>35401166.591</v>
      </c>
      <c r="C718" s="8">
        <v>913.439</v>
      </c>
      <c r="D718" s="11">
        <v>45277</v>
      </c>
      <c r="E718" s="10">
        <v>782.822</v>
      </c>
    </row>
    <row r="719" ht="16.5" spans="1:5">
      <c r="A719" s="7">
        <v>3045789.476</v>
      </c>
      <c r="B719" s="7">
        <v>35401166.591</v>
      </c>
      <c r="C719" s="8">
        <v>913.439</v>
      </c>
      <c r="D719" s="11">
        <v>45278</v>
      </c>
      <c r="E719" s="10">
        <v>787.547</v>
      </c>
    </row>
    <row r="720" ht="16.5" spans="1:5">
      <c r="A720" s="7">
        <v>3045789.476</v>
      </c>
      <c r="B720" s="7">
        <v>35401166.591</v>
      </c>
      <c r="C720" s="8">
        <v>913.439</v>
      </c>
      <c r="D720" s="11">
        <v>45279</v>
      </c>
      <c r="E720" s="10">
        <v>788.552</v>
      </c>
    </row>
    <row r="721" ht="16.5" spans="1:5">
      <c r="A721" s="7">
        <v>3045789.476</v>
      </c>
      <c r="B721" s="7">
        <v>35401166.591</v>
      </c>
      <c r="C721" s="8">
        <v>913.439</v>
      </c>
      <c r="D721" s="11">
        <v>45280</v>
      </c>
      <c r="E721" s="10">
        <v>787.655</v>
      </c>
    </row>
    <row r="722" ht="16.5" spans="1:5">
      <c r="A722" s="7">
        <v>3045789.476</v>
      </c>
      <c r="B722" s="7">
        <v>35401166.591</v>
      </c>
      <c r="C722" s="8">
        <v>913.439</v>
      </c>
      <c r="D722" s="11">
        <v>45281</v>
      </c>
      <c r="E722" s="10">
        <v>787.505</v>
      </c>
    </row>
    <row r="723" ht="16.5" spans="1:5">
      <c r="A723" s="7">
        <v>3045789.476</v>
      </c>
      <c r="B723" s="7">
        <v>35401166.591</v>
      </c>
      <c r="C723" s="8">
        <v>913.439</v>
      </c>
      <c r="D723" s="11">
        <v>45282</v>
      </c>
      <c r="E723" s="10">
        <v>783.914</v>
      </c>
    </row>
    <row r="724" ht="16.5" spans="1:5">
      <c r="A724" s="7">
        <v>3045789.476</v>
      </c>
      <c r="B724" s="7">
        <v>35401166.591</v>
      </c>
      <c r="C724" s="8">
        <v>913.439</v>
      </c>
      <c r="D724" s="11">
        <v>45283</v>
      </c>
      <c r="E724" s="10">
        <v>782.982</v>
      </c>
    </row>
    <row r="725" ht="16.5" spans="1:5">
      <c r="A725" s="7">
        <v>3045789.476</v>
      </c>
      <c r="B725" s="7">
        <v>35401166.591</v>
      </c>
      <c r="C725" s="8">
        <v>913.439</v>
      </c>
      <c r="D725" s="11">
        <v>45284</v>
      </c>
      <c r="E725" s="10">
        <v>782.673</v>
      </c>
    </row>
    <row r="726" ht="16.5" spans="1:5">
      <c r="A726" s="7">
        <v>3045789.476</v>
      </c>
      <c r="B726" s="7">
        <v>35401166.591</v>
      </c>
      <c r="C726" s="8">
        <v>913.439</v>
      </c>
      <c r="D726" s="11">
        <v>45285</v>
      </c>
      <c r="E726" s="10">
        <v>782.437</v>
      </c>
    </row>
    <row r="727" ht="16.5" spans="1:5">
      <c r="A727" s="7">
        <v>3045789.476</v>
      </c>
      <c r="B727" s="7">
        <v>35401166.591</v>
      </c>
      <c r="C727" s="8">
        <v>913.439</v>
      </c>
      <c r="D727" s="11">
        <v>45286</v>
      </c>
      <c r="E727" s="10">
        <v>782.284</v>
      </c>
    </row>
    <row r="728" ht="16.5" spans="1:5">
      <c r="A728" s="7">
        <v>3045789.476</v>
      </c>
      <c r="B728" s="7">
        <v>35401166.591</v>
      </c>
      <c r="C728" s="8">
        <v>913.439</v>
      </c>
      <c r="D728" s="11">
        <v>45287</v>
      </c>
      <c r="E728" s="10">
        <v>782.049</v>
      </c>
    </row>
    <row r="729" ht="16.5" spans="1:5">
      <c r="A729" s="7">
        <v>3045789.476</v>
      </c>
      <c r="B729" s="7">
        <v>35401166.591</v>
      </c>
      <c r="C729" s="8">
        <v>913.439</v>
      </c>
      <c r="D729" s="11">
        <v>45288</v>
      </c>
      <c r="E729" s="10">
        <v>781.906</v>
      </c>
    </row>
    <row r="730" ht="16.5" spans="1:5">
      <c r="A730" s="7">
        <v>3045789.476</v>
      </c>
      <c r="B730" s="7">
        <v>35401166.591</v>
      </c>
      <c r="C730" s="8">
        <v>913.439</v>
      </c>
      <c r="D730" s="11">
        <v>45289</v>
      </c>
      <c r="E730" s="10">
        <v>780.864</v>
      </c>
    </row>
    <row r="731" ht="16.5" spans="1:5">
      <c r="A731" s="7">
        <v>3045789.476</v>
      </c>
      <c r="B731" s="7">
        <v>35401166.591</v>
      </c>
      <c r="C731" s="8">
        <v>913.439</v>
      </c>
      <c r="D731" s="11">
        <v>45290</v>
      </c>
      <c r="E731" s="10">
        <v>780.992</v>
      </c>
    </row>
    <row r="732" ht="16.5" spans="1:5">
      <c r="A732" s="7">
        <v>3045789.476</v>
      </c>
      <c r="B732" s="7">
        <v>35401166.591</v>
      </c>
      <c r="C732" s="8">
        <v>913.439</v>
      </c>
      <c r="D732" s="11">
        <v>45291</v>
      </c>
      <c r="E732" s="10">
        <v>781.406</v>
      </c>
    </row>
    <row r="733" ht="16.5" spans="1:5">
      <c r="A733" s="7">
        <v>3045789.476</v>
      </c>
      <c r="B733" s="7">
        <v>35401166.591</v>
      </c>
      <c r="C733" s="8">
        <v>913.439</v>
      </c>
      <c r="D733" s="11">
        <v>45292</v>
      </c>
      <c r="E733" s="10">
        <v>784.488</v>
      </c>
    </row>
    <row r="734" ht="16.5" spans="1:5">
      <c r="A734" s="7">
        <v>3045789.476</v>
      </c>
      <c r="B734" s="7">
        <v>35401166.591</v>
      </c>
      <c r="C734" s="8">
        <v>913.439</v>
      </c>
      <c r="D734" s="11">
        <v>45293</v>
      </c>
      <c r="E734" s="10">
        <v>785.136</v>
      </c>
    </row>
    <row r="735" ht="16.5" spans="1:5">
      <c r="A735" s="7">
        <v>3045789.476</v>
      </c>
      <c r="B735" s="7">
        <v>35401166.591</v>
      </c>
      <c r="C735" s="8">
        <v>913.439</v>
      </c>
      <c r="D735" s="11">
        <v>45294</v>
      </c>
      <c r="E735" s="14">
        <v>785.131</v>
      </c>
    </row>
    <row r="736" ht="16.5" spans="1:5">
      <c r="A736" s="7">
        <v>3045789.476</v>
      </c>
      <c r="B736" s="7">
        <v>35401166.591</v>
      </c>
      <c r="C736" s="8">
        <v>913.439</v>
      </c>
      <c r="D736" s="11">
        <v>45295</v>
      </c>
      <c r="E736" s="18">
        <v>785.137</v>
      </c>
    </row>
    <row r="737" ht="16.5" spans="1:5">
      <c r="A737" s="7">
        <v>3045789.476</v>
      </c>
      <c r="B737" s="7">
        <v>35401166.591</v>
      </c>
      <c r="C737" s="8">
        <v>913.439</v>
      </c>
      <c r="D737" s="11">
        <v>45296</v>
      </c>
      <c r="E737" s="18">
        <v>785.058</v>
      </c>
    </row>
    <row r="738" ht="16.5" spans="1:5">
      <c r="A738" s="7">
        <v>3045789.476</v>
      </c>
      <c r="B738" s="7">
        <v>35401166.591</v>
      </c>
      <c r="C738" s="8">
        <v>913.439</v>
      </c>
      <c r="D738" s="11">
        <v>45297</v>
      </c>
      <c r="E738" s="18">
        <v>784.863</v>
      </c>
    </row>
    <row r="739" ht="16.5" spans="1:5">
      <c r="A739" s="7">
        <v>3045789.476</v>
      </c>
      <c r="B739" s="7">
        <v>35401166.591</v>
      </c>
      <c r="C739" s="8">
        <v>913.439</v>
      </c>
      <c r="D739" s="11">
        <v>45298</v>
      </c>
      <c r="E739" s="18">
        <v>784.835</v>
      </c>
    </row>
    <row r="740" ht="16.5" spans="1:5">
      <c r="A740" s="7">
        <v>3045789.476</v>
      </c>
      <c r="B740" s="7">
        <v>35401166.591</v>
      </c>
      <c r="C740" s="8">
        <v>913.439</v>
      </c>
      <c r="D740" s="11">
        <v>45299</v>
      </c>
      <c r="E740" s="18">
        <v>783.784</v>
      </c>
    </row>
    <row r="741" ht="16.5" spans="1:5">
      <c r="A741" s="7">
        <v>3045789.476</v>
      </c>
      <c r="B741" s="7">
        <v>35401166.591</v>
      </c>
      <c r="C741" s="8">
        <v>913.439</v>
      </c>
      <c r="D741" s="11">
        <v>45300</v>
      </c>
      <c r="E741" s="18">
        <v>783.162</v>
      </c>
    </row>
    <row r="742" ht="16.5" spans="1:5">
      <c r="A742" s="7">
        <v>3045789.476</v>
      </c>
      <c r="B742" s="7">
        <v>35401166.591</v>
      </c>
      <c r="C742" s="8">
        <v>913.439</v>
      </c>
      <c r="D742" s="11">
        <v>45301</v>
      </c>
      <c r="E742" s="18">
        <v>783.137</v>
      </c>
    </row>
    <row r="743" ht="16.5" spans="1:5">
      <c r="A743" s="7">
        <v>3045789.476</v>
      </c>
      <c r="B743" s="7">
        <v>35401166.591</v>
      </c>
      <c r="C743" s="8">
        <v>913.439</v>
      </c>
      <c r="D743" s="11">
        <v>45302</v>
      </c>
      <c r="E743" s="18">
        <v>783.069</v>
      </c>
    </row>
    <row r="744" ht="16.5" spans="1:5">
      <c r="A744" s="7">
        <v>3045789.476</v>
      </c>
      <c r="B744" s="7">
        <v>35401166.591</v>
      </c>
      <c r="C744" s="8">
        <v>913.439</v>
      </c>
      <c r="D744" s="11">
        <v>45303</v>
      </c>
      <c r="E744" s="18">
        <v>782.208</v>
      </c>
    </row>
    <row r="745" ht="16.5" spans="1:5">
      <c r="A745" s="7">
        <v>3045789.476</v>
      </c>
      <c r="B745" s="7">
        <v>35401166.591</v>
      </c>
      <c r="C745" s="8">
        <v>913.439</v>
      </c>
      <c r="D745" s="11">
        <v>45304</v>
      </c>
      <c r="E745" s="19">
        <v>782.164</v>
      </c>
    </row>
    <row r="746" ht="16.5" spans="1:5">
      <c r="A746" s="7">
        <v>3045789.476</v>
      </c>
      <c r="B746" s="7">
        <v>35401166.591</v>
      </c>
      <c r="C746" s="8">
        <v>913.439</v>
      </c>
      <c r="D746" s="11">
        <v>45305</v>
      </c>
      <c r="E746" s="19">
        <v>779.338</v>
      </c>
    </row>
    <row r="747" ht="16.5" spans="1:5">
      <c r="A747" s="7">
        <v>3045789.476</v>
      </c>
      <c r="B747" s="7">
        <v>35401166.591</v>
      </c>
      <c r="C747" s="8">
        <v>913.439</v>
      </c>
      <c r="D747" s="11">
        <v>45306</v>
      </c>
      <c r="E747" s="19">
        <v>762.919</v>
      </c>
    </row>
    <row r="748" ht="16.5" spans="1:5">
      <c r="A748" s="7">
        <v>3045789.476</v>
      </c>
      <c r="B748" s="7">
        <v>35401166.591</v>
      </c>
      <c r="C748" s="8">
        <v>913.439</v>
      </c>
      <c r="D748" s="11">
        <v>45307</v>
      </c>
      <c r="E748" s="19">
        <v>762.024</v>
      </c>
    </row>
    <row r="749" ht="16.5" spans="1:5">
      <c r="A749" s="7">
        <v>3045789.476</v>
      </c>
      <c r="B749" s="7">
        <v>35401166.591</v>
      </c>
      <c r="C749" s="8">
        <v>913.439</v>
      </c>
      <c r="D749" s="11">
        <v>45308</v>
      </c>
      <c r="E749" s="18">
        <v>760.927</v>
      </c>
    </row>
    <row r="750" ht="16.5" spans="1:5">
      <c r="A750" s="7">
        <v>3045789.476</v>
      </c>
      <c r="B750" s="7">
        <v>35401166.591</v>
      </c>
      <c r="C750" s="8">
        <v>913.439</v>
      </c>
      <c r="D750" s="11">
        <v>45309</v>
      </c>
      <c r="E750" s="18">
        <v>761.148</v>
      </c>
    </row>
    <row r="751" ht="16.5" spans="1:5">
      <c r="A751" s="7">
        <v>3045789.476</v>
      </c>
      <c r="B751" s="7">
        <v>35401166.591</v>
      </c>
      <c r="C751" s="8">
        <v>913.439</v>
      </c>
      <c r="D751" s="11">
        <v>45310</v>
      </c>
      <c r="E751" s="18">
        <v>760.736</v>
      </c>
    </row>
    <row r="752" ht="16.5" spans="1:5">
      <c r="A752" s="7">
        <v>3045789.476</v>
      </c>
      <c r="B752" s="7">
        <v>35401166.591</v>
      </c>
      <c r="C752" s="8">
        <v>913.439</v>
      </c>
      <c r="D752" s="11">
        <v>45311</v>
      </c>
      <c r="E752" s="18">
        <v>760.45</v>
      </c>
    </row>
    <row r="753" ht="16.5" spans="1:5">
      <c r="A753" s="7">
        <v>3045789.476</v>
      </c>
      <c r="B753" s="7">
        <v>35401166.591</v>
      </c>
      <c r="C753" s="8">
        <v>913.439</v>
      </c>
      <c r="D753" s="11">
        <v>45312</v>
      </c>
      <c r="E753" s="18">
        <v>760.153</v>
      </c>
    </row>
    <row r="754" ht="16.5" spans="1:5">
      <c r="A754" s="7">
        <v>3045789.476</v>
      </c>
      <c r="B754" s="7">
        <v>35401166.591</v>
      </c>
      <c r="C754" s="8">
        <v>913.439</v>
      </c>
      <c r="D754" s="11">
        <v>45313</v>
      </c>
      <c r="E754" s="18">
        <v>760.001</v>
      </c>
    </row>
    <row r="755" ht="16.5" spans="1:5">
      <c r="A755" s="7">
        <v>3045789.476</v>
      </c>
      <c r="B755" s="7">
        <v>35401166.591</v>
      </c>
      <c r="C755" s="8">
        <v>913.439</v>
      </c>
      <c r="D755" s="11">
        <v>45314</v>
      </c>
      <c r="E755" s="18">
        <v>759.946</v>
      </c>
    </row>
    <row r="756" ht="16.5" spans="1:5">
      <c r="A756" s="7">
        <v>3045789.476</v>
      </c>
      <c r="B756" s="7">
        <v>35401166.591</v>
      </c>
      <c r="C756" s="8">
        <v>913.439</v>
      </c>
      <c r="D756" s="11">
        <v>45315</v>
      </c>
      <c r="E756" s="18">
        <v>759.764</v>
      </c>
    </row>
    <row r="757" ht="16.5" spans="1:5">
      <c r="A757" s="7">
        <v>3045789.476</v>
      </c>
      <c r="B757" s="7">
        <v>35401166.591</v>
      </c>
      <c r="C757" s="8">
        <v>913.439</v>
      </c>
      <c r="D757" s="11">
        <v>45316</v>
      </c>
      <c r="E757" s="18">
        <v>759.941</v>
      </c>
    </row>
    <row r="758" ht="16.5" spans="1:5">
      <c r="A758" s="7">
        <v>3045789.476</v>
      </c>
      <c r="B758" s="7">
        <v>35401166.591</v>
      </c>
      <c r="C758" s="8">
        <v>913.439</v>
      </c>
      <c r="D758" s="11">
        <v>45317</v>
      </c>
      <c r="E758" s="18">
        <v>759.059</v>
      </c>
    </row>
    <row r="759" ht="16.5" spans="1:5">
      <c r="A759" s="7">
        <v>3045789.476</v>
      </c>
      <c r="B759" s="7">
        <v>35401166.591</v>
      </c>
      <c r="C759" s="8">
        <v>913.439</v>
      </c>
      <c r="D759" s="11">
        <v>45318</v>
      </c>
      <c r="E759" s="18">
        <v>759.462</v>
      </c>
    </row>
    <row r="760" ht="16.5" spans="1:5">
      <c r="A760" s="7">
        <v>3045789.476</v>
      </c>
      <c r="B760" s="7">
        <v>35401166.591</v>
      </c>
      <c r="C760" s="8">
        <v>913.439</v>
      </c>
      <c r="D760" s="11">
        <v>45319</v>
      </c>
      <c r="E760" s="18">
        <v>761.582</v>
      </c>
    </row>
    <row r="761" ht="16.5" spans="1:5">
      <c r="A761" s="7">
        <v>3045789.476</v>
      </c>
      <c r="B761" s="7">
        <v>35401166.591</v>
      </c>
      <c r="C761" s="8">
        <v>913.439</v>
      </c>
      <c r="D761" s="11">
        <v>45320</v>
      </c>
      <c r="E761" s="18">
        <v>774.774</v>
      </c>
    </row>
    <row r="762" ht="16.5" spans="1:5">
      <c r="A762" s="7">
        <v>3045789.476</v>
      </c>
      <c r="B762" s="7">
        <v>35401166.591</v>
      </c>
      <c r="C762" s="8">
        <v>913.439</v>
      </c>
      <c r="D762" s="11">
        <v>45321</v>
      </c>
      <c r="E762" s="18">
        <v>776.098</v>
      </c>
    </row>
    <row r="763" ht="16.5" spans="1:5">
      <c r="A763" s="7">
        <v>3045789.476</v>
      </c>
      <c r="B763" s="7">
        <v>35401166.591</v>
      </c>
      <c r="C763" s="8">
        <v>913.439</v>
      </c>
      <c r="D763" s="11">
        <v>45322</v>
      </c>
      <c r="E763" s="18">
        <v>778.951</v>
      </c>
    </row>
    <row r="764" ht="16.5" spans="1:5">
      <c r="A764" s="7">
        <v>3045789.476</v>
      </c>
      <c r="B764" s="7">
        <v>35401166.591</v>
      </c>
      <c r="C764" s="8">
        <v>913.439</v>
      </c>
      <c r="D764" s="11">
        <v>45323</v>
      </c>
      <c r="E764" s="18">
        <v>779.485</v>
      </c>
    </row>
    <row r="765" ht="16.5" spans="1:5">
      <c r="A765" s="7">
        <v>3045789.476</v>
      </c>
      <c r="B765" s="7">
        <v>35401166.591</v>
      </c>
      <c r="C765" s="8">
        <v>913.439</v>
      </c>
      <c r="D765" s="11">
        <v>45324</v>
      </c>
      <c r="E765" s="18">
        <v>779.541</v>
      </c>
    </row>
    <row r="766" ht="16.5" spans="1:5">
      <c r="A766" s="7">
        <v>3045789.476</v>
      </c>
      <c r="B766" s="7">
        <v>35401166.591</v>
      </c>
      <c r="C766" s="8">
        <v>913.439</v>
      </c>
      <c r="D766" s="11">
        <v>45325</v>
      </c>
      <c r="E766" s="18">
        <v>765.014</v>
      </c>
    </row>
    <row r="767" ht="16.5" spans="1:5">
      <c r="A767" s="7">
        <v>3045789.476</v>
      </c>
      <c r="B767" s="7">
        <v>35401166.591</v>
      </c>
      <c r="C767" s="8">
        <v>913.439</v>
      </c>
      <c r="D767" s="11">
        <v>45326</v>
      </c>
      <c r="E767" s="18">
        <v>764.38</v>
      </c>
    </row>
    <row r="768" ht="16.5" spans="1:5">
      <c r="A768" s="7">
        <v>3045789.476</v>
      </c>
      <c r="B768" s="7">
        <v>35401166.591</v>
      </c>
      <c r="C768" s="8">
        <v>913.439</v>
      </c>
      <c r="D768" s="11">
        <v>45327</v>
      </c>
      <c r="E768" s="18">
        <v>764.219</v>
      </c>
    </row>
    <row r="769" ht="16.5" spans="1:5">
      <c r="A769" s="7">
        <v>3045789.476</v>
      </c>
      <c r="B769" s="7">
        <v>35401166.591</v>
      </c>
      <c r="C769" s="8">
        <v>913.439</v>
      </c>
      <c r="D769" s="11">
        <v>45328</v>
      </c>
      <c r="E769" s="18">
        <v>764.091</v>
      </c>
    </row>
    <row r="770" ht="16.5" spans="1:5">
      <c r="A770" s="7">
        <v>3045789.476</v>
      </c>
      <c r="B770" s="7">
        <v>35401166.591</v>
      </c>
      <c r="C770" s="8">
        <v>913.439</v>
      </c>
      <c r="D770" s="11">
        <v>45329</v>
      </c>
      <c r="E770" s="18">
        <v>763.912</v>
      </c>
    </row>
    <row r="771" ht="16.5" spans="1:5">
      <c r="A771" s="7">
        <v>3045789.476</v>
      </c>
      <c r="B771" s="7">
        <v>35401166.591</v>
      </c>
      <c r="C771" s="8">
        <v>913.439</v>
      </c>
      <c r="D771" s="11">
        <v>45330</v>
      </c>
      <c r="E771" s="18">
        <v>763.799</v>
      </c>
    </row>
    <row r="772" ht="16.5" spans="1:5">
      <c r="A772" s="7">
        <v>3045789.476</v>
      </c>
      <c r="B772" s="7">
        <v>35401166.591</v>
      </c>
      <c r="C772" s="8">
        <v>913.439</v>
      </c>
      <c r="D772" s="11">
        <v>45331</v>
      </c>
      <c r="E772" s="18">
        <v>763.79</v>
      </c>
    </row>
    <row r="773" ht="16.5" spans="1:5">
      <c r="A773" s="7">
        <v>3045789.476</v>
      </c>
      <c r="B773" s="7">
        <v>35401166.591</v>
      </c>
      <c r="C773" s="8">
        <v>913.439</v>
      </c>
      <c r="D773" s="11">
        <v>45332</v>
      </c>
      <c r="E773" s="18">
        <v>763.69</v>
      </c>
    </row>
    <row r="774" ht="16.5" spans="1:5">
      <c r="A774" s="7">
        <v>3045789.476</v>
      </c>
      <c r="B774" s="7">
        <v>35401166.591</v>
      </c>
      <c r="C774" s="8">
        <v>913.439</v>
      </c>
      <c r="D774" s="11">
        <v>45333</v>
      </c>
      <c r="E774" s="18">
        <v>776.927</v>
      </c>
    </row>
    <row r="775" ht="16.5" spans="1:5">
      <c r="A775" s="7">
        <v>3045789.476</v>
      </c>
      <c r="B775" s="7">
        <v>35401166.591</v>
      </c>
      <c r="C775" s="8">
        <v>913.439</v>
      </c>
      <c r="D775" s="11">
        <v>45334</v>
      </c>
      <c r="E775" s="18">
        <v>778.175</v>
      </c>
    </row>
    <row r="776" ht="16.5" spans="1:5">
      <c r="A776" s="7">
        <v>3045789.476</v>
      </c>
      <c r="B776" s="7">
        <v>35401166.591</v>
      </c>
      <c r="C776" s="8">
        <v>913.439</v>
      </c>
      <c r="D776" s="11">
        <v>45335</v>
      </c>
      <c r="E776" s="18">
        <v>778.336</v>
      </c>
    </row>
    <row r="777" ht="16.5" spans="1:5">
      <c r="A777" s="7">
        <v>3045789.476</v>
      </c>
      <c r="B777" s="7">
        <v>35401166.591</v>
      </c>
      <c r="C777" s="8">
        <v>913.439</v>
      </c>
      <c r="D777" s="11">
        <v>45336</v>
      </c>
      <c r="E777" s="20">
        <v>778.337</v>
      </c>
    </row>
    <row r="778" ht="16.5" spans="1:5">
      <c r="A778" s="7">
        <v>3045789.476</v>
      </c>
      <c r="B778" s="7">
        <v>35401166.591</v>
      </c>
      <c r="C778" s="8">
        <v>913.439</v>
      </c>
      <c r="D778" s="11">
        <v>45337</v>
      </c>
      <c r="E778" s="12"/>
    </row>
    <row r="779" ht="16.5" spans="1:5">
      <c r="A779" s="7">
        <v>3045789.476</v>
      </c>
      <c r="B779" s="7">
        <v>35401166.591</v>
      </c>
      <c r="C779" s="8">
        <v>913.439</v>
      </c>
      <c r="D779" s="11">
        <v>45338</v>
      </c>
      <c r="E779" s="12"/>
    </row>
    <row r="780" ht="16.5" spans="1:5">
      <c r="A780" s="7">
        <v>3045789.476</v>
      </c>
      <c r="B780" s="7">
        <v>35401166.591</v>
      </c>
      <c r="C780" s="8">
        <v>913.439</v>
      </c>
      <c r="D780" s="11">
        <v>45339</v>
      </c>
      <c r="E780" s="12"/>
    </row>
    <row r="781" ht="16.5" spans="1:5">
      <c r="A781" s="7">
        <v>3045789.476</v>
      </c>
      <c r="B781" s="7">
        <v>35401166.591</v>
      </c>
      <c r="C781" s="8">
        <v>913.439</v>
      </c>
      <c r="D781" s="11">
        <v>45340</v>
      </c>
      <c r="E781" s="12"/>
    </row>
    <row r="782" ht="16.5" spans="1:5">
      <c r="A782" s="7">
        <v>3045789.476</v>
      </c>
      <c r="B782" s="7">
        <v>35401166.591</v>
      </c>
      <c r="C782" s="8">
        <v>913.439</v>
      </c>
      <c r="D782" s="11">
        <v>45341</v>
      </c>
      <c r="E782" s="18">
        <v>777.594</v>
      </c>
    </row>
    <row r="783" ht="16.5" spans="1:5">
      <c r="A783" s="7">
        <v>3045789.476</v>
      </c>
      <c r="B783" s="7">
        <v>35401166.591</v>
      </c>
      <c r="C783" s="8">
        <v>913.439</v>
      </c>
      <c r="D783" s="11">
        <v>45342</v>
      </c>
      <c r="E783" s="18">
        <v>776.386</v>
      </c>
    </row>
    <row r="784" ht="16.5" spans="1:5">
      <c r="A784" s="7">
        <v>3045789.476</v>
      </c>
      <c r="B784" s="7">
        <v>35401166.591</v>
      </c>
      <c r="C784" s="8">
        <v>913.439</v>
      </c>
      <c r="D784" s="11">
        <v>45343</v>
      </c>
      <c r="E784" s="18">
        <v>762.664</v>
      </c>
    </row>
    <row r="785" ht="16.5" spans="1:5">
      <c r="A785" s="7">
        <v>3045789.476</v>
      </c>
      <c r="B785" s="7">
        <v>35401166.591</v>
      </c>
      <c r="C785" s="8">
        <v>913.439</v>
      </c>
      <c r="D785" s="11">
        <v>45344</v>
      </c>
      <c r="E785" s="18">
        <v>762.159</v>
      </c>
    </row>
    <row r="786" ht="16.5" spans="1:5">
      <c r="A786" s="7">
        <v>3045789.476</v>
      </c>
      <c r="B786" s="7">
        <v>35401166.591</v>
      </c>
      <c r="C786" s="8">
        <v>913.439</v>
      </c>
      <c r="D786" s="11">
        <v>45345</v>
      </c>
      <c r="E786" s="18">
        <v>775</v>
      </c>
    </row>
    <row r="787" ht="16.5" spans="1:5">
      <c r="A787" s="7">
        <v>3045789.476</v>
      </c>
      <c r="B787" s="7">
        <v>35401166.591</v>
      </c>
      <c r="C787" s="8">
        <v>913.439</v>
      </c>
      <c r="D787" s="11">
        <v>45346</v>
      </c>
      <c r="E787" s="18">
        <v>776.603</v>
      </c>
    </row>
    <row r="788" ht="16.5" spans="1:5">
      <c r="A788" s="7">
        <v>3045789.476</v>
      </c>
      <c r="B788" s="7">
        <v>35401166.591</v>
      </c>
      <c r="C788" s="8">
        <v>913.439</v>
      </c>
      <c r="D788" s="11">
        <v>45347</v>
      </c>
      <c r="E788" s="18">
        <v>776.881</v>
      </c>
    </row>
    <row r="789" ht="16.5" spans="1:5">
      <c r="A789" s="7">
        <v>3045789.476</v>
      </c>
      <c r="B789" s="7">
        <v>35401166.591</v>
      </c>
      <c r="C789" s="8">
        <v>913.439</v>
      </c>
      <c r="D789" s="11">
        <v>45348</v>
      </c>
      <c r="E789" s="18">
        <v>774.334</v>
      </c>
    </row>
    <row r="790" ht="16.5" spans="1:5">
      <c r="A790" s="7">
        <v>3045789.476</v>
      </c>
      <c r="B790" s="7">
        <v>35401166.591</v>
      </c>
      <c r="C790" s="8">
        <v>913.439</v>
      </c>
      <c r="D790" s="11">
        <v>45349</v>
      </c>
      <c r="E790" s="18">
        <v>773.647</v>
      </c>
    </row>
    <row r="791" ht="16.5" spans="1:5">
      <c r="A791" s="7">
        <v>3045789.476</v>
      </c>
      <c r="B791" s="7">
        <v>35401166.591</v>
      </c>
      <c r="C791" s="8">
        <v>913.439</v>
      </c>
      <c r="D791" s="11">
        <v>45350</v>
      </c>
      <c r="E791" s="18">
        <v>775.947</v>
      </c>
    </row>
    <row r="792" ht="16.5" spans="1:5">
      <c r="A792" s="7">
        <v>3045789.476</v>
      </c>
      <c r="B792" s="7">
        <v>35401166.591</v>
      </c>
      <c r="C792" s="8">
        <v>913.439</v>
      </c>
      <c r="D792" s="11">
        <v>45351</v>
      </c>
      <c r="E792" s="18">
        <v>776.365</v>
      </c>
    </row>
    <row r="793" ht="16.5" spans="1:5">
      <c r="A793" s="7">
        <v>3045789.476</v>
      </c>
      <c r="B793" s="7">
        <v>35401166.591</v>
      </c>
      <c r="C793" s="8">
        <v>913.439</v>
      </c>
      <c r="D793" s="11">
        <v>45352</v>
      </c>
      <c r="E793" s="18">
        <v>776.526</v>
      </c>
    </row>
    <row r="794" ht="16.5" spans="1:5">
      <c r="A794" s="7">
        <v>3045789.476</v>
      </c>
      <c r="B794" s="7">
        <v>35401166.591</v>
      </c>
      <c r="C794" s="8">
        <v>913.439</v>
      </c>
      <c r="D794" s="11">
        <v>45353</v>
      </c>
      <c r="E794" s="18">
        <v>776.365</v>
      </c>
    </row>
    <row r="795" ht="16.5" spans="1:5">
      <c r="A795" s="7">
        <v>3045789.476</v>
      </c>
      <c r="B795" s="7">
        <v>35401166.591</v>
      </c>
      <c r="C795" s="8">
        <v>913.439</v>
      </c>
      <c r="D795" s="11">
        <v>45354</v>
      </c>
      <c r="E795" s="18">
        <v>776.526</v>
      </c>
    </row>
    <row r="796" ht="16.5" spans="1:5">
      <c r="A796" s="7">
        <v>3045789.476</v>
      </c>
      <c r="B796" s="7">
        <v>35401166.591</v>
      </c>
      <c r="C796" s="8">
        <v>913.439</v>
      </c>
      <c r="D796" s="11">
        <v>45355</v>
      </c>
      <c r="E796" s="18">
        <v>776.497</v>
      </c>
    </row>
    <row r="797" ht="16.5" spans="1:5">
      <c r="A797" s="7">
        <v>3045789.476</v>
      </c>
      <c r="B797" s="7">
        <v>35401166.591</v>
      </c>
      <c r="C797" s="8">
        <v>913.439</v>
      </c>
      <c r="D797" s="11">
        <v>45356</v>
      </c>
      <c r="E797" s="18">
        <v>776.4</v>
      </c>
    </row>
    <row r="798" ht="16.5" spans="1:5">
      <c r="A798" s="7">
        <v>3045789.476</v>
      </c>
      <c r="B798" s="7">
        <v>35401166.591</v>
      </c>
      <c r="C798" s="8">
        <v>913.439</v>
      </c>
      <c r="D798" s="11">
        <v>45357</v>
      </c>
      <c r="E798" s="18">
        <v>776.339</v>
      </c>
    </row>
    <row r="799" ht="16.5" spans="1:5">
      <c r="A799" s="7">
        <v>3045789.476</v>
      </c>
      <c r="B799" s="7">
        <v>35401166.591</v>
      </c>
      <c r="C799" s="8">
        <v>913.439</v>
      </c>
      <c r="D799" s="11">
        <v>45358</v>
      </c>
      <c r="E799" s="18">
        <v>776.252</v>
      </c>
    </row>
    <row r="800" ht="16.5" spans="1:5">
      <c r="A800" s="7">
        <v>3045789.476</v>
      </c>
      <c r="B800" s="7">
        <v>35401166.591</v>
      </c>
      <c r="C800" s="8">
        <v>913.439</v>
      </c>
      <c r="D800" s="11">
        <v>45359</v>
      </c>
      <c r="E800" s="18">
        <v>776.205</v>
      </c>
    </row>
    <row r="801" ht="16.5" spans="1:5">
      <c r="A801" s="7">
        <v>3045789.476</v>
      </c>
      <c r="B801" s="7">
        <v>35401166.591</v>
      </c>
      <c r="C801" s="8">
        <v>913.439</v>
      </c>
      <c r="D801" s="11">
        <v>45360</v>
      </c>
      <c r="E801" s="18">
        <v>773.323</v>
      </c>
    </row>
    <row r="802" ht="16.5" spans="1:5">
      <c r="A802" s="7">
        <v>3045789.476</v>
      </c>
      <c r="B802" s="7">
        <v>35401166.591</v>
      </c>
      <c r="C802" s="8">
        <v>913.439</v>
      </c>
      <c r="D802" s="11">
        <v>45361</v>
      </c>
      <c r="E802" s="18">
        <v>772.748</v>
      </c>
    </row>
    <row r="803" ht="16.5" spans="1:5">
      <c r="A803" s="7">
        <v>3045789.476</v>
      </c>
      <c r="B803" s="7">
        <v>35401166.591</v>
      </c>
      <c r="C803" s="8">
        <v>913.439</v>
      </c>
      <c r="D803" s="11">
        <v>45362</v>
      </c>
      <c r="E803" s="18">
        <v>772.663</v>
      </c>
    </row>
    <row r="804" ht="16.5" spans="1:5">
      <c r="A804" s="7">
        <v>3045789.476</v>
      </c>
      <c r="B804" s="7">
        <v>35401166.591</v>
      </c>
      <c r="C804" s="8">
        <v>913.439</v>
      </c>
      <c r="D804" s="11">
        <v>45363</v>
      </c>
      <c r="E804" s="18">
        <v>772.65</v>
      </c>
    </row>
    <row r="805" ht="16.5" spans="1:5">
      <c r="A805" s="7">
        <v>3045789.476</v>
      </c>
      <c r="B805" s="7">
        <v>35401166.591</v>
      </c>
      <c r="C805" s="8">
        <v>913.439</v>
      </c>
      <c r="D805" s="11">
        <v>45364</v>
      </c>
      <c r="E805" s="18">
        <v>772.612</v>
      </c>
    </row>
    <row r="806" ht="16.5" spans="1:5">
      <c r="A806" s="7">
        <v>3045789.476</v>
      </c>
      <c r="B806" s="7">
        <v>35401166.591</v>
      </c>
      <c r="C806" s="8">
        <v>913.439</v>
      </c>
      <c r="D806" s="11">
        <v>45365</v>
      </c>
      <c r="E806" s="18">
        <v>772.609</v>
      </c>
    </row>
    <row r="807" ht="16.5" spans="1:5">
      <c r="A807" s="7">
        <v>3045789.476</v>
      </c>
      <c r="B807" s="7">
        <v>35401166.591</v>
      </c>
      <c r="C807" s="8">
        <v>913.439</v>
      </c>
      <c r="D807" s="11">
        <v>45366</v>
      </c>
      <c r="E807" s="18">
        <v>755.754</v>
      </c>
    </row>
    <row r="808" ht="16.5" spans="1:5">
      <c r="A808" s="7">
        <v>3045789.476</v>
      </c>
      <c r="B808" s="7">
        <v>35401166.591</v>
      </c>
      <c r="C808" s="8">
        <v>913.439</v>
      </c>
      <c r="D808" s="11">
        <v>45367</v>
      </c>
      <c r="E808" s="18">
        <v>755.077</v>
      </c>
    </row>
    <row r="809" ht="16.5" spans="1:5">
      <c r="A809" s="7">
        <v>3045789.476</v>
      </c>
      <c r="B809" s="7">
        <v>35401166.591</v>
      </c>
      <c r="C809" s="8">
        <v>913.439</v>
      </c>
      <c r="D809" s="11">
        <v>45368</v>
      </c>
      <c r="E809" s="18">
        <v>754.991</v>
      </c>
    </row>
    <row r="810" ht="16.5" spans="1:5">
      <c r="A810" s="7">
        <v>3045789.476</v>
      </c>
      <c r="B810" s="7">
        <v>35401166.591</v>
      </c>
      <c r="C810" s="8">
        <v>913.439</v>
      </c>
      <c r="D810" s="11">
        <v>45369</v>
      </c>
      <c r="E810" s="18">
        <v>755.005</v>
      </c>
    </row>
    <row r="811" ht="16.5" spans="1:5">
      <c r="A811" s="7">
        <v>3045789.476</v>
      </c>
      <c r="B811" s="7">
        <v>35401166.591</v>
      </c>
      <c r="C811" s="8">
        <v>913.439</v>
      </c>
      <c r="D811" s="11">
        <v>45370</v>
      </c>
      <c r="E811" s="18">
        <v>754.728</v>
      </c>
    </row>
    <row r="812" ht="16.5" spans="1:5">
      <c r="A812" s="7">
        <v>3045789.476</v>
      </c>
      <c r="B812" s="7">
        <v>35401166.591</v>
      </c>
      <c r="C812" s="8">
        <v>913.439</v>
      </c>
      <c r="D812" s="11">
        <v>45371</v>
      </c>
      <c r="E812" s="18">
        <v>754.599</v>
      </c>
    </row>
    <row r="813" ht="16.5" spans="1:5">
      <c r="A813" s="7">
        <v>3045789.476</v>
      </c>
      <c r="B813" s="7">
        <v>35401166.591</v>
      </c>
      <c r="C813" s="8">
        <v>913.439</v>
      </c>
      <c r="D813" s="11">
        <v>45372</v>
      </c>
      <c r="E813" s="18">
        <v>754.519</v>
      </c>
    </row>
    <row r="814" ht="16.5" spans="1:5">
      <c r="A814" s="7">
        <v>3045789.476</v>
      </c>
      <c r="B814" s="7">
        <v>35401166.591</v>
      </c>
      <c r="C814" s="8">
        <v>913.439</v>
      </c>
      <c r="D814" s="11">
        <v>45373</v>
      </c>
      <c r="E814" s="18">
        <v>754.322</v>
      </c>
    </row>
    <row r="815" ht="16.5" spans="1:5">
      <c r="A815" s="7">
        <v>3045789.476</v>
      </c>
      <c r="B815" s="7">
        <v>35401166.591</v>
      </c>
      <c r="C815" s="8">
        <v>913.439</v>
      </c>
      <c r="D815" s="11">
        <v>45374</v>
      </c>
      <c r="E815" s="18">
        <v>754.398</v>
      </c>
    </row>
    <row r="816" ht="16.5" spans="1:5">
      <c r="A816" s="7">
        <v>3045789.476</v>
      </c>
      <c r="B816" s="7">
        <v>35401166.591</v>
      </c>
      <c r="C816" s="8">
        <v>913.439</v>
      </c>
      <c r="D816" s="11">
        <v>45375</v>
      </c>
      <c r="E816" s="18">
        <v>754.299</v>
      </c>
    </row>
    <row r="817" ht="16.5" spans="1:5">
      <c r="A817" s="7">
        <v>3045789.476</v>
      </c>
      <c r="B817" s="7">
        <v>35401166.591</v>
      </c>
      <c r="C817" s="8">
        <v>913.439</v>
      </c>
      <c r="D817" s="11">
        <v>45376</v>
      </c>
      <c r="E817" s="18">
        <v>754.299</v>
      </c>
    </row>
    <row r="818" ht="16.5" spans="1:5">
      <c r="A818" s="7">
        <v>3045789.476</v>
      </c>
      <c r="B818" s="7">
        <v>35401166.591</v>
      </c>
      <c r="C818" s="8">
        <v>913.439</v>
      </c>
      <c r="D818" s="11">
        <v>45377</v>
      </c>
      <c r="E818" s="18">
        <v>754.299</v>
      </c>
    </row>
    <row r="819" ht="16.5" spans="1:5">
      <c r="A819" s="7">
        <v>3045789.476</v>
      </c>
      <c r="B819" s="7">
        <v>35401166.591</v>
      </c>
      <c r="C819" s="8">
        <v>913.439</v>
      </c>
      <c r="D819" s="11">
        <v>45378</v>
      </c>
      <c r="E819" s="18">
        <v>754.299</v>
      </c>
    </row>
    <row r="820" ht="16.5" spans="1:5">
      <c r="A820" s="7">
        <v>3045789.476</v>
      </c>
      <c r="B820" s="7">
        <v>35401166.591</v>
      </c>
      <c r="C820" s="8">
        <v>913.439</v>
      </c>
      <c r="D820" s="11">
        <v>45379</v>
      </c>
      <c r="E820" s="18">
        <v>754.299</v>
      </c>
    </row>
    <row r="821" ht="16.5" spans="1:5">
      <c r="A821" s="7">
        <v>3045789.476</v>
      </c>
      <c r="B821" s="7">
        <v>35401166.591</v>
      </c>
      <c r="C821" s="8">
        <v>913.439</v>
      </c>
      <c r="D821" s="11">
        <v>45380</v>
      </c>
      <c r="E821" s="18">
        <v>754.299</v>
      </c>
    </row>
    <row r="822" ht="16.5" spans="1:5">
      <c r="A822" s="7">
        <v>3045789.476</v>
      </c>
      <c r="B822" s="7">
        <v>35401166.591</v>
      </c>
      <c r="C822" s="8">
        <v>913.439</v>
      </c>
      <c r="D822" s="11">
        <v>45381</v>
      </c>
      <c r="E822" s="18">
        <v>754.299</v>
      </c>
    </row>
    <row r="823" ht="16.5" spans="1:5">
      <c r="A823" s="7">
        <v>3045789.476</v>
      </c>
      <c r="B823" s="7">
        <v>35401166.591</v>
      </c>
      <c r="C823" s="8">
        <v>913.439</v>
      </c>
      <c r="D823" s="11">
        <v>45382</v>
      </c>
      <c r="E823" s="18">
        <v>754.299</v>
      </c>
    </row>
    <row r="824" ht="16.5" spans="1:5">
      <c r="A824" s="7">
        <v>3045789.476</v>
      </c>
      <c r="B824" s="7">
        <v>35401166.591</v>
      </c>
      <c r="C824" s="8">
        <v>913.439</v>
      </c>
      <c r="D824" s="11">
        <v>45383</v>
      </c>
      <c r="E824" s="18">
        <v>754.299</v>
      </c>
    </row>
    <row r="825" ht="16.5" spans="1:5">
      <c r="A825" s="7">
        <v>3045789.476</v>
      </c>
      <c r="B825" s="7">
        <v>35401166.591</v>
      </c>
      <c r="C825" s="8">
        <v>913.439</v>
      </c>
      <c r="D825" s="11">
        <v>45384</v>
      </c>
      <c r="E825" s="18">
        <v>754.299</v>
      </c>
    </row>
    <row r="826" ht="16.5" spans="1:5">
      <c r="A826" s="7">
        <v>3045789.476</v>
      </c>
      <c r="B826" s="7">
        <v>35401166.591</v>
      </c>
      <c r="C826" s="8">
        <v>913.439</v>
      </c>
      <c r="D826" s="11">
        <v>45385</v>
      </c>
      <c r="E826" s="18">
        <v>754.299</v>
      </c>
    </row>
    <row r="827" ht="16.5" spans="1:5">
      <c r="A827" s="7">
        <v>3045789.476</v>
      </c>
      <c r="B827" s="7">
        <v>35401166.591</v>
      </c>
      <c r="C827" s="8">
        <v>913.439</v>
      </c>
      <c r="D827" s="11">
        <v>45386</v>
      </c>
      <c r="E827" s="18">
        <v>754.299</v>
      </c>
    </row>
    <row r="828" ht="16.5" spans="1:5">
      <c r="A828" s="7">
        <v>3045789.476</v>
      </c>
      <c r="B828" s="7">
        <v>35401166.591</v>
      </c>
      <c r="C828" s="8">
        <v>913.439</v>
      </c>
      <c r="D828" s="11">
        <v>45387</v>
      </c>
      <c r="E828" s="18">
        <v>754.299</v>
      </c>
    </row>
    <row r="829" ht="16.5" spans="1:5">
      <c r="A829" s="7">
        <v>3045789.476</v>
      </c>
      <c r="B829" s="7">
        <v>35401166.591</v>
      </c>
      <c r="C829" s="8">
        <v>913.439</v>
      </c>
      <c r="D829" s="11">
        <v>45388</v>
      </c>
      <c r="E829" s="18">
        <v>754.299</v>
      </c>
    </row>
    <row r="830" ht="16.5" spans="1:5">
      <c r="A830" s="7">
        <v>3045789.476</v>
      </c>
      <c r="B830" s="7">
        <v>35401166.591</v>
      </c>
      <c r="C830" s="8">
        <v>913.439</v>
      </c>
      <c r="D830" s="11">
        <v>45389</v>
      </c>
      <c r="E830" s="18">
        <v>754.299</v>
      </c>
    </row>
    <row r="831" ht="16.5" spans="1:5">
      <c r="A831" s="7">
        <v>3045789.476</v>
      </c>
      <c r="B831" s="7">
        <v>35401166.591</v>
      </c>
      <c r="C831" s="8">
        <v>913.439</v>
      </c>
      <c r="D831" s="11">
        <v>45390</v>
      </c>
      <c r="E831" s="18">
        <v>754.299</v>
      </c>
    </row>
    <row r="832" ht="16.5" spans="1:5">
      <c r="A832" s="7">
        <v>3045789.476</v>
      </c>
      <c r="B832" s="7">
        <v>35401166.591</v>
      </c>
      <c r="C832" s="8">
        <v>913.439</v>
      </c>
      <c r="D832" s="11">
        <v>45391</v>
      </c>
      <c r="E832" s="18">
        <v>754.299</v>
      </c>
    </row>
    <row r="833" ht="16.5" spans="1:5">
      <c r="A833" s="7">
        <v>3045789.476</v>
      </c>
      <c r="B833" s="7">
        <v>35401166.591</v>
      </c>
      <c r="C833" s="8">
        <v>913.439</v>
      </c>
      <c r="D833" s="11">
        <v>45392</v>
      </c>
      <c r="E833" s="18">
        <v>754.299</v>
      </c>
    </row>
    <row r="834" ht="16.5" spans="1:5">
      <c r="A834" s="7">
        <v>3045789.476</v>
      </c>
      <c r="B834" s="7">
        <v>35401166.591</v>
      </c>
      <c r="C834" s="8">
        <v>913.439</v>
      </c>
      <c r="D834" s="11">
        <v>45393</v>
      </c>
      <c r="E834" s="18">
        <v>754.299</v>
      </c>
    </row>
    <row r="835" ht="16.5" spans="1:5">
      <c r="A835" s="7">
        <v>3045789.476</v>
      </c>
      <c r="B835" s="7">
        <v>35401166.591</v>
      </c>
      <c r="C835" s="8">
        <v>913.439</v>
      </c>
      <c r="D835" s="11">
        <v>45394</v>
      </c>
      <c r="E835" s="18">
        <v>754.299</v>
      </c>
    </row>
    <row r="836" ht="16.5" spans="1:5">
      <c r="A836" s="7">
        <v>3045789.476</v>
      </c>
      <c r="B836" s="7">
        <v>35401166.591</v>
      </c>
      <c r="C836" s="8">
        <v>913.439</v>
      </c>
      <c r="D836" s="11">
        <v>45395</v>
      </c>
      <c r="E836" s="18">
        <v>754.299</v>
      </c>
    </row>
    <row r="837" ht="16.5" spans="1:5">
      <c r="A837" s="7">
        <v>3045789.476</v>
      </c>
      <c r="B837" s="7">
        <v>35401166.591</v>
      </c>
      <c r="C837" s="8">
        <v>913.439</v>
      </c>
      <c r="D837" s="11">
        <v>45396</v>
      </c>
      <c r="E837" s="18">
        <v>754.299</v>
      </c>
    </row>
    <row r="838" ht="16.5" spans="1:5">
      <c r="A838" s="7">
        <v>3045789.476</v>
      </c>
      <c r="B838" s="7">
        <v>35401166.591</v>
      </c>
      <c r="C838" s="8">
        <v>913.439</v>
      </c>
      <c r="D838" s="11">
        <v>45397</v>
      </c>
      <c r="E838" s="18">
        <v>754.299</v>
      </c>
    </row>
    <row r="839" ht="16.5" spans="1:5">
      <c r="A839" s="7">
        <v>3045789.476</v>
      </c>
      <c r="B839" s="7">
        <v>35401166.591</v>
      </c>
      <c r="C839" s="8">
        <v>913.439</v>
      </c>
      <c r="D839" s="11">
        <v>45398</v>
      </c>
      <c r="E839" s="18">
        <v>754.299</v>
      </c>
    </row>
    <row r="840" ht="16.5" spans="1:5">
      <c r="A840" s="7">
        <v>3045789.476</v>
      </c>
      <c r="B840" s="7">
        <v>35401166.591</v>
      </c>
      <c r="C840" s="8">
        <v>913.439</v>
      </c>
      <c r="D840" s="11">
        <v>45399</v>
      </c>
      <c r="E840" s="18">
        <v>754.299</v>
      </c>
    </row>
    <row r="841" ht="16.5" spans="1:5">
      <c r="A841" s="7">
        <v>3045789.476</v>
      </c>
      <c r="B841" s="7">
        <v>35401166.591</v>
      </c>
      <c r="C841" s="8">
        <v>913.439</v>
      </c>
      <c r="D841" s="11">
        <v>45400</v>
      </c>
      <c r="E841" s="18">
        <v>754.299</v>
      </c>
    </row>
    <row r="842" ht="16.5" spans="1:5">
      <c r="A842" s="7">
        <v>3045789.476</v>
      </c>
      <c r="B842" s="7">
        <v>35401166.591</v>
      </c>
      <c r="C842" s="8">
        <v>913.439</v>
      </c>
      <c r="D842" s="11">
        <v>45401</v>
      </c>
      <c r="E842" s="18">
        <v>754.299</v>
      </c>
    </row>
    <row r="843" ht="16.5" spans="1:5">
      <c r="A843" s="7">
        <v>3045789.476</v>
      </c>
      <c r="B843" s="7">
        <v>35401166.591</v>
      </c>
      <c r="C843" s="8">
        <v>913.439</v>
      </c>
      <c r="D843" s="11">
        <v>45402</v>
      </c>
      <c r="E843" s="18">
        <v>754.299</v>
      </c>
    </row>
    <row r="844" ht="16.5" spans="1:5">
      <c r="A844" s="7">
        <v>3045789.476</v>
      </c>
      <c r="B844" s="7">
        <v>35401166.591</v>
      </c>
      <c r="C844" s="8">
        <v>913.439</v>
      </c>
      <c r="D844" s="11">
        <v>45403</v>
      </c>
      <c r="E844" s="18">
        <v>754.299</v>
      </c>
    </row>
    <row r="845" ht="16.5" spans="1:5">
      <c r="A845" s="7">
        <v>3045789.476</v>
      </c>
      <c r="B845" s="7">
        <v>35401166.591</v>
      </c>
      <c r="C845" s="8">
        <v>913.439</v>
      </c>
      <c r="D845" s="11">
        <v>45404</v>
      </c>
      <c r="E845" s="18">
        <v>754.299</v>
      </c>
    </row>
    <row r="846" ht="16.5" spans="1:5">
      <c r="A846" s="7">
        <v>3045789.476</v>
      </c>
      <c r="B846" s="7">
        <v>35401166.591</v>
      </c>
      <c r="C846" s="8">
        <v>913.439</v>
      </c>
      <c r="D846" s="11">
        <v>45405</v>
      </c>
      <c r="E846" s="18">
        <v>754.299</v>
      </c>
    </row>
    <row r="847" ht="16.5" spans="1:5">
      <c r="A847" s="7">
        <v>3045789.476</v>
      </c>
      <c r="B847" s="7">
        <v>35401166.591</v>
      </c>
      <c r="C847" s="8">
        <v>913.439</v>
      </c>
      <c r="D847" s="11">
        <v>45406</v>
      </c>
      <c r="E847" s="18">
        <v>754.299</v>
      </c>
    </row>
    <row r="848" ht="16.5" spans="1:5">
      <c r="A848" s="7">
        <v>3045789.476</v>
      </c>
      <c r="B848" s="7">
        <v>35401166.591</v>
      </c>
      <c r="C848" s="8">
        <v>913.439</v>
      </c>
      <c r="D848" s="11">
        <v>45407</v>
      </c>
      <c r="E848" s="18">
        <v>754.299</v>
      </c>
    </row>
    <row r="849" ht="16.5" spans="1:5">
      <c r="A849" s="7">
        <v>3045789.476</v>
      </c>
      <c r="B849" s="7">
        <v>35401166.591</v>
      </c>
      <c r="C849" s="8">
        <v>913.439</v>
      </c>
      <c r="D849" s="11">
        <v>45408</v>
      </c>
      <c r="E849" s="18">
        <v>754.299</v>
      </c>
    </row>
    <row r="850" ht="16.5" spans="1:5">
      <c r="A850" s="7">
        <v>3045789.476</v>
      </c>
      <c r="B850" s="7">
        <v>35401166.591</v>
      </c>
      <c r="C850" s="8">
        <v>913.439</v>
      </c>
      <c r="D850" s="11">
        <v>45409</v>
      </c>
      <c r="E850" s="18">
        <v>745.299</v>
      </c>
    </row>
    <row r="851" ht="16.5" spans="1:5">
      <c r="A851" s="7">
        <v>3045789.476</v>
      </c>
      <c r="B851" s="7">
        <v>35401166.591</v>
      </c>
      <c r="C851" s="8">
        <v>913.439</v>
      </c>
      <c r="D851" s="11">
        <v>45410</v>
      </c>
      <c r="E851" s="18">
        <v>745.299</v>
      </c>
    </row>
    <row r="852" ht="16.5" spans="1:5">
      <c r="A852" s="7">
        <v>3045789.476</v>
      </c>
      <c r="B852" s="7">
        <v>35401166.591</v>
      </c>
      <c r="C852" s="8">
        <v>913.439</v>
      </c>
      <c r="D852" s="11">
        <v>45411</v>
      </c>
      <c r="E852" s="18">
        <v>745.299</v>
      </c>
    </row>
    <row r="853" ht="16.5" spans="1:5">
      <c r="A853" s="7">
        <v>3045789.476</v>
      </c>
      <c r="B853" s="7">
        <v>35401166.591</v>
      </c>
      <c r="C853" s="8">
        <v>913.439</v>
      </c>
      <c r="D853" s="11">
        <v>45412</v>
      </c>
      <c r="E853" s="18">
        <v>745.299</v>
      </c>
    </row>
    <row r="854" ht="16.5" spans="1:5">
      <c r="A854" s="7">
        <v>3045789.476</v>
      </c>
      <c r="B854" s="7">
        <v>35401166.591</v>
      </c>
      <c r="C854" s="8">
        <v>913.439</v>
      </c>
      <c r="D854" s="11">
        <v>45413</v>
      </c>
      <c r="E854" s="18">
        <v>745.299</v>
      </c>
    </row>
    <row r="855" ht="16.5" spans="1:5">
      <c r="A855" s="7">
        <v>3045789.476</v>
      </c>
      <c r="B855" s="7">
        <v>35401166.591</v>
      </c>
      <c r="C855" s="8">
        <v>913.439</v>
      </c>
      <c r="D855" s="11">
        <v>45414</v>
      </c>
      <c r="E855" s="18">
        <v>745.299</v>
      </c>
    </row>
    <row r="856" ht="16.5" spans="1:5">
      <c r="A856" s="7">
        <v>3045789.476</v>
      </c>
      <c r="B856" s="7">
        <v>35401166.591</v>
      </c>
      <c r="C856" s="8">
        <v>913.439</v>
      </c>
      <c r="D856" s="11">
        <v>45415</v>
      </c>
      <c r="E856" s="18">
        <v>745.299</v>
      </c>
    </row>
    <row r="857" ht="16.5" spans="1:5">
      <c r="A857" s="7">
        <v>3045789.476</v>
      </c>
      <c r="B857" s="7">
        <v>35401166.591</v>
      </c>
      <c r="C857" s="8">
        <v>913.439</v>
      </c>
      <c r="D857" s="11">
        <v>45416</v>
      </c>
      <c r="E857" s="18">
        <v>745.299</v>
      </c>
    </row>
    <row r="858" ht="16.5" spans="1:5">
      <c r="A858" s="7">
        <v>3045789.476</v>
      </c>
      <c r="B858" s="7">
        <v>35401166.591</v>
      </c>
      <c r="C858" s="8">
        <v>913.439</v>
      </c>
      <c r="D858" s="11">
        <v>45417</v>
      </c>
      <c r="E858" s="18">
        <v>745.299</v>
      </c>
    </row>
    <row r="859" ht="16.5" spans="1:5">
      <c r="A859" s="7">
        <v>3045789.476</v>
      </c>
      <c r="B859" s="7">
        <v>35401166.591</v>
      </c>
      <c r="C859" s="8">
        <v>913.439</v>
      </c>
      <c r="D859" s="11">
        <v>45418</v>
      </c>
      <c r="E859" s="18">
        <v>745.299</v>
      </c>
    </row>
    <row r="860" ht="16.5" spans="1:5">
      <c r="A860" s="7">
        <v>3045789.476</v>
      </c>
      <c r="B860" s="7">
        <v>35401166.591</v>
      </c>
      <c r="C860" s="8">
        <v>913.439</v>
      </c>
      <c r="D860" s="11">
        <v>45419</v>
      </c>
      <c r="E860" s="18">
        <v>754.299</v>
      </c>
    </row>
    <row r="861" ht="16.5" spans="1:5">
      <c r="A861" s="7">
        <v>3045789.476</v>
      </c>
      <c r="B861" s="7">
        <v>35401166.591</v>
      </c>
      <c r="C861" s="8">
        <v>913.439</v>
      </c>
      <c r="D861" s="11">
        <v>45420</v>
      </c>
      <c r="E861" s="18">
        <v>754.299</v>
      </c>
    </row>
    <row r="862" ht="16.5" spans="1:5">
      <c r="A862" s="7">
        <v>3045789.476</v>
      </c>
      <c r="B862" s="7">
        <v>35401166.591</v>
      </c>
      <c r="C862" s="8">
        <v>913.439</v>
      </c>
      <c r="D862" s="11">
        <v>45421</v>
      </c>
      <c r="E862" s="18">
        <v>754.299</v>
      </c>
    </row>
    <row r="863" ht="16.5" spans="1:5">
      <c r="A863" s="7">
        <v>3045789.476</v>
      </c>
      <c r="B863" s="7">
        <v>35401166.591</v>
      </c>
      <c r="C863" s="8">
        <v>913.439</v>
      </c>
      <c r="D863" s="11">
        <v>45422</v>
      </c>
      <c r="E863" s="18">
        <v>754.299</v>
      </c>
    </row>
    <row r="864" ht="16.5" spans="1:5">
      <c r="A864" s="7">
        <v>3045789.476</v>
      </c>
      <c r="B864" s="7">
        <v>35401166.591</v>
      </c>
      <c r="C864" s="8">
        <v>913.439</v>
      </c>
      <c r="D864" s="11">
        <v>45423</v>
      </c>
      <c r="E864" s="18">
        <v>734.299</v>
      </c>
    </row>
  </sheetData>
  <mergeCells count="1">
    <mergeCell ref="A1:C1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5"/>
  <sheetViews>
    <sheetView topLeftCell="A897" workbookViewId="0">
      <selection activeCell="D897" sqref="D$1:D$1048576"/>
    </sheetView>
  </sheetViews>
  <sheetFormatPr defaultColWidth="9" defaultRowHeight="14.25" outlineLevelCol="5"/>
  <cols>
    <col min="1" max="1" width="15.25" style="2" customWidth="1"/>
    <col min="2" max="2" width="12.375" style="2" customWidth="1"/>
    <col min="3" max="3" width="19.25" customWidth="1"/>
    <col min="4" max="4" width="17.25" customWidth="1"/>
    <col min="6" max="6" width="26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6.5" spans="1:6">
      <c r="A3" s="8">
        <v>3044878.823</v>
      </c>
      <c r="B3" s="8">
        <v>35401272.521</v>
      </c>
      <c r="C3" s="8">
        <v>905.391</v>
      </c>
      <c r="D3" s="9" t="s">
        <v>311</v>
      </c>
      <c r="E3" s="10"/>
      <c r="F3" t="s">
        <v>3068</v>
      </c>
    </row>
    <row r="4" ht="16.5" spans="1:5">
      <c r="A4" s="8">
        <v>3044878.823</v>
      </c>
      <c r="B4" s="8">
        <v>35401272.521</v>
      </c>
      <c r="C4" s="8">
        <v>905.391</v>
      </c>
      <c r="D4" s="9" t="s">
        <v>312</v>
      </c>
      <c r="E4" s="10"/>
    </row>
    <row r="5" ht="16.5" spans="1:5">
      <c r="A5" s="8">
        <v>3044878.823</v>
      </c>
      <c r="B5" s="8">
        <v>35401272.521</v>
      </c>
      <c r="C5" s="8">
        <v>905.391</v>
      </c>
      <c r="D5" s="9" t="s">
        <v>313</v>
      </c>
      <c r="E5" s="10"/>
    </row>
    <row r="6" ht="16.5" spans="1:5">
      <c r="A6" s="8">
        <v>3044878.823</v>
      </c>
      <c r="B6" s="8">
        <v>35401272.521</v>
      </c>
      <c r="C6" s="8">
        <v>905.391</v>
      </c>
      <c r="D6" s="9" t="s">
        <v>314</v>
      </c>
      <c r="E6" s="10"/>
    </row>
    <row r="7" ht="16.5" spans="1:5">
      <c r="A7" s="8">
        <v>3044878.823</v>
      </c>
      <c r="B7" s="8">
        <v>35401272.521</v>
      </c>
      <c r="C7" s="8">
        <v>905.391</v>
      </c>
      <c r="D7" s="9" t="s">
        <v>315</v>
      </c>
      <c r="E7" s="10"/>
    </row>
    <row r="8" ht="16.5" spans="1:5">
      <c r="A8" s="8">
        <v>3044878.823</v>
      </c>
      <c r="B8" s="8">
        <v>35401272.521</v>
      </c>
      <c r="C8" s="8">
        <v>905.391</v>
      </c>
      <c r="D8" s="9" t="s">
        <v>316</v>
      </c>
      <c r="E8" s="10"/>
    </row>
    <row r="9" ht="16.5" spans="1:5">
      <c r="A9" s="8">
        <v>3044878.823</v>
      </c>
      <c r="B9" s="8">
        <v>35401272.521</v>
      </c>
      <c r="C9" s="8">
        <v>905.391</v>
      </c>
      <c r="D9" s="9" t="s">
        <v>317</v>
      </c>
      <c r="E9" s="10"/>
    </row>
    <row r="10" ht="16.5" spans="1:5">
      <c r="A10" s="8">
        <v>3044878.823</v>
      </c>
      <c r="B10" s="8">
        <v>35401272.521</v>
      </c>
      <c r="C10" s="8">
        <v>905.391</v>
      </c>
      <c r="D10" s="9" t="s">
        <v>318</v>
      </c>
      <c r="E10" s="10"/>
    </row>
    <row r="11" ht="16.5" spans="1:5">
      <c r="A11" s="8">
        <v>3044878.823</v>
      </c>
      <c r="B11" s="8">
        <v>35401272.521</v>
      </c>
      <c r="C11" s="8">
        <v>905.391</v>
      </c>
      <c r="D11" s="9" t="s">
        <v>319</v>
      </c>
      <c r="E11" s="10"/>
    </row>
    <row r="12" ht="16.5" spans="1:5">
      <c r="A12" s="8">
        <v>3044878.823</v>
      </c>
      <c r="B12" s="8">
        <v>35401272.521</v>
      </c>
      <c r="C12" s="8">
        <v>905.391</v>
      </c>
      <c r="D12" s="9" t="s">
        <v>320</v>
      </c>
      <c r="E12" s="10"/>
    </row>
    <row r="13" ht="16.5" spans="1:5">
      <c r="A13" s="8">
        <v>3044878.823</v>
      </c>
      <c r="B13" s="8">
        <v>35401272.521</v>
      </c>
      <c r="C13" s="8">
        <v>905.391</v>
      </c>
      <c r="D13" s="9" t="s">
        <v>321</v>
      </c>
      <c r="E13" s="10"/>
    </row>
    <row r="14" ht="16.5" spans="1:5">
      <c r="A14" s="8">
        <v>3044878.823</v>
      </c>
      <c r="B14" s="8">
        <v>35401272.521</v>
      </c>
      <c r="C14" s="8">
        <v>905.391</v>
      </c>
      <c r="D14" s="9" t="s">
        <v>322</v>
      </c>
      <c r="E14" s="10"/>
    </row>
    <row r="15" ht="16.5" spans="1:5">
      <c r="A15" s="8">
        <v>3044878.823</v>
      </c>
      <c r="B15" s="8">
        <v>35401272.521</v>
      </c>
      <c r="C15" s="8">
        <v>905.391</v>
      </c>
      <c r="D15" s="9" t="s">
        <v>323</v>
      </c>
      <c r="E15" s="10"/>
    </row>
    <row r="16" ht="16.5" spans="1:5">
      <c r="A16" s="8">
        <v>3044878.823</v>
      </c>
      <c r="B16" s="8">
        <v>35401272.521</v>
      </c>
      <c r="C16" s="8">
        <v>905.391</v>
      </c>
      <c r="D16" s="9" t="s">
        <v>324</v>
      </c>
      <c r="E16" s="10"/>
    </row>
    <row r="17" ht="16.5" spans="1:5">
      <c r="A17" s="8">
        <v>3044878.823</v>
      </c>
      <c r="B17" s="8">
        <v>35401272.521</v>
      </c>
      <c r="C17" s="8">
        <v>905.391</v>
      </c>
      <c r="D17" s="9" t="s">
        <v>325</v>
      </c>
      <c r="E17" s="10"/>
    </row>
    <row r="18" ht="16.5" spans="1:5">
      <c r="A18" s="8">
        <v>3044878.823</v>
      </c>
      <c r="B18" s="8">
        <v>35401272.521</v>
      </c>
      <c r="C18" s="8">
        <v>905.391</v>
      </c>
      <c r="D18" s="9" t="s">
        <v>326</v>
      </c>
      <c r="E18" s="10"/>
    </row>
    <row r="19" ht="16.5" spans="1:5">
      <c r="A19" s="8">
        <v>3044878.823</v>
      </c>
      <c r="B19" s="8">
        <v>35401272.521</v>
      </c>
      <c r="C19" s="8">
        <v>905.391</v>
      </c>
      <c r="D19" s="9" t="s">
        <v>327</v>
      </c>
      <c r="E19" s="10"/>
    </row>
    <row r="20" ht="16.5" spans="1:5">
      <c r="A20" s="8">
        <v>3044878.823</v>
      </c>
      <c r="B20" s="8">
        <v>35401272.521</v>
      </c>
      <c r="C20" s="8">
        <v>905.391</v>
      </c>
      <c r="D20" s="9" t="s">
        <v>328</v>
      </c>
      <c r="E20" s="10"/>
    </row>
    <row r="21" ht="16.5" spans="1:5">
      <c r="A21" s="8">
        <v>3044878.823</v>
      </c>
      <c r="B21" s="8">
        <v>35401272.521</v>
      </c>
      <c r="C21" s="8">
        <v>905.391</v>
      </c>
      <c r="D21" s="9" t="s">
        <v>329</v>
      </c>
      <c r="E21" s="10"/>
    </row>
    <row r="22" ht="16.5" spans="1:5">
      <c r="A22" s="8">
        <v>3044878.823</v>
      </c>
      <c r="B22" s="8">
        <v>35401272.521</v>
      </c>
      <c r="C22" s="8">
        <v>905.391</v>
      </c>
      <c r="D22" s="9" t="s">
        <v>330</v>
      </c>
      <c r="E22" s="10"/>
    </row>
    <row r="23" ht="16.5" spans="1:5">
      <c r="A23" s="8">
        <v>3044878.823</v>
      </c>
      <c r="B23" s="8">
        <v>35401272.521</v>
      </c>
      <c r="C23" s="8">
        <v>905.391</v>
      </c>
      <c r="D23" s="9" t="s">
        <v>331</v>
      </c>
      <c r="E23" s="10"/>
    </row>
    <row r="24" ht="16.5" spans="1:5">
      <c r="A24" s="8">
        <v>3044878.823</v>
      </c>
      <c r="B24" s="8">
        <v>35401272.521</v>
      </c>
      <c r="C24" s="8">
        <v>905.391</v>
      </c>
      <c r="D24" s="9" t="s">
        <v>332</v>
      </c>
      <c r="E24" s="10">
        <v>758.391</v>
      </c>
    </row>
    <row r="25" ht="16.5" spans="1:5">
      <c r="A25" s="8">
        <v>3044878.823</v>
      </c>
      <c r="B25" s="8">
        <v>35401272.521</v>
      </c>
      <c r="C25" s="8">
        <v>905.391</v>
      </c>
      <c r="D25" s="9" t="s">
        <v>333</v>
      </c>
      <c r="E25" s="10"/>
    </row>
    <row r="26" ht="16.5" spans="1:5">
      <c r="A26" s="8">
        <v>3044878.823</v>
      </c>
      <c r="B26" s="8">
        <v>35401272.521</v>
      </c>
      <c r="C26" s="8">
        <v>905.391</v>
      </c>
      <c r="D26" s="9" t="s">
        <v>334</v>
      </c>
      <c r="E26" s="10"/>
    </row>
    <row r="27" ht="16.5" spans="1:5">
      <c r="A27" s="8">
        <v>3044878.823</v>
      </c>
      <c r="B27" s="8">
        <v>35401272.521</v>
      </c>
      <c r="C27" s="8">
        <v>905.391</v>
      </c>
      <c r="D27" s="9" t="s">
        <v>335</v>
      </c>
      <c r="E27" s="10"/>
    </row>
    <row r="28" ht="16.5" spans="1:5">
      <c r="A28" s="8">
        <v>3044878.823</v>
      </c>
      <c r="B28" s="8">
        <v>35401272.521</v>
      </c>
      <c r="C28" s="8">
        <v>905.391</v>
      </c>
      <c r="D28" s="9" t="s">
        <v>336</v>
      </c>
      <c r="E28" s="10"/>
    </row>
    <row r="29" ht="16.5" spans="1:5">
      <c r="A29" s="8">
        <v>3044878.823</v>
      </c>
      <c r="B29" s="8">
        <v>35401272.521</v>
      </c>
      <c r="C29" s="8">
        <v>905.391</v>
      </c>
      <c r="D29" s="9" t="s">
        <v>337</v>
      </c>
      <c r="E29" s="10"/>
    </row>
    <row r="30" ht="16.5" spans="1:5">
      <c r="A30" s="8">
        <v>3044878.823</v>
      </c>
      <c r="B30" s="8">
        <v>35401272.521</v>
      </c>
      <c r="C30" s="8">
        <v>905.391</v>
      </c>
      <c r="D30" s="9" t="s">
        <v>338</v>
      </c>
      <c r="E30" s="10"/>
    </row>
    <row r="31" ht="16.5" spans="1:5">
      <c r="A31" s="8">
        <v>3044878.823</v>
      </c>
      <c r="B31" s="8">
        <v>35401272.521</v>
      </c>
      <c r="C31" s="8">
        <v>905.391</v>
      </c>
      <c r="D31" s="9" t="s">
        <v>339</v>
      </c>
      <c r="E31" s="10"/>
    </row>
    <row r="32" ht="16.5" spans="1:5">
      <c r="A32" s="8">
        <v>3044878.823</v>
      </c>
      <c r="B32" s="8">
        <v>35401272.521</v>
      </c>
      <c r="C32" s="8">
        <v>905.391</v>
      </c>
      <c r="D32" s="9" t="s">
        <v>340</v>
      </c>
      <c r="E32" s="10">
        <v>758.071</v>
      </c>
    </row>
    <row r="33" ht="16.5" spans="1:5">
      <c r="A33" s="8">
        <v>3044878.823</v>
      </c>
      <c r="B33" s="8">
        <v>35401272.521</v>
      </c>
      <c r="C33" s="8">
        <v>905.391</v>
      </c>
      <c r="D33" s="9" t="s">
        <v>341</v>
      </c>
      <c r="E33" s="10"/>
    </row>
    <row r="34" ht="16.5" spans="1:5">
      <c r="A34" s="8">
        <v>3044878.823</v>
      </c>
      <c r="B34" s="8">
        <v>35401272.521</v>
      </c>
      <c r="C34" s="8">
        <v>905.391</v>
      </c>
      <c r="D34" s="9" t="s">
        <v>342</v>
      </c>
      <c r="E34" s="10"/>
    </row>
    <row r="35" ht="16.5" spans="1:5">
      <c r="A35" s="8">
        <v>3044878.823</v>
      </c>
      <c r="B35" s="8">
        <v>35401272.521</v>
      </c>
      <c r="C35" s="8">
        <v>905.391</v>
      </c>
      <c r="D35" s="9" t="s">
        <v>343</v>
      </c>
      <c r="E35" s="10"/>
    </row>
    <row r="36" ht="16.5" spans="1:5">
      <c r="A36" s="8">
        <v>3044878.823</v>
      </c>
      <c r="B36" s="8">
        <v>35401272.521</v>
      </c>
      <c r="C36" s="8">
        <v>905.391</v>
      </c>
      <c r="D36" s="9" t="s">
        <v>344</v>
      </c>
      <c r="E36" s="10"/>
    </row>
    <row r="37" ht="16.5" spans="1:5">
      <c r="A37" s="8">
        <v>3044878.823</v>
      </c>
      <c r="B37" s="8">
        <v>35401272.521</v>
      </c>
      <c r="C37" s="8">
        <v>905.391</v>
      </c>
      <c r="D37" s="9" t="s">
        <v>345</v>
      </c>
      <c r="E37" s="10"/>
    </row>
    <row r="38" ht="16.5" spans="1:5">
      <c r="A38" s="8">
        <v>3044878.823</v>
      </c>
      <c r="B38" s="8">
        <v>35401272.521</v>
      </c>
      <c r="C38" s="8">
        <v>905.391</v>
      </c>
      <c r="D38" s="9" t="s">
        <v>346</v>
      </c>
      <c r="E38" s="10"/>
    </row>
    <row r="39" ht="16.5" spans="1:5">
      <c r="A39" s="8">
        <v>3044878.823</v>
      </c>
      <c r="B39" s="8">
        <v>35401272.521</v>
      </c>
      <c r="C39" s="8">
        <v>905.391</v>
      </c>
      <c r="D39" s="9" t="s">
        <v>347</v>
      </c>
      <c r="E39" s="10"/>
    </row>
    <row r="40" ht="16.5" spans="1:5">
      <c r="A40" s="8">
        <v>3044878.823</v>
      </c>
      <c r="B40" s="8">
        <v>35401272.521</v>
      </c>
      <c r="C40" s="8">
        <v>905.391</v>
      </c>
      <c r="D40" s="9" t="s">
        <v>348</v>
      </c>
      <c r="E40" s="10"/>
    </row>
    <row r="41" ht="16.5" spans="1:5">
      <c r="A41" s="8">
        <v>3044878.823</v>
      </c>
      <c r="B41" s="8">
        <v>35401272.521</v>
      </c>
      <c r="C41" s="8">
        <v>905.391</v>
      </c>
      <c r="D41" s="9" t="s">
        <v>349</v>
      </c>
      <c r="E41" s="10"/>
    </row>
    <row r="42" ht="16.5" spans="1:5">
      <c r="A42" s="8">
        <v>3044878.823</v>
      </c>
      <c r="B42" s="8">
        <v>35401272.521</v>
      </c>
      <c r="C42" s="8">
        <v>905.391</v>
      </c>
      <c r="D42" s="9" t="s">
        <v>350</v>
      </c>
      <c r="E42" s="10"/>
    </row>
    <row r="43" ht="16.5" spans="1:5">
      <c r="A43" s="8">
        <v>3044878.823</v>
      </c>
      <c r="B43" s="8">
        <v>35401272.521</v>
      </c>
      <c r="C43" s="8">
        <v>905.391</v>
      </c>
      <c r="D43" s="9" t="s">
        <v>351</v>
      </c>
      <c r="E43" s="10"/>
    </row>
    <row r="44" ht="16.5" spans="1:5">
      <c r="A44" s="8">
        <v>3044878.823</v>
      </c>
      <c r="B44" s="8">
        <v>35401272.521</v>
      </c>
      <c r="C44" s="8">
        <v>905.391</v>
      </c>
      <c r="D44" s="9" t="s">
        <v>352</v>
      </c>
      <c r="E44" s="10"/>
    </row>
    <row r="45" ht="16.5" spans="1:5">
      <c r="A45" s="8">
        <v>3044878.823</v>
      </c>
      <c r="B45" s="8">
        <v>35401272.521</v>
      </c>
      <c r="C45" s="8">
        <v>905.391</v>
      </c>
      <c r="D45" s="9" t="s">
        <v>353</v>
      </c>
      <c r="E45" s="10"/>
    </row>
    <row r="46" ht="16.5" spans="1:5">
      <c r="A46" s="8">
        <v>3044878.823</v>
      </c>
      <c r="B46" s="8">
        <v>35401272.521</v>
      </c>
      <c r="C46" s="8">
        <v>905.391</v>
      </c>
      <c r="D46" s="9" t="s">
        <v>354</v>
      </c>
      <c r="E46" s="10"/>
    </row>
    <row r="47" ht="16.5" spans="1:5">
      <c r="A47" s="8">
        <v>3044878.823</v>
      </c>
      <c r="B47" s="8">
        <v>35401272.521</v>
      </c>
      <c r="C47" s="8">
        <v>905.391</v>
      </c>
      <c r="D47" s="9" t="s">
        <v>355</v>
      </c>
      <c r="E47" s="10">
        <v>766.031</v>
      </c>
    </row>
    <row r="48" ht="16.5" spans="1:5">
      <c r="A48" s="8">
        <v>3044878.823</v>
      </c>
      <c r="B48" s="8">
        <v>35401272.521</v>
      </c>
      <c r="C48" s="8">
        <v>905.391</v>
      </c>
      <c r="D48" s="9" t="s">
        <v>356</v>
      </c>
      <c r="E48" s="10"/>
    </row>
    <row r="49" ht="16.5" spans="1:5">
      <c r="A49" s="8">
        <v>3044878.823</v>
      </c>
      <c r="B49" s="8">
        <v>35401272.521</v>
      </c>
      <c r="C49" s="8">
        <v>905.391</v>
      </c>
      <c r="D49" s="9" t="s">
        <v>357</v>
      </c>
      <c r="E49" s="10"/>
    </row>
    <row r="50" ht="16.5" spans="1:5">
      <c r="A50" s="8">
        <v>3044878.823</v>
      </c>
      <c r="B50" s="8">
        <v>35401272.521</v>
      </c>
      <c r="C50" s="8">
        <v>905.391</v>
      </c>
      <c r="D50" s="9" t="s">
        <v>358</v>
      </c>
      <c r="E50" s="10"/>
    </row>
    <row r="51" ht="16.5" spans="1:5">
      <c r="A51" s="8">
        <v>3044878.823</v>
      </c>
      <c r="B51" s="8">
        <v>35401272.521</v>
      </c>
      <c r="C51" s="8">
        <v>905.391</v>
      </c>
      <c r="D51" s="9" t="s">
        <v>359</v>
      </c>
      <c r="E51" s="10"/>
    </row>
    <row r="52" ht="16.5" spans="1:5">
      <c r="A52" s="8">
        <v>3044878.823</v>
      </c>
      <c r="B52" s="8">
        <v>35401272.521</v>
      </c>
      <c r="C52" s="8">
        <v>905.391</v>
      </c>
      <c r="D52" s="9" t="s">
        <v>360</v>
      </c>
      <c r="E52" s="10"/>
    </row>
    <row r="53" ht="16.5" spans="1:5">
      <c r="A53" s="8">
        <v>3044878.823</v>
      </c>
      <c r="B53" s="8">
        <v>35401272.521</v>
      </c>
      <c r="C53" s="8">
        <v>905.391</v>
      </c>
      <c r="D53" s="9" t="s">
        <v>361</v>
      </c>
      <c r="E53" s="10"/>
    </row>
    <row r="54" ht="16.5" spans="1:5">
      <c r="A54" s="8">
        <v>3044878.823</v>
      </c>
      <c r="B54" s="8">
        <v>35401272.521</v>
      </c>
      <c r="C54" s="8">
        <v>905.391</v>
      </c>
      <c r="D54" s="9" t="s">
        <v>362</v>
      </c>
      <c r="E54" s="10"/>
    </row>
    <row r="55" ht="16.5" spans="1:5">
      <c r="A55" s="8">
        <v>3044878.823</v>
      </c>
      <c r="B55" s="8">
        <v>35401272.521</v>
      </c>
      <c r="C55" s="8">
        <v>905.391</v>
      </c>
      <c r="D55" s="9" t="s">
        <v>363</v>
      </c>
      <c r="E55" s="10"/>
    </row>
    <row r="56" ht="16.5" spans="1:5">
      <c r="A56" s="8">
        <v>3044878.823</v>
      </c>
      <c r="B56" s="8">
        <v>35401272.521</v>
      </c>
      <c r="C56" s="8">
        <v>905.391</v>
      </c>
      <c r="D56" s="9" t="s">
        <v>364</v>
      </c>
      <c r="E56" s="10"/>
    </row>
    <row r="57" ht="16.5" spans="1:5">
      <c r="A57" s="8">
        <v>3044878.823</v>
      </c>
      <c r="B57" s="8">
        <v>35401272.521</v>
      </c>
      <c r="C57" s="8">
        <v>905.391</v>
      </c>
      <c r="D57" s="9" t="s">
        <v>365</v>
      </c>
      <c r="E57" s="10"/>
    </row>
    <row r="58" ht="16.5" spans="1:5">
      <c r="A58" s="8">
        <v>3044878.823</v>
      </c>
      <c r="B58" s="8">
        <v>35401272.521</v>
      </c>
      <c r="C58" s="8">
        <v>905.391</v>
      </c>
      <c r="D58" s="9" t="s">
        <v>366</v>
      </c>
      <c r="E58" s="10"/>
    </row>
    <row r="59" ht="16.5" spans="1:5">
      <c r="A59" s="8">
        <v>3044878.823</v>
      </c>
      <c r="B59" s="8">
        <v>35401272.521</v>
      </c>
      <c r="C59" s="8">
        <v>905.391</v>
      </c>
      <c r="D59" s="9" t="s">
        <v>367</v>
      </c>
      <c r="E59" s="10"/>
    </row>
    <row r="60" ht="16.5" spans="1:5">
      <c r="A60" s="8">
        <v>3044878.823</v>
      </c>
      <c r="B60" s="8">
        <v>35401272.521</v>
      </c>
      <c r="C60" s="8">
        <v>905.391</v>
      </c>
      <c r="D60" s="9" t="s">
        <v>368</v>
      </c>
      <c r="E60" s="10"/>
    </row>
    <row r="61" ht="16.5" spans="1:5">
      <c r="A61" s="8">
        <v>3044878.823</v>
      </c>
      <c r="B61" s="8">
        <v>35401272.521</v>
      </c>
      <c r="C61" s="8">
        <v>905.391</v>
      </c>
      <c r="D61" s="9" t="s">
        <v>369</v>
      </c>
      <c r="E61" s="10">
        <v>766.991</v>
      </c>
    </row>
    <row r="62" ht="16.5" spans="1:5">
      <c r="A62" s="8">
        <v>3044878.823</v>
      </c>
      <c r="B62" s="8">
        <v>35401272.521</v>
      </c>
      <c r="C62" s="8">
        <v>905.391</v>
      </c>
      <c r="D62" s="9" t="s">
        <v>370</v>
      </c>
      <c r="E62" s="10"/>
    </row>
    <row r="63" ht="16.5" spans="1:5">
      <c r="A63" s="8">
        <v>3044878.823</v>
      </c>
      <c r="B63" s="8">
        <v>35401272.521</v>
      </c>
      <c r="C63" s="8">
        <v>905.391</v>
      </c>
      <c r="D63" s="9" t="s">
        <v>371</v>
      </c>
      <c r="E63" s="10"/>
    </row>
    <row r="64" ht="16.5" spans="1:5">
      <c r="A64" s="8">
        <v>3044878.823</v>
      </c>
      <c r="B64" s="8">
        <v>35401272.521</v>
      </c>
      <c r="C64" s="8">
        <v>905.391</v>
      </c>
      <c r="D64" s="9" t="s">
        <v>372</v>
      </c>
      <c r="E64" s="10"/>
    </row>
    <row r="65" ht="16.5" spans="1:5">
      <c r="A65" s="8">
        <v>3044878.823</v>
      </c>
      <c r="B65" s="8">
        <v>35401272.521</v>
      </c>
      <c r="C65" s="8">
        <v>905.391</v>
      </c>
      <c r="D65" s="9" t="s">
        <v>373</v>
      </c>
      <c r="E65" s="10"/>
    </row>
    <row r="66" ht="16.5" spans="1:5">
      <c r="A66" s="8">
        <v>3044878.823</v>
      </c>
      <c r="B66" s="8">
        <v>35401272.521</v>
      </c>
      <c r="C66" s="8">
        <v>905.391</v>
      </c>
      <c r="D66" s="9" t="s">
        <v>374</v>
      </c>
      <c r="E66" s="10"/>
    </row>
    <row r="67" ht="16.5" spans="1:5">
      <c r="A67" s="8">
        <v>3044878.823</v>
      </c>
      <c r="B67" s="8">
        <v>35401272.521</v>
      </c>
      <c r="C67" s="8">
        <v>905.391</v>
      </c>
      <c r="D67" s="9" t="s">
        <v>375</v>
      </c>
      <c r="E67" s="10"/>
    </row>
    <row r="68" ht="16.5" spans="1:5">
      <c r="A68" s="8">
        <v>3044878.823</v>
      </c>
      <c r="B68" s="8">
        <v>35401272.521</v>
      </c>
      <c r="C68" s="8">
        <v>905.391</v>
      </c>
      <c r="D68" s="9" t="s">
        <v>376</v>
      </c>
      <c r="E68" s="10"/>
    </row>
    <row r="69" ht="16.5" spans="1:5">
      <c r="A69" s="8">
        <v>3044878.823</v>
      </c>
      <c r="B69" s="8">
        <v>35401272.521</v>
      </c>
      <c r="C69" s="8">
        <v>905.391</v>
      </c>
      <c r="D69" s="9" t="s">
        <v>377</v>
      </c>
      <c r="E69" s="10"/>
    </row>
    <row r="70" ht="16.5" spans="1:5">
      <c r="A70" s="8">
        <v>3044878.823</v>
      </c>
      <c r="B70" s="8">
        <v>35401272.521</v>
      </c>
      <c r="C70" s="8">
        <v>905.391</v>
      </c>
      <c r="D70" s="9" t="s">
        <v>378</v>
      </c>
      <c r="E70" s="10">
        <v>765.391</v>
      </c>
    </row>
    <row r="71" ht="16.5" spans="1:5">
      <c r="A71" s="8">
        <v>3044878.823</v>
      </c>
      <c r="B71" s="8">
        <v>35401272.521</v>
      </c>
      <c r="C71" s="8">
        <v>905.391</v>
      </c>
      <c r="D71" s="9" t="s">
        <v>379</v>
      </c>
      <c r="E71" s="10"/>
    </row>
    <row r="72" ht="16.5" spans="1:5">
      <c r="A72" s="8">
        <v>3044878.823</v>
      </c>
      <c r="B72" s="8">
        <v>35401272.521</v>
      </c>
      <c r="C72" s="8">
        <v>905.391</v>
      </c>
      <c r="D72" s="9" t="s">
        <v>380</v>
      </c>
      <c r="E72" s="10"/>
    </row>
    <row r="73" ht="16.5" spans="1:5">
      <c r="A73" s="8">
        <v>3044878.823</v>
      </c>
      <c r="B73" s="8">
        <v>35401272.521</v>
      </c>
      <c r="C73" s="8">
        <v>905.391</v>
      </c>
      <c r="D73" s="9" t="s">
        <v>381</v>
      </c>
      <c r="E73" s="10"/>
    </row>
    <row r="74" ht="16.5" spans="1:5">
      <c r="A74" s="8">
        <v>3044878.823</v>
      </c>
      <c r="B74" s="8">
        <v>35401272.521</v>
      </c>
      <c r="C74" s="8">
        <v>905.391</v>
      </c>
      <c r="D74" s="9" t="s">
        <v>382</v>
      </c>
      <c r="E74" s="10"/>
    </row>
    <row r="75" ht="16.5" spans="1:5">
      <c r="A75" s="8">
        <v>3044878.823</v>
      </c>
      <c r="B75" s="8">
        <v>35401272.521</v>
      </c>
      <c r="C75" s="8">
        <v>905.391</v>
      </c>
      <c r="D75" s="9" t="s">
        <v>383</v>
      </c>
      <c r="E75" s="10"/>
    </row>
    <row r="76" ht="16.5" spans="1:5">
      <c r="A76" s="8">
        <v>3044878.823</v>
      </c>
      <c r="B76" s="8">
        <v>35401272.521</v>
      </c>
      <c r="C76" s="8">
        <v>905.391</v>
      </c>
      <c r="D76" s="9" t="s">
        <v>384</v>
      </c>
      <c r="E76" s="10"/>
    </row>
    <row r="77" ht="16.5" spans="1:5">
      <c r="A77" s="8">
        <v>3044878.823</v>
      </c>
      <c r="B77" s="8">
        <v>35401272.521</v>
      </c>
      <c r="C77" s="8">
        <v>905.391</v>
      </c>
      <c r="D77" s="9" t="s">
        <v>385</v>
      </c>
      <c r="E77" s="10"/>
    </row>
    <row r="78" ht="16.5" spans="1:5">
      <c r="A78" s="8">
        <v>3044878.823</v>
      </c>
      <c r="B78" s="8">
        <v>35401272.521</v>
      </c>
      <c r="C78" s="8">
        <v>905.391</v>
      </c>
      <c r="D78" s="9" t="s">
        <v>386</v>
      </c>
      <c r="E78" s="10"/>
    </row>
    <row r="79" ht="16.5" spans="1:5">
      <c r="A79" s="8">
        <v>3044878.823</v>
      </c>
      <c r="B79" s="8">
        <v>35401272.521</v>
      </c>
      <c r="C79" s="8">
        <v>905.391</v>
      </c>
      <c r="D79" s="9" t="s">
        <v>387</v>
      </c>
      <c r="E79" s="10"/>
    </row>
    <row r="80" ht="16.5" spans="1:5">
      <c r="A80" s="8">
        <v>3044878.823</v>
      </c>
      <c r="B80" s="8">
        <v>35401272.521</v>
      </c>
      <c r="C80" s="8">
        <v>905.391</v>
      </c>
      <c r="D80" s="9" t="s">
        <v>388</v>
      </c>
      <c r="E80" s="10"/>
    </row>
    <row r="81" ht="16.5" spans="1:5">
      <c r="A81" s="8">
        <v>3044878.823</v>
      </c>
      <c r="B81" s="8">
        <v>35401272.521</v>
      </c>
      <c r="C81" s="8">
        <v>905.391</v>
      </c>
      <c r="D81" s="9" t="s">
        <v>389</v>
      </c>
      <c r="E81" s="10"/>
    </row>
    <row r="82" ht="16.5" spans="1:5">
      <c r="A82" s="8">
        <v>3044878.823</v>
      </c>
      <c r="B82" s="8">
        <v>35401272.521</v>
      </c>
      <c r="C82" s="8">
        <v>905.391</v>
      </c>
      <c r="D82" s="9" t="s">
        <v>390</v>
      </c>
      <c r="E82" s="10">
        <v>766.691</v>
      </c>
    </row>
    <row r="83" ht="16.5" spans="1:5">
      <c r="A83" s="8">
        <v>3044878.823</v>
      </c>
      <c r="B83" s="8">
        <v>35401272.521</v>
      </c>
      <c r="C83" s="8">
        <v>905.391</v>
      </c>
      <c r="D83" s="9" t="s">
        <v>391</v>
      </c>
      <c r="E83" s="10"/>
    </row>
    <row r="84" ht="16.5" spans="1:5">
      <c r="A84" s="8">
        <v>3044878.823</v>
      </c>
      <c r="B84" s="8">
        <v>35401272.521</v>
      </c>
      <c r="C84" s="8">
        <v>905.391</v>
      </c>
      <c r="D84" s="9" t="s">
        <v>392</v>
      </c>
      <c r="E84" s="10"/>
    </row>
    <row r="85" ht="16.5" spans="1:5">
      <c r="A85" s="8">
        <v>3044878.823</v>
      </c>
      <c r="B85" s="8">
        <v>35401272.521</v>
      </c>
      <c r="C85" s="8">
        <v>905.391</v>
      </c>
      <c r="D85" s="9" t="s">
        <v>393</v>
      </c>
      <c r="E85" s="10"/>
    </row>
    <row r="86" ht="16.5" spans="1:5">
      <c r="A86" s="8">
        <v>3044878.823</v>
      </c>
      <c r="B86" s="8">
        <v>35401272.521</v>
      </c>
      <c r="C86" s="8">
        <v>905.391</v>
      </c>
      <c r="D86" s="9" t="s">
        <v>394</v>
      </c>
      <c r="E86" s="10"/>
    </row>
    <row r="87" ht="16.5" spans="1:5">
      <c r="A87" s="8">
        <v>3044878.823</v>
      </c>
      <c r="B87" s="8">
        <v>35401272.521</v>
      </c>
      <c r="C87" s="8">
        <v>905.391</v>
      </c>
      <c r="D87" s="9" t="s">
        <v>395</v>
      </c>
      <c r="E87" s="10"/>
    </row>
    <row r="88" ht="16.5" spans="1:5">
      <c r="A88" s="8">
        <v>3044878.823</v>
      </c>
      <c r="B88" s="8">
        <v>35401272.521</v>
      </c>
      <c r="C88" s="8">
        <v>905.391</v>
      </c>
      <c r="D88" s="9" t="s">
        <v>396</v>
      </c>
      <c r="E88" s="10"/>
    </row>
    <row r="89" ht="16.5" spans="1:5">
      <c r="A89" s="8">
        <v>3044878.823</v>
      </c>
      <c r="B89" s="8">
        <v>35401272.521</v>
      </c>
      <c r="C89" s="8">
        <v>905.391</v>
      </c>
      <c r="D89" s="9" t="s">
        <v>397</v>
      </c>
      <c r="E89" s="10">
        <v>764.191</v>
      </c>
    </row>
    <row r="90" ht="16.5" spans="1:5">
      <c r="A90" s="8">
        <v>3044878.823</v>
      </c>
      <c r="B90" s="8">
        <v>35401272.521</v>
      </c>
      <c r="C90" s="8">
        <v>905.391</v>
      </c>
      <c r="D90" s="9" t="s">
        <v>398</v>
      </c>
      <c r="E90" s="10"/>
    </row>
    <row r="91" ht="16.5" spans="1:5">
      <c r="A91" s="8">
        <v>3044878.823</v>
      </c>
      <c r="B91" s="8">
        <v>35401272.521</v>
      </c>
      <c r="C91" s="8">
        <v>905.391</v>
      </c>
      <c r="D91" s="9" t="s">
        <v>399</v>
      </c>
      <c r="E91" s="10"/>
    </row>
    <row r="92" ht="16.5" spans="1:5">
      <c r="A92" s="8">
        <v>3044878.823</v>
      </c>
      <c r="B92" s="8">
        <v>35401272.521</v>
      </c>
      <c r="C92" s="8">
        <v>905.391</v>
      </c>
      <c r="D92" s="9" t="s">
        <v>400</v>
      </c>
      <c r="E92" s="10"/>
    </row>
    <row r="93" ht="16.5" spans="1:5">
      <c r="A93" s="8">
        <v>3044878.823</v>
      </c>
      <c r="B93" s="8">
        <v>35401272.521</v>
      </c>
      <c r="C93" s="8">
        <v>905.391</v>
      </c>
      <c r="D93" s="9" t="s">
        <v>401</v>
      </c>
      <c r="E93" s="10"/>
    </row>
    <row r="94" ht="16.5" spans="1:5">
      <c r="A94" s="8">
        <v>3044878.823</v>
      </c>
      <c r="B94" s="8">
        <v>35401272.521</v>
      </c>
      <c r="C94" s="8">
        <v>905.391</v>
      </c>
      <c r="D94" s="9" t="s">
        <v>402</v>
      </c>
      <c r="E94" s="10"/>
    </row>
    <row r="95" ht="16.5" spans="1:5">
      <c r="A95" s="8">
        <v>3044878.823</v>
      </c>
      <c r="B95" s="8">
        <v>35401272.521</v>
      </c>
      <c r="C95" s="8">
        <v>905.391</v>
      </c>
      <c r="D95" s="9" t="s">
        <v>403</v>
      </c>
      <c r="E95" s="10"/>
    </row>
    <row r="96" ht="16.5" spans="1:5">
      <c r="A96" s="8">
        <v>3044878.823</v>
      </c>
      <c r="B96" s="8">
        <v>35401272.521</v>
      </c>
      <c r="C96" s="8">
        <v>905.391</v>
      </c>
      <c r="D96" s="9" t="s">
        <v>404</v>
      </c>
      <c r="E96" s="10"/>
    </row>
    <row r="97" ht="16.5" spans="1:5">
      <c r="A97" s="8">
        <v>3044878.823</v>
      </c>
      <c r="B97" s="8">
        <v>35401272.521</v>
      </c>
      <c r="C97" s="8">
        <v>905.391</v>
      </c>
      <c r="D97" s="9" t="s">
        <v>405</v>
      </c>
      <c r="E97" s="10"/>
    </row>
    <row r="98" ht="16.5" spans="1:5">
      <c r="A98" s="8">
        <v>3044878.823</v>
      </c>
      <c r="B98" s="8">
        <v>35401272.521</v>
      </c>
      <c r="C98" s="8">
        <v>905.391</v>
      </c>
      <c r="D98" s="9" t="s">
        <v>406</v>
      </c>
      <c r="E98" s="10"/>
    </row>
    <row r="99" ht="16.5" spans="1:5">
      <c r="A99" s="8">
        <v>3044878.823</v>
      </c>
      <c r="B99" s="8">
        <v>35401272.521</v>
      </c>
      <c r="C99" s="8">
        <v>905.391</v>
      </c>
      <c r="D99" s="9" t="s">
        <v>407</v>
      </c>
      <c r="E99" s="10"/>
    </row>
    <row r="100" ht="16.5" spans="1:5">
      <c r="A100" s="8">
        <v>3044878.823</v>
      </c>
      <c r="B100" s="8">
        <v>35401272.521</v>
      </c>
      <c r="C100" s="8">
        <v>905.391</v>
      </c>
      <c r="D100" s="9" t="s">
        <v>408</v>
      </c>
      <c r="E100" s="10"/>
    </row>
    <row r="101" ht="16.5" spans="1:5">
      <c r="A101" s="8">
        <v>3044878.823</v>
      </c>
      <c r="B101" s="8">
        <v>35401272.521</v>
      </c>
      <c r="C101" s="8">
        <v>905.391</v>
      </c>
      <c r="D101" s="9" t="s">
        <v>409</v>
      </c>
      <c r="E101" s="10"/>
    </row>
    <row r="102" ht="16.5" spans="1:5">
      <c r="A102" s="8">
        <v>3044878.823</v>
      </c>
      <c r="B102" s="8">
        <v>35401272.521</v>
      </c>
      <c r="C102" s="8">
        <v>905.391</v>
      </c>
      <c r="D102" s="9" t="s">
        <v>410</v>
      </c>
      <c r="E102" s="10">
        <v>747.991</v>
      </c>
    </row>
    <row r="103" ht="16.5" spans="1:5">
      <c r="A103" s="8">
        <v>3044878.823</v>
      </c>
      <c r="B103" s="8">
        <v>35401272.521</v>
      </c>
      <c r="C103" s="8">
        <v>905.391</v>
      </c>
      <c r="D103" s="9" t="s">
        <v>411</v>
      </c>
      <c r="E103" s="10"/>
    </row>
    <row r="104" ht="16.5" spans="1:5">
      <c r="A104" s="8">
        <v>3044878.823</v>
      </c>
      <c r="B104" s="8">
        <v>35401272.521</v>
      </c>
      <c r="C104" s="8">
        <v>905.391</v>
      </c>
      <c r="D104" s="9" t="s">
        <v>412</v>
      </c>
      <c r="E104" s="10"/>
    </row>
    <row r="105" ht="16.5" spans="1:5">
      <c r="A105" s="8">
        <v>3044878.823</v>
      </c>
      <c r="B105" s="8">
        <v>35401272.521</v>
      </c>
      <c r="C105" s="8">
        <v>905.391</v>
      </c>
      <c r="D105" s="9" t="s">
        <v>413</v>
      </c>
      <c r="E105" s="10"/>
    </row>
    <row r="106" ht="16.5" spans="1:5">
      <c r="A106" s="8">
        <v>3044878.823</v>
      </c>
      <c r="B106" s="8">
        <v>35401272.521</v>
      </c>
      <c r="C106" s="8">
        <v>905.391</v>
      </c>
      <c r="D106" s="9" t="s">
        <v>414</v>
      </c>
      <c r="E106" s="10"/>
    </row>
    <row r="107" ht="16.5" spans="1:5">
      <c r="A107" s="8">
        <v>3044878.823</v>
      </c>
      <c r="B107" s="8">
        <v>35401272.521</v>
      </c>
      <c r="C107" s="8">
        <v>905.391</v>
      </c>
      <c r="D107" s="9" t="s">
        <v>415</v>
      </c>
      <c r="E107" s="10">
        <v>744.2</v>
      </c>
    </row>
    <row r="108" ht="16.5" spans="1:5">
      <c r="A108" s="8">
        <v>3044878.823</v>
      </c>
      <c r="B108" s="8">
        <v>35401272.521</v>
      </c>
      <c r="C108" s="8">
        <v>905.391</v>
      </c>
      <c r="D108" s="9" t="s">
        <v>416</v>
      </c>
      <c r="E108" s="10"/>
    </row>
    <row r="109" ht="16.5" spans="1:5">
      <c r="A109" s="8">
        <v>3044878.823</v>
      </c>
      <c r="B109" s="8">
        <v>35401272.521</v>
      </c>
      <c r="C109" s="8">
        <v>905.391</v>
      </c>
      <c r="D109" s="9" t="s">
        <v>417</v>
      </c>
      <c r="E109" s="10"/>
    </row>
    <row r="110" ht="16.5" spans="1:5">
      <c r="A110" s="8">
        <v>3044878.823</v>
      </c>
      <c r="B110" s="8">
        <v>35401272.521</v>
      </c>
      <c r="C110" s="8">
        <v>905.391</v>
      </c>
      <c r="D110" s="9" t="s">
        <v>418</v>
      </c>
      <c r="E110" s="10"/>
    </row>
    <row r="111" ht="16.5" spans="1:5">
      <c r="A111" s="8">
        <v>3044878.823</v>
      </c>
      <c r="B111" s="8">
        <v>35401272.521</v>
      </c>
      <c r="C111" s="8">
        <v>905.391</v>
      </c>
      <c r="D111" s="9" t="s">
        <v>419</v>
      </c>
      <c r="E111" s="10"/>
    </row>
    <row r="112" ht="16.5" spans="1:5">
      <c r="A112" s="8">
        <v>3044878.823</v>
      </c>
      <c r="B112" s="8">
        <v>35401272.521</v>
      </c>
      <c r="C112" s="8">
        <v>905.391</v>
      </c>
      <c r="D112" s="9" t="s">
        <v>420</v>
      </c>
      <c r="E112" s="10"/>
    </row>
    <row r="113" ht="16.5" spans="1:5">
      <c r="A113" s="8">
        <v>3044878.823</v>
      </c>
      <c r="B113" s="8">
        <v>35401272.521</v>
      </c>
      <c r="C113" s="8">
        <v>905.391</v>
      </c>
      <c r="D113" s="9" t="s">
        <v>421</v>
      </c>
      <c r="E113" s="10"/>
    </row>
    <row r="114" ht="16.5" spans="1:5">
      <c r="A114" s="8">
        <v>3044878.823</v>
      </c>
      <c r="B114" s="8">
        <v>35401272.521</v>
      </c>
      <c r="C114" s="8">
        <v>905.391</v>
      </c>
      <c r="D114" s="9" t="s">
        <v>422</v>
      </c>
      <c r="E114" s="10"/>
    </row>
    <row r="115" ht="16.5" spans="1:5">
      <c r="A115" s="8">
        <v>3044878.823</v>
      </c>
      <c r="B115" s="8">
        <v>35401272.521</v>
      </c>
      <c r="C115" s="8">
        <v>905.391</v>
      </c>
      <c r="D115" s="9" t="s">
        <v>423</v>
      </c>
      <c r="E115" s="10"/>
    </row>
    <row r="116" ht="16.5" spans="1:5">
      <c r="A116" s="8">
        <v>3044878.823</v>
      </c>
      <c r="B116" s="8">
        <v>35401272.521</v>
      </c>
      <c r="C116" s="8">
        <v>905.391</v>
      </c>
      <c r="D116" s="9" t="s">
        <v>424</v>
      </c>
      <c r="E116" s="10"/>
    </row>
    <row r="117" ht="16.5" spans="1:5">
      <c r="A117" s="8">
        <v>3044878.823</v>
      </c>
      <c r="B117" s="8">
        <v>35401272.521</v>
      </c>
      <c r="C117" s="8">
        <v>905.391</v>
      </c>
      <c r="D117" s="9" t="s">
        <v>425</v>
      </c>
      <c r="E117" s="10"/>
    </row>
    <row r="118" ht="16.5" spans="1:5">
      <c r="A118" s="8">
        <v>3044878.823</v>
      </c>
      <c r="B118" s="8">
        <v>35401272.521</v>
      </c>
      <c r="C118" s="8">
        <v>905.391</v>
      </c>
      <c r="D118" s="9" t="s">
        <v>426</v>
      </c>
      <c r="E118" s="10">
        <v>748.991</v>
      </c>
    </row>
    <row r="119" ht="16.5" spans="1:5">
      <c r="A119" s="8">
        <v>3044878.823</v>
      </c>
      <c r="B119" s="8">
        <v>35401272.521</v>
      </c>
      <c r="C119" s="8">
        <v>905.391</v>
      </c>
      <c r="D119" s="9" t="s">
        <v>427</v>
      </c>
      <c r="E119" s="10"/>
    </row>
    <row r="120" ht="16.5" spans="1:5">
      <c r="A120" s="8">
        <v>3044878.823</v>
      </c>
      <c r="B120" s="8">
        <v>35401272.521</v>
      </c>
      <c r="C120" s="8">
        <v>905.391</v>
      </c>
      <c r="D120" s="9" t="s">
        <v>428</v>
      </c>
      <c r="E120" s="10"/>
    </row>
    <row r="121" ht="16.5" spans="1:5">
      <c r="A121" s="8">
        <v>3044878.823</v>
      </c>
      <c r="B121" s="8">
        <v>35401272.521</v>
      </c>
      <c r="C121" s="8">
        <v>905.391</v>
      </c>
      <c r="D121" s="9" t="s">
        <v>429</v>
      </c>
      <c r="E121" s="10"/>
    </row>
    <row r="122" ht="16.5" spans="1:5">
      <c r="A122" s="8">
        <v>3044878.823</v>
      </c>
      <c r="B122" s="8">
        <v>35401272.521</v>
      </c>
      <c r="C122" s="8">
        <v>905.391</v>
      </c>
      <c r="D122" s="9" t="s">
        <v>430</v>
      </c>
      <c r="E122" s="10"/>
    </row>
    <row r="123" ht="16.5" spans="1:5">
      <c r="A123" s="8">
        <v>3044878.823</v>
      </c>
      <c r="B123" s="8">
        <v>35401272.521</v>
      </c>
      <c r="C123" s="8">
        <v>905.391</v>
      </c>
      <c r="D123" s="9" t="s">
        <v>431</v>
      </c>
      <c r="E123" s="10"/>
    </row>
    <row r="124" ht="16.5" spans="1:5">
      <c r="A124" s="8">
        <v>3044878.823</v>
      </c>
      <c r="B124" s="8">
        <v>35401272.521</v>
      </c>
      <c r="C124" s="8">
        <v>905.391</v>
      </c>
      <c r="D124" s="9" t="s">
        <v>432</v>
      </c>
      <c r="E124" s="10"/>
    </row>
    <row r="125" ht="16.5" spans="1:5">
      <c r="A125" s="8">
        <v>3044878.823</v>
      </c>
      <c r="B125" s="8">
        <v>35401272.521</v>
      </c>
      <c r="C125" s="8">
        <v>905.391</v>
      </c>
      <c r="D125" s="9" t="s">
        <v>433</v>
      </c>
      <c r="E125" s="10">
        <v>748.811</v>
      </c>
    </row>
    <row r="126" ht="16.5" spans="1:5">
      <c r="A126" s="8">
        <v>3044878.823</v>
      </c>
      <c r="B126" s="8">
        <v>35401272.521</v>
      </c>
      <c r="C126" s="8">
        <v>905.391</v>
      </c>
      <c r="D126" s="9" t="s">
        <v>434</v>
      </c>
      <c r="E126" s="10"/>
    </row>
    <row r="127" ht="16.5" spans="1:5">
      <c r="A127" s="8">
        <v>3044878.823</v>
      </c>
      <c r="B127" s="8">
        <v>35401272.521</v>
      </c>
      <c r="C127" s="8">
        <v>905.391</v>
      </c>
      <c r="D127" s="9" t="s">
        <v>435</v>
      </c>
      <c r="E127" s="10"/>
    </row>
    <row r="128" ht="16.5" spans="1:5">
      <c r="A128" s="8">
        <v>3044878.823</v>
      </c>
      <c r="B128" s="8">
        <v>35401272.521</v>
      </c>
      <c r="C128" s="8">
        <v>905.391</v>
      </c>
      <c r="D128" s="9" t="s">
        <v>436</v>
      </c>
      <c r="E128" s="10"/>
    </row>
    <row r="129" ht="16.5" spans="1:5">
      <c r="A129" s="8">
        <v>3044878.823</v>
      </c>
      <c r="B129" s="8">
        <v>35401272.521</v>
      </c>
      <c r="C129" s="8">
        <v>905.391</v>
      </c>
      <c r="D129" s="9" t="s">
        <v>437</v>
      </c>
      <c r="E129" s="10">
        <v>750.251</v>
      </c>
    </row>
    <row r="130" ht="16.5" spans="1:5">
      <c r="A130" s="8">
        <v>3044878.823</v>
      </c>
      <c r="B130" s="8">
        <v>35401272.521</v>
      </c>
      <c r="C130" s="8">
        <v>905.391</v>
      </c>
      <c r="D130" s="9" t="s">
        <v>438</v>
      </c>
      <c r="E130" s="10"/>
    </row>
    <row r="131" ht="16.5" spans="1:5">
      <c r="A131" s="8">
        <v>3044878.823</v>
      </c>
      <c r="B131" s="8">
        <v>35401272.521</v>
      </c>
      <c r="C131" s="8">
        <v>905.391</v>
      </c>
      <c r="D131" s="9" t="s">
        <v>439</v>
      </c>
      <c r="E131" s="10"/>
    </row>
    <row r="132" ht="16.5" spans="1:5">
      <c r="A132" s="8">
        <v>3044878.823</v>
      </c>
      <c r="B132" s="8">
        <v>35401272.521</v>
      </c>
      <c r="C132" s="8">
        <v>905.391</v>
      </c>
      <c r="D132" s="9" t="s">
        <v>440</v>
      </c>
      <c r="E132" s="10"/>
    </row>
    <row r="133" ht="16.5" spans="1:5">
      <c r="A133" s="8">
        <v>3044878.823</v>
      </c>
      <c r="B133" s="8">
        <v>35401272.521</v>
      </c>
      <c r="C133" s="8">
        <v>905.391</v>
      </c>
      <c r="D133" s="9" t="s">
        <v>441</v>
      </c>
      <c r="E133" s="10"/>
    </row>
    <row r="134" ht="16.5" spans="1:5">
      <c r="A134" s="8">
        <v>3044878.823</v>
      </c>
      <c r="B134" s="8">
        <v>35401272.521</v>
      </c>
      <c r="C134" s="8">
        <v>905.391</v>
      </c>
      <c r="D134" s="9" t="s">
        <v>442</v>
      </c>
      <c r="E134" s="10"/>
    </row>
    <row r="135" ht="16.5" spans="1:5">
      <c r="A135" s="8">
        <v>3044878.823</v>
      </c>
      <c r="B135" s="8">
        <v>35401272.521</v>
      </c>
      <c r="C135" s="8">
        <v>905.391</v>
      </c>
      <c r="D135" s="9" t="s">
        <v>443</v>
      </c>
      <c r="E135" s="10"/>
    </row>
    <row r="136" ht="16.5" spans="1:5">
      <c r="A136" s="8">
        <v>3044878.823</v>
      </c>
      <c r="B136" s="8">
        <v>35401272.521</v>
      </c>
      <c r="C136" s="8">
        <v>905.391</v>
      </c>
      <c r="D136" s="9" t="s">
        <v>444</v>
      </c>
      <c r="E136" s="10"/>
    </row>
    <row r="137" ht="16.5" spans="1:5">
      <c r="A137" s="8">
        <v>3044878.823</v>
      </c>
      <c r="B137" s="8">
        <v>35401272.521</v>
      </c>
      <c r="C137" s="8">
        <v>905.391</v>
      </c>
      <c r="D137" s="9" t="s">
        <v>445</v>
      </c>
      <c r="E137" s="10"/>
    </row>
    <row r="138" ht="16.5" spans="1:5">
      <c r="A138" s="8">
        <v>3044878.823</v>
      </c>
      <c r="B138" s="8">
        <v>35401272.521</v>
      </c>
      <c r="C138" s="8">
        <v>905.391</v>
      </c>
      <c r="D138" s="9" t="s">
        <v>446</v>
      </c>
      <c r="E138" s="10"/>
    </row>
    <row r="139" ht="16.5" spans="1:5">
      <c r="A139" s="8">
        <v>3044878.823</v>
      </c>
      <c r="B139" s="8">
        <v>35401272.521</v>
      </c>
      <c r="C139" s="8">
        <v>905.391</v>
      </c>
      <c r="D139" s="9" t="s">
        <v>447</v>
      </c>
      <c r="E139" s="10">
        <v>747.991</v>
      </c>
    </row>
    <row r="140" ht="16.5" spans="1:5">
      <c r="A140" s="8">
        <v>3044878.823</v>
      </c>
      <c r="B140" s="8">
        <v>35401272.521</v>
      </c>
      <c r="C140" s="8">
        <v>905.391</v>
      </c>
      <c r="D140" s="9" t="s">
        <v>448</v>
      </c>
      <c r="E140" s="10"/>
    </row>
    <row r="141" ht="16.5" spans="1:5">
      <c r="A141" s="8">
        <v>3044878.823</v>
      </c>
      <c r="B141" s="8">
        <v>35401272.521</v>
      </c>
      <c r="C141" s="8">
        <v>905.391</v>
      </c>
      <c r="D141" s="9" t="s">
        <v>449</v>
      </c>
      <c r="E141" s="10"/>
    </row>
    <row r="142" ht="16.5" spans="1:5">
      <c r="A142" s="8">
        <v>3044878.823</v>
      </c>
      <c r="B142" s="8">
        <v>35401272.521</v>
      </c>
      <c r="C142" s="8">
        <v>905.391</v>
      </c>
      <c r="D142" s="9" t="s">
        <v>450</v>
      </c>
      <c r="E142" s="10"/>
    </row>
    <row r="143" ht="16.5" spans="1:5">
      <c r="A143" s="8">
        <v>3044878.823</v>
      </c>
      <c r="B143" s="8">
        <v>35401272.521</v>
      </c>
      <c r="C143" s="8">
        <v>905.391</v>
      </c>
      <c r="D143" s="9" t="s">
        <v>451</v>
      </c>
      <c r="E143" s="10"/>
    </row>
    <row r="144" ht="16.5" spans="1:5">
      <c r="A144" s="8">
        <v>3044878.823</v>
      </c>
      <c r="B144" s="8">
        <v>35401272.521</v>
      </c>
      <c r="C144" s="8">
        <v>905.391</v>
      </c>
      <c r="D144" s="9" t="s">
        <v>452</v>
      </c>
      <c r="E144" s="10">
        <v>741.8</v>
      </c>
    </row>
    <row r="145" ht="16.5" spans="1:5">
      <c r="A145" s="8">
        <v>3044878.823</v>
      </c>
      <c r="B145" s="8">
        <v>35401272.521</v>
      </c>
      <c r="C145" s="8">
        <v>905.391</v>
      </c>
      <c r="D145" s="9" t="s">
        <v>453</v>
      </c>
      <c r="E145" s="10"/>
    </row>
    <row r="146" ht="16.5" spans="1:5">
      <c r="A146" s="8">
        <v>3044878.823</v>
      </c>
      <c r="B146" s="8">
        <v>35401272.521</v>
      </c>
      <c r="C146" s="8">
        <v>905.391</v>
      </c>
      <c r="D146" s="9" t="s">
        <v>454</v>
      </c>
      <c r="E146" s="10"/>
    </row>
    <row r="147" ht="16.5" spans="1:5">
      <c r="A147" s="8">
        <v>3044878.823</v>
      </c>
      <c r="B147" s="8">
        <v>35401272.521</v>
      </c>
      <c r="C147" s="8">
        <v>905.391</v>
      </c>
      <c r="D147" s="9" t="s">
        <v>455</v>
      </c>
      <c r="E147" s="10"/>
    </row>
    <row r="148" ht="16.5" spans="1:5">
      <c r="A148" s="8">
        <v>3044878.823</v>
      </c>
      <c r="B148" s="8">
        <v>35401272.521</v>
      </c>
      <c r="C148" s="8">
        <v>905.391</v>
      </c>
      <c r="D148" s="9" t="s">
        <v>456</v>
      </c>
      <c r="E148" s="10"/>
    </row>
    <row r="149" ht="16.5" spans="1:5">
      <c r="A149" s="8">
        <v>3044878.823</v>
      </c>
      <c r="B149" s="8">
        <v>35401272.521</v>
      </c>
      <c r="C149" s="8">
        <v>905.391</v>
      </c>
      <c r="D149" s="9" t="s">
        <v>457</v>
      </c>
      <c r="E149" s="10"/>
    </row>
    <row r="150" ht="16.5" spans="1:5">
      <c r="A150" s="8">
        <v>3044878.823</v>
      </c>
      <c r="B150" s="8">
        <v>35401272.521</v>
      </c>
      <c r="C150" s="8">
        <v>905.391</v>
      </c>
      <c r="D150" s="9" t="s">
        <v>458</v>
      </c>
      <c r="E150" s="10"/>
    </row>
    <row r="151" ht="16.5" spans="1:5">
      <c r="A151" s="8">
        <v>3044878.823</v>
      </c>
      <c r="B151" s="8">
        <v>35401272.521</v>
      </c>
      <c r="C151" s="8">
        <v>905.391</v>
      </c>
      <c r="D151" s="9" t="s">
        <v>459</v>
      </c>
      <c r="E151" s="10">
        <v>746.691</v>
      </c>
    </row>
    <row r="152" ht="16.5" spans="1:5">
      <c r="A152" s="8">
        <v>3044878.823</v>
      </c>
      <c r="B152" s="8">
        <v>35401272.521</v>
      </c>
      <c r="C152" s="8">
        <v>905.391</v>
      </c>
      <c r="D152" s="9" t="s">
        <v>460</v>
      </c>
      <c r="E152" s="10"/>
    </row>
    <row r="153" ht="16.5" spans="1:5">
      <c r="A153" s="8">
        <v>3044878.823</v>
      </c>
      <c r="B153" s="8">
        <v>35401272.521</v>
      </c>
      <c r="C153" s="8">
        <v>905.391</v>
      </c>
      <c r="D153" s="9" t="s">
        <v>461</v>
      </c>
      <c r="E153" s="10"/>
    </row>
    <row r="154" ht="16.5" spans="1:5">
      <c r="A154" s="8">
        <v>3044878.823</v>
      </c>
      <c r="B154" s="8">
        <v>35401272.521</v>
      </c>
      <c r="C154" s="8">
        <v>905.391</v>
      </c>
      <c r="D154" s="9" t="s">
        <v>462</v>
      </c>
      <c r="E154" s="10"/>
    </row>
    <row r="155" ht="16.5" spans="1:5">
      <c r="A155" s="8">
        <v>3044878.823</v>
      </c>
      <c r="B155" s="8">
        <v>35401272.521</v>
      </c>
      <c r="C155" s="8">
        <v>905.391</v>
      </c>
      <c r="D155" s="9" t="s">
        <v>463</v>
      </c>
      <c r="E155" s="10">
        <v>747.991</v>
      </c>
    </row>
    <row r="156" ht="16.5" spans="1:5">
      <c r="A156" s="8">
        <v>3044878.823</v>
      </c>
      <c r="B156" s="8">
        <v>35401272.521</v>
      </c>
      <c r="C156" s="8">
        <v>905.391</v>
      </c>
      <c r="D156" s="9" t="s">
        <v>464</v>
      </c>
      <c r="E156" s="10">
        <v>746.321</v>
      </c>
    </row>
    <row r="157" ht="16.5" spans="1:5">
      <c r="A157" s="8">
        <v>3044878.823</v>
      </c>
      <c r="B157" s="8">
        <v>35401272.521</v>
      </c>
      <c r="C157" s="8">
        <v>905.391</v>
      </c>
      <c r="D157" s="9" t="s">
        <v>465</v>
      </c>
      <c r="E157" s="10"/>
    </row>
    <row r="158" ht="16.5" spans="1:5">
      <c r="A158" s="8">
        <v>3044878.823</v>
      </c>
      <c r="B158" s="8">
        <v>35401272.521</v>
      </c>
      <c r="C158" s="8">
        <v>905.391</v>
      </c>
      <c r="D158" s="9" t="s">
        <v>466</v>
      </c>
      <c r="E158" s="10">
        <v>745.611</v>
      </c>
    </row>
    <row r="159" ht="16.5" spans="1:5">
      <c r="A159" s="8">
        <v>3044878.823</v>
      </c>
      <c r="B159" s="8">
        <v>35401272.521</v>
      </c>
      <c r="C159" s="8">
        <v>905.391</v>
      </c>
      <c r="D159" s="9" t="s">
        <v>467</v>
      </c>
      <c r="E159" s="10"/>
    </row>
    <row r="160" ht="16.5" spans="1:5">
      <c r="A160" s="8">
        <v>3044878.823</v>
      </c>
      <c r="B160" s="8">
        <v>35401272.521</v>
      </c>
      <c r="C160" s="8">
        <v>905.391</v>
      </c>
      <c r="D160" s="9" t="s">
        <v>468</v>
      </c>
      <c r="E160" s="10">
        <v>746.611</v>
      </c>
    </row>
    <row r="161" ht="16.5" spans="1:5">
      <c r="A161" s="8">
        <v>3044878.823</v>
      </c>
      <c r="B161" s="8">
        <v>35401272.521</v>
      </c>
      <c r="C161" s="8">
        <v>905.391</v>
      </c>
      <c r="D161" s="9" t="s">
        <v>469</v>
      </c>
      <c r="E161" s="10">
        <v>747.071</v>
      </c>
    </row>
    <row r="162" ht="16.5" spans="1:5">
      <c r="A162" s="8">
        <v>3044878.823</v>
      </c>
      <c r="B162" s="8">
        <v>35401272.521</v>
      </c>
      <c r="C162" s="8">
        <v>905.391</v>
      </c>
      <c r="D162" s="9" t="s">
        <v>470</v>
      </c>
      <c r="E162" s="10">
        <v>746.421</v>
      </c>
    </row>
    <row r="163" ht="16.5" spans="1:5">
      <c r="A163" s="8">
        <v>3044878.823</v>
      </c>
      <c r="B163" s="8">
        <v>35401272.521</v>
      </c>
      <c r="C163" s="8">
        <v>905.391</v>
      </c>
      <c r="D163" s="9" t="s">
        <v>471</v>
      </c>
      <c r="E163" s="10">
        <v>746.971</v>
      </c>
    </row>
    <row r="164" ht="16.5" spans="1:5">
      <c r="A164" s="8">
        <v>3044878.823</v>
      </c>
      <c r="B164" s="8">
        <v>35401272.521</v>
      </c>
      <c r="C164" s="8">
        <v>905.391</v>
      </c>
      <c r="D164" s="9" t="s">
        <v>472</v>
      </c>
      <c r="E164" s="10">
        <v>746.921</v>
      </c>
    </row>
    <row r="165" ht="16.5" spans="1:5">
      <c r="A165" s="8">
        <v>3044878.823</v>
      </c>
      <c r="B165" s="8">
        <v>35401272.521</v>
      </c>
      <c r="C165" s="8">
        <v>905.391</v>
      </c>
      <c r="D165" s="9" t="s">
        <v>473</v>
      </c>
      <c r="E165" s="10">
        <v>746.471</v>
      </c>
    </row>
    <row r="166" ht="16.5" spans="1:5">
      <c r="A166" s="8">
        <v>3044878.823</v>
      </c>
      <c r="B166" s="8">
        <v>35401272.521</v>
      </c>
      <c r="C166" s="8">
        <v>905.391</v>
      </c>
      <c r="D166" s="9" t="s">
        <v>474</v>
      </c>
      <c r="E166" s="10">
        <v>746.841</v>
      </c>
    </row>
    <row r="167" ht="16.5" spans="1:5">
      <c r="A167" s="8">
        <v>3044878.823</v>
      </c>
      <c r="B167" s="8">
        <v>35401272.521</v>
      </c>
      <c r="C167" s="8">
        <v>905.391</v>
      </c>
      <c r="D167" s="9" t="s">
        <v>475</v>
      </c>
      <c r="E167" s="10">
        <v>749.361</v>
      </c>
    </row>
    <row r="168" ht="16.5" spans="1:5">
      <c r="A168" s="8">
        <v>3044878.823</v>
      </c>
      <c r="B168" s="8">
        <v>35401272.521</v>
      </c>
      <c r="C168" s="8">
        <v>905.391</v>
      </c>
      <c r="D168" s="9" t="s">
        <v>476</v>
      </c>
      <c r="E168" s="10">
        <v>746.411</v>
      </c>
    </row>
    <row r="169" ht="16.5" spans="1:5">
      <c r="A169" s="8">
        <v>3044878.823</v>
      </c>
      <c r="B169" s="8">
        <v>35401272.521</v>
      </c>
      <c r="C169" s="8">
        <v>905.391</v>
      </c>
      <c r="D169" s="9" t="s">
        <v>477</v>
      </c>
      <c r="E169" s="10">
        <v>747.771</v>
      </c>
    </row>
    <row r="170" ht="16.5" spans="1:5">
      <c r="A170" s="8">
        <v>3044878.823</v>
      </c>
      <c r="B170" s="8">
        <v>35401272.521</v>
      </c>
      <c r="C170" s="8">
        <v>905.391</v>
      </c>
      <c r="D170" s="9" t="s">
        <v>478</v>
      </c>
      <c r="E170" s="10">
        <v>746.611</v>
      </c>
    </row>
    <row r="171" ht="16.5" spans="1:5">
      <c r="A171" s="8">
        <v>3044878.823</v>
      </c>
      <c r="B171" s="8">
        <v>35401272.521</v>
      </c>
      <c r="C171" s="8">
        <v>905.391</v>
      </c>
      <c r="D171" s="9" t="s">
        <v>479</v>
      </c>
      <c r="E171" s="10">
        <v>747.261</v>
      </c>
    </row>
    <row r="172" ht="16.5" spans="1:5">
      <c r="A172" s="8">
        <v>3044878.823</v>
      </c>
      <c r="B172" s="8">
        <v>35401272.521</v>
      </c>
      <c r="C172" s="8">
        <v>905.391</v>
      </c>
      <c r="D172" s="9" t="s">
        <v>480</v>
      </c>
      <c r="E172" s="10">
        <v>747.041</v>
      </c>
    </row>
    <row r="173" ht="16.5" spans="1:5">
      <c r="A173" s="8">
        <v>3044878.823</v>
      </c>
      <c r="B173" s="8">
        <v>35401272.521</v>
      </c>
      <c r="C173" s="8">
        <v>905.391</v>
      </c>
      <c r="D173" s="9" t="s">
        <v>481</v>
      </c>
      <c r="E173" s="10">
        <v>747.531</v>
      </c>
    </row>
    <row r="174" ht="16.5" spans="1:5">
      <c r="A174" s="8">
        <v>3044878.823</v>
      </c>
      <c r="B174" s="8">
        <v>35401272.521</v>
      </c>
      <c r="C174" s="8">
        <v>905.391</v>
      </c>
      <c r="D174" s="9" t="s">
        <v>482</v>
      </c>
      <c r="E174" s="10">
        <v>747.771</v>
      </c>
    </row>
    <row r="175" ht="16.5" spans="1:5">
      <c r="A175" s="8">
        <v>3044878.823</v>
      </c>
      <c r="B175" s="8">
        <v>35401272.521</v>
      </c>
      <c r="C175" s="8">
        <v>905.391</v>
      </c>
      <c r="D175" s="9" t="s">
        <v>483</v>
      </c>
      <c r="E175" s="10">
        <v>746.591</v>
      </c>
    </row>
    <row r="176" ht="16.5" spans="1:5">
      <c r="A176" s="8">
        <v>3044878.823</v>
      </c>
      <c r="B176" s="8">
        <v>35401272.521</v>
      </c>
      <c r="C176" s="8">
        <v>905.391</v>
      </c>
      <c r="D176" s="9" t="s">
        <v>484</v>
      </c>
      <c r="E176" s="10">
        <v>747.571</v>
      </c>
    </row>
    <row r="177" ht="16.5" spans="1:5">
      <c r="A177" s="8">
        <v>3044878.823</v>
      </c>
      <c r="B177" s="8">
        <v>35401272.521</v>
      </c>
      <c r="C177" s="8">
        <v>905.391</v>
      </c>
      <c r="D177" s="9" t="s">
        <v>485</v>
      </c>
      <c r="E177" s="10">
        <v>745.551</v>
      </c>
    </row>
    <row r="178" ht="16.5" spans="1:5">
      <c r="A178" s="8">
        <v>3044878.823</v>
      </c>
      <c r="B178" s="8">
        <v>35401272.521</v>
      </c>
      <c r="C178" s="8">
        <v>905.391</v>
      </c>
      <c r="D178" s="9" t="s">
        <v>486</v>
      </c>
      <c r="E178" s="10">
        <v>745.601</v>
      </c>
    </row>
    <row r="179" ht="16.5" spans="1:5">
      <c r="A179" s="8">
        <v>3044878.823</v>
      </c>
      <c r="B179" s="8">
        <v>35401272.521</v>
      </c>
      <c r="C179" s="8">
        <v>905.391</v>
      </c>
      <c r="D179" s="9" t="s">
        <v>487</v>
      </c>
      <c r="E179" s="10">
        <v>746.371</v>
      </c>
    </row>
    <row r="180" ht="16.5" spans="1:5">
      <c r="A180" s="8">
        <v>3044878.823</v>
      </c>
      <c r="B180" s="8">
        <v>35401272.521</v>
      </c>
      <c r="C180" s="8">
        <v>905.391</v>
      </c>
      <c r="D180" s="9" t="s">
        <v>488</v>
      </c>
      <c r="E180" s="10">
        <v>746.931</v>
      </c>
    </row>
    <row r="181" ht="16.5" spans="1:5">
      <c r="A181" s="8">
        <v>3044878.823</v>
      </c>
      <c r="B181" s="8">
        <v>35401272.521</v>
      </c>
      <c r="C181" s="8">
        <v>905.391</v>
      </c>
      <c r="D181" s="9" t="s">
        <v>489</v>
      </c>
      <c r="E181" s="10">
        <v>746.301</v>
      </c>
    </row>
    <row r="182" ht="16.5" spans="1:5">
      <c r="A182" s="8">
        <v>3044878.823</v>
      </c>
      <c r="B182" s="8">
        <v>35401272.521</v>
      </c>
      <c r="C182" s="8">
        <v>905.391</v>
      </c>
      <c r="D182" s="9" t="s">
        <v>490</v>
      </c>
      <c r="E182" s="10">
        <v>747.641</v>
      </c>
    </row>
    <row r="183" ht="16.5" spans="1:5">
      <c r="A183" s="8">
        <v>3044878.823</v>
      </c>
      <c r="B183" s="8">
        <v>35401272.521</v>
      </c>
      <c r="C183" s="8">
        <v>905.391</v>
      </c>
      <c r="D183" s="9" t="s">
        <v>491</v>
      </c>
      <c r="E183" s="10">
        <v>749.371</v>
      </c>
    </row>
    <row r="184" ht="16.5" spans="1:5">
      <c r="A184" s="8">
        <v>3044878.823</v>
      </c>
      <c r="B184" s="8">
        <v>35401272.521</v>
      </c>
      <c r="C184" s="8">
        <v>905.391</v>
      </c>
      <c r="D184" s="11">
        <v>44682</v>
      </c>
      <c r="E184" s="10">
        <v>748.251</v>
      </c>
    </row>
    <row r="185" ht="16.5" spans="1:5">
      <c r="A185" s="8">
        <v>3044878.823</v>
      </c>
      <c r="B185" s="8">
        <v>35401272.521</v>
      </c>
      <c r="C185" s="8">
        <v>905.391</v>
      </c>
      <c r="D185" s="11">
        <v>44683</v>
      </c>
      <c r="E185" s="10"/>
    </row>
    <row r="186" ht="16.5" spans="1:5">
      <c r="A186" s="8">
        <v>3044878.823</v>
      </c>
      <c r="B186" s="8">
        <v>35401272.521</v>
      </c>
      <c r="C186" s="8">
        <v>905.391</v>
      </c>
      <c r="D186" s="11">
        <v>44684</v>
      </c>
      <c r="E186" s="10"/>
    </row>
    <row r="187" ht="16.5" spans="1:5">
      <c r="A187" s="8">
        <v>3044878.823</v>
      </c>
      <c r="B187" s="8">
        <v>35401272.521</v>
      </c>
      <c r="C187" s="8">
        <v>905.391</v>
      </c>
      <c r="D187" s="11">
        <v>44685</v>
      </c>
      <c r="E187" s="10">
        <v>748.601</v>
      </c>
    </row>
    <row r="188" ht="16.5" spans="1:5">
      <c r="A188" s="8">
        <v>3044878.823</v>
      </c>
      <c r="B188" s="8">
        <v>35401272.521</v>
      </c>
      <c r="C188" s="8">
        <v>905.391</v>
      </c>
      <c r="D188" s="11">
        <v>44686</v>
      </c>
      <c r="E188" s="10"/>
    </row>
    <row r="189" ht="16.5" spans="1:5">
      <c r="A189" s="8">
        <v>3044878.823</v>
      </c>
      <c r="B189" s="8">
        <v>35401272.521</v>
      </c>
      <c r="C189" s="8">
        <v>905.391</v>
      </c>
      <c r="D189" s="11">
        <v>44687</v>
      </c>
      <c r="E189" s="10"/>
    </row>
    <row r="190" ht="16.5" spans="1:5">
      <c r="A190" s="8">
        <v>3044878.823</v>
      </c>
      <c r="B190" s="8">
        <v>35401272.521</v>
      </c>
      <c r="C190" s="8">
        <v>905.391</v>
      </c>
      <c r="D190" s="11">
        <v>44688</v>
      </c>
      <c r="E190" s="10">
        <v>748.471</v>
      </c>
    </row>
    <row r="191" ht="16.5" spans="1:5">
      <c r="A191" s="8">
        <v>3044878.823</v>
      </c>
      <c r="B191" s="8">
        <v>35401272.521</v>
      </c>
      <c r="C191" s="8">
        <v>905.391</v>
      </c>
      <c r="D191" s="11">
        <v>44689</v>
      </c>
      <c r="E191" s="10"/>
    </row>
    <row r="192" ht="16.5" spans="1:5">
      <c r="A192" s="8">
        <v>3044878.823</v>
      </c>
      <c r="B192" s="8">
        <v>35401272.521</v>
      </c>
      <c r="C192" s="8">
        <v>905.391</v>
      </c>
      <c r="D192" s="11">
        <v>44690</v>
      </c>
      <c r="E192" s="10"/>
    </row>
    <row r="193" ht="16.5" spans="1:5">
      <c r="A193" s="8">
        <v>3044878.823</v>
      </c>
      <c r="B193" s="8">
        <v>35401272.521</v>
      </c>
      <c r="C193" s="8">
        <v>905.391</v>
      </c>
      <c r="D193" s="11">
        <v>44691</v>
      </c>
      <c r="E193" s="10">
        <v>749.431</v>
      </c>
    </row>
    <row r="194" ht="16.5" spans="1:5">
      <c r="A194" s="8">
        <v>3044878.823</v>
      </c>
      <c r="B194" s="8">
        <v>35401272.521</v>
      </c>
      <c r="C194" s="8">
        <v>905.391</v>
      </c>
      <c r="D194" s="11">
        <v>44692</v>
      </c>
      <c r="E194" s="10">
        <v>749.221</v>
      </c>
    </row>
    <row r="195" ht="16.5" spans="1:5">
      <c r="A195" s="8">
        <v>3044878.823</v>
      </c>
      <c r="B195" s="8">
        <v>35401272.521</v>
      </c>
      <c r="C195" s="8">
        <v>905.391</v>
      </c>
      <c r="D195" s="11">
        <v>44693</v>
      </c>
      <c r="E195" s="10">
        <v>749.081</v>
      </c>
    </row>
    <row r="196" ht="16.5" spans="1:5">
      <c r="A196" s="8">
        <v>3044878.823</v>
      </c>
      <c r="B196" s="8">
        <v>35401272.521</v>
      </c>
      <c r="C196" s="8">
        <v>905.391</v>
      </c>
      <c r="D196" s="11">
        <v>44694</v>
      </c>
      <c r="E196" s="10">
        <v>750.041</v>
      </c>
    </row>
    <row r="197" ht="16.5" spans="1:5">
      <c r="A197" s="8">
        <v>3044878.823</v>
      </c>
      <c r="B197" s="8">
        <v>35401272.521</v>
      </c>
      <c r="C197" s="8">
        <v>905.391</v>
      </c>
      <c r="D197" s="11">
        <v>44695</v>
      </c>
      <c r="E197" s="10">
        <v>746.771</v>
      </c>
    </row>
    <row r="198" ht="16.5" spans="1:5">
      <c r="A198" s="8">
        <v>3044878.823</v>
      </c>
      <c r="B198" s="8">
        <v>35401272.521</v>
      </c>
      <c r="C198" s="8">
        <v>905.391</v>
      </c>
      <c r="D198" s="11">
        <v>44696</v>
      </c>
      <c r="E198" s="10">
        <v>747.701</v>
      </c>
    </row>
    <row r="199" ht="16.5" spans="1:5">
      <c r="A199" s="8">
        <v>3044878.823</v>
      </c>
      <c r="B199" s="8">
        <v>35401272.521</v>
      </c>
      <c r="C199" s="8">
        <v>905.391</v>
      </c>
      <c r="D199" s="11">
        <v>44697</v>
      </c>
      <c r="E199" s="10">
        <v>755.091</v>
      </c>
    </row>
    <row r="200" ht="16.5" spans="1:5">
      <c r="A200" s="8">
        <v>3044878.823</v>
      </c>
      <c r="B200" s="8">
        <v>35401272.521</v>
      </c>
      <c r="C200" s="8">
        <v>905.391</v>
      </c>
      <c r="D200" s="11">
        <v>44698</v>
      </c>
      <c r="E200" s="10">
        <v>747.701</v>
      </c>
    </row>
    <row r="201" ht="16.5" spans="1:5">
      <c r="A201" s="8">
        <v>3044878.823</v>
      </c>
      <c r="B201" s="8">
        <v>35401272.521</v>
      </c>
      <c r="C201" s="8">
        <v>905.391</v>
      </c>
      <c r="D201" s="11">
        <v>44699</v>
      </c>
      <c r="E201" s="10">
        <v>745.791</v>
      </c>
    </row>
    <row r="202" ht="16.5" spans="1:5">
      <c r="A202" s="8">
        <v>3044878.823</v>
      </c>
      <c r="B202" s="8">
        <v>35401272.521</v>
      </c>
      <c r="C202" s="8">
        <v>905.391</v>
      </c>
      <c r="D202" s="11">
        <v>44700</v>
      </c>
      <c r="E202" s="10">
        <v>747.291</v>
      </c>
    </row>
    <row r="203" ht="16.5" spans="1:5">
      <c r="A203" s="8">
        <v>3044878.823</v>
      </c>
      <c r="B203" s="8">
        <v>35401272.521</v>
      </c>
      <c r="C203" s="8">
        <v>905.391</v>
      </c>
      <c r="D203" s="11">
        <v>44701</v>
      </c>
      <c r="E203" s="10">
        <v>747.691</v>
      </c>
    </row>
    <row r="204" ht="16.5" spans="1:5">
      <c r="A204" s="8">
        <v>3044878.823</v>
      </c>
      <c r="B204" s="8">
        <v>35401272.521</v>
      </c>
      <c r="C204" s="8">
        <v>905.391</v>
      </c>
      <c r="D204" s="11">
        <v>44702</v>
      </c>
      <c r="E204" s="10">
        <v>748.191</v>
      </c>
    </row>
    <row r="205" ht="16.5" spans="1:5">
      <c r="A205" s="8">
        <v>3044878.823</v>
      </c>
      <c r="B205" s="8">
        <v>35401272.521</v>
      </c>
      <c r="C205" s="8">
        <v>905.391</v>
      </c>
      <c r="D205" s="11">
        <v>44703</v>
      </c>
      <c r="E205" s="10">
        <v>749.011</v>
      </c>
    </row>
    <row r="206" ht="16.5" spans="1:5">
      <c r="A206" s="8">
        <v>3044878.823</v>
      </c>
      <c r="B206" s="8">
        <v>35401272.521</v>
      </c>
      <c r="C206" s="8">
        <v>905.391</v>
      </c>
      <c r="D206" s="11">
        <v>44704</v>
      </c>
      <c r="E206" s="10">
        <v>752.901</v>
      </c>
    </row>
    <row r="207" ht="16.5" spans="1:5">
      <c r="A207" s="8">
        <v>3044878.823</v>
      </c>
      <c r="B207" s="8">
        <v>35401272.521</v>
      </c>
      <c r="C207" s="8">
        <v>905.391</v>
      </c>
      <c r="D207" s="11">
        <v>44705</v>
      </c>
      <c r="E207" s="10"/>
    </row>
    <row r="208" ht="16.5" spans="1:5">
      <c r="A208" s="8">
        <v>3044878.823</v>
      </c>
      <c r="B208" s="8">
        <v>35401272.521</v>
      </c>
      <c r="C208" s="8">
        <v>905.391</v>
      </c>
      <c r="D208" s="11">
        <v>44706</v>
      </c>
      <c r="E208" s="10">
        <v>754.071</v>
      </c>
    </row>
    <row r="209" ht="16.5" spans="1:5">
      <c r="A209" s="8">
        <v>3044878.823</v>
      </c>
      <c r="B209" s="8">
        <v>35401272.521</v>
      </c>
      <c r="C209" s="8">
        <v>905.391</v>
      </c>
      <c r="D209" s="11">
        <v>44707</v>
      </c>
      <c r="E209" s="10">
        <v>750.681</v>
      </c>
    </row>
    <row r="210" ht="16.5" spans="1:5">
      <c r="A210" s="8">
        <v>3044878.823</v>
      </c>
      <c r="B210" s="8">
        <v>35401272.521</v>
      </c>
      <c r="C210" s="8">
        <v>905.391</v>
      </c>
      <c r="D210" s="11">
        <v>44708</v>
      </c>
      <c r="E210" s="10">
        <v>751.721</v>
      </c>
    </row>
    <row r="211" ht="16.5" spans="1:5">
      <c r="A211" s="8">
        <v>3044878.823</v>
      </c>
      <c r="B211" s="8">
        <v>35401272.521</v>
      </c>
      <c r="C211" s="8">
        <v>905.391</v>
      </c>
      <c r="D211" s="11">
        <v>44709</v>
      </c>
      <c r="E211" s="10"/>
    </row>
    <row r="212" ht="16.5" spans="1:5">
      <c r="A212" s="8">
        <v>3044878.823</v>
      </c>
      <c r="B212" s="8">
        <v>35401272.521</v>
      </c>
      <c r="C212" s="8">
        <v>905.391</v>
      </c>
      <c r="D212" s="11">
        <v>44710</v>
      </c>
      <c r="E212" s="10">
        <v>753.081</v>
      </c>
    </row>
    <row r="213" ht="16.5" spans="1:5">
      <c r="A213" s="8">
        <v>3044878.823</v>
      </c>
      <c r="B213" s="8">
        <v>35401272.521</v>
      </c>
      <c r="C213" s="8">
        <v>905.391</v>
      </c>
      <c r="D213" s="11">
        <v>44711</v>
      </c>
      <c r="E213" s="10">
        <v>753.661</v>
      </c>
    </row>
    <row r="214" ht="16.5" spans="1:5">
      <c r="A214" s="8">
        <v>3044878.823</v>
      </c>
      <c r="B214" s="8">
        <v>35401272.521</v>
      </c>
      <c r="C214" s="8">
        <v>905.391</v>
      </c>
      <c r="D214" s="11">
        <v>44712</v>
      </c>
      <c r="E214" s="10">
        <v>754.801</v>
      </c>
    </row>
    <row r="215" ht="16.5" spans="1:5">
      <c r="A215" s="8">
        <v>3044878.823</v>
      </c>
      <c r="B215" s="8">
        <v>35401272.521</v>
      </c>
      <c r="C215" s="8">
        <v>905.391</v>
      </c>
      <c r="D215" s="11">
        <v>44713</v>
      </c>
      <c r="E215" s="10"/>
    </row>
    <row r="216" ht="16.5" spans="1:5">
      <c r="A216" s="8">
        <v>3044878.823</v>
      </c>
      <c r="B216" s="8">
        <v>35401272.521</v>
      </c>
      <c r="C216" s="8">
        <v>905.391</v>
      </c>
      <c r="D216" s="11">
        <v>44714</v>
      </c>
      <c r="E216" s="10">
        <v>755.721</v>
      </c>
    </row>
    <row r="217" ht="16.5" spans="1:5">
      <c r="A217" s="8">
        <v>3044878.823</v>
      </c>
      <c r="B217" s="8">
        <v>35401272.521</v>
      </c>
      <c r="C217" s="8">
        <v>905.391</v>
      </c>
      <c r="D217" s="11">
        <v>44715</v>
      </c>
      <c r="E217" s="10"/>
    </row>
    <row r="218" ht="16.5" spans="1:5">
      <c r="A218" s="8">
        <v>3044878.823</v>
      </c>
      <c r="B218" s="8">
        <v>35401272.521</v>
      </c>
      <c r="C218" s="8">
        <v>905.391</v>
      </c>
      <c r="D218" s="11">
        <v>44716</v>
      </c>
      <c r="E218" s="10">
        <v>755.691</v>
      </c>
    </row>
    <row r="219" ht="16.5" spans="1:5">
      <c r="A219" s="8">
        <v>3044878.823</v>
      </c>
      <c r="B219" s="8">
        <v>35401272.521</v>
      </c>
      <c r="C219" s="8">
        <v>905.391</v>
      </c>
      <c r="D219" s="11">
        <v>44717</v>
      </c>
      <c r="E219" s="10"/>
    </row>
    <row r="220" ht="16.5" spans="1:5">
      <c r="A220" s="8">
        <v>3044878.823</v>
      </c>
      <c r="B220" s="8">
        <v>35401272.521</v>
      </c>
      <c r="C220" s="8">
        <v>905.391</v>
      </c>
      <c r="D220" s="11">
        <v>44718</v>
      </c>
      <c r="E220" s="10"/>
    </row>
    <row r="221" ht="16.5" spans="1:5">
      <c r="A221" s="8">
        <v>3044878.823</v>
      </c>
      <c r="B221" s="8">
        <v>35401272.521</v>
      </c>
      <c r="C221" s="8">
        <v>905.391</v>
      </c>
      <c r="D221" s="11">
        <v>44719</v>
      </c>
      <c r="E221" s="10">
        <v>756.861</v>
      </c>
    </row>
    <row r="222" ht="16.5" spans="1:5">
      <c r="A222" s="8">
        <v>3044878.823</v>
      </c>
      <c r="B222" s="8">
        <v>35401272.521</v>
      </c>
      <c r="C222" s="8">
        <v>905.391</v>
      </c>
      <c r="D222" s="11">
        <v>44720</v>
      </c>
      <c r="E222" s="12"/>
    </row>
    <row r="223" ht="16.5" spans="1:5">
      <c r="A223" s="8">
        <v>3044878.823</v>
      </c>
      <c r="B223" s="8">
        <v>35401272.521</v>
      </c>
      <c r="C223" s="8">
        <v>905.391</v>
      </c>
      <c r="D223" s="11">
        <v>44721</v>
      </c>
      <c r="E223" s="12"/>
    </row>
    <row r="224" ht="16.5" spans="1:5">
      <c r="A224" s="8">
        <v>3044878.823</v>
      </c>
      <c r="B224" s="8">
        <v>35401272.521</v>
      </c>
      <c r="C224" s="8">
        <v>905.391</v>
      </c>
      <c r="D224" s="11">
        <v>44722</v>
      </c>
      <c r="E224" s="12"/>
    </row>
    <row r="225" ht="16.5" spans="1:5">
      <c r="A225" s="8">
        <v>3044878.823</v>
      </c>
      <c r="B225" s="8">
        <v>35401272.521</v>
      </c>
      <c r="C225" s="8">
        <v>905.391</v>
      </c>
      <c r="D225" s="11">
        <v>44723</v>
      </c>
      <c r="E225" s="10">
        <v>757.171</v>
      </c>
    </row>
    <row r="226" ht="16.5" spans="1:5">
      <c r="A226" s="8">
        <v>3044878.823</v>
      </c>
      <c r="B226" s="8">
        <v>35401272.521</v>
      </c>
      <c r="C226" s="8">
        <v>905.391</v>
      </c>
      <c r="D226" s="11">
        <v>44724</v>
      </c>
      <c r="E226" s="10">
        <v>757.101</v>
      </c>
    </row>
    <row r="227" ht="16.5" spans="1:5">
      <c r="A227" s="8">
        <v>3044878.823</v>
      </c>
      <c r="B227" s="8">
        <v>35401272.521</v>
      </c>
      <c r="C227" s="8">
        <v>905.391</v>
      </c>
      <c r="D227" s="11">
        <v>44725</v>
      </c>
      <c r="E227" s="10"/>
    </row>
    <row r="228" ht="16.5" spans="1:5">
      <c r="A228" s="8">
        <v>3044878.823</v>
      </c>
      <c r="B228" s="8">
        <v>35401272.521</v>
      </c>
      <c r="C228" s="8">
        <v>905.391</v>
      </c>
      <c r="D228" s="11">
        <v>44726</v>
      </c>
      <c r="E228" s="10">
        <v>757.261</v>
      </c>
    </row>
    <row r="229" ht="16.5" spans="1:5">
      <c r="A229" s="8">
        <v>3044878.823</v>
      </c>
      <c r="B229" s="8">
        <v>35401272.521</v>
      </c>
      <c r="C229" s="8">
        <v>905.391</v>
      </c>
      <c r="D229" s="11">
        <v>44727</v>
      </c>
      <c r="E229" s="10"/>
    </row>
    <row r="230" ht="16.5" spans="1:5">
      <c r="A230" s="8">
        <v>3044878.823</v>
      </c>
      <c r="B230" s="8">
        <v>35401272.521</v>
      </c>
      <c r="C230" s="8">
        <v>905.391</v>
      </c>
      <c r="D230" s="11">
        <v>44728</v>
      </c>
      <c r="E230" s="10"/>
    </row>
    <row r="231" ht="16.5" spans="1:5">
      <c r="A231" s="8">
        <v>3044878.823</v>
      </c>
      <c r="B231" s="8">
        <v>35401272.521</v>
      </c>
      <c r="C231" s="8">
        <v>905.391</v>
      </c>
      <c r="D231" s="11">
        <v>44729</v>
      </c>
      <c r="E231" s="10"/>
    </row>
    <row r="232" ht="16.5" spans="1:5">
      <c r="A232" s="8">
        <v>3044878.823</v>
      </c>
      <c r="B232" s="8">
        <v>35401272.521</v>
      </c>
      <c r="C232" s="8">
        <v>905.391</v>
      </c>
      <c r="D232" s="11">
        <v>44730</v>
      </c>
      <c r="E232" s="10"/>
    </row>
    <row r="233" ht="16.5" spans="1:5">
      <c r="A233" s="8">
        <v>3044878.823</v>
      </c>
      <c r="B233" s="8">
        <v>35401272.521</v>
      </c>
      <c r="C233" s="8">
        <v>905.391</v>
      </c>
      <c r="D233" s="11">
        <v>44731</v>
      </c>
      <c r="E233" s="10"/>
    </row>
    <row r="234" ht="16.5" spans="1:5">
      <c r="A234" s="8">
        <v>3044878.823</v>
      </c>
      <c r="B234" s="8">
        <v>35401272.521</v>
      </c>
      <c r="C234" s="8">
        <v>905.391</v>
      </c>
      <c r="D234" s="13">
        <v>44732</v>
      </c>
      <c r="E234" s="10"/>
    </row>
    <row r="235" ht="16.5" spans="1:5">
      <c r="A235" s="8">
        <v>3044878.823</v>
      </c>
      <c r="B235" s="8">
        <v>35401272.521</v>
      </c>
      <c r="C235" s="8">
        <v>905.391</v>
      </c>
      <c r="D235" s="13">
        <v>44733</v>
      </c>
      <c r="E235" s="10"/>
    </row>
    <row r="236" ht="16.5" spans="1:5">
      <c r="A236" s="8">
        <v>3044878.823</v>
      </c>
      <c r="B236" s="8">
        <v>35401272.521</v>
      </c>
      <c r="C236" s="8">
        <v>905.391</v>
      </c>
      <c r="D236" s="13">
        <v>44734</v>
      </c>
      <c r="E236" s="10"/>
    </row>
    <row r="237" ht="16.5" spans="1:5">
      <c r="A237" s="8">
        <v>3044878.823</v>
      </c>
      <c r="B237" s="8">
        <v>35401272.521</v>
      </c>
      <c r="C237" s="8">
        <v>905.391</v>
      </c>
      <c r="D237" s="13">
        <v>44735</v>
      </c>
      <c r="E237" s="10"/>
    </row>
    <row r="238" ht="16.5" spans="1:5">
      <c r="A238" s="8">
        <v>3044878.823</v>
      </c>
      <c r="B238" s="8">
        <v>35401272.521</v>
      </c>
      <c r="C238" s="8">
        <v>905.391</v>
      </c>
      <c r="D238" s="13">
        <v>44736</v>
      </c>
      <c r="E238" s="10"/>
    </row>
    <row r="239" ht="16.5" spans="1:5">
      <c r="A239" s="8">
        <v>3044878.823</v>
      </c>
      <c r="B239" s="8">
        <v>35401272.521</v>
      </c>
      <c r="C239" s="8">
        <v>905.391</v>
      </c>
      <c r="D239" s="13">
        <v>44737</v>
      </c>
      <c r="E239" s="10"/>
    </row>
    <row r="240" ht="16.5" spans="1:5">
      <c r="A240" s="8">
        <v>3044878.823</v>
      </c>
      <c r="B240" s="8">
        <v>35401272.521</v>
      </c>
      <c r="C240" s="8">
        <v>905.391</v>
      </c>
      <c r="D240" s="13">
        <v>44738</v>
      </c>
      <c r="E240" s="10">
        <v>757.38</v>
      </c>
    </row>
    <row r="241" ht="16.5" spans="1:5">
      <c r="A241" s="8">
        <v>3044878.823</v>
      </c>
      <c r="B241" s="8">
        <v>35401272.521</v>
      </c>
      <c r="C241" s="8">
        <v>905.391</v>
      </c>
      <c r="D241" s="13">
        <v>44739</v>
      </c>
      <c r="E241" s="12"/>
    </row>
    <row r="242" ht="16.5" spans="1:5">
      <c r="A242" s="8">
        <v>3044878.823</v>
      </c>
      <c r="B242" s="8">
        <v>35401272.521</v>
      </c>
      <c r="C242" s="8">
        <v>905.391</v>
      </c>
      <c r="D242" s="13">
        <v>44740</v>
      </c>
      <c r="E242" s="12"/>
    </row>
    <row r="243" ht="16.5" spans="1:5">
      <c r="A243" s="8">
        <v>3044878.823</v>
      </c>
      <c r="B243" s="8">
        <v>35401272.521</v>
      </c>
      <c r="C243" s="8">
        <v>905.391</v>
      </c>
      <c r="D243" s="13">
        <v>44741</v>
      </c>
      <c r="E243" s="12"/>
    </row>
    <row r="244" ht="16.5" spans="1:5">
      <c r="A244" s="8">
        <v>3044878.823</v>
      </c>
      <c r="B244" s="8">
        <v>35401272.521</v>
      </c>
      <c r="C244" s="8">
        <v>905.391</v>
      </c>
      <c r="D244" s="13">
        <v>44742</v>
      </c>
      <c r="E244" s="12"/>
    </row>
    <row r="245" ht="16.5" spans="1:5">
      <c r="A245" s="8">
        <v>3044878.823</v>
      </c>
      <c r="B245" s="8">
        <v>35401272.521</v>
      </c>
      <c r="C245" s="8">
        <v>905.391</v>
      </c>
      <c r="D245" s="13">
        <v>44743</v>
      </c>
      <c r="E245" s="12"/>
    </row>
    <row r="246" ht="16.5" spans="1:5">
      <c r="A246" s="8">
        <v>3044878.823</v>
      </c>
      <c r="B246" s="8">
        <v>35401272.521</v>
      </c>
      <c r="C246" s="8">
        <v>905.391</v>
      </c>
      <c r="D246" s="13">
        <v>44744</v>
      </c>
      <c r="E246" s="12"/>
    </row>
    <row r="247" ht="16.5" spans="1:5">
      <c r="A247" s="8">
        <v>3044878.823</v>
      </c>
      <c r="B247" s="8">
        <v>35401272.521</v>
      </c>
      <c r="C247" s="8">
        <v>905.391</v>
      </c>
      <c r="D247" s="13">
        <v>44745</v>
      </c>
      <c r="E247" s="12"/>
    </row>
    <row r="248" ht="16.5" spans="1:5">
      <c r="A248" s="8">
        <v>3044878.823</v>
      </c>
      <c r="B248" s="8">
        <v>35401272.521</v>
      </c>
      <c r="C248" s="8">
        <v>905.391</v>
      </c>
      <c r="D248" s="13">
        <v>44746</v>
      </c>
      <c r="E248" s="10"/>
    </row>
    <row r="249" ht="16.5" spans="1:5">
      <c r="A249" s="8">
        <v>3044878.823</v>
      </c>
      <c r="B249" s="8">
        <v>35401272.521</v>
      </c>
      <c r="C249" s="8">
        <v>905.391</v>
      </c>
      <c r="D249" s="13">
        <v>44747</v>
      </c>
      <c r="E249" s="12"/>
    </row>
    <row r="250" ht="16.5" spans="1:5">
      <c r="A250" s="8">
        <v>3044878.823</v>
      </c>
      <c r="B250" s="8">
        <v>35401272.521</v>
      </c>
      <c r="C250" s="8">
        <v>905.391</v>
      </c>
      <c r="D250" s="13">
        <v>44748</v>
      </c>
      <c r="E250" s="10">
        <v>752.58</v>
      </c>
    </row>
    <row r="251" ht="16.5" spans="1:5">
      <c r="A251" s="8">
        <v>3044878.823</v>
      </c>
      <c r="B251" s="8">
        <v>35401272.521</v>
      </c>
      <c r="C251" s="8">
        <v>905.391</v>
      </c>
      <c r="D251" s="13">
        <v>44749</v>
      </c>
      <c r="E251" s="12"/>
    </row>
    <row r="252" ht="16.5" spans="1:5">
      <c r="A252" s="8">
        <v>3044878.823</v>
      </c>
      <c r="B252" s="8">
        <v>35401272.521</v>
      </c>
      <c r="C252" s="8">
        <v>905.391</v>
      </c>
      <c r="D252" s="13">
        <v>44750</v>
      </c>
      <c r="E252" s="12"/>
    </row>
    <row r="253" ht="16.5" spans="1:5">
      <c r="A253" s="8">
        <v>3044878.823</v>
      </c>
      <c r="B253" s="8">
        <v>35401272.521</v>
      </c>
      <c r="C253" s="8">
        <v>905.391</v>
      </c>
      <c r="D253" s="13">
        <v>44751</v>
      </c>
      <c r="E253" s="12"/>
    </row>
    <row r="254" ht="16.5" spans="1:5">
      <c r="A254" s="8">
        <v>3044878.823</v>
      </c>
      <c r="B254" s="8">
        <v>35401272.521</v>
      </c>
      <c r="C254" s="8">
        <v>905.391</v>
      </c>
      <c r="D254" s="13">
        <v>44752</v>
      </c>
      <c r="E254" s="12"/>
    </row>
    <row r="255" ht="16.5" spans="1:5">
      <c r="A255" s="8">
        <v>3044878.823</v>
      </c>
      <c r="B255" s="8">
        <v>35401272.521</v>
      </c>
      <c r="C255" s="8">
        <v>905.391</v>
      </c>
      <c r="D255" s="13">
        <v>44753</v>
      </c>
      <c r="E255" s="12"/>
    </row>
    <row r="256" ht="16.5" spans="1:5">
      <c r="A256" s="8">
        <v>3044878.823</v>
      </c>
      <c r="B256" s="8">
        <v>35401272.521</v>
      </c>
      <c r="C256" s="8">
        <v>905.391</v>
      </c>
      <c r="D256" s="13">
        <v>44754</v>
      </c>
      <c r="E256" s="12"/>
    </row>
    <row r="257" ht="16.5" spans="1:5">
      <c r="A257" s="8">
        <v>3044878.823</v>
      </c>
      <c r="B257" s="8">
        <v>35401272.521</v>
      </c>
      <c r="C257" s="8">
        <v>905.391</v>
      </c>
      <c r="D257" s="13">
        <v>44755</v>
      </c>
      <c r="E257" s="10"/>
    </row>
    <row r="258" ht="16.5" spans="1:5">
      <c r="A258" s="8">
        <v>3044878.823</v>
      </c>
      <c r="B258" s="8">
        <v>35401272.521</v>
      </c>
      <c r="C258" s="8">
        <v>905.391</v>
      </c>
      <c r="D258" s="13">
        <v>44756</v>
      </c>
      <c r="E258" s="12"/>
    </row>
    <row r="259" ht="16.5" spans="1:5">
      <c r="A259" s="8">
        <v>3044878.823</v>
      </c>
      <c r="B259" s="8">
        <v>35401272.521</v>
      </c>
      <c r="C259" s="8">
        <v>905.391</v>
      </c>
      <c r="D259" s="13">
        <v>44757</v>
      </c>
      <c r="E259" s="12"/>
    </row>
    <row r="260" ht="16.5" spans="1:5">
      <c r="A260" s="8">
        <v>3044878.823</v>
      </c>
      <c r="B260" s="8">
        <v>35401272.521</v>
      </c>
      <c r="C260" s="8">
        <v>905.391</v>
      </c>
      <c r="D260" s="13">
        <v>44758</v>
      </c>
      <c r="E260" s="12"/>
    </row>
    <row r="261" ht="16.5" spans="1:5">
      <c r="A261" s="8">
        <v>3044878.823</v>
      </c>
      <c r="B261" s="8">
        <v>35401272.521</v>
      </c>
      <c r="C261" s="8">
        <v>905.391</v>
      </c>
      <c r="D261" s="13">
        <v>44759</v>
      </c>
      <c r="E261" s="12"/>
    </row>
    <row r="262" ht="16.5" spans="1:5">
      <c r="A262" s="8">
        <v>3044878.823</v>
      </c>
      <c r="B262" s="8">
        <v>35401272.521</v>
      </c>
      <c r="C262" s="8">
        <v>905.391</v>
      </c>
      <c r="D262" s="13">
        <v>44760</v>
      </c>
      <c r="E262" s="12"/>
    </row>
    <row r="263" ht="16.5" spans="1:5">
      <c r="A263" s="8">
        <v>3044878.823</v>
      </c>
      <c r="B263" s="8">
        <v>35401272.521</v>
      </c>
      <c r="C263" s="8">
        <v>905.391</v>
      </c>
      <c r="D263" s="13">
        <v>44761</v>
      </c>
      <c r="E263" s="10">
        <v>745.571</v>
      </c>
    </row>
    <row r="264" ht="16.5" spans="1:5">
      <c r="A264" s="8">
        <v>3044878.823</v>
      </c>
      <c r="B264" s="8">
        <v>35401272.521</v>
      </c>
      <c r="C264" s="8">
        <v>905.391</v>
      </c>
      <c r="D264" s="13">
        <v>44762</v>
      </c>
      <c r="E264" s="12"/>
    </row>
    <row r="265" ht="16.5" spans="1:5">
      <c r="A265" s="8">
        <v>3044878.823</v>
      </c>
      <c r="B265" s="8">
        <v>35401272.521</v>
      </c>
      <c r="C265" s="8">
        <v>905.391</v>
      </c>
      <c r="D265" s="13">
        <v>44763</v>
      </c>
      <c r="E265" s="12"/>
    </row>
    <row r="266" ht="16.5" spans="1:5">
      <c r="A266" s="8">
        <v>3044878.823</v>
      </c>
      <c r="B266" s="8">
        <v>35401272.521</v>
      </c>
      <c r="C266" s="8">
        <v>905.391</v>
      </c>
      <c r="D266" s="13">
        <v>44764</v>
      </c>
      <c r="E266" s="10">
        <v>745.591</v>
      </c>
    </row>
    <row r="267" ht="16.5" spans="1:5">
      <c r="A267" s="8">
        <v>3044878.823</v>
      </c>
      <c r="B267" s="8">
        <v>35401272.521</v>
      </c>
      <c r="C267" s="8">
        <v>905.391</v>
      </c>
      <c r="D267" s="13">
        <v>44765</v>
      </c>
      <c r="E267" s="10">
        <v>745.261</v>
      </c>
    </row>
    <row r="268" ht="16.5" spans="1:5">
      <c r="A268" s="8">
        <v>3044878.823</v>
      </c>
      <c r="B268" s="8">
        <v>35401272.521</v>
      </c>
      <c r="C268" s="8">
        <v>905.391</v>
      </c>
      <c r="D268" s="13">
        <v>44766</v>
      </c>
      <c r="E268" s="10">
        <v>745.511</v>
      </c>
    </row>
    <row r="269" ht="16.5" spans="1:5">
      <c r="A269" s="8">
        <v>3044878.823</v>
      </c>
      <c r="B269" s="8">
        <v>35401272.521</v>
      </c>
      <c r="C269" s="8">
        <v>905.391</v>
      </c>
      <c r="D269" s="13">
        <v>44767</v>
      </c>
      <c r="E269" s="10">
        <v>745.301</v>
      </c>
    </row>
    <row r="270" ht="16.5" spans="1:5">
      <c r="A270" s="8">
        <v>3044878.823</v>
      </c>
      <c r="B270" s="8">
        <v>35401272.521</v>
      </c>
      <c r="C270" s="8">
        <v>905.391</v>
      </c>
      <c r="D270" s="13">
        <v>44768</v>
      </c>
      <c r="E270" s="10">
        <v>745.801</v>
      </c>
    </row>
    <row r="271" ht="16.5" spans="1:5">
      <c r="A271" s="8">
        <v>3044878.823</v>
      </c>
      <c r="B271" s="8">
        <v>35401272.521</v>
      </c>
      <c r="C271" s="8">
        <v>905.391</v>
      </c>
      <c r="D271" s="13">
        <v>44769</v>
      </c>
      <c r="E271" s="10">
        <v>745.651</v>
      </c>
    </row>
    <row r="272" ht="16.5" spans="1:5">
      <c r="A272" s="8">
        <v>3044878.823</v>
      </c>
      <c r="B272" s="8">
        <v>35401272.521</v>
      </c>
      <c r="C272" s="8">
        <v>905.391</v>
      </c>
      <c r="D272" s="13">
        <v>44770</v>
      </c>
      <c r="E272" s="10">
        <v>745.881</v>
      </c>
    </row>
    <row r="273" ht="16.5" spans="1:5">
      <c r="A273" s="8">
        <v>3044878.823</v>
      </c>
      <c r="B273" s="8">
        <v>35401272.521</v>
      </c>
      <c r="C273" s="8">
        <v>905.391</v>
      </c>
      <c r="D273" s="13">
        <v>44771</v>
      </c>
      <c r="E273" s="10">
        <v>745.831</v>
      </c>
    </row>
    <row r="274" ht="16.5" spans="1:5">
      <c r="A274" s="8">
        <v>3044878.823</v>
      </c>
      <c r="B274" s="8">
        <v>35401272.521</v>
      </c>
      <c r="C274" s="8">
        <v>905.391</v>
      </c>
      <c r="D274" s="13">
        <v>44772</v>
      </c>
      <c r="E274" s="10">
        <v>745.531</v>
      </c>
    </row>
    <row r="275" ht="16.5" spans="1:5">
      <c r="A275" s="8">
        <v>3044878.823</v>
      </c>
      <c r="B275" s="8">
        <v>35401272.521</v>
      </c>
      <c r="C275" s="8">
        <v>905.391</v>
      </c>
      <c r="D275" s="13">
        <v>44773</v>
      </c>
      <c r="E275" s="10">
        <v>745.531</v>
      </c>
    </row>
    <row r="276" ht="16.5" spans="1:5">
      <c r="A276" s="8">
        <v>3044878.823</v>
      </c>
      <c r="B276" s="8">
        <v>35401272.521</v>
      </c>
      <c r="C276" s="8">
        <v>905.391</v>
      </c>
      <c r="D276" s="13">
        <v>44774</v>
      </c>
      <c r="E276" s="10">
        <v>745.771</v>
      </c>
    </row>
    <row r="277" ht="16.5" spans="1:5">
      <c r="A277" s="8">
        <v>3044878.823</v>
      </c>
      <c r="B277" s="8">
        <v>35401272.521</v>
      </c>
      <c r="C277" s="8">
        <v>905.391</v>
      </c>
      <c r="D277" s="13">
        <v>44775</v>
      </c>
      <c r="E277" s="10">
        <v>745.801</v>
      </c>
    </row>
    <row r="278" ht="16.5" spans="1:5">
      <c r="A278" s="8">
        <v>3044878.823</v>
      </c>
      <c r="B278" s="8">
        <v>35401272.521</v>
      </c>
      <c r="C278" s="8">
        <v>905.391</v>
      </c>
      <c r="D278" s="13">
        <v>44776</v>
      </c>
      <c r="E278" s="10">
        <v>745.771</v>
      </c>
    </row>
    <row r="279" ht="16.5" spans="1:5">
      <c r="A279" s="8">
        <v>3044878.823</v>
      </c>
      <c r="B279" s="8">
        <v>35401272.521</v>
      </c>
      <c r="C279" s="8">
        <v>905.391</v>
      </c>
      <c r="D279" s="13">
        <v>44777</v>
      </c>
      <c r="E279" s="10">
        <v>745.601</v>
      </c>
    </row>
    <row r="280" ht="16.5" spans="1:5">
      <c r="A280" s="8">
        <v>3044878.823</v>
      </c>
      <c r="B280" s="8">
        <v>35401272.521</v>
      </c>
      <c r="C280" s="8">
        <v>905.391</v>
      </c>
      <c r="D280" s="13">
        <v>44778</v>
      </c>
      <c r="E280" s="10">
        <v>745.601</v>
      </c>
    </row>
    <row r="281" ht="16.5" spans="1:5">
      <c r="A281" s="8">
        <v>3044878.823</v>
      </c>
      <c r="B281" s="8">
        <v>35401272.521</v>
      </c>
      <c r="C281" s="8">
        <v>905.391</v>
      </c>
      <c r="D281" s="13">
        <v>44779</v>
      </c>
      <c r="E281" s="10">
        <v>745.611</v>
      </c>
    </row>
    <row r="282" ht="16.5" spans="1:5">
      <c r="A282" s="8">
        <v>3044878.823</v>
      </c>
      <c r="B282" s="8">
        <v>35401272.521</v>
      </c>
      <c r="C282" s="8">
        <v>905.391</v>
      </c>
      <c r="D282" s="13">
        <v>44780</v>
      </c>
      <c r="E282" s="10">
        <v>745.671</v>
      </c>
    </row>
    <row r="283" ht="16.5" spans="1:5">
      <c r="A283" s="8">
        <v>3044878.823</v>
      </c>
      <c r="B283" s="8">
        <v>35401272.521</v>
      </c>
      <c r="C283" s="8">
        <v>905.391</v>
      </c>
      <c r="D283" s="13">
        <v>44781</v>
      </c>
      <c r="E283" s="10">
        <v>746.181</v>
      </c>
    </row>
    <row r="284" ht="16.5" spans="1:5">
      <c r="A284" s="8">
        <v>3044878.823</v>
      </c>
      <c r="B284" s="8">
        <v>35401272.521</v>
      </c>
      <c r="C284" s="8">
        <v>905.391</v>
      </c>
      <c r="D284" s="13">
        <v>44782</v>
      </c>
      <c r="E284" s="12"/>
    </row>
    <row r="285" ht="16.5" spans="1:5">
      <c r="A285" s="8">
        <v>3044878.823</v>
      </c>
      <c r="B285" s="8">
        <v>35401272.521</v>
      </c>
      <c r="C285" s="8">
        <v>905.391</v>
      </c>
      <c r="D285" s="13">
        <v>44783</v>
      </c>
      <c r="E285" s="10">
        <v>746.701</v>
      </c>
    </row>
    <row r="286" ht="16.5" spans="1:5">
      <c r="A286" s="8">
        <v>3044878.823</v>
      </c>
      <c r="B286" s="8">
        <v>35401272.521</v>
      </c>
      <c r="C286" s="8">
        <v>905.391</v>
      </c>
      <c r="D286" s="13">
        <v>44784</v>
      </c>
      <c r="E286" s="10">
        <v>746.631</v>
      </c>
    </row>
    <row r="287" ht="16.5" spans="1:5">
      <c r="A287" s="8">
        <v>3044878.823</v>
      </c>
      <c r="B287" s="8">
        <v>35401272.521</v>
      </c>
      <c r="C287" s="8">
        <v>905.391</v>
      </c>
      <c r="D287" s="13">
        <v>44785</v>
      </c>
      <c r="E287" s="10">
        <v>746.631</v>
      </c>
    </row>
    <row r="288" ht="16.5" spans="1:5">
      <c r="A288" s="8">
        <v>3044878.823</v>
      </c>
      <c r="B288" s="8">
        <v>35401272.521</v>
      </c>
      <c r="C288" s="8">
        <v>905.391</v>
      </c>
      <c r="D288" s="13">
        <v>44786</v>
      </c>
      <c r="E288" s="10">
        <v>746.671</v>
      </c>
    </row>
    <row r="289" ht="16.5" spans="1:5">
      <c r="A289" s="8">
        <v>3044878.823</v>
      </c>
      <c r="B289" s="8">
        <v>35401272.521</v>
      </c>
      <c r="C289" s="8">
        <v>905.391</v>
      </c>
      <c r="D289" s="13">
        <v>44787</v>
      </c>
      <c r="E289" s="10">
        <v>746.591</v>
      </c>
    </row>
    <row r="290" ht="16.5" spans="1:5">
      <c r="A290" s="8">
        <v>3044878.823</v>
      </c>
      <c r="B290" s="8">
        <v>35401272.521</v>
      </c>
      <c r="C290" s="8">
        <v>905.391</v>
      </c>
      <c r="D290" s="13">
        <v>44788</v>
      </c>
      <c r="E290" s="10">
        <v>746.551</v>
      </c>
    </row>
    <row r="291" ht="16.5" spans="1:5">
      <c r="A291" s="8">
        <v>3044878.823</v>
      </c>
      <c r="B291" s="8">
        <v>35401272.521</v>
      </c>
      <c r="C291" s="8">
        <v>905.391</v>
      </c>
      <c r="D291" s="13">
        <v>44789</v>
      </c>
      <c r="E291" s="10">
        <v>746.521</v>
      </c>
    </row>
    <row r="292" ht="16.5" spans="1:5">
      <c r="A292" s="8">
        <v>3044878.823</v>
      </c>
      <c r="B292" s="8">
        <v>35401272.521</v>
      </c>
      <c r="C292" s="8">
        <v>905.391</v>
      </c>
      <c r="D292" s="13">
        <v>44790</v>
      </c>
      <c r="E292" s="12"/>
    </row>
    <row r="293" ht="16.5" spans="1:5">
      <c r="A293" s="8">
        <v>3044878.823</v>
      </c>
      <c r="B293" s="8">
        <v>35401272.521</v>
      </c>
      <c r="C293" s="8">
        <v>905.391</v>
      </c>
      <c r="D293" s="13">
        <v>44791</v>
      </c>
      <c r="E293" s="12"/>
    </row>
    <row r="294" ht="16.5" spans="1:5">
      <c r="A294" s="8">
        <v>3044878.823</v>
      </c>
      <c r="B294" s="8">
        <v>35401272.521</v>
      </c>
      <c r="C294" s="8">
        <v>905.391</v>
      </c>
      <c r="D294" s="13">
        <v>44792</v>
      </c>
      <c r="E294" s="10">
        <v>746.451</v>
      </c>
    </row>
    <row r="295" ht="16.5" spans="1:5">
      <c r="A295" s="8">
        <v>3044878.823</v>
      </c>
      <c r="B295" s="8">
        <v>35401272.521</v>
      </c>
      <c r="C295" s="8">
        <v>905.391</v>
      </c>
      <c r="D295" s="13">
        <v>44793</v>
      </c>
      <c r="E295" s="10">
        <v>746.511</v>
      </c>
    </row>
    <row r="296" ht="16.5" spans="1:5">
      <c r="A296" s="8">
        <v>3044878.823</v>
      </c>
      <c r="B296" s="8">
        <v>35401272.521</v>
      </c>
      <c r="C296" s="8">
        <v>905.391</v>
      </c>
      <c r="D296" s="13">
        <v>44794</v>
      </c>
      <c r="E296" s="10"/>
    </row>
    <row r="297" ht="16.5" spans="1:5">
      <c r="A297" s="8">
        <v>3044878.823</v>
      </c>
      <c r="B297" s="8">
        <v>35401272.521</v>
      </c>
      <c r="C297" s="8">
        <v>905.391</v>
      </c>
      <c r="D297" s="13">
        <v>44795</v>
      </c>
      <c r="E297" s="10">
        <v>746.551</v>
      </c>
    </row>
    <row r="298" ht="16.5" spans="1:5">
      <c r="A298" s="8">
        <v>3044878.823</v>
      </c>
      <c r="B298" s="8">
        <v>35401272.521</v>
      </c>
      <c r="C298" s="8">
        <v>905.391</v>
      </c>
      <c r="D298" s="13">
        <v>44796</v>
      </c>
      <c r="E298" s="10">
        <v>747.381</v>
      </c>
    </row>
    <row r="299" ht="16.5" spans="1:5">
      <c r="A299" s="8">
        <v>3044878.823</v>
      </c>
      <c r="B299" s="8">
        <v>35401272.521</v>
      </c>
      <c r="C299" s="8">
        <v>905.391</v>
      </c>
      <c r="D299" s="13">
        <v>44797</v>
      </c>
      <c r="E299" s="10">
        <v>747.101</v>
      </c>
    </row>
    <row r="300" ht="16.5" spans="1:5">
      <c r="A300" s="8">
        <v>3044878.823</v>
      </c>
      <c r="B300" s="8">
        <v>35401272.521</v>
      </c>
      <c r="C300" s="8">
        <v>905.391</v>
      </c>
      <c r="D300" s="13">
        <v>44798</v>
      </c>
      <c r="E300" s="10">
        <v>747.281</v>
      </c>
    </row>
    <row r="301" ht="16.5" spans="1:5">
      <c r="A301" s="8">
        <v>3044878.823</v>
      </c>
      <c r="B301" s="8">
        <v>35401272.521</v>
      </c>
      <c r="C301" s="8">
        <v>905.391</v>
      </c>
      <c r="D301" s="13">
        <v>44799</v>
      </c>
      <c r="E301" s="10">
        <v>747.151</v>
      </c>
    </row>
    <row r="302" ht="16.5" spans="1:5">
      <c r="A302" s="8">
        <v>3044878.823</v>
      </c>
      <c r="B302" s="8">
        <v>35401272.521</v>
      </c>
      <c r="C302" s="8">
        <v>905.391</v>
      </c>
      <c r="D302" s="13">
        <v>44800</v>
      </c>
      <c r="E302" s="10">
        <v>747.081</v>
      </c>
    </row>
    <row r="303" ht="16.5" spans="1:5">
      <c r="A303" s="8">
        <v>3044878.823</v>
      </c>
      <c r="B303" s="8">
        <v>35401272.521</v>
      </c>
      <c r="C303" s="8">
        <v>905.391</v>
      </c>
      <c r="D303" s="13">
        <v>44801</v>
      </c>
      <c r="E303" s="10">
        <v>747.061</v>
      </c>
    </row>
    <row r="304" ht="16.5" spans="1:5">
      <c r="A304" s="8">
        <v>3044878.823</v>
      </c>
      <c r="B304" s="8">
        <v>35401272.521</v>
      </c>
      <c r="C304" s="8">
        <v>905.391</v>
      </c>
      <c r="D304" s="13">
        <v>44802</v>
      </c>
      <c r="E304" s="10">
        <v>747.101</v>
      </c>
    </row>
    <row r="305" ht="16.5" spans="1:5">
      <c r="A305" s="8">
        <v>3044878.823</v>
      </c>
      <c r="B305" s="8">
        <v>35401272.521</v>
      </c>
      <c r="C305" s="8">
        <v>905.391</v>
      </c>
      <c r="D305" s="13">
        <v>44803</v>
      </c>
      <c r="E305" s="10">
        <v>746.851</v>
      </c>
    </row>
    <row r="306" ht="16.5" spans="1:5">
      <c r="A306" s="8">
        <v>3044878.823</v>
      </c>
      <c r="B306" s="8">
        <v>35401272.521</v>
      </c>
      <c r="C306" s="8">
        <v>905.391</v>
      </c>
      <c r="D306" s="13">
        <v>44804</v>
      </c>
      <c r="E306" s="10">
        <v>746.531</v>
      </c>
    </row>
    <row r="307" ht="16.5" spans="1:5">
      <c r="A307" s="8">
        <v>3044878.823</v>
      </c>
      <c r="B307" s="8">
        <v>35401272.521</v>
      </c>
      <c r="C307" s="8">
        <v>905.391</v>
      </c>
      <c r="D307" s="13">
        <v>44805</v>
      </c>
      <c r="E307" s="12">
        <v>746.801</v>
      </c>
    </row>
    <row r="308" ht="16.5" spans="1:5">
      <c r="A308" s="8">
        <v>3044878.823</v>
      </c>
      <c r="B308" s="8">
        <v>35401272.521</v>
      </c>
      <c r="C308" s="8">
        <v>905.391</v>
      </c>
      <c r="D308" s="13">
        <v>44806</v>
      </c>
      <c r="E308" s="12">
        <v>746.781</v>
      </c>
    </row>
    <row r="309" ht="16.5" spans="1:5">
      <c r="A309" s="8">
        <v>3044878.823</v>
      </c>
      <c r="B309" s="8">
        <v>35401272.521</v>
      </c>
      <c r="C309" s="8">
        <v>905.391</v>
      </c>
      <c r="D309" s="13">
        <v>44807</v>
      </c>
      <c r="E309" s="12">
        <v>746.791</v>
      </c>
    </row>
    <row r="310" ht="16.5" spans="1:5">
      <c r="A310" s="8">
        <v>3044878.823</v>
      </c>
      <c r="B310" s="8">
        <v>35401272.521</v>
      </c>
      <c r="C310" s="8">
        <v>905.391</v>
      </c>
      <c r="D310" s="13">
        <v>44808</v>
      </c>
      <c r="E310" s="12">
        <v>746.391</v>
      </c>
    </row>
    <row r="311" ht="16.5" spans="1:5">
      <c r="A311" s="8">
        <v>3044878.823</v>
      </c>
      <c r="B311" s="8">
        <v>35401272.521</v>
      </c>
      <c r="C311" s="8">
        <v>905.391</v>
      </c>
      <c r="D311" s="13">
        <v>44809</v>
      </c>
      <c r="E311" s="12">
        <v>746.231</v>
      </c>
    </row>
    <row r="312" ht="16.5" spans="1:5">
      <c r="A312" s="8">
        <v>3044878.823</v>
      </c>
      <c r="B312" s="8">
        <v>35401272.521</v>
      </c>
      <c r="C312" s="8">
        <v>905.391</v>
      </c>
      <c r="D312" s="13">
        <v>44810</v>
      </c>
      <c r="E312" s="12">
        <v>746.231</v>
      </c>
    </row>
    <row r="313" ht="16.5" spans="1:5">
      <c r="A313" s="8">
        <v>3044878.823</v>
      </c>
      <c r="B313" s="8">
        <v>35401272.521</v>
      </c>
      <c r="C313" s="8">
        <v>905.391</v>
      </c>
      <c r="D313" s="13">
        <v>44811</v>
      </c>
      <c r="E313" s="12">
        <v>746.631</v>
      </c>
    </row>
    <row r="314" ht="16.5" spans="1:5">
      <c r="A314" s="8">
        <v>3044878.823</v>
      </c>
      <c r="B314" s="8">
        <v>35401272.521</v>
      </c>
      <c r="C314" s="8">
        <v>905.391</v>
      </c>
      <c r="D314" s="13">
        <v>44812</v>
      </c>
      <c r="E314" s="12">
        <v>747.121</v>
      </c>
    </row>
    <row r="315" ht="16.5" spans="1:5">
      <c r="A315" s="8">
        <v>3044878.823</v>
      </c>
      <c r="B315" s="8">
        <v>35401272.521</v>
      </c>
      <c r="C315" s="8">
        <v>905.391</v>
      </c>
      <c r="D315" s="13">
        <v>44813</v>
      </c>
      <c r="E315" s="12">
        <v>746.291</v>
      </c>
    </row>
    <row r="316" ht="16.5" spans="1:5">
      <c r="A316" s="8">
        <v>3044878.823</v>
      </c>
      <c r="B316" s="8">
        <v>35401272.521</v>
      </c>
      <c r="C316" s="8">
        <v>905.391</v>
      </c>
      <c r="D316" s="13">
        <v>44814</v>
      </c>
      <c r="E316" s="12">
        <v>746.391</v>
      </c>
    </row>
    <row r="317" ht="16.5" spans="1:5">
      <c r="A317" s="8">
        <v>3044878.823</v>
      </c>
      <c r="B317" s="8">
        <v>35401272.521</v>
      </c>
      <c r="C317" s="8">
        <v>905.391</v>
      </c>
      <c r="D317" s="13">
        <v>44815</v>
      </c>
      <c r="E317" s="12">
        <v>746.731</v>
      </c>
    </row>
    <row r="318" ht="16.5" spans="1:5">
      <c r="A318" s="8">
        <v>3044878.823</v>
      </c>
      <c r="B318" s="8">
        <v>35401272.521</v>
      </c>
      <c r="C318" s="8">
        <v>905.391</v>
      </c>
      <c r="D318" s="13">
        <v>44816</v>
      </c>
      <c r="E318" s="12">
        <v>746.571</v>
      </c>
    </row>
    <row r="319" ht="16.5" spans="1:5">
      <c r="A319" s="8">
        <v>3044878.823</v>
      </c>
      <c r="B319" s="8">
        <v>35401272.521</v>
      </c>
      <c r="C319" s="8">
        <v>905.391</v>
      </c>
      <c r="D319" s="13">
        <v>44817</v>
      </c>
      <c r="E319" s="12">
        <v>746.801</v>
      </c>
    </row>
    <row r="320" ht="16.5" spans="1:5">
      <c r="A320" s="8">
        <v>3044878.823</v>
      </c>
      <c r="B320" s="8">
        <v>35401272.521</v>
      </c>
      <c r="C320" s="8">
        <v>905.391</v>
      </c>
      <c r="D320" s="13">
        <v>44818</v>
      </c>
      <c r="E320" s="12">
        <v>746.791</v>
      </c>
    </row>
    <row r="321" ht="16.5" spans="1:5">
      <c r="A321" s="8">
        <v>3044878.823</v>
      </c>
      <c r="B321" s="8">
        <v>35401272.521</v>
      </c>
      <c r="C321" s="8">
        <v>905.391</v>
      </c>
      <c r="D321" s="11">
        <v>44819</v>
      </c>
      <c r="E321" s="10">
        <v>746.971</v>
      </c>
    </row>
    <row r="322" ht="16.5" spans="1:5">
      <c r="A322" s="8">
        <v>3044878.823</v>
      </c>
      <c r="B322" s="8">
        <v>35401272.521</v>
      </c>
      <c r="C322" s="8">
        <v>905.391</v>
      </c>
      <c r="D322" s="11">
        <v>44820</v>
      </c>
      <c r="E322" s="10">
        <v>746.811</v>
      </c>
    </row>
    <row r="323" ht="16.5" spans="1:5">
      <c r="A323" s="8">
        <v>3044878.823</v>
      </c>
      <c r="B323" s="8">
        <v>35401272.521</v>
      </c>
      <c r="C323" s="8">
        <v>905.391</v>
      </c>
      <c r="D323" s="11">
        <v>44821</v>
      </c>
      <c r="E323" s="10">
        <v>746.311</v>
      </c>
    </row>
    <row r="324" ht="16.5" spans="1:5">
      <c r="A324" s="8">
        <v>3044878.823</v>
      </c>
      <c r="B324" s="8">
        <v>35401272.521</v>
      </c>
      <c r="C324" s="8">
        <v>905.391</v>
      </c>
      <c r="D324" s="11">
        <v>44822</v>
      </c>
      <c r="E324" s="10">
        <v>745.801</v>
      </c>
    </row>
    <row r="325" ht="16.5" spans="1:5">
      <c r="A325" s="8">
        <v>3044878.823</v>
      </c>
      <c r="B325" s="8">
        <v>35401272.521</v>
      </c>
      <c r="C325" s="8">
        <v>905.391</v>
      </c>
      <c r="D325" s="11">
        <v>44823</v>
      </c>
      <c r="E325" s="10">
        <v>745.381</v>
      </c>
    </row>
    <row r="326" ht="16.5" spans="1:5">
      <c r="A326" s="8">
        <v>3044878.823</v>
      </c>
      <c r="B326" s="8">
        <v>35401272.521</v>
      </c>
      <c r="C326" s="8">
        <v>905.391</v>
      </c>
      <c r="D326" s="11">
        <v>44824</v>
      </c>
      <c r="E326" s="10">
        <v>745.271</v>
      </c>
    </row>
    <row r="327" ht="16.5" spans="1:5">
      <c r="A327" s="8">
        <v>3044878.823</v>
      </c>
      <c r="B327" s="8">
        <v>35401272.521</v>
      </c>
      <c r="C327" s="8">
        <v>905.391</v>
      </c>
      <c r="D327" s="11">
        <v>44825</v>
      </c>
      <c r="E327" s="10">
        <v>745.081</v>
      </c>
    </row>
    <row r="328" ht="16.5" spans="1:5">
      <c r="A328" s="8">
        <v>3044878.823</v>
      </c>
      <c r="B328" s="8">
        <v>35401272.521</v>
      </c>
      <c r="C328" s="8">
        <v>905.391</v>
      </c>
      <c r="D328" s="11">
        <v>44826</v>
      </c>
      <c r="E328" s="10">
        <v>745.431</v>
      </c>
    </row>
    <row r="329" ht="16.5" spans="1:5">
      <c r="A329" s="8">
        <v>3044878.823</v>
      </c>
      <c r="B329" s="8">
        <v>35401272.521</v>
      </c>
      <c r="C329" s="8">
        <v>905.391</v>
      </c>
      <c r="D329" s="11">
        <v>44827</v>
      </c>
      <c r="E329" s="10">
        <v>745.471</v>
      </c>
    </row>
    <row r="330" ht="16.5" spans="1:5">
      <c r="A330" s="8">
        <v>3044878.823</v>
      </c>
      <c r="B330" s="8">
        <v>35401272.521</v>
      </c>
      <c r="C330" s="8">
        <v>905.391</v>
      </c>
      <c r="D330" s="11">
        <v>44828</v>
      </c>
      <c r="E330" s="10">
        <v>745.321</v>
      </c>
    </row>
    <row r="331" ht="16.5" spans="1:5">
      <c r="A331" s="8">
        <v>3044878.823</v>
      </c>
      <c r="B331" s="8">
        <v>35401272.521</v>
      </c>
      <c r="C331" s="8">
        <v>905.391</v>
      </c>
      <c r="D331" s="11">
        <v>44829</v>
      </c>
      <c r="E331" s="10"/>
    </row>
    <row r="332" ht="16.5" spans="1:5">
      <c r="A332" s="8">
        <v>3044878.823</v>
      </c>
      <c r="B332" s="8">
        <v>35401272.521</v>
      </c>
      <c r="C332" s="8">
        <v>905.391</v>
      </c>
      <c r="D332" s="11">
        <v>44830</v>
      </c>
      <c r="E332" s="10"/>
    </row>
    <row r="333" ht="16.5" spans="1:5">
      <c r="A333" s="8">
        <v>3044878.823</v>
      </c>
      <c r="B333" s="8">
        <v>35401272.521</v>
      </c>
      <c r="C333" s="8">
        <v>905.391</v>
      </c>
      <c r="D333" s="11">
        <v>44831</v>
      </c>
      <c r="E333" s="10">
        <v>743.181</v>
      </c>
    </row>
    <row r="334" ht="16.5" spans="1:5">
      <c r="A334" s="8">
        <v>3044878.823</v>
      </c>
      <c r="B334" s="8">
        <v>35401272.521</v>
      </c>
      <c r="C334" s="8">
        <v>905.391</v>
      </c>
      <c r="D334" s="11">
        <v>44832</v>
      </c>
      <c r="E334" s="10">
        <v>743.061</v>
      </c>
    </row>
    <row r="335" ht="16.5" spans="1:5">
      <c r="A335" s="8">
        <v>3044878.823</v>
      </c>
      <c r="B335" s="8">
        <v>35401272.521</v>
      </c>
      <c r="C335" s="8">
        <v>905.391</v>
      </c>
      <c r="D335" s="11">
        <v>44833</v>
      </c>
      <c r="E335" s="10">
        <v>743.711</v>
      </c>
    </row>
    <row r="336" ht="16.5" spans="1:5">
      <c r="A336" s="8">
        <v>3044878.823</v>
      </c>
      <c r="B336" s="8">
        <v>35401272.521</v>
      </c>
      <c r="C336" s="8">
        <v>905.391</v>
      </c>
      <c r="D336" s="11">
        <v>44834</v>
      </c>
      <c r="E336" s="10">
        <v>744.411</v>
      </c>
    </row>
    <row r="337" ht="16.5" spans="1:5">
      <c r="A337" s="8">
        <v>3044878.823</v>
      </c>
      <c r="B337" s="8">
        <v>35401272.521</v>
      </c>
      <c r="C337" s="8">
        <v>905.391</v>
      </c>
      <c r="D337" s="11">
        <v>44835</v>
      </c>
      <c r="E337" s="10">
        <v>744.031</v>
      </c>
    </row>
    <row r="338" ht="16.5" spans="1:5">
      <c r="A338" s="8">
        <v>3044878.823</v>
      </c>
      <c r="B338" s="8">
        <v>35401272.521</v>
      </c>
      <c r="C338" s="8">
        <v>905.391</v>
      </c>
      <c r="D338" s="11">
        <v>44836</v>
      </c>
      <c r="E338" s="10">
        <v>743.671</v>
      </c>
    </row>
    <row r="339" ht="16.5" spans="1:5">
      <c r="A339" s="8">
        <v>3044878.823</v>
      </c>
      <c r="B339" s="8">
        <v>35401272.521</v>
      </c>
      <c r="C339" s="8">
        <v>905.391</v>
      </c>
      <c r="D339" s="11">
        <v>44837</v>
      </c>
      <c r="E339" s="10"/>
    </row>
    <row r="340" ht="16.5" spans="1:5">
      <c r="A340" s="8">
        <v>3044878.823</v>
      </c>
      <c r="B340" s="8">
        <v>35401272.521</v>
      </c>
      <c r="C340" s="8">
        <v>905.391</v>
      </c>
      <c r="D340" s="11">
        <v>44838</v>
      </c>
      <c r="E340" s="10">
        <v>743.781</v>
      </c>
    </row>
    <row r="341" ht="16.5" spans="1:5">
      <c r="A341" s="8">
        <v>3044878.823</v>
      </c>
      <c r="B341" s="8">
        <v>35401272.521</v>
      </c>
      <c r="C341" s="8">
        <v>905.391</v>
      </c>
      <c r="D341" s="11">
        <v>44839</v>
      </c>
      <c r="E341" s="10">
        <v>744.481</v>
      </c>
    </row>
    <row r="342" ht="16.5" spans="1:5">
      <c r="A342" s="8">
        <v>3044878.823</v>
      </c>
      <c r="B342" s="8">
        <v>35401272.521</v>
      </c>
      <c r="C342" s="8">
        <v>905.391</v>
      </c>
      <c r="D342" s="11">
        <v>44840</v>
      </c>
      <c r="E342" s="10">
        <v>744.521</v>
      </c>
    </row>
    <row r="343" ht="16.5" spans="1:5">
      <c r="A343" s="8">
        <v>3044878.823</v>
      </c>
      <c r="B343" s="8">
        <v>35401272.521</v>
      </c>
      <c r="C343" s="8">
        <v>905.391</v>
      </c>
      <c r="D343" s="11">
        <v>44841</v>
      </c>
      <c r="E343" s="10">
        <v>742.471</v>
      </c>
    </row>
    <row r="344" ht="16.5" spans="1:5">
      <c r="A344" s="8">
        <v>3044878.823</v>
      </c>
      <c r="B344" s="8">
        <v>35401272.521</v>
      </c>
      <c r="C344" s="8">
        <v>905.391</v>
      </c>
      <c r="D344" s="11">
        <v>44842</v>
      </c>
      <c r="E344" s="10">
        <v>742.741</v>
      </c>
    </row>
    <row r="345" ht="16.5" spans="1:5">
      <c r="A345" s="8">
        <v>3044878.823</v>
      </c>
      <c r="B345" s="8">
        <v>35401272.521</v>
      </c>
      <c r="C345" s="8">
        <v>905.391</v>
      </c>
      <c r="D345" s="11">
        <v>44843</v>
      </c>
      <c r="E345" s="10">
        <v>743.231</v>
      </c>
    </row>
    <row r="346" ht="16.5" spans="1:5">
      <c r="A346" s="8">
        <v>3044878.823</v>
      </c>
      <c r="B346" s="8">
        <v>35401272.521</v>
      </c>
      <c r="C346" s="8">
        <v>905.391</v>
      </c>
      <c r="D346" s="11">
        <v>44844</v>
      </c>
      <c r="E346" s="10"/>
    </row>
    <row r="347" ht="16.5" spans="1:5">
      <c r="A347" s="8">
        <v>3044878.823</v>
      </c>
      <c r="B347" s="8">
        <v>35401272.521</v>
      </c>
      <c r="C347" s="8">
        <v>905.391</v>
      </c>
      <c r="D347" s="11">
        <v>44845</v>
      </c>
      <c r="E347" s="10"/>
    </row>
    <row r="348" ht="16.5" spans="1:5">
      <c r="A348" s="8">
        <v>3044878.823</v>
      </c>
      <c r="B348" s="8">
        <v>35401272.521</v>
      </c>
      <c r="C348" s="8">
        <v>905.391</v>
      </c>
      <c r="D348" s="11">
        <v>44846</v>
      </c>
      <c r="E348" s="10">
        <v>741.841</v>
      </c>
    </row>
    <row r="349" ht="16.5" spans="1:5">
      <c r="A349" s="8">
        <v>3044878.823</v>
      </c>
      <c r="B349" s="8">
        <v>35401272.521</v>
      </c>
      <c r="C349" s="8">
        <v>905.391</v>
      </c>
      <c r="D349" s="11">
        <v>44847</v>
      </c>
      <c r="E349" s="10">
        <v>741.751</v>
      </c>
    </row>
    <row r="350" ht="16.5" spans="1:5">
      <c r="A350" s="8">
        <v>3044878.823</v>
      </c>
      <c r="B350" s="8">
        <v>35401272.521</v>
      </c>
      <c r="C350" s="8">
        <v>905.391</v>
      </c>
      <c r="D350" s="11">
        <v>44848</v>
      </c>
      <c r="E350" s="10">
        <v>741.621</v>
      </c>
    </row>
    <row r="351" ht="16.5" spans="1:5">
      <c r="A351" s="8">
        <v>3044878.823</v>
      </c>
      <c r="B351" s="8">
        <v>35401272.521</v>
      </c>
      <c r="C351" s="8">
        <v>905.391</v>
      </c>
      <c r="D351" s="11">
        <v>44849</v>
      </c>
      <c r="E351" s="10">
        <v>741.591</v>
      </c>
    </row>
    <row r="352" ht="16.5" spans="1:5">
      <c r="A352" s="8">
        <v>3044878.823</v>
      </c>
      <c r="B352" s="8">
        <v>35401272.521</v>
      </c>
      <c r="C352" s="8">
        <v>905.391</v>
      </c>
      <c r="D352" s="11">
        <v>44850</v>
      </c>
      <c r="E352" s="10">
        <v>741.431</v>
      </c>
    </row>
    <row r="353" ht="16.5" spans="1:5">
      <c r="A353" s="8">
        <v>3044878.823</v>
      </c>
      <c r="B353" s="8">
        <v>35401272.521</v>
      </c>
      <c r="C353" s="8">
        <v>905.391</v>
      </c>
      <c r="D353" s="11">
        <v>44851</v>
      </c>
      <c r="E353" s="10">
        <v>741.681</v>
      </c>
    </row>
    <row r="354" ht="16.5" spans="1:5">
      <c r="A354" s="8">
        <v>3044878.823</v>
      </c>
      <c r="B354" s="8">
        <v>35401272.521</v>
      </c>
      <c r="C354" s="8">
        <v>905.391</v>
      </c>
      <c r="D354" s="11">
        <v>44852</v>
      </c>
      <c r="E354" s="10">
        <v>741.441</v>
      </c>
    </row>
    <row r="355" ht="16.5" spans="1:5">
      <c r="A355" s="8">
        <v>3044878.823</v>
      </c>
      <c r="B355" s="8">
        <v>35401272.521</v>
      </c>
      <c r="C355" s="8">
        <v>905.391</v>
      </c>
      <c r="D355" s="11">
        <v>44853</v>
      </c>
      <c r="E355" s="10">
        <v>741.631</v>
      </c>
    </row>
    <row r="356" ht="16.5" spans="1:5">
      <c r="A356" s="8">
        <v>3044878.823</v>
      </c>
      <c r="B356" s="8">
        <v>35401272.521</v>
      </c>
      <c r="C356" s="8">
        <v>905.391</v>
      </c>
      <c r="D356" s="11">
        <v>44854</v>
      </c>
      <c r="E356" s="10">
        <v>741.761</v>
      </c>
    </row>
    <row r="357" ht="16.5" spans="1:5">
      <c r="A357" s="8">
        <v>3044878.823</v>
      </c>
      <c r="B357" s="8">
        <v>35401272.521</v>
      </c>
      <c r="C357" s="8">
        <v>905.391</v>
      </c>
      <c r="D357" s="11">
        <v>44855</v>
      </c>
      <c r="E357" s="10">
        <v>741.641</v>
      </c>
    </row>
    <row r="358" ht="16.5" spans="1:5">
      <c r="A358" s="8">
        <v>3044878.823</v>
      </c>
      <c r="B358" s="8">
        <v>35401272.521</v>
      </c>
      <c r="C358" s="8">
        <v>905.391</v>
      </c>
      <c r="D358" s="11">
        <v>44856</v>
      </c>
      <c r="E358" s="10">
        <v>739.151</v>
      </c>
    </row>
    <row r="359" ht="16.5" spans="1:5">
      <c r="A359" s="8">
        <v>3044878.823</v>
      </c>
      <c r="B359" s="8">
        <v>35401272.521</v>
      </c>
      <c r="C359" s="8">
        <v>905.391</v>
      </c>
      <c r="D359" s="11">
        <v>44857</v>
      </c>
      <c r="E359" s="10">
        <v>737.331</v>
      </c>
    </row>
    <row r="360" ht="16.5" spans="1:5">
      <c r="A360" s="8">
        <v>3044878.823</v>
      </c>
      <c r="B360" s="8">
        <v>35401272.521</v>
      </c>
      <c r="C360" s="8">
        <v>905.391</v>
      </c>
      <c r="D360" s="11">
        <v>44858</v>
      </c>
      <c r="E360" s="10">
        <v>737.251</v>
      </c>
    </row>
    <row r="361" ht="16.5" spans="1:5">
      <c r="A361" s="8">
        <v>3044878.823</v>
      </c>
      <c r="B361" s="8">
        <v>35401272.521</v>
      </c>
      <c r="C361" s="8">
        <v>905.391</v>
      </c>
      <c r="D361" s="11">
        <v>44859</v>
      </c>
      <c r="E361" s="10">
        <v>737.291</v>
      </c>
    </row>
    <row r="362" ht="16.5" spans="1:5">
      <c r="A362" s="8">
        <v>3044878.823</v>
      </c>
      <c r="B362" s="8">
        <v>35401272.521</v>
      </c>
      <c r="C362" s="8">
        <v>905.391</v>
      </c>
      <c r="D362" s="11">
        <v>44860</v>
      </c>
      <c r="E362" s="10">
        <v>737.221</v>
      </c>
    </row>
    <row r="363" ht="16.5" spans="1:5">
      <c r="A363" s="8">
        <v>3044878.823</v>
      </c>
      <c r="B363" s="8">
        <v>35401272.521</v>
      </c>
      <c r="C363" s="8">
        <v>905.391</v>
      </c>
      <c r="D363" s="11">
        <v>44861</v>
      </c>
      <c r="E363" s="10">
        <v>737.171</v>
      </c>
    </row>
    <row r="364" ht="16.5" spans="1:5">
      <c r="A364" s="8">
        <v>3044878.823</v>
      </c>
      <c r="B364" s="8">
        <v>35401272.521</v>
      </c>
      <c r="C364" s="8">
        <v>905.391</v>
      </c>
      <c r="D364" s="11">
        <v>44862</v>
      </c>
      <c r="E364" s="10">
        <v>737.281</v>
      </c>
    </row>
    <row r="365" ht="16.5" spans="1:5">
      <c r="A365" s="8">
        <v>3044878.823</v>
      </c>
      <c r="B365" s="8">
        <v>35401272.521</v>
      </c>
      <c r="C365" s="8">
        <v>905.391</v>
      </c>
      <c r="D365" s="11">
        <v>44863</v>
      </c>
      <c r="E365" s="10">
        <v>737.371</v>
      </c>
    </row>
    <row r="366" ht="16.5" spans="1:5">
      <c r="A366" s="8">
        <v>3044878.823</v>
      </c>
      <c r="B366" s="8">
        <v>35401272.521</v>
      </c>
      <c r="C366" s="8">
        <v>905.391</v>
      </c>
      <c r="D366" s="11">
        <v>44864</v>
      </c>
      <c r="E366" s="10">
        <v>737.301</v>
      </c>
    </row>
    <row r="367" ht="16.5" spans="1:5">
      <c r="A367" s="8">
        <v>3044878.823</v>
      </c>
      <c r="B367" s="8">
        <v>35401272.521</v>
      </c>
      <c r="C367" s="8">
        <v>905.391</v>
      </c>
      <c r="D367" s="11">
        <v>44865</v>
      </c>
      <c r="E367" s="10">
        <v>737.131</v>
      </c>
    </row>
    <row r="368" ht="16.5" spans="1:5">
      <c r="A368" s="8">
        <v>3044878.823</v>
      </c>
      <c r="B368" s="8">
        <v>35401272.521</v>
      </c>
      <c r="C368" s="8">
        <v>905.391</v>
      </c>
      <c r="D368" s="11">
        <v>44866</v>
      </c>
      <c r="E368" s="10">
        <v>737.231</v>
      </c>
    </row>
    <row r="369" ht="16.5" spans="1:5">
      <c r="A369" s="8">
        <v>3044878.823</v>
      </c>
      <c r="B369" s="8">
        <v>35401272.521</v>
      </c>
      <c r="C369" s="8">
        <v>905.391</v>
      </c>
      <c r="D369" s="11">
        <v>44867</v>
      </c>
      <c r="E369" s="10">
        <v>737.211</v>
      </c>
    </row>
    <row r="370" ht="16.5" spans="1:5">
      <c r="A370" s="8">
        <v>3044878.823</v>
      </c>
      <c r="B370" s="8">
        <v>35401272.521</v>
      </c>
      <c r="C370" s="8">
        <v>905.391</v>
      </c>
      <c r="D370" s="11">
        <v>44868</v>
      </c>
      <c r="E370" s="12">
        <v>737.101</v>
      </c>
    </row>
    <row r="371" ht="16.5" spans="1:5">
      <c r="A371" s="8">
        <v>3044878.823</v>
      </c>
      <c r="B371" s="8">
        <v>35401272.521</v>
      </c>
      <c r="C371" s="8">
        <v>905.391</v>
      </c>
      <c r="D371" s="11">
        <v>44869</v>
      </c>
      <c r="E371" s="10">
        <v>737.051</v>
      </c>
    </row>
    <row r="372" ht="16.5" spans="1:5">
      <c r="A372" s="8">
        <v>3044878.823</v>
      </c>
      <c r="B372" s="8">
        <v>35401272.521</v>
      </c>
      <c r="C372" s="8">
        <v>905.391</v>
      </c>
      <c r="D372" s="11">
        <v>44870</v>
      </c>
      <c r="E372" s="10">
        <v>737.091</v>
      </c>
    </row>
    <row r="373" ht="16.5" spans="1:5">
      <c r="A373" s="8">
        <v>3044878.823</v>
      </c>
      <c r="B373" s="8">
        <v>35401272.521</v>
      </c>
      <c r="C373" s="8">
        <v>905.391</v>
      </c>
      <c r="D373" s="11">
        <v>44871</v>
      </c>
      <c r="E373" s="10">
        <v>737.071</v>
      </c>
    </row>
    <row r="374" ht="16.5" spans="1:5">
      <c r="A374" s="8">
        <v>3044878.823</v>
      </c>
      <c r="B374" s="8">
        <v>35401272.521</v>
      </c>
      <c r="C374" s="8">
        <v>905.391</v>
      </c>
      <c r="D374" s="11">
        <v>44872</v>
      </c>
      <c r="E374" s="10">
        <v>737.021</v>
      </c>
    </row>
    <row r="375" ht="16.5" spans="1:5">
      <c r="A375" s="8">
        <v>3044878.823</v>
      </c>
      <c r="B375" s="8">
        <v>35401272.521</v>
      </c>
      <c r="C375" s="8">
        <v>905.391</v>
      </c>
      <c r="D375" s="11">
        <v>44873</v>
      </c>
      <c r="E375" s="10">
        <v>737.091</v>
      </c>
    </row>
    <row r="376" ht="16.5" spans="1:5">
      <c r="A376" s="8">
        <v>3044878.823</v>
      </c>
      <c r="B376" s="8">
        <v>35401272.521</v>
      </c>
      <c r="C376" s="8">
        <v>905.391</v>
      </c>
      <c r="D376" s="11">
        <v>44874</v>
      </c>
      <c r="E376" s="10">
        <v>737.701</v>
      </c>
    </row>
    <row r="377" ht="16.5" spans="1:5">
      <c r="A377" s="8">
        <v>3044878.823</v>
      </c>
      <c r="B377" s="8">
        <v>35401272.521</v>
      </c>
      <c r="C377" s="8">
        <v>905.391</v>
      </c>
      <c r="D377" s="11">
        <v>44875</v>
      </c>
      <c r="E377" s="10">
        <v>737.961</v>
      </c>
    </row>
    <row r="378" ht="16.5" spans="1:5">
      <c r="A378" s="8">
        <v>3044878.823</v>
      </c>
      <c r="B378" s="8">
        <v>35401272.521</v>
      </c>
      <c r="C378" s="8">
        <v>905.391</v>
      </c>
      <c r="D378" s="11">
        <v>44876</v>
      </c>
      <c r="E378" s="10">
        <v>738.091</v>
      </c>
    </row>
    <row r="379" ht="16.5" spans="1:5">
      <c r="A379" s="8">
        <v>3044878.823</v>
      </c>
      <c r="B379" s="8">
        <v>35401272.521</v>
      </c>
      <c r="C379" s="8">
        <v>905.391</v>
      </c>
      <c r="D379" s="11">
        <v>44877</v>
      </c>
      <c r="E379" s="10">
        <v>738.311</v>
      </c>
    </row>
    <row r="380" ht="16.5" spans="1:5">
      <c r="A380" s="8">
        <v>3044878.823</v>
      </c>
      <c r="B380" s="8">
        <v>35401272.521</v>
      </c>
      <c r="C380" s="8">
        <v>905.391</v>
      </c>
      <c r="D380" s="11">
        <v>44878</v>
      </c>
      <c r="E380" s="10">
        <v>738.171</v>
      </c>
    </row>
    <row r="381" ht="16.5" spans="1:5">
      <c r="A381" s="8">
        <v>3044878.823</v>
      </c>
      <c r="B381" s="8">
        <v>35401272.521</v>
      </c>
      <c r="C381" s="8">
        <v>905.391</v>
      </c>
      <c r="D381" s="11">
        <v>44879</v>
      </c>
      <c r="E381" s="10">
        <v>738.311</v>
      </c>
    </row>
    <row r="382" ht="16.5" spans="1:5">
      <c r="A382" s="8">
        <v>3044878.823</v>
      </c>
      <c r="B382" s="8">
        <v>35401272.521</v>
      </c>
      <c r="C382" s="8">
        <v>905.391</v>
      </c>
      <c r="D382" s="11">
        <v>44880</v>
      </c>
      <c r="E382" s="10">
        <v>738.321</v>
      </c>
    </row>
    <row r="383" ht="16.5" spans="1:5">
      <c r="A383" s="8">
        <v>3044878.823</v>
      </c>
      <c r="B383" s="8">
        <v>35401272.521</v>
      </c>
      <c r="C383" s="8">
        <v>905.391</v>
      </c>
      <c r="D383" s="11">
        <v>44881</v>
      </c>
      <c r="E383" s="10">
        <v>738.181</v>
      </c>
    </row>
    <row r="384" ht="16.5" spans="1:5">
      <c r="A384" s="8">
        <v>3044878.823</v>
      </c>
      <c r="B384" s="8">
        <v>35401272.521</v>
      </c>
      <c r="C384" s="8">
        <v>905.391</v>
      </c>
      <c r="D384" s="11">
        <v>44882</v>
      </c>
      <c r="E384" s="10">
        <v>738.101</v>
      </c>
    </row>
    <row r="385" ht="16.5" spans="1:5">
      <c r="A385" s="8">
        <v>3044878.823</v>
      </c>
      <c r="B385" s="8">
        <v>35401272.521</v>
      </c>
      <c r="C385" s="8">
        <v>905.391</v>
      </c>
      <c r="D385" s="11">
        <v>44883</v>
      </c>
      <c r="E385" s="10">
        <v>738.101</v>
      </c>
    </row>
    <row r="386" ht="16.5" spans="1:5">
      <c r="A386" s="8">
        <v>3044878.823</v>
      </c>
      <c r="B386" s="8">
        <v>35401272.521</v>
      </c>
      <c r="C386" s="8">
        <v>905.391</v>
      </c>
      <c r="D386" s="11">
        <v>44884</v>
      </c>
      <c r="E386" s="10">
        <v>738.271</v>
      </c>
    </row>
    <row r="387" ht="16.5" spans="1:5">
      <c r="A387" s="8">
        <v>3044878.823</v>
      </c>
      <c r="B387" s="8">
        <v>35401272.521</v>
      </c>
      <c r="C387" s="8">
        <v>905.391</v>
      </c>
      <c r="D387" s="11">
        <v>44885</v>
      </c>
      <c r="E387" s="10">
        <v>738.161</v>
      </c>
    </row>
    <row r="388" ht="16.5" spans="1:5">
      <c r="A388" s="8">
        <v>3044878.823</v>
      </c>
      <c r="B388" s="8">
        <v>35401272.521</v>
      </c>
      <c r="C388" s="8">
        <v>905.391</v>
      </c>
      <c r="D388" s="11">
        <v>44886</v>
      </c>
      <c r="E388" s="10">
        <v>738.211</v>
      </c>
    </row>
    <row r="389" ht="16.5" spans="1:5">
      <c r="A389" s="8">
        <v>3044878.823</v>
      </c>
      <c r="B389" s="8">
        <v>35401272.521</v>
      </c>
      <c r="C389" s="8">
        <v>905.391</v>
      </c>
      <c r="D389" s="11">
        <v>44887</v>
      </c>
      <c r="E389" s="14">
        <v>738.041</v>
      </c>
    </row>
    <row r="390" ht="16.5" spans="1:5">
      <c r="A390" s="8">
        <v>3044878.823</v>
      </c>
      <c r="B390" s="8">
        <v>35401272.521</v>
      </c>
      <c r="C390" s="8">
        <v>905.391</v>
      </c>
      <c r="D390" s="11">
        <v>44888</v>
      </c>
      <c r="E390" s="10">
        <v>738.081</v>
      </c>
    </row>
    <row r="391" ht="16.5" spans="1:5">
      <c r="A391" s="8">
        <v>3044878.823</v>
      </c>
      <c r="B391" s="8">
        <v>35401272.521</v>
      </c>
      <c r="C391" s="8">
        <v>905.391</v>
      </c>
      <c r="D391" s="11">
        <v>44889</v>
      </c>
      <c r="E391" s="10">
        <v>738.131</v>
      </c>
    </row>
    <row r="392" ht="16.5" spans="1:5">
      <c r="A392" s="8">
        <v>3044878.823</v>
      </c>
      <c r="B392" s="8">
        <v>35401272.521</v>
      </c>
      <c r="C392" s="8">
        <v>905.391</v>
      </c>
      <c r="D392" s="11">
        <v>44890</v>
      </c>
      <c r="E392" s="10">
        <v>738.101</v>
      </c>
    </row>
    <row r="393" ht="16.5" spans="1:5">
      <c r="A393" s="8">
        <v>3044878.823</v>
      </c>
      <c r="B393" s="8">
        <v>35401272.521</v>
      </c>
      <c r="C393" s="8">
        <v>905.391</v>
      </c>
      <c r="D393" s="11">
        <v>44891</v>
      </c>
      <c r="E393" s="10">
        <v>738.331</v>
      </c>
    </row>
    <row r="394" ht="16.5" spans="1:5">
      <c r="A394" s="8">
        <v>3044878.823</v>
      </c>
      <c r="B394" s="8">
        <v>35401272.521</v>
      </c>
      <c r="C394" s="8">
        <v>905.391</v>
      </c>
      <c r="D394" s="11">
        <v>44892</v>
      </c>
      <c r="E394" s="10">
        <v>738.101</v>
      </c>
    </row>
    <row r="395" ht="16.5" spans="1:5">
      <c r="A395" s="8">
        <v>3044878.823</v>
      </c>
      <c r="B395" s="8">
        <v>35401272.521</v>
      </c>
      <c r="C395" s="8">
        <v>905.391</v>
      </c>
      <c r="D395" s="11">
        <v>44893</v>
      </c>
      <c r="E395" s="10">
        <v>738.321</v>
      </c>
    </row>
    <row r="396" ht="16.5" spans="1:5">
      <c r="A396" s="8">
        <v>3044878.823</v>
      </c>
      <c r="B396" s="8">
        <v>35401272.521</v>
      </c>
      <c r="C396" s="8">
        <v>905.391</v>
      </c>
      <c r="D396" s="11">
        <v>44894</v>
      </c>
      <c r="E396" s="10">
        <v>737.951</v>
      </c>
    </row>
    <row r="397" ht="16.5" spans="1:5">
      <c r="A397" s="8">
        <v>3044878.823</v>
      </c>
      <c r="B397" s="8">
        <v>35401272.521</v>
      </c>
      <c r="C397" s="8">
        <v>905.391</v>
      </c>
      <c r="D397" s="11">
        <v>44895</v>
      </c>
      <c r="E397" s="12">
        <v>737.821</v>
      </c>
    </row>
    <row r="398" ht="16.5" spans="1:5">
      <c r="A398" s="8">
        <v>3044878.823</v>
      </c>
      <c r="B398" s="8">
        <v>35401272.521</v>
      </c>
      <c r="C398" s="8">
        <v>905.391</v>
      </c>
      <c r="D398" s="11">
        <v>44896</v>
      </c>
      <c r="E398" s="10">
        <v>738.141</v>
      </c>
    </row>
    <row r="399" ht="16.5" spans="1:5">
      <c r="A399" s="8">
        <v>3044878.823</v>
      </c>
      <c r="B399" s="8">
        <v>35401272.521</v>
      </c>
      <c r="C399" s="8">
        <v>905.391</v>
      </c>
      <c r="D399" s="11">
        <v>44897</v>
      </c>
      <c r="E399" s="10">
        <v>738.371</v>
      </c>
    </row>
    <row r="400" ht="16.5" spans="1:5">
      <c r="A400" s="8">
        <v>3044878.823</v>
      </c>
      <c r="B400" s="8">
        <v>35401272.521</v>
      </c>
      <c r="C400" s="8">
        <v>905.391</v>
      </c>
      <c r="D400" s="11">
        <v>44898</v>
      </c>
      <c r="E400" s="10">
        <v>738.901</v>
      </c>
    </row>
    <row r="401" ht="16.5" spans="1:5">
      <c r="A401" s="8">
        <v>3044878.823</v>
      </c>
      <c r="B401" s="8">
        <v>35401272.521</v>
      </c>
      <c r="C401" s="8">
        <v>905.391</v>
      </c>
      <c r="D401" s="11">
        <v>44899</v>
      </c>
      <c r="E401" s="10">
        <v>738.251</v>
      </c>
    </row>
    <row r="402" ht="16.5" spans="1:5">
      <c r="A402" s="8">
        <v>3044878.823</v>
      </c>
      <c r="B402" s="8">
        <v>35401272.521</v>
      </c>
      <c r="C402" s="8">
        <v>905.391</v>
      </c>
      <c r="D402" s="11">
        <v>44900</v>
      </c>
      <c r="E402" s="10">
        <v>737.991</v>
      </c>
    </row>
    <row r="403" ht="16.5" spans="1:5">
      <c r="A403" s="8">
        <v>3044878.823</v>
      </c>
      <c r="B403" s="8">
        <v>35401272.521</v>
      </c>
      <c r="C403" s="8">
        <v>905.391</v>
      </c>
      <c r="D403" s="11">
        <v>44901</v>
      </c>
      <c r="E403" s="10">
        <v>738.641</v>
      </c>
    </row>
    <row r="404" ht="16.5" spans="1:5">
      <c r="A404" s="8">
        <v>3044878.823</v>
      </c>
      <c r="B404" s="8">
        <v>35401272.521</v>
      </c>
      <c r="C404" s="8">
        <v>905.391</v>
      </c>
      <c r="D404" s="11">
        <v>44902</v>
      </c>
      <c r="E404" s="10">
        <v>739.351</v>
      </c>
    </row>
    <row r="405" ht="16.5" spans="1:5">
      <c r="A405" s="8">
        <v>3044878.823</v>
      </c>
      <c r="B405" s="8">
        <v>35401272.521</v>
      </c>
      <c r="C405" s="8">
        <v>905.391</v>
      </c>
      <c r="D405" s="11">
        <v>44903</v>
      </c>
      <c r="E405" s="10">
        <v>739.381</v>
      </c>
    </row>
    <row r="406" ht="16.5" spans="1:5">
      <c r="A406" s="8">
        <v>3044878.823</v>
      </c>
      <c r="B406" s="8">
        <v>35401272.521</v>
      </c>
      <c r="C406" s="8">
        <v>905.391</v>
      </c>
      <c r="D406" s="11">
        <v>44904</v>
      </c>
      <c r="E406" s="10">
        <v>739.361</v>
      </c>
    </row>
    <row r="407" ht="16.5" spans="1:5">
      <c r="A407" s="8">
        <v>3044878.823</v>
      </c>
      <c r="B407" s="8">
        <v>35401272.521</v>
      </c>
      <c r="C407" s="8">
        <v>905.391</v>
      </c>
      <c r="D407" s="11">
        <v>44905</v>
      </c>
      <c r="E407" s="10">
        <v>739.201</v>
      </c>
    </row>
    <row r="408" ht="16.5" spans="1:5">
      <c r="A408" s="8">
        <v>3044878.823</v>
      </c>
      <c r="B408" s="8">
        <v>35401272.521</v>
      </c>
      <c r="C408" s="8">
        <v>905.391</v>
      </c>
      <c r="D408" s="11">
        <v>44906</v>
      </c>
      <c r="E408" s="10">
        <v>739.021</v>
      </c>
    </row>
    <row r="409" ht="16.5" spans="1:5">
      <c r="A409" s="8">
        <v>3044878.823</v>
      </c>
      <c r="B409" s="8">
        <v>35401272.521</v>
      </c>
      <c r="C409" s="8">
        <v>905.391</v>
      </c>
      <c r="D409" s="11">
        <v>44907</v>
      </c>
      <c r="E409" s="10">
        <v>738.651</v>
      </c>
    </row>
    <row r="410" ht="16.5" spans="1:5">
      <c r="A410" s="8">
        <v>3044878.823</v>
      </c>
      <c r="B410" s="8">
        <v>35401272.521</v>
      </c>
      <c r="C410" s="8">
        <v>905.391</v>
      </c>
      <c r="D410" s="11">
        <v>44908</v>
      </c>
      <c r="E410" s="10">
        <v>738.401</v>
      </c>
    </row>
    <row r="411" ht="16.5" spans="1:5">
      <c r="A411" s="8">
        <v>3044878.823</v>
      </c>
      <c r="B411" s="8">
        <v>35401272.521</v>
      </c>
      <c r="C411" s="8">
        <v>905.391</v>
      </c>
      <c r="D411" s="11">
        <v>44909</v>
      </c>
      <c r="E411" s="10">
        <v>738.181</v>
      </c>
    </row>
    <row r="412" ht="16.5" spans="1:5">
      <c r="A412" s="8">
        <v>3044878.823</v>
      </c>
      <c r="B412" s="8">
        <v>35401272.521</v>
      </c>
      <c r="C412" s="8">
        <v>905.391</v>
      </c>
      <c r="D412" s="11">
        <v>44910</v>
      </c>
      <c r="E412" s="10">
        <v>738.261</v>
      </c>
    </row>
    <row r="413" ht="16.5" spans="1:5">
      <c r="A413" s="8">
        <v>3044878.823</v>
      </c>
      <c r="B413" s="8">
        <v>35401272.521</v>
      </c>
      <c r="C413" s="8">
        <v>905.391</v>
      </c>
      <c r="D413" s="11">
        <v>44911</v>
      </c>
      <c r="E413" s="10">
        <v>737.831</v>
      </c>
    </row>
    <row r="414" ht="16.5" spans="1:5">
      <c r="A414" s="8">
        <v>3044878.823</v>
      </c>
      <c r="B414" s="8">
        <v>35401272.521</v>
      </c>
      <c r="C414" s="8">
        <v>905.391</v>
      </c>
      <c r="D414" s="11">
        <v>44912</v>
      </c>
      <c r="E414" s="10">
        <v>737.671</v>
      </c>
    </row>
    <row r="415" ht="16.5" spans="1:5">
      <c r="A415" s="8">
        <v>3044878.823</v>
      </c>
      <c r="B415" s="8">
        <v>35401272.521</v>
      </c>
      <c r="C415" s="8">
        <v>905.391</v>
      </c>
      <c r="D415" s="11">
        <v>44913</v>
      </c>
      <c r="E415" s="10">
        <v>737.861</v>
      </c>
    </row>
    <row r="416" ht="16.5" spans="1:5">
      <c r="A416" s="8">
        <v>3044878.823</v>
      </c>
      <c r="B416" s="8">
        <v>35401272.521</v>
      </c>
      <c r="C416" s="8">
        <v>905.391</v>
      </c>
      <c r="D416" s="11">
        <v>44914</v>
      </c>
      <c r="E416" s="10">
        <v>737.871</v>
      </c>
    </row>
    <row r="417" ht="16.5" spans="1:5">
      <c r="A417" s="8">
        <v>3044878.823</v>
      </c>
      <c r="B417" s="8">
        <v>35401272.521</v>
      </c>
      <c r="C417" s="8">
        <v>905.391</v>
      </c>
      <c r="D417" s="11">
        <v>44915</v>
      </c>
      <c r="E417" s="10">
        <v>737.661</v>
      </c>
    </row>
    <row r="418" ht="16.5" spans="1:5">
      <c r="A418" s="8">
        <v>3044878.823</v>
      </c>
      <c r="B418" s="8">
        <v>35401272.521</v>
      </c>
      <c r="C418" s="8">
        <v>905.391</v>
      </c>
      <c r="D418" s="11">
        <v>44916</v>
      </c>
      <c r="E418" s="10">
        <v>737.731</v>
      </c>
    </row>
    <row r="419" ht="16.5" spans="1:5">
      <c r="A419" s="8">
        <v>3044878.823</v>
      </c>
      <c r="B419" s="8">
        <v>35401272.521</v>
      </c>
      <c r="C419" s="8">
        <v>905.391</v>
      </c>
      <c r="D419" s="11">
        <v>44917</v>
      </c>
      <c r="E419" s="10">
        <v>737.751</v>
      </c>
    </row>
    <row r="420" ht="16.5" spans="1:5">
      <c r="A420" s="8">
        <v>3044878.823</v>
      </c>
      <c r="B420" s="8">
        <v>35401272.521</v>
      </c>
      <c r="C420" s="8">
        <v>905.391</v>
      </c>
      <c r="D420" s="11">
        <v>44918</v>
      </c>
      <c r="E420" s="10">
        <v>737.711</v>
      </c>
    </row>
    <row r="421" ht="16.5" spans="1:5">
      <c r="A421" s="8">
        <v>3044878.823</v>
      </c>
      <c r="B421" s="8">
        <v>35401272.521</v>
      </c>
      <c r="C421" s="8">
        <v>905.391</v>
      </c>
      <c r="D421" s="11">
        <v>44919</v>
      </c>
      <c r="E421" s="10">
        <v>737.641</v>
      </c>
    </row>
    <row r="422" ht="16.5" spans="1:5">
      <c r="A422" s="8">
        <v>3044878.823</v>
      </c>
      <c r="B422" s="8">
        <v>35401272.521</v>
      </c>
      <c r="C422" s="8">
        <v>905.391</v>
      </c>
      <c r="D422" s="11">
        <v>44920</v>
      </c>
      <c r="E422" s="10">
        <v>737.691</v>
      </c>
    </row>
    <row r="423" ht="16.5" spans="1:5">
      <c r="A423" s="8">
        <v>3044878.823</v>
      </c>
      <c r="B423" s="8">
        <v>35401272.521</v>
      </c>
      <c r="C423" s="8">
        <v>905.391</v>
      </c>
      <c r="D423" s="11">
        <v>44921</v>
      </c>
      <c r="E423" s="10">
        <v>737.641</v>
      </c>
    </row>
    <row r="424" ht="16.5" spans="1:5">
      <c r="A424" s="8">
        <v>3044878.823</v>
      </c>
      <c r="B424" s="8">
        <v>35401272.521</v>
      </c>
      <c r="C424" s="8">
        <v>905.391</v>
      </c>
      <c r="D424" s="11">
        <v>44922</v>
      </c>
      <c r="E424" s="10">
        <v>737.641</v>
      </c>
    </row>
    <row r="425" ht="16.5" spans="1:5">
      <c r="A425" s="8">
        <v>3044878.823</v>
      </c>
      <c r="B425" s="8">
        <v>35401272.521</v>
      </c>
      <c r="C425" s="8">
        <v>905.391</v>
      </c>
      <c r="D425" s="11">
        <v>44923</v>
      </c>
      <c r="E425" s="10">
        <v>737.651</v>
      </c>
    </row>
    <row r="426" ht="16.5" spans="1:5">
      <c r="A426" s="8">
        <v>3044878.823</v>
      </c>
      <c r="B426" s="8">
        <v>35401272.521</v>
      </c>
      <c r="C426" s="8">
        <v>905.391</v>
      </c>
      <c r="D426" s="11">
        <v>44924</v>
      </c>
      <c r="E426" s="10">
        <v>737.731</v>
      </c>
    </row>
    <row r="427" ht="16.5" spans="1:5">
      <c r="A427" s="8">
        <v>3044878.823</v>
      </c>
      <c r="B427" s="8">
        <v>35401272.521</v>
      </c>
      <c r="C427" s="8">
        <v>905.391</v>
      </c>
      <c r="D427" s="11">
        <v>44925</v>
      </c>
      <c r="E427" s="10">
        <v>737.891</v>
      </c>
    </row>
    <row r="428" ht="16.5" spans="1:5">
      <c r="A428" s="8">
        <v>3044878.823</v>
      </c>
      <c r="B428" s="8">
        <v>35401272.521</v>
      </c>
      <c r="C428" s="8">
        <v>905.391</v>
      </c>
      <c r="D428" s="11">
        <v>44926</v>
      </c>
      <c r="E428" s="10">
        <v>737.991</v>
      </c>
    </row>
    <row r="429" ht="16.5" spans="1:5">
      <c r="A429" s="8">
        <v>3044878.823</v>
      </c>
      <c r="B429" s="8">
        <v>35401272.521</v>
      </c>
      <c r="C429" s="8">
        <v>905.391</v>
      </c>
      <c r="D429" s="11">
        <v>44927</v>
      </c>
      <c r="E429" s="10">
        <v>737.991</v>
      </c>
    </row>
    <row r="430" ht="16.5" spans="1:5">
      <c r="A430" s="8">
        <v>3044878.823</v>
      </c>
      <c r="B430" s="8">
        <v>35401272.521</v>
      </c>
      <c r="C430" s="8">
        <v>905.391</v>
      </c>
      <c r="D430" s="11">
        <v>44928</v>
      </c>
      <c r="E430" s="10">
        <v>737.881</v>
      </c>
    </row>
    <row r="431" ht="16.5" spans="1:5">
      <c r="A431" s="8">
        <v>3044878.823</v>
      </c>
      <c r="B431" s="8">
        <v>35401272.521</v>
      </c>
      <c r="C431" s="8">
        <v>905.391</v>
      </c>
      <c r="D431" s="11">
        <v>44929</v>
      </c>
      <c r="E431" s="10">
        <v>737.841</v>
      </c>
    </row>
    <row r="432" ht="16.5" spans="1:5">
      <c r="A432" s="8">
        <v>3044878.823</v>
      </c>
      <c r="B432" s="8">
        <v>35401272.521</v>
      </c>
      <c r="C432" s="8">
        <v>905.391</v>
      </c>
      <c r="D432" s="11">
        <v>44930</v>
      </c>
      <c r="E432" s="10">
        <v>737.701</v>
      </c>
    </row>
    <row r="433" ht="16.5" spans="1:5">
      <c r="A433" s="8">
        <v>3044878.823</v>
      </c>
      <c r="B433" s="8">
        <v>35401272.521</v>
      </c>
      <c r="C433" s="8">
        <v>905.391</v>
      </c>
      <c r="D433" s="11">
        <v>44931</v>
      </c>
      <c r="E433" s="14">
        <v>736.851</v>
      </c>
    </row>
    <row r="434" ht="16.5" spans="1:5">
      <c r="A434" s="8">
        <v>3044878.823</v>
      </c>
      <c r="B434" s="8">
        <v>35401272.521</v>
      </c>
      <c r="C434" s="8">
        <v>905.391</v>
      </c>
      <c r="D434" s="11">
        <v>44932</v>
      </c>
      <c r="E434" s="10">
        <v>737.151</v>
      </c>
    </row>
    <row r="435" ht="16.5" spans="1:5">
      <c r="A435" s="8">
        <v>3044878.823</v>
      </c>
      <c r="B435" s="8">
        <v>35401272.521</v>
      </c>
      <c r="C435" s="8">
        <v>905.391</v>
      </c>
      <c r="D435" s="11">
        <v>44933</v>
      </c>
      <c r="E435" s="10">
        <v>737.111</v>
      </c>
    </row>
    <row r="436" ht="16.5" spans="1:5">
      <c r="A436" s="8">
        <v>3044878.823</v>
      </c>
      <c r="B436" s="8">
        <v>35401272.521</v>
      </c>
      <c r="C436" s="8">
        <v>905.391</v>
      </c>
      <c r="D436" s="11">
        <v>44934</v>
      </c>
      <c r="E436" s="10">
        <v>737.161</v>
      </c>
    </row>
    <row r="437" ht="16.5" spans="1:5">
      <c r="A437" s="8">
        <v>3044878.823</v>
      </c>
      <c r="B437" s="8">
        <v>35401272.521</v>
      </c>
      <c r="C437" s="8">
        <v>905.391</v>
      </c>
      <c r="D437" s="11">
        <v>44935</v>
      </c>
      <c r="E437" s="10">
        <v>737.171</v>
      </c>
    </row>
    <row r="438" ht="16.5" spans="1:5">
      <c r="A438" s="8">
        <v>3044878.823</v>
      </c>
      <c r="B438" s="8">
        <v>35401272.521</v>
      </c>
      <c r="C438" s="8">
        <v>905.391</v>
      </c>
      <c r="D438" s="11">
        <v>44936</v>
      </c>
      <c r="E438" s="10">
        <v>737.371</v>
      </c>
    </row>
    <row r="439" ht="16.5" spans="1:5">
      <c r="A439" s="8">
        <v>3044878.823</v>
      </c>
      <c r="B439" s="8">
        <v>35401272.521</v>
      </c>
      <c r="C439" s="8">
        <v>905.391</v>
      </c>
      <c r="D439" s="11">
        <v>44937</v>
      </c>
      <c r="E439" s="10">
        <v>737.381</v>
      </c>
    </row>
    <row r="440" ht="16.5" spans="1:5">
      <c r="A440" s="8">
        <v>3044878.823</v>
      </c>
      <c r="B440" s="8">
        <v>35401272.521</v>
      </c>
      <c r="C440" s="8">
        <v>905.391</v>
      </c>
      <c r="D440" s="11">
        <v>44938</v>
      </c>
      <c r="E440" s="12"/>
    </row>
    <row r="441" ht="16.5" spans="1:5">
      <c r="A441" s="8">
        <v>3044878.823</v>
      </c>
      <c r="B441" s="8">
        <v>35401272.521</v>
      </c>
      <c r="C441" s="8">
        <v>905.391</v>
      </c>
      <c r="D441" s="11">
        <v>44939</v>
      </c>
      <c r="E441" s="12"/>
    </row>
    <row r="442" ht="16.5" spans="1:5">
      <c r="A442" s="8">
        <v>3044878.823</v>
      </c>
      <c r="B442" s="8">
        <v>35401272.521</v>
      </c>
      <c r="C442" s="8">
        <v>905.391</v>
      </c>
      <c r="D442" s="11">
        <v>44940</v>
      </c>
      <c r="E442" s="12"/>
    </row>
    <row r="443" ht="16.5" spans="1:5">
      <c r="A443" s="8">
        <v>3044878.823</v>
      </c>
      <c r="B443" s="8">
        <v>35401272.521</v>
      </c>
      <c r="C443" s="8">
        <v>905.391</v>
      </c>
      <c r="D443" s="11">
        <v>44941</v>
      </c>
      <c r="E443" s="12"/>
    </row>
    <row r="444" ht="16.5" spans="1:5">
      <c r="A444" s="8">
        <v>3044878.823</v>
      </c>
      <c r="B444" s="8">
        <v>35401272.521</v>
      </c>
      <c r="C444" s="8">
        <v>905.391</v>
      </c>
      <c r="D444" s="11">
        <v>44942</v>
      </c>
      <c r="E444" s="10">
        <v>737.021</v>
      </c>
    </row>
    <row r="445" ht="16.5" spans="1:5">
      <c r="A445" s="8">
        <v>3044878.823</v>
      </c>
      <c r="B445" s="8">
        <v>35401272.521</v>
      </c>
      <c r="C445" s="8">
        <v>905.391</v>
      </c>
      <c r="D445" s="11">
        <v>44943</v>
      </c>
      <c r="E445" s="10">
        <v>736.991</v>
      </c>
    </row>
    <row r="446" ht="16.5" spans="1:5">
      <c r="A446" s="8">
        <v>3044878.823</v>
      </c>
      <c r="B446" s="8">
        <v>35401272.521</v>
      </c>
      <c r="C446" s="8">
        <v>905.391</v>
      </c>
      <c r="D446" s="11">
        <v>44944</v>
      </c>
      <c r="E446" s="10">
        <v>737.021</v>
      </c>
    </row>
    <row r="447" ht="16.5" spans="1:5">
      <c r="A447" s="8">
        <v>3044878.823</v>
      </c>
      <c r="B447" s="8">
        <v>35401272.521</v>
      </c>
      <c r="C447" s="8">
        <v>905.391</v>
      </c>
      <c r="D447" s="11">
        <v>44945</v>
      </c>
      <c r="E447" s="10">
        <v>737.061</v>
      </c>
    </row>
    <row r="448" ht="16.5" spans="1:5">
      <c r="A448" s="8">
        <v>3044878.823</v>
      </c>
      <c r="B448" s="8">
        <v>35401272.521</v>
      </c>
      <c r="C448" s="8">
        <v>905.391</v>
      </c>
      <c r="D448" s="11">
        <v>44946</v>
      </c>
      <c r="E448" s="10">
        <v>737.091</v>
      </c>
    </row>
    <row r="449" ht="16.5" spans="1:5">
      <c r="A449" s="8">
        <v>3044878.823</v>
      </c>
      <c r="B449" s="8">
        <v>35401272.521</v>
      </c>
      <c r="C449" s="8">
        <v>905.391</v>
      </c>
      <c r="D449" s="11">
        <v>44947</v>
      </c>
      <c r="E449" s="10">
        <v>737.151</v>
      </c>
    </row>
    <row r="450" ht="16.5" spans="1:5">
      <c r="A450" s="8">
        <v>3044878.823</v>
      </c>
      <c r="B450" s="8">
        <v>35401272.521</v>
      </c>
      <c r="C450" s="8">
        <v>905.391</v>
      </c>
      <c r="D450" s="11">
        <v>44948</v>
      </c>
      <c r="E450" s="10">
        <v>737.131</v>
      </c>
    </row>
    <row r="451" ht="16.5" spans="1:5">
      <c r="A451" s="8">
        <v>3044878.823</v>
      </c>
      <c r="B451" s="8">
        <v>35401272.521</v>
      </c>
      <c r="C451" s="8">
        <v>905.391</v>
      </c>
      <c r="D451" s="11">
        <v>44949</v>
      </c>
      <c r="E451" s="10">
        <v>737.151</v>
      </c>
    </row>
    <row r="452" ht="16.5" spans="1:5">
      <c r="A452" s="8">
        <v>3044878.823</v>
      </c>
      <c r="B452" s="8">
        <v>35401272.521</v>
      </c>
      <c r="C452" s="8">
        <v>905.391</v>
      </c>
      <c r="D452" s="11">
        <v>44950</v>
      </c>
      <c r="E452" s="10">
        <v>737.101</v>
      </c>
    </row>
    <row r="453" ht="16.5" spans="1:5">
      <c r="A453" s="8">
        <v>3044878.823</v>
      </c>
      <c r="B453" s="8">
        <v>35401272.521</v>
      </c>
      <c r="C453" s="8">
        <v>905.391</v>
      </c>
      <c r="D453" s="11">
        <v>44951</v>
      </c>
      <c r="E453" s="10">
        <v>737.161</v>
      </c>
    </row>
    <row r="454" ht="16.5" spans="1:5">
      <c r="A454" s="8">
        <v>3044878.823</v>
      </c>
      <c r="B454" s="8">
        <v>35401272.521</v>
      </c>
      <c r="C454" s="8">
        <v>905.391</v>
      </c>
      <c r="D454" s="11">
        <v>44952</v>
      </c>
      <c r="E454" s="10">
        <v>737.121</v>
      </c>
    </row>
    <row r="455" ht="16.5" spans="1:5">
      <c r="A455" s="8">
        <v>3044878.823</v>
      </c>
      <c r="B455" s="8">
        <v>35401272.521</v>
      </c>
      <c r="C455" s="8">
        <v>905.391</v>
      </c>
      <c r="D455" s="11">
        <v>44953</v>
      </c>
      <c r="E455" s="10">
        <v>737.011</v>
      </c>
    </row>
    <row r="456" ht="16.5" spans="1:5">
      <c r="A456" s="8">
        <v>3044878.823</v>
      </c>
      <c r="B456" s="8">
        <v>35401272.521</v>
      </c>
      <c r="C456" s="8">
        <v>905.391</v>
      </c>
      <c r="D456" s="11">
        <v>44954</v>
      </c>
      <c r="E456" s="10">
        <v>737.081</v>
      </c>
    </row>
    <row r="457" ht="16.5" spans="1:5">
      <c r="A457" s="8">
        <v>3044878.823</v>
      </c>
      <c r="B457" s="8">
        <v>35401272.521</v>
      </c>
      <c r="C457" s="8">
        <v>905.391</v>
      </c>
      <c r="D457" s="11">
        <v>44955</v>
      </c>
      <c r="E457" s="10">
        <v>737.071</v>
      </c>
    </row>
    <row r="458" ht="16.5" spans="1:5">
      <c r="A458" s="8">
        <v>3044878.823</v>
      </c>
      <c r="B458" s="8">
        <v>35401272.521</v>
      </c>
      <c r="C458" s="8">
        <v>905.391</v>
      </c>
      <c r="D458" s="11">
        <v>44956</v>
      </c>
      <c r="E458" s="10">
        <v>737.021</v>
      </c>
    </row>
    <row r="459" ht="16.5" spans="1:5">
      <c r="A459" s="8">
        <v>3044878.823</v>
      </c>
      <c r="B459" s="8">
        <v>35401272.521</v>
      </c>
      <c r="C459" s="8">
        <v>905.391</v>
      </c>
      <c r="D459" s="11">
        <v>44957</v>
      </c>
      <c r="E459" s="10">
        <v>736.961</v>
      </c>
    </row>
    <row r="460" ht="16.5" spans="1:5">
      <c r="A460" s="8">
        <v>3044878.823</v>
      </c>
      <c r="B460" s="8">
        <v>35401272.521</v>
      </c>
      <c r="C460" s="8">
        <v>905.391</v>
      </c>
      <c r="D460" s="11">
        <v>44958</v>
      </c>
      <c r="E460" s="10">
        <v>736.841</v>
      </c>
    </row>
    <row r="461" ht="16.5" spans="1:5">
      <c r="A461" s="8">
        <v>3044878.823</v>
      </c>
      <c r="B461" s="8">
        <v>35401272.521</v>
      </c>
      <c r="C461" s="8">
        <v>905.391</v>
      </c>
      <c r="D461" s="11">
        <v>44959</v>
      </c>
      <c r="E461" s="14">
        <v>736.821</v>
      </c>
    </row>
    <row r="462" ht="16.5" spans="1:5">
      <c r="A462" s="8">
        <v>3044878.823</v>
      </c>
      <c r="B462" s="8">
        <v>35401272.521</v>
      </c>
      <c r="C462" s="8">
        <v>905.391</v>
      </c>
      <c r="D462" s="11">
        <v>44960</v>
      </c>
      <c r="E462" s="10">
        <v>736.821</v>
      </c>
    </row>
    <row r="463" ht="16.5" spans="1:5">
      <c r="A463" s="8">
        <v>3044878.823</v>
      </c>
      <c r="B463" s="8">
        <v>35401272.521</v>
      </c>
      <c r="C463" s="8">
        <v>905.391</v>
      </c>
      <c r="D463" s="11">
        <v>44961</v>
      </c>
      <c r="E463" s="10">
        <v>737.041</v>
      </c>
    </row>
    <row r="464" ht="16.5" spans="1:5">
      <c r="A464" s="8">
        <v>3044878.823</v>
      </c>
      <c r="B464" s="8">
        <v>35401272.521</v>
      </c>
      <c r="C464" s="8">
        <v>905.391</v>
      </c>
      <c r="D464" s="11">
        <v>44962</v>
      </c>
      <c r="E464" s="10">
        <v>737.111</v>
      </c>
    </row>
    <row r="465" ht="16.5" spans="1:5">
      <c r="A465" s="8">
        <v>3044878.823</v>
      </c>
      <c r="B465" s="8">
        <v>35401272.521</v>
      </c>
      <c r="C465" s="8">
        <v>905.391</v>
      </c>
      <c r="D465" s="11">
        <v>44963</v>
      </c>
      <c r="E465" s="10">
        <v>737.191</v>
      </c>
    </row>
    <row r="466" ht="16.5" spans="1:5">
      <c r="A466" s="8">
        <v>3044878.823</v>
      </c>
      <c r="B466" s="8">
        <v>35401272.521</v>
      </c>
      <c r="C466" s="8">
        <v>905.391</v>
      </c>
      <c r="D466" s="11">
        <v>44964</v>
      </c>
      <c r="E466" s="10">
        <v>737.141</v>
      </c>
    </row>
    <row r="467" ht="16.5" spans="1:5">
      <c r="A467" s="8">
        <v>3044878.823</v>
      </c>
      <c r="B467" s="8">
        <v>35401272.521</v>
      </c>
      <c r="C467" s="8">
        <v>905.391</v>
      </c>
      <c r="D467" s="11">
        <v>44965</v>
      </c>
      <c r="E467" s="10">
        <v>737.171</v>
      </c>
    </row>
    <row r="468" ht="16.5" spans="1:5">
      <c r="A468" s="8">
        <v>3044878.823</v>
      </c>
      <c r="B468" s="8">
        <v>35401272.521</v>
      </c>
      <c r="C468" s="8">
        <v>905.391</v>
      </c>
      <c r="D468" s="11">
        <v>44966</v>
      </c>
      <c r="E468" s="10">
        <v>737.161</v>
      </c>
    </row>
    <row r="469" ht="16.5" spans="1:5">
      <c r="A469" s="8">
        <v>3044878.823</v>
      </c>
      <c r="B469" s="8">
        <v>35401272.521</v>
      </c>
      <c r="C469" s="8">
        <v>905.391</v>
      </c>
      <c r="D469" s="11">
        <v>44967</v>
      </c>
      <c r="E469" s="10">
        <v>737.201</v>
      </c>
    </row>
    <row r="470" ht="16.5" spans="1:5">
      <c r="A470" s="8">
        <v>3044878.823</v>
      </c>
      <c r="B470" s="8">
        <v>35401272.521</v>
      </c>
      <c r="C470" s="8">
        <v>905.391</v>
      </c>
      <c r="D470" s="11">
        <v>44968</v>
      </c>
      <c r="E470" s="10">
        <v>737.231</v>
      </c>
    </row>
    <row r="471" ht="16.5" spans="1:5">
      <c r="A471" s="8">
        <v>3044878.823</v>
      </c>
      <c r="B471" s="8">
        <v>35401272.521</v>
      </c>
      <c r="C471" s="8">
        <v>905.391</v>
      </c>
      <c r="D471" s="11">
        <v>44969</v>
      </c>
      <c r="E471" s="10">
        <v>737.221</v>
      </c>
    </row>
    <row r="472" ht="16.5" spans="1:5">
      <c r="A472" s="8">
        <v>3044878.823</v>
      </c>
      <c r="B472" s="8">
        <v>35401272.521</v>
      </c>
      <c r="C472" s="8">
        <v>905.391</v>
      </c>
      <c r="D472" s="11">
        <v>44970</v>
      </c>
      <c r="E472" s="14">
        <v>737.181</v>
      </c>
    </row>
    <row r="473" ht="16.5" spans="1:5">
      <c r="A473" s="8">
        <v>3044878.823</v>
      </c>
      <c r="B473" s="8">
        <v>35401272.521</v>
      </c>
      <c r="C473" s="8">
        <v>905.391</v>
      </c>
      <c r="D473" s="11">
        <v>44971</v>
      </c>
      <c r="E473" s="10">
        <v>737.201</v>
      </c>
    </row>
    <row r="474" ht="16.5" spans="1:5">
      <c r="A474" s="8">
        <v>3044878.823</v>
      </c>
      <c r="B474" s="8">
        <v>35401272.521</v>
      </c>
      <c r="C474" s="8">
        <v>905.391</v>
      </c>
      <c r="D474" s="11">
        <v>44972</v>
      </c>
      <c r="E474" s="10">
        <v>737.201</v>
      </c>
    </row>
    <row r="475" ht="16.5" spans="1:5">
      <c r="A475" s="8">
        <v>3044878.823</v>
      </c>
      <c r="B475" s="8">
        <v>35401272.521</v>
      </c>
      <c r="C475" s="8">
        <v>905.391</v>
      </c>
      <c r="D475" s="11">
        <v>44973</v>
      </c>
      <c r="E475" s="10">
        <v>737.201</v>
      </c>
    </row>
    <row r="476" ht="16.5" spans="1:5">
      <c r="A476" s="8">
        <v>3044878.823</v>
      </c>
      <c r="B476" s="8">
        <v>35401272.521</v>
      </c>
      <c r="C476" s="8">
        <v>905.391</v>
      </c>
      <c r="D476" s="11">
        <v>44974</v>
      </c>
      <c r="E476" s="10">
        <v>737.191</v>
      </c>
    </row>
    <row r="477" ht="16.5" spans="1:5">
      <c r="A477" s="8">
        <v>3044878.823</v>
      </c>
      <c r="B477" s="8">
        <v>35401272.521</v>
      </c>
      <c r="C477" s="8">
        <v>905.391</v>
      </c>
      <c r="D477" s="11">
        <v>44975</v>
      </c>
      <c r="E477" s="10">
        <v>737.191</v>
      </c>
    </row>
    <row r="478" ht="16.5" spans="1:5">
      <c r="A478" s="8">
        <v>3044878.823</v>
      </c>
      <c r="B478" s="8">
        <v>35401272.521</v>
      </c>
      <c r="C478" s="8">
        <v>905.391</v>
      </c>
      <c r="D478" s="11">
        <v>44976</v>
      </c>
      <c r="E478" s="10">
        <v>736.791</v>
      </c>
    </row>
    <row r="479" ht="16.5" spans="1:5">
      <c r="A479" s="8">
        <v>3044878.823</v>
      </c>
      <c r="B479" s="8">
        <v>35401272.521</v>
      </c>
      <c r="C479" s="8">
        <v>905.391</v>
      </c>
      <c r="D479" s="11">
        <v>44977</v>
      </c>
      <c r="E479" s="10">
        <v>736.191</v>
      </c>
    </row>
    <row r="480" ht="16.5" spans="1:5">
      <c r="A480" s="8">
        <v>3044878.823</v>
      </c>
      <c r="B480" s="8">
        <v>35401272.521</v>
      </c>
      <c r="C480" s="8">
        <v>905.391</v>
      </c>
      <c r="D480" s="11">
        <v>44978</v>
      </c>
      <c r="E480" s="10">
        <v>736.291</v>
      </c>
    </row>
    <row r="481" ht="16.5" spans="1:5">
      <c r="A481" s="8">
        <v>3044878.823</v>
      </c>
      <c r="B481" s="8">
        <v>35401272.521</v>
      </c>
      <c r="C481" s="8">
        <v>905.391</v>
      </c>
      <c r="D481" s="11">
        <v>44979</v>
      </c>
      <c r="E481" s="10">
        <v>735.991</v>
      </c>
    </row>
    <row r="482" ht="16.5" spans="1:5">
      <c r="A482" s="8">
        <v>3044878.823</v>
      </c>
      <c r="B482" s="8">
        <v>35401272.521</v>
      </c>
      <c r="C482" s="8">
        <v>905.391</v>
      </c>
      <c r="D482" s="11">
        <v>44980</v>
      </c>
      <c r="E482" s="10">
        <v>736.011</v>
      </c>
    </row>
    <row r="483" ht="16.5" spans="1:5">
      <c r="A483" s="8">
        <v>3044878.823</v>
      </c>
      <c r="B483" s="8">
        <v>35401272.521</v>
      </c>
      <c r="C483" s="8">
        <v>905.391</v>
      </c>
      <c r="D483" s="11">
        <v>44981</v>
      </c>
      <c r="E483" s="10">
        <v>735.801</v>
      </c>
    </row>
    <row r="484" ht="16.5" spans="1:5">
      <c r="A484" s="8">
        <v>3044878.823</v>
      </c>
      <c r="B484" s="8">
        <v>35401272.521</v>
      </c>
      <c r="C484" s="8">
        <v>905.391</v>
      </c>
      <c r="D484" s="11">
        <v>44982</v>
      </c>
      <c r="E484" s="10">
        <v>735.691</v>
      </c>
    </row>
    <row r="485" ht="16.5" spans="1:5">
      <c r="A485" s="8">
        <v>3044878.823</v>
      </c>
      <c r="B485" s="8">
        <v>35401272.521</v>
      </c>
      <c r="C485" s="8">
        <v>905.391</v>
      </c>
      <c r="D485" s="11">
        <v>44983</v>
      </c>
      <c r="E485" s="10">
        <v>735.621</v>
      </c>
    </row>
    <row r="486" ht="16.5" spans="1:5">
      <c r="A486" s="8">
        <v>3044878.823</v>
      </c>
      <c r="B486" s="8">
        <v>35401272.521</v>
      </c>
      <c r="C486" s="8">
        <v>905.391</v>
      </c>
      <c r="D486" s="11">
        <v>44984</v>
      </c>
      <c r="E486" s="10">
        <v>735.541</v>
      </c>
    </row>
    <row r="487" ht="16.5" spans="1:5">
      <c r="A487" s="8">
        <v>3044878.823</v>
      </c>
      <c r="B487" s="8">
        <v>35401272.521</v>
      </c>
      <c r="C487" s="8">
        <v>905.391</v>
      </c>
      <c r="D487" s="11">
        <v>44985</v>
      </c>
      <c r="E487" s="10">
        <v>735.441</v>
      </c>
    </row>
    <row r="488" ht="16.5" spans="1:5">
      <c r="A488" s="8">
        <v>3044878.823</v>
      </c>
      <c r="B488" s="8">
        <v>35401272.521</v>
      </c>
      <c r="C488" s="8">
        <v>905.391</v>
      </c>
      <c r="D488" s="11">
        <v>44986</v>
      </c>
      <c r="E488" s="10">
        <v>735.401</v>
      </c>
    </row>
    <row r="489" ht="16.5" spans="1:5">
      <c r="A489" s="8">
        <v>3044878.823</v>
      </c>
      <c r="B489" s="8">
        <v>35401272.521</v>
      </c>
      <c r="C489" s="8">
        <v>905.391</v>
      </c>
      <c r="D489" s="11">
        <v>44987</v>
      </c>
      <c r="E489" s="10">
        <v>735.301</v>
      </c>
    </row>
    <row r="490" ht="16.5" spans="1:5">
      <c r="A490" s="8">
        <v>3044878.823</v>
      </c>
      <c r="B490" s="8">
        <v>35401272.521</v>
      </c>
      <c r="C490" s="8">
        <v>905.391</v>
      </c>
      <c r="D490" s="11">
        <v>44988</v>
      </c>
      <c r="E490" s="10">
        <v>735.301</v>
      </c>
    </row>
    <row r="491" ht="16.5" spans="1:5">
      <c r="A491" s="8">
        <v>3044878.823</v>
      </c>
      <c r="B491" s="8">
        <v>35401272.521</v>
      </c>
      <c r="C491" s="8">
        <v>905.391</v>
      </c>
      <c r="D491" s="11">
        <v>44989</v>
      </c>
      <c r="E491" s="10">
        <v>735.271</v>
      </c>
    </row>
    <row r="492" ht="16.5" spans="1:5">
      <c r="A492" s="8">
        <v>3044878.823</v>
      </c>
      <c r="B492" s="8">
        <v>35401272.521</v>
      </c>
      <c r="C492" s="8">
        <v>905.391</v>
      </c>
      <c r="D492" s="11">
        <v>44990</v>
      </c>
      <c r="E492" s="10">
        <v>735.301</v>
      </c>
    </row>
    <row r="493" ht="16.5" spans="1:5">
      <c r="A493" s="8">
        <v>3044878.823</v>
      </c>
      <c r="B493" s="8">
        <v>35401272.521</v>
      </c>
      <c r="C493" s="8">
        <v>905.391</v>
      </c>
      <c r="D493" s="11">
        <v>44991</v>
      </c>
      <c r="E493" s="10">
        <v>735.431</v>
      </c>
    </row>
    <row r="494" ht="16.5" spans="1:5">
      <c r="A494" s="8">
        <v>3044878.823</v>
      </c>
      <c r="B494" s="8">
        <v>35401272.521</v>
      </c>
      <c r="C494" s="8">
        <v>905.391</v>
      </c>
      <c r="D494" s="11">
        <v>44992</v>
      </c>
      <c r="E494" s="10">
        <v>735.531</v>
      </c>
    </row>
    <row r="495" ht="16.5" spans="1:5">
      <c r="A495" s="8">
        <v>3044878.823</v>
      </c>
      <c r="B495" s="8">
        <v>35401272.521</v>
      </c>
      <c r="C495" s="8">
        <v>905.391</v>
      </c>
      <c r="D495" s="11">
        <v>44993</v>
      </c>
      <c r="E495" s="10">
        <v>735.491</v>
      </c>
    </row>
    <row r="496" ht="16.5" spans="1:5">
      <c r="A496" s="8">
        <v>3044878.823</v>
      </c>
      <c r="B496" s="8">
        <v>35401272.521</v>
      </c>
      <c r="C496" s="8">
        <v>905.391</v>
      </c>
      <c r="D496" s="11">
        <v>44994</v>
      </c>
      <c r="E496" s="10">
        <v>735.73</v>
      </c>
    </row>
    <row r="497" ht="16.5" spans="1:5">
      <c r="A497" s="8">
        <v>3044878.823</v>
      </c>
      <c r="B497" s="8">
        <v>35401272.521</v>
      </c>
      <c r="C497" s="8">
        <v>905.391</v>
      </c>
      <c r="D497" s="11">
        <v>44995</v>
      </c>
      <c r="E497" s="10">
        <v>735.33</v>
      </c>
    </row>
    <row r="498" ht="16.5" spans="1:5">
      <c r="A498" s="8">
        <v>3044878.823</v>
      </c>
      <c r="B498" s="8">
        <v>35401272.521</v>
      </c>
      <c r="C498" s="8">
        <v>905.391</v>
      </c>
      <c r="D498" s="11">
        <v>44996</v>
      </c>
      <c r="E498" s="10">
        <v>735</v>
      </c>
    </row>
    <row r="499" ht="16.5" spans="1:5">
      <c r="A499" s="8">
        <v>3044878.823</v>
      </c>
      <c r="B499" s="8">
        <v>35401272.521</v>
      </c>
      <c r="C499" s="8">
        <v>905.391</v>
      </c>
      <c r="D499" s="11">
        <v>44997</v>
      </c>
      <c r="E499" s="10">
        <v>734.07</v>
      </c>
    </row>
    <row r="500" ht="16.5" spans="1:5">
      <c r="A500" s="8">
        <v>3044878.823</v>
      </c>
      <c r="B500" s="8">
        <v>35401272.521</v>
      </c>
      <c r="C500" s="8">
        <v>905.391</v>
      </c>
      <c r="D500" s="11">
        <v>44998</v>
      </c>
      <c r="E500" s="10">
        <v>733.52</v>
      </c>
    </row>
    <row r="501" ht="16.5" spans="1:5">
      <c r="A501" s="8">
        <v>3044878.823</v>
      </c>
      <c r="B501" s="8">
        <v>35401272.521</v>
      </c>
      <c r="C501" s="8">
        <v>905.391</v>
      </c>
      <c r="D501" s="11">
        <v>44999</v>
      </c>
      <c r="E501" s="10">
        <v>734.12</v>
      </c>
    </row>
    <row r="502" ht="16.5" spans="1:5">
      <c r="A502" s="8">
        <v>3044878.823</v>
      </c>
      <c r="B502" s="8">
        <v>35401272.521</v>
      </c>
      <c r="C502" s="8">
        <v>905.391</v>
      </c>
      <c r="D502" s="11">
        <v>45000</v>
      </c>
      <c r="E502" s="10">
        <v>733.94</v>
      </c>
    </row>
    <row r="503" ht="16.5" spans="1:5">
      <c r="A503" s="8">
        <v>3044878.823</v>
      </c>
      <c r="B503" s="8">
        <v>35401272.521</v>
      </c>
      <c r="C503" s="8">
        <v>905.391</v>
      </c>
      <c r="D503" s="11">
        <v>45001</v>
      </c>
      <c r="E503" s="10">
        <v>733.73</v>
      </c>
    </row>
    <row r="504" ht="16.5" spans="1:5">
      <c r="A504" s="8">
        <v>3044878.823</v>
      </c>
      <c r="B504" s="8">
        <v>35401272.521</v>
      </c>
      <c r="C504" s="8">
        <v>905.391</v>
      </c>
      <c r="D504" s="11">
        <v>45002</v>
      </c>
      <c r="E504" s="16"/>
    </row>
    <row r="505" ht="16.5" spans="1:5">
      <c r="A505" s="8">
        <v>3044878.823</v>
      </c>
      <c r="B505" s="8">
        <v>35401272.521</v>
      </c>
      <c r="C505" s="8">
        <v>905.391</v>
      </c>
      <c r="D505" s="11">
        <v>45003</v>
      </c>
      <c r="E505" s="10"/>
    </row>
    <row r="506" ht="16.5" spans="1:5">
      <c r="A506" s="8">
        <v>3044878.823</v>
      </c>
      <c r="B506" s="8">
        <v>35401272.521</v>
      </c>
      <c r="C506" s="8">
        <v>905.391</v>
      </c>
      <c r="D506" s="11">
        <v>45004</v>
      </c>
      <c r="E506" s="10">
        <v>733.43</v>
      </c>
    </row>
    <row r="507" ht="16.5" spans="1:5">
      <c r="A507" s="8">
        <v>3044878.823</v>
      </c>
      <c r="B507" s="8">
        <v>35401272.521</v>
      </c>
      <c r="C507" s="8">
        <v>905.391</v>
      </c>
      <c r="D507" s="11">
        <v>45005</v>
      </c>
      <c r="E507" s="10">
        <v>733.47</v>
      </c>
    </row>
    <row r="508" ht="16.5" spans="1:5">
      <c r="A508" s="8">
        <v>3044878.823</v>
      </c>
      <c r="B508" s="8">
        <v>35401272.521</v>
      </c>
      <c r="C508" s="8">
        <v>905.391</v>
      </c>
      <c r="D508" s="11">
        <v>45006</v>
      </c>
      <c r="E508" s="10">
        <v>733.45</v>
      </c>
    </row>
    <row r="509" ht="16.5" spans="1:5">
      <c r="A509" s="8">
        <v>3044878.823</v>
      </c>
      <c r="B509" s="8">
        <v>35401272.521</v>
      </c>
      <c r="C509" s="8">
        <v>905.391</v>
      </c>
      <c r="D509" s="11">
        <v>45007</v>
      </c>
      <c r="E509" s="10">
        <v>733.61</v>
      </c>
    </row>
    <row r="510" ht="16.5" spans="1:5">
      <c r="A510" s="8">
        <v>3044878.823</v>
      </c>
      <c r="B510" s="8">
        <v>35401272.521</v>
      </c>
      <c r="C510" s="8">
        <v>905.391</v>
      </c>
      <c r="D510" s="11">
        <v>45008</v>
      </c>
      <c r="E510" s="10">
        <v>733.79</v>
      </c>
    </row>
    <row r="511" ht="16.5" spans="1:5">
      <c r="A511" s="8">
        <v>3044878.823</v>
      </c>
      <c r="B511" s="8">
        <v>35401272.521</v>
      </c>
      <c r="C511" s="8">
        <v>905.391</v>
      </c>
      <c r="D511" s="11">
        <v>45009</v>
      </c>
      <c r="E511" s="10">
        <v>733.84</v>
      </c>
    </row>
    <row r="512" ht="16.5" spans="1:5">
      <c r="A512" s="8">
        <v>3044878.823</v>
      </c>
      <c r="B512" s="8">
        <v>35401272.521</v>
      </c>
      <c r="C512" s="8">
        <v>905.391</v>
      </c>
      <c r="D512" s="11">
        <v>45010</v>
      </c>
      <c r="E512" s="10">
        <v>733.91</v>
      </c>
    </row>
    <row r="513" ht="16.5" spans="1:5">
      <c r="A513" s="8">
        <v>3044878.823</v>
      </c>
      <c r="B513" s="8">
        <v>35401272.521</v>
      </c>
      <c r="C513" s="8">
        <v>905.391</v>
      </c>
      <c r="D513" s="11">
        <v>45011</v>
      </c>
      <c r="E513" s="10">
        <v>733.66</v>
      </c>
    </row>
    <row r="514" ht="16.5" spans="1:5">
      <c r="A514" s="8">
        <v>3044878.823</v>
      </c>
      <c r="B514" s="8">
        <v>35401272.521</v>
      </c>
      <c r="C514" s="8">
        <v>905.391</v>
      </c>
      <c r="D514" s="11">
        <v>45012</v>
      </c>
      <c r="E514" s="10">
        <v>734.02</v>
      </c>
    </row>
    <row r="515" ht="16.5" spans="1:5">
      <c r="A515" s="8">
        <v>3044878.823</v>
      </c>
      <c r="B515" s="8">
        <v>35401272.521</v>
      </c>
      <c r="C515" s="8">
        <v>905.391</v>
      </c>
      <c r="D515" s="11">
        <v>45013</v>
      </c>
      <c r="E515" s="12"/>
    </row>
    <row r="516" ht="16.5" spans="1:5">
      <c r="A516" s="8">
        <v>3044878.823</v>
      </c>
      <c r="B516" s="8">
        <v>35401272.521</v>
      </c>
      <c r="C516" s="8">
        <v>905.391</v>
      </c>
      <c r="D516" s="11">
        <v>45014</v>
      </c>
      <c r="E516" s="12"/>
    </row>
    <row r="517" ht="16.5" spans="1:5">
      <c r="A517" s="8">
        <v>3044878.823</v>
      </c>
      <c r="B517" s="8">
        <v>35401272.521</v>
      </c>
      <c r="C517" s="8">
        <v>905.391</v>
      </c>
      <c r="D517" s="11">
        <v>45015</v>
      </c>
      <c r="E517" s="17">
        <v>734.14</v>
      </c>
    </row>
    <row r="518" ht="16.5" spans="1:5">
      <c r="A518" s="8">
        <v>3044878.823</v>
      </c>
      <c r="B518" s="8">
        <v>35401272.521</v>
      </c>
      <c r="C518" s="8">
        <v>905.391</v>
      </c>
      <c r="D518" s="11">
        <v>45016</v>
      </c>
      <c r="E518" s="12"/>
    </row>
    <row r="519" ht="16.5" spans="1:5">
      <c r="A519" s="8">
        <v>3044878.823</v>
      </c>
      <c r="B519" s="8">
        <v>35401272.521</v>
      </c>
      <c r="C519" s="8">
        <v>905.391</v>
      </c>
      <c r="D519" s="11">
        <v>45017</v>
      </c>
      <c r="E519" s="10">
        <v>733.18</v>
      </c>
    </row>
    <row r="520" ht="16.5" spans="1:5">
      <c r="A520" s="8">
        <v>3044878.823</v>
      </c>
      <c r="B520" s="8">
        <v>35401272.521</v>
      </c>
      <c r="C520" s="8">
        <v>905.391</v>
      </c>
      <c r="D520" s="11">
        <v>45018</v>
      </c>
      <c r="E520" s="10">
        <v>734.06</v>
      </c>
    </row>
    <row r="521" ht="16.5" spans="1:5">
      <c r="A521" s="8">
        <v>3044878.823</v>
      </c>
      <c r="B521" s="8">
        <v>35401272.521</v>
      </c>
      <c r="C521" s="8">
        <v>905.391</v>
      </c>
      <c r="D521" s="11">
        <v>45019</v>
      </c>
      <c r="E521" s="10">
        <v>733.15</v>
      </c>
    </row>
    <row r="522" ht="16.5" spans="1:5">
      <c r="A522" s="8">
        <v>3044878.823</v>
      </c>
      <c r="B522" s="8">
        <v>35401272.521</v>
      </c>
      <c r="C522" s="8">
        <v>905.391</v>
      </c>
      <c r="D522" s="11">
        <v>45020</v>
      </c>
      <c r="E522" s="10">
        <v>732.95</v>
      </c>
    </row>
    <row r="523" ht="16.5" spans="1:5">
      <c r="A523" s="8">
        <v>3044878.823</v>
      </c>
      <c r="B523" s="8">
        <v>35401272.521</v>
      </c>
      <c r="C523" s="8">
        <v>905.391</v>
      </c>
      <c r="D523" s="11">
        <v>45021</v>
      </c>
      <c r="E523" s="10">
        <v>732.83</v>
      </c>
    </row>
    <row r="524" ht="16.5" spans="1:5">
      <c r="A524" s="8">
        <v>3044878.823</v>
      </c>
      <c r="B524" s="8">
        <v>35401272.521</v>
      </c>
      <c r="C524" s="8">
        <v>905.391</v>
      </c>
      <c r="D524" s="11">
        <v>45022</v>
      </c>
      <c r="E524" s="10">
        <v>732.17</v>
      </c>
    </row>
    <row r="525" ht="16.5" spans="1:5">
      <c r="A525" s="8">
        <v>3044878.823</v>
      </c>
      <c r="B525" s="8">
        <v>35401272.521</v>
      </c>
      <c r="C525" s="8">
        <v>905.391</v>
      </c>
      <c r="D525" s="11">
        <v>45023</v>
      </c>
      <c r="E525" s="10">
        <v>732.47</v>
      </c>
    </row>
    <row r="526" ht="16.5" spans="1:5">
      <c r="A526" s="8">
        <v>3044878.823</v>
      </c>
      <c r="B526" s="8">
        <v>35401272.521</v>
      </c>
      <c r="C526" s="8">
        <v>905.391</v>
      </c>
      <c r="D526" s="11">
        <v>45024</v>
      </c>
      <c r="E526" s="10">
        <v>732.48</v>
      </c>
    </row>
    <row r="527" ht="16.5" spans="1:5">
      <c r="A527" s="8">
        <v>3044878.823</v>
      </c>
      <c r="B527" s="8">
        <v>35401272.521</v>
      </c>
      <c r="C527" s="8">
        <v>905.391</v>
      </c>
      <c r="D527" s="11">
        <v>45025</v>
      </c>
      <c r="E527" s="10">
        <v>731.92</v>
      </c>
    </row>
    <row r="528" ht="16.5" spans="1:5">
      <c r="A528" s="8">
        <v>3044878.823</v>
      </c>
      <c r="B528" s="8">
        <v>35401272.521</v>
      </c>
      <c r="C528" s="8">
        <v>905.391</v>
      </c>
      <c r="D528" s="11">
        <v>45026</v>
      </c>
      <c r="E528" s="10">
        <v>732.85</v>
      </c>
    </row>
    <row r="529" ht="16.5" spans="1:5">
      <c r="A529" s="8">
        <v>3044878.823</v>
      </c>
      <c r="B529" s="8">
        <v>35401272.521</v>
      </c>
      <c r="C529" s="8">
        <v>905.391</v>
      </c>
      <c r="D529" s="11">
        <v>45027</v>
      </c>
      <c r="E529" s="10"/>
    </row>
    <row r="530" ht="16.5" spans="1:5">
      <c r="A530" s="8">
        <v>3044878.823</v>
      </c>
      <c r="B530" s="8">
        <v>35401272.521</v>
      </c>
      <c r="C530" s="8">
        <v>905.391</v>
      </c>
      <c r="D530" s="11">
        <v>45028</v>
      </c>
      <c r="E530" s="10"/>
    </row>
    <row r="531" ht="16.5" spans="1:5">
      <c r="A531" s="8">
        <v>3044878.823</v>
      </c>
      <c r="B531" s="8">
        <v>35401272.521</v>
      </c>
      <c r="C531" s="8">
        <v>905.391</v>
      </c>
      <c r="D531" s="11">
        <v>45029</v>
      </c>
      <c r="E531" s="10"/>
    </row>
    <row r="532" ht="16.5" spans="1:5">
      <c r="A532" s="8">
        <v>3044878.823</v>
      </c>
      <c r="B532" s="8">
        <v>35401272.521</v>
      </c>
      <c r="C532" s="8">
        <v>905.391</v>
      </c>
      <c r="D532" s="11">
        <v>45030</v>
      </c>
      <c r="E532" s="10">
        <v>733.46</v>
      </c>
    </row>
    <row r="533" ht="16.5" spans="1:5">
      <c r="A533" s="8">
        <v>3044878.823</v>
      </c>
      <c r="B533" s="8">
        <v>35401272.521</v>
      </c>
      <c r="C533" s="8">
        <v>905.391</v>
      </c>
      <c r="D533" s="11">
        <v>45031</v>
      </c>
      <c r="E533" s="10">
        <v>733.42</v>
      </c>
    </row>
    <row r="534" ht="16.5" spans="1:5">
      <c r="A534" s="8">
        <v>3044878.823</v>
      </c>
      <c r="B534" s="8">
        <v>35401272.521</v>
      </c>
      <c r="C534" s="8">
        <v>905.391</v>
      </c>
      <c r="D534" s="11">
        <v>45032</v>
      </c>
      <c r="E534" s="10">
        <v>733.51</v>
      </c>
    </row>
    <row r="535" ht="16.5" spans="1:5">
      <c r="A535" s="8">
        <v>3044878.823</v>
      </c>
      <c r="B535" s="8">
        <v>35401272.521</v>
      </c>
      <c r="C535" s="8">
        <v>905.391</v>
      </c>
      <c r="D535" s="11">
        <v>45033</v>
      </c>
      <c r="E535" s="10">
        <v>733.47</v>
      </c>
    </row>
    <row r="536" ht="16.5" spans="1:5">
      <c r="A536" s="8">
        <v>3044878.823</v>
      </c>
      <c r="B536" s="8">
        <v>35401272.521</v>
      </c>
      <c r="C536" s="8">
        <v>905.391</v>
      </c>
      <c r="D536" s="11">
        <v>45034</v>
      </c>
      <c r="E536" s="10">
        <v>733.36</v>
      </c>
    </row>
    <row r="537" ht="16.5" spans="1:5">
      <c r="A537" s="8">
        <v>3044878.823</v>
      </c>
      <c r="B537" s="8">
        <v>35401272.521</v>
      </c>
      <c r="C537" s="8">
        <v>905.391</v>
      </c>
      <c r="D537" s="11">
        <v>45035</v>
      </c>
      <c r="E537" s="10">
        <v>733.47</v>
      </c>
    </row>
    <row r="538" ht="16.5" spans="1:5">
      <c r="A538" s="8">
        <v>3044878.823</v>
      </c>
      <c r="B538" s="8">
        <v>35401272.521</v>
      </c>
      <c r="C538" s="8">
        <v>905.391</v>
      </c>
      <c r="D538" s="11">
        <v>45036</v>
      </c>
      <c r="E538" s="10"/>
    </row>
    <row r="539" ht="16.5" spans="1:5">
      <c r="A539" s="8">
        <v>3044878.823</v>
      </c>
      <c r="B539" s="8">
        <v>35401272.521</v>
      </c>
      <c r="C539" s="8">
        <v>905.391</v>
      </c>
      <c r="D539" s="11">
        <v>45037</v>
      </c>
      <c r="E539" s="12"/>
    </row>
    <row r="540" ht="16.5" spans="1:5">
      <c r="A540" s="8">
        <v>3044878.823</v>
      </c>
      <c r="B540" s="8">
        <v>35401272.521</v>
      </c>
      <c r="C540" s="8">
        <v>905.391</v>
      </c>
      <c r="D540" s="11">
        <v>45038</v>
      </c>
      <c r="E540" s="12"/>
    </row>
    <row r="541" ht="16.5" spans="1:5">
      <c r="A541" s="8">
        <v>3044878.823</v>
      </c>
      <c r="B541" s="8">
        <v>35401272.521</v>
      </c>
      <c r="C541" s="8">
        <v>905.391</v>
      </c>
      <c r="D541" s="11">
        <v>45039</v>
      </c>
      <c r="E541" s="12"/>
    </row>
    <row r="542" ht="16.5" spans="1:5">
      <c r="A542" s="8">
        <v>3044878.823</v>
      </c>
      <c r="B542" s="8">
        <v>35401272.521</v>
      </c>
      <c r="C542" s="8">
        <v>905.391</v>
      </c>
      <c r="D542" s="11">
        <v>45040</v>
      </c>
      <c r="E542" s="12"/>
    </row>
    <row r="543" ht="16.5" spans="1:5">
      <c r="A543" s="8">
        <v>3044878.823</v>
      </c>
      <c r="B543" s="8">
        <v>35401272.521</v>
      </c>
      <c r="C543" s="8">
        <v>905.391</v>
      </c>
      <c r="D543" s="11">
        <v>45041</v>
      </c>
      <c r="E543" s="12"/>
    </row>
    <row r="544" ht="16.5" spans="1:5">
      <c r="A544" s="8">
        <v>3044878.823</v>
      </c>
      <c r="B544" s="8">
        <v>35401272.521</v>
      </c>
      <c r="C544" s="8">
        <v>905.391</v>
      </c>
      <c r="D544" s="11">
        <v>45042</v>
      </c>
      <c r="E544" s="12"/>
    </row>
    <row r="545" ht="16.5" spans="1:5">
      <c r="A545" s="8">
        <v>3044878.823</v>
      </c>
      <c r="B545" s="8">
        <v>35401272.521</v>
      </c>
      <c r="C545" s="8">
        <v>905.391</v>
      </c>
      <c r="D545" s="11">
        <v>45043</v>
      </c>
      <c r="E545" s="10"/>
    </row>
    <row r="546" ht="16.5" spans="1:5">
      <c r="A546" s="8">
        <v>3044878.823</v>
      </c>
      <c r="B546" s="8">
        <v>35401272.521</v>
      </c>
      <c r="C546" s="8">
        <v>905.391</v>
      </c>
      <c r="D546" s="11">
        <v>45044</v>
      </c>
      <c r="E546" s="12"/>
    </row>
    <row r="547" ht="16.5" spans="1:5">
      <c r="A547" s="8">
        <v>3044878.823</v>
      </c>
      <c r="B547" s="8">
        <v>35401272.521</v>
      </c>
      <c r="C547" s="8">
        <v>905.391</v>
      </c>
      <c r="D547" s="11">
        <v>45045</v>
      </c>
      <c r="E547" s="12"/>
    </row>
    <row r="548" ht="16.5" spans="1:5">
      <c r="A548" s="8">
        <v>3044878.823</v>
      </c>
      <c r="B548" s="8">
        <v>35401272.521</v>
      </c>
      <c r="C548" s="8">
        <v>905.391</v>
      </c>
      <c r="D548" s="11">
        <v>45046</v>
      </c>
      <c r="E548" s="12"/>
    </row>
    <row r="549" ht="16.5" spans="1:5">
      <c r="A549" s="8">
        <v>3044878.823</v>
      </c>
      <c r="B549" s="8">
        <v>35401272.521</v>
      </c>
      <c r="C549" s="8">
        <v>905.391</v>
      </c>
      <c r="D549" s="11">
        <v>45047</v>
      </c>
      <c r="E549" s="12"/>
    </row>
    <row r="550" ht="16.5" spans="1:5">
      <c r="A550" s="8">
        <v>3044878.823</v>
      </c>
      <c r="B550" s="8">
        <v>35401272.521</v>
      </c>
      <c r="C550" s="8">
        <v>905.391</v>
      </c>
      <c r="D550" s="11">
        <v>45048</v>
      </c>
      <c r="E550" s="12"/>
    </row>
    <row r="551" ht="16.5" spans="1:5">
      <c r="A551" s="8">
        <v>3044878.823</v>
      </c>
      <c r="B551" s="8">
        <v>35401272.521</v>
      </c>
      <c r="C551" s="8">
        <v>905.391</v>
      </c>
      <c r="D551" s="11">
        <v>45049</v>
      </c>
      <c r="E551" s="12"/>
    </row>
    <row r="552" ht="16.5" spans="1:5">
      <c r="A552" s="8">
        <v>3044878.823</v>
      </c>
      <c r="B552" s="8">
        <v>35401272.521</v>
      </c>
      <c r="C552" s="8">
        <v>905.391</v>
      </c>
      <c r="D552" s="11">
        <v>45050</v>
      </c>
      <c r="E552" s="12"/>
    </row>
    <row r="553" ht="16.5" spans="1:5">
      <c r="A553" s="8">
        <v>3044878.823</v>
      </c>
      <c r="B553" s="8">
        <v>35401272.521</v>
      </c>
      <c r="C553" s="8">
        <v>905.391</v>
      </c>
      <c r="D553" s="11">
        <v>45051</v>
      </c>
      <c r="E553" s="12"/>
    </row>
    <row r="554" ht="16.5" spans="1:5">
      <c r="A554" s="8">
        <v>3044878.823</v>
      </c>
      <c r="B554" s="8">
        <v>35401272.521</v>
      </c>
      <c r="C554" s="8">
        <v>905.391</v>
      </c>
      <c r="D554" s="11">
        <v>45052</v>
      </c>
      <c r="E554" s="12"/>
    </row>
    <row r="555" ht="16.5" spans="1:5">
      <c r="A555" s="8">
        <v>3044878.823</v>
      </c>
      <c r="B555" s="8">
        <v>35401272.521</v>
      </c>
      <c r="C555" s="8">
        <v>905.391</v>
      </c>
      <c r="D555" s="11">
        <v>45053</v>
      </c>
      <c r="E555" s="12"/>
    </row>
    <row r="556" ht="16.5" spans="1:5">
      <c r="A556" s="8">
        <v>3044878.823</v>
      </c>
      <c r="B556" s="8">
        <v>35401272.521</v>
      </c>
      <c r="C556" s="8">
        <v>905.391</v>
      </c>
      <c r="D556" s="11">
        <v>45054</v>
      </c>
      <c r="E556" s="12"/>
    </row>
    <row r="557" ht="16.5" spans="1:5">
      <c r="A557" s="8">
        <v>3044878.823</v>
      </c>
      <c r="B557" s="8">
        <v>35401272.521</v>
      </c>
      <c r="C557" s="8">
        <v>905.391</v>
      </c>
      <c r="D557" s="11">
        <v>45055</v>
      </c>
      <c r="E557" s="12"/>
    </row>
    <row r="558" ht="16.5" spans="1:5">
      <c r="A558" s="8">
        <v>3044878.823</v>
      </c>
      <c r="B558" s="8">
        <v>35401272.521</v>
      </c>
      <c r="C558" s="8">
        <v>905.391</v>
      </c>
      <c r="D558" s="11">
        <v>45056</v>
      </c>
      <c r="E558" s="12"/>
    </row>
    <row r="559" ht="16.5" spans="1:5">
      <c r="A559" s="8">
        <v>3044878.823</v>
      </c>
      <c r="B559" s="8">
        <v>35401272.521</v>
      </c>
      <c r="C559" s="8">
        <v>905.391</v>
      </c>
      <c r="D559" s="11">
        <v>45057</v>
      </c>
      <c r="E559" s="12"/>
    </row>
    <row r="560" ht="16.5" spans="1:5">
      <c r="A560" s="8">
        <v>3044878.823</v>
      </c>
      <c r="B560" s="8">
        <v>35401272.521</v>
      </c>
      <c r="C560" s="8">
        <v>905.391</v>
      </c>
      <c r="D560" s="11">
        <v>45058</v>
      </c>
      <c r="E560" s="12"/>
    </row>
    <row r="561" ht="16.5" spans="1:5">
      <c r="A561" s="8">
        <v>3044878.823</v>
      </c>
      <c r="B561" s="8">
        <v>35401272.521</v>
      </c>
      <c r="C561" s="8">
        <v>905.391</v>
      </c>
      <c r="D561" s="11">
        <v>45059</v>
      </c>
      <c r="E561" s="12"/>
    </row>
    <row r="562" ht="16.5" spans="1:5">
      <c r="A562" s="8">
        <v>3044878.823</v>
      </c>
      <c r="B562" s="8">
        <v>35401272.521</v>
      </c>
      <c r="C562" s="8">
        <v>905.391</v>
      </c>
      <c r="D562" s="11">
        <v>45060</v>
      </c>
      <c r="E562" s="12"/>
    </row>
    <row r="563" ht="16.5" spans="1:5">
      <c r="A563" s="8">
        <v>3044878.823</v>
      </c>
      <c r="B563" s="8">
        <v>35401272.521</v>
      </c>
      <c r="C563" s="8">
        <v>905.391</v>
      </c>
      <c r="D563" s="11">
        <v>45061</v>
      </c>
      <c r="E563" s="12"/>
    </row>
    <row r="564" ht="16.5" spans="1:5">
      <c r="A564" s="8">
        <v>3044878.823</v>
      </c>
      <c r="B564" s="8">
        <v>35401272.521</v>
      </c>
      <c r="C564" s="8">
        <v>905.391</v>
      </c>
      <c r="D564" s="11">
        <v>45062</v>
      </c>
      <c r="E564" s="12"/>
    </row>
    <row r="565" ht="16.5" spans="1:5">
      <c r="A565" s="8">
        <v>3044878.823</v>
      </c>
      <c r="B565" s="8">
        <v>35401272.521</v>
      </c>
      <c r="C565" s="8">
        <v>905.391</v>
      </c>
      <c r="D565" s="11">
        <v>45063</v>
      </c>
      <c r="E565" s="12"/>
    </row>
    <row r="566" ht="16.5" spans="1:5">
      <c r="A566" s="8">
        <v>3044878.823</v>
      </c>
      <c r="B566" s="8">
        <v>35401272.521</v>
      </c>
      <c r="C566" s="8">
        <v>905.391</v>
      </c>
      <c r="D566" s="11">
        <v>45064</v>
      </c>
      <c r="E566" s="12"/>
    </row>
    <row r="567" ht="16.5" spans="1:5">
      <c r="A567" s="8">
        <v>3044878.823</v>
      </c>
      <c r="B567" s="8">
        <v>35401272.521</v>
      </c>
      <c r="C567" s="8">
        <v>905.391</v>
      </c>
      <c r="D567" s="11">
        <v>45065</v>
      </c>
      <c r="E567" s="12"/>
    </row>
    <row r="568" ht="16.5" spans="1:5">
      <c r="A568" s="8">
        <v>3044878.823</v>
      </c>
      <c r="B568" s="8">
        <v>35401272.521</v>
      </c>
      <c r="C568" s="8">
        <v>905.391</v>
      </c>
      <c r="D568" s="11">
        <v>45066</v>
      </c>
      <c r="E568" s="12"/>
    </row>
    <row r="569" ht="16.5" spans="1:5">
      <c r="A569" s="8">
        <v>3044878.823</v>
      </c>
      <c r="B569" s="8">
        <v>35401272.521</v>
      </c>
      <c r="C569" s="8">
        <v>905.391</v>
      </c>
      <c r="D569" s="11">
        <v>45067</v>
      </c>
      <c r="E569" s="12"/>
    </row>
    <row r="570" ht="16.5" spans="1:5">
      <c r="A570" s="8">
        <v>3044878.823</v>
      </c>
      <c r="B570" s="8">
        <v>35401272.521</v>
      </c>
      <c r="C570" s="8">
        <v>905.391</v>
      </c>
      <c r="D570" s="11">
        <v>45068</v>
      </c>
      <c r="E570" s="12"/>
    </row>
    <row r="571" ht="16.5" spans="1:5">
      <c r="A571" s="8">
        <v>3044878.823</v>
      </c>
      <c r="B571" s="8">
        <v>35401272.521</v>
      </c>
      <c r="C571" s="8">
        <v>905.391</v>
      </c>
      <c r="D571" s="11">
        <v>45069</v>
      </c>
      <c r="E571" s="12"/>
    </row>
    <row r="572" ht="16.5" spans="1:5">
      <c r="A572" s="8">
        <v>3044878.823</v>
      </c>
      <c r="B572" s="8">
        <v>35401272.521</v>
      </c>
      <c r="C572" s="8">
        <v>905.391</v>
      </c>
      <c r="D572" s="11">
        <v>45070</v>
      </c>
      <c r="E572" s="12"/>
    </row>
    <row r="573" ht="16.5" spans="1:5">
      <c r="A573" s="8">
        <v>3044878.823</v>
      </c>
      <c r="B573" s="8">
        <v>35401272.521</v>
      </c>
      <c r="C573" s="8">
        <v>905.391</v>
      </c>
      <c r="D573" s="11">
        <v>45071</v>
      </c>
      <c r="E573" s="12"/>
    </row>
    <row r="574" ht="16.5" spans="1:5">
      <c r="A574" s="8">
        <v>3044878.823</v>
      </c>
      <c r="B574" s="8">
        <v>35401272.521</v>
      </c>
      <c r="C574" s="8">
        <v>905.391</v>
      </c>
      <c r="D574" s="11">
        <v>45072</v>
      </c>
      <c r="E574" s="10"/>
    </row>
    <row r="575" ht="16.5" spans="1:5">
      <c r="A575" s="8">
        <v>3044878.823</v>
      </c>
      <c r="B575" s="8">
        <v>35401272.521</v>
      </c>
      <c r="C575" s="8">
        <v>905.391</v>
      </c>
      <c r="D575" s="11">
        <v>45073</v>
      </c>
      <c r="E575" s="10"/>
    </row>
    <row r="576" ht="16.5" spans="1:5">
      <c r="A576" s="8">
        <v>3044878.823</v>
      </c>
      <c r="B576" s="8">
        <v>35401272.521</v>
      </c>
      <c r="C576" s="8">
        <v>905.391</v>
      </c>
      <c r="D576" s="11">
        <v>45074</v>
      </c>
      <c r="E576" s="10"/>
    </row>
    <row r="577" ht="16.5" spans="1:5">
      <c r="A577" s="8">
        <v>3044878.823</v>
      </c>
      <c r="B577" s="8">
        <v>35401272.521</v>
      </c>
      <c r="C577" s="8">
        <v>905.391</v>
      </c>
      <c r="D577" s="11">
        <v>45075</v>
      </c>
      <c r="E577" s="10"/>
    </row>
    <row r="578" ht="16.5" spans="1:5">
      <c r="A578" s="8">
        <v>3044878.823</v>
      </c>
      <c r="B578" s="8">
        <v>35401272.521</v>
      </c>
      <c r="C578" s="8">
        <v>905.391</v>
      </c>
      <c r="D578" s="11">
        <v>45076</v>
      </c>
      <c r="E578" s="10"/>
    </row>
    <row r="579" ht="16.5" spans="1:5">
      <c r="A579" s="8">
        <v>3044878.823</v>
      </c>
      <c r="B579" s="8">
        <v>35401272.521</v>
      </c>
      <c r="C579" s="8">
        <v>905.391</v>
      </c>
      <c r="D579" s="11">
        <v>45077</v>
      </c>
      <c r="E579" s="10"/>
    </row>
    <row r="580" ht="16.5" spans="1:5">
      <c r="A580" s="8">
        <v>3044878.823</v>
      </c>
      <c r="B580" s="8">
        <v>35401272.521</v>
      </c>
      <c r="C580" s="8">
        <v>905.391</v>
      </c>
      <c r="D580" s="11">
        <v>45078</v>
      </c>
      <c r="E580" s="10">
        <v>730.14</v>
      </c>
    </row>
    <row r="581" ht="16.5" spans="1:5">
      <c r="A581" s="8">
        <v>3044878.823</v>
      </c>
      <c r="B581" s="8">
        <v>35401272.521</v>
      </c>
      <c r="C581" s="8">
        <v>905.391</v>
      </c>
      <c r="D581" s="11">
        <v>45079</v>
      </c>
      <c r="E581" s="10">
        <v>730.02</v>
      </c>
    </row>
    <row r="582" ht="16.5" spans="1:5">
      <c r="A582" s="8">
        <v>3044878.823</v>
      </c>
      <c r="B582" s="8">
        <v>35401272.521</v>
      </c>
      <c r="C582" s="8">
        <v>905.391</v>
      </c>
      <c r="D582" s="11">
        <v>45080</v>
      </c>
      <c r="E582" s="10">
        <v>730</v>
      </c>
    </row>
    <row r="583" ht="16.5" spans="1:5">
      <c r="A583" s="8">
        <v>3044878.823</v>
      </c>
      <c r="B583" s="8">
        <v>35401272.521</v>
      </c>
      <c r="C583" s="8">
        <v>905.391</v>
      </c>
      <c r="D583" s="11">
        <v>45081</v>
      </c>
      <c r="E583" s="10">
        <v>728.4</v>
      </c>
    </row>
    <row r="584" ht="16.5" spans="1:5">
      <c r="A584" s="8">
        <v>3044878.823</v>
      </c>
      <c r="B584" s="8">
        <v>35401272.521</v>
      </c>
      <c r="C584" s="8">
        <v>905.391</v>
      </c>
      <c r="D584" s="11">
        <v>45082</v>
      </c>
      <c r="E584" s="10">
        <v>727.52</v>
      </c>
    </row>
    <row r="585" ht="16.5" spans="1:5">
      <c r="A585" s="8">
        <v>3044878.823</v>
      </c>
      <c r="B585" s="8">
        <v>35401272.521</v>
      </c>
      <c r="C585" s="8">
        <v>905.391</v>
      </c>
      <c r="D585" s="11">
        <v>45083</v>
      </c>
      <c r="E585" s="10">
        <v>727.37</v>
      </c>
    </row>
    <row r="586" ht="16.5" spans="1:5">
      <c r="A586" s="8">
        <v>3044878.823</v>
      </c>
      <c r="B586" s="8">
        <v>35401272.521</v>
      </c>
      <c r="C586" s="8">
        <v>905.391</v>
      </c>
      <c r="D586" s="11">
        <v>45084</v>
      </c>
      <c r="E586" s="10">
        <v>727.38</v>
      </c>
    </row>
    <row r="587" ht="16.5" spans="1:5">
      <c r="A587" s="8">
        <v>3044878.823</v>
      </c>
      <c r="B587" s="8">
        <v>35401272.521</v>
      </c>
      <c r="C587" s="8">
        <v>905.391</v>
      </c>
      <c r="D587" s="11">
        <v>45085</v>
      </c>
      <c r="E587" s="10">
        <v>727.31</v>
      </c>
    </row>
    <row r="588" ht="16.5" spans="1:5">
      <c r="A588" s="8">
        <v>3044878.823</v>
      </c>
      <c r="B588" s="8">
        <v>35401272.521</v>
      </c>
      <c r="C588" s="8">
        <v>905.391</v>
      </c>
      <c r="D588" s="11">
        <v>45086</v>
      </c>
      <c r="E588" s="10">
        <v>727.09</v>
      </c>
    </row>
    <row r="589" ht="16.5" spans="1:5">
      <c r="A589" s="8">
        <v>3044878.823</v>
      </c>
      <c r="B589" s="8">
        <v>35401272.521</v>
      </c>
      <c r="C589" s="8">
        <v>905.391</v>
      </c>
      <c r="D589" s="11">
        <v>45087</v>
      </c>
      <c r="E589" s="10">
        <v>726.48</v>
      </c>
    </row>
    <row r="590" ht="16.5" spans="1:5">
      <c r="A590" s="8">
        <v>3044878.823</v>
      </c>
      <c r="B590" s="8">
        <v>35401272.521</v>
      </c>
      <c r="C590" s="8">
        <v>905.391</v>
      </c>
      <c r="D590" s="11">
        <v>45088</v>
      </c>
      <c r="E590" s="10">
        <v>724.79</v>
      </c>
    </row>
    <row r="591" ht="16.5" spans="1:5">
      <c r="A591" s="8">
        <v>3044878.823</v>
      </c>
      <c r="B591" s="8">
        <v>35401272.521</v>
      </c>
      <c r="C591" s="8">
        <v>905.391</v>
      </c>
      <c r="D591" s="11">
        <v>45089</v>
      </c>
      <c r="E591" s="10">
        <v>724.54</v>
      </c>
    </row>
    <row r="592" ht="16.5" spans="1:5">
      <c r="A592" s="8">
        <v>3044878.823</v>
      </c>
      <c r="B592" s="8">
        <v>35401272.521</v>
      </c>
      <c r="C592" s="8">
        <v>905.391</v>
      </c>
      <c r="D592" s="11">
        <v>45090</v>
      </c>
      <c r="E592" s="10">
        <v>724.19</v>
      </c>
    </row>
    <row r="593" ht="16.5" spans="1:5">
      <c r="A593" s="8">
        <v>3044878.823</v>
      </c>
      <c r="B593" s="8">
        <v>35401272.521</v>
      </c>
      <c r="C593" s="8">
        <v>905.391</v>
      </c>
      <c r="D593" s="11">
        <v>45091</v>
      </c>
      <c r="E593" s="10">
        <v>723.75</v>
      </c>
    </row>
    <row r="594" ht="16.5" spans="1:5">
      <c r="A594" s="8">
        <v>3044878.823</v>
      </c>
      <c r="B594" s="8">
        <v>35401272.521</v>
      </c>
      <c r="C594" s="8">
        <v>905.391</v>
      </c>
      <c r="D594" s="11">
        <v>45092</v>
      </c>
      <c r="E594" s="10">
        <v>723.79</v>
      </c>
    </row>
    <row r="595" ht="16.5" spans="1:5">
      <c r="A595" s="8">
        <v>3044878.823</v>
      </c>
      <c r="B595" s="8">
        <v>35401272.521</v>
      </c>
      <c r="C595" s="8">
        <v>905.391</v>
      </c>
      <c r="D595" s="11">
        <v>45093</v>
      </c>
      <c r="E595" s="10">
        <v>723.84</v>
      </c>
    </row>
    <row r="596" ht="16.5" spans="1:5">
      <c r="A596" s="8">
        <v>3044878.823</v>
      </c>
      <c r="B596" s="8">
        <v>35401272.521</v>
      </c>
      <c r="C596" s="8">
        <v>905.391</v>
      </c>
      <c r="D596" s="11">
        <v>45094</v>
      </c>
      <c r="E596" s="10">
        <v>723.84</v>
      </c>
    </row>
    <row r="597" ht="16.5" spans="1:5">
      <c r="A597" s="8">
        <v>3044878.823</v>
      </c>
      <c r="B597" s="8">
        <v>35401272.521</v>
      </c>
      <c r="C597" s="8">
        <v>905.391</v>
      </c>
      <c r="D597" s="11">
        <v>45095</v>
      </c>
      <c r="E597" s="10">
        <v>723.99</v>
      </c>
    </row>
    <row r="598" ht="16.5" spans="1:5">
      <c r="A598" s="8">
        <v>3044878.823</v>
      </c>
      <c r="B598" s="8">
        <v>35401272.521</v>
      </c>
      <c r="C598" s="8">
        <v>905.391</v>
      </c>
      <c r="D598" s="11">
        <v>45096</v>
      </c>
      <c r="E598" s="10">
        <v>723.99</v>
      </c>
    </row>
    <row r="599" ht="16.5" spans="1:5">
      <c r="A599" s="8">
        <v>3044878.823</v>
      </c>
      <c r="B599" s="8">
        <v>35401272.521</v>
      </c>
      <c r="C599" s="8">
        <v>905.391</v>
      </c>
      <c r="D599" s="11">
        <v>45097</v>
      </c>
      <c r="E599" s="10">
        <v>723.72</v>
      </c>
    </row>
    <row r="600" ht="16.5" spans="1:5">
      <c r="A600" s="8">
        <v>3044878.823</v>
      </c>
      <c r="B600" s="8">
        <v>35401272.521</v>
      </c>
      <c r="C600" s="8">
        <v>905.391</v>
      </c>
      <c r="D600" s="11">
        <v>45098</v>
      </c>
      <c r="E600" s="10">
        <v>723.79</v>
      </c>
    </row>
    <row r="601" ht="16.5" spans="1:5">
      <c r="A601" s="8">
        <v>3044878.823</v>
      </c>
      <c r="B601" s="8">
        <v>35401272.521</v>
      </c>
      <c r="C601" s="8">
        <v>905.391</v>
      </c>
      <c r="D601" s="11">
        <v>45099</v>
      </c>
      <c r="E601" s="10">
        <v>723.84</v>
      </c>
    </row>
    <row r="602" ht="16.5" spans="1:5">
      <c r="A602" s="8">
        <v>3044878.823</v>
      </c>
      <c r="B602" s="8">
        <v>35401272.521</v>
      </c>
      <c r="C602" s="8">
        <v>905.391</v>
      </c>
      <c r="D602" s="11">
        <v>45100</v>
      </c>
      <c r="E602" s="10">
        <v>724.15</v>
      </c>
    </row>
    <row r="603" ht="16.5" spans="1:5">
      <c r="A603" s="8">
        <v>3044878.823</v>
      </c>
      <c r="B603" s="8">
        <v>35401272.521</v>
      </c>
      <c r="C603" s="8">
        <v>905.391</v>
      </c>
      <c r="D603" s="11">
        <v>45101</v>
      </c>
      <c r="E603" s="10">
        <v>724.86</v>
      </c>
    </row>
    <row r="604" ht="16.5" spans="1:5">
      <c r="A604" s="8">
        <v>3044878.823</v>
      </c>
      <c r="B604" s="8">
        <v>35401272.521</v>
      </c>
      <c r="C604" s="8">
        <v>905.391</v>
      </c>
      <c r="D604" s="11">
        <v>45102</v>
      </c>
      <c r="E604" s="10">
        <v>725.13</v>
      </c>
    </row>
    <row r="605" ht="16.5" spans="1:5">
      <c r="A605" s="8">
        <v>3044878.823</v>
      </c>
      <c r="B605" s="8">
        <v>35401272.521</v>
      </c>
      <c r="C605" s="8">
        <v>905.391</v>
      </c>
      <c r="D605" s="11">
        <v>45103</v>
      </c>
      <c r="E605" s="10">
        <v>725.16</v>
      </c>
    </row>
    <row r="606" ht="16.5" spans="1:5">
      <c r="A606" s="8">
        <v>3044878.823</v>
      </c>
      <c r="B606" s="8">
        <v>35401272.521</v>
      </c>
      <c r="C606" s="8">
        <v>905.391</v>
      </c>
      <c r="D606" s="11">
        <v>45104</v>
      </c>
      <c r="E606" s="10">
        <v>725</v>
      </c>
    </row>
    <row r="607" ht="16.5" spans="1:5">
      <c r="A607" s="8">
        <v>3044878.823</v>
      </c>
      <c r="B607" s="8">
        <v>35401272.521</v>
      </c>
      <c r="C607" s="8">
        <v>905.391</v>
      </c>
      <c r="D607" s="11">
        <v>45105</v>
      </c>
      <c r="E607" s="10">
        <v>725.42</v>
      </c>
    </row>
    <row r="608" ht="16.5" spans="1:5">
      <c r="A608" s="8">
        <v>3044878.823</v>
      </c>
      <c r="B608" s="8">
        <v>35401272.521</v>
      </c>
      <c r="C608" s="8">
        <v>905.391</v>
      </c>
      <c r="D608" s="11">
        <v>45106</v>
      </c>
      <c r="E608" s="10">
        <v>725.91</v>
      </c>
    </row>
    <row r="609" ht="16.5" spans="1:5">
      <c r="A609" s="8">
        <v>3044878.823</v>
      </c>
      <c r="B609" s="8">
        <v>35401272.521</v>
      </c>
      <c r="C609" s="8">
        <v>905.391</v>
      </c>
      <c r="D609" s="11">
        <v>45107</v>
      </c>
      <c r="E609" s="10">
        <v>726.13</v>
      </c>
    </row>
    <row r="610" ht="16.5" spans="1:5">
      <c r="A610" s="8">
        <v>3044878.823</v>
      </c>
      <c r="B610" s="8">
        <v>35401272.521</v>
      </c>
      <c r="C610" s="8">
        <v>905.391</v>
      </c>
      <c r="D610" s="11">
        <v>45108</v>
      </c>
      <c r="E610" s="10">
        <v>725.91</v>
      </c>
    </row>
    <row r="611" ht="16.5" spans="1:5">
      <c r="A611" s="8">
        <v>3044878.823</v>
      </c>
      <c r="B611" s="8">
        <v>35401272.521</v>
      </c>
      <c r="C611" s="8">
        <v>905.391</v>
      </c>
      <c r="D611" s="11">
        <v>45109</v>
      </c>
      <c r="E611" s="10">
        <v>726.48</v>
      </c>
    </row>
    <row r="612" ht="16.5" spans="1:5">
      <c r="A612" s="8">
        <v>3044878.823</v>
      </c>
      <c r="B612" s="8">
        <v>35401272.521</v>
      </c>
      <c r="C612" s="8">
        <v>905.391</v>
      </c>
      <c r="D612" s="11">
        <v>45110</v>
      </c>
      <c r="E612" s="10">
        <v>726.46</v>
      </c>
    </row>
    <row r="613" ht="16.5" spans="1:5">
      <c r="A613" s="8">
        <v>3044878.823</v>
      </c>
      <c r="B613" s="8">
        <v>35401272.521</v>
      </c>
      <c r="C613" s="8">
        <v>905.391</v>
      </c>
      <c r="D613" s="11">
        <v>45111</v>
      </c>
      <c r="E613" s="10">
        <v>726.35</v>
      </c>
    </row>
    <row r="614" ht="16.5" spans="1:5">
      <c r="A614" s="8">
        <v>3044878.823</v>
      </c>
      <c r="B614" s="8">
        <v>35401272.521</v>
      </c>
      <c r="C614" s="8">
        <v>905.391</v>
      </c>
      <c r="D614" s="11">
        <v>45112</v>
      </c>
      <c r="E614" s="10">
        <v>725.91</v>
      </c>
    </row>
    <row r="615" ht="16.5" spans="1:5">
      <c r="A615" s="8">
        <v>3044878.823</v>
      </c>
      <c r="B615" s="8">
        <v>35401272.521</v>
      </c>
      <c r="C615" s="8">
        <v>905.391</v>
      </c>
      <c r="D615" s="11">
        <v>45113</v>
      </c>
      <c r="E615" s="10">
        <v>726.19</v>
      </c>
    </row>
    <row r="616" ht="16.5" spans="1:5">
      <c r="A616" s="8">
        <v>3044878.823</v>
      </c>
      <c r="B616" s="8">
        <v>35401272.521</v>
      </c>
      <c r="C616" s="8">
        <v>905.391</v>
      </c>
      <c r="D616" s="11">
        <v>45114</v>
      </c>
      <c r="E616" s="10">
        <v>726.32</v>
      </c>
    </row>
    <row r="617" ht="16.5" spans="1:5">
      <c r="A617" s="8">
        <v>3044878.823</v>
      </c>
      <c r="B617" s="8">
        <v>35401272.521</v>
      </c>
      <c r="C617" s="8">
        <v>905.391</v>
      </c>
      <c r="D617" s="11">
        <v>45115</v>
      </c>
      <c r="E617" s="10">
        <v>726.37</v>
      </c>
    </row>
    <row r="618" ht="16.5" spans="1:5">
      <c r="A618" s="8">
        <v>3044878.823</v>
      </c>
      <c r="B618" s="8">
        <v>35401272.521</v>
      </c>
      <c r="C618" s="8">
        <v>905.391</v>
      </c>
      <c r="D618" s="11">
        <v>45116</v>
      </c>
      <c r="E618" s="10">
        <v>726.64</v>
      </c>
    </row>
    <row r="619" ht="16.5" spans="1:5">
      <c r="A619" s="8">
        <v>3044878.823</v>
      </c>
      <c r="B619" s="8">
        <v>35401272.521</v>
      </c>
      <c r="C619" s="8">
        <v>905.391</v>
      </c>
      <c r="D619" s="11">
        <v>45117</v>
      </c>
      <c r="E619" s="10">
        <v>726.65</v>
      </c>
    </row>
    <row r="620" ht="16.5" spans="1:5">
      <c r="A620" s="8">
        <v>3044878.823</v>
      </c>
      <c r="B620" s="8">
        <v>35401272.521</v>
      </c>
      <c r="C620" s="8">
        <v>905.391</v>
      </c>
      <c r="D620" s="11">
        <v>45118</v>
      </c>
      <c r="E620" s="10">
        <v>726.69</v>
      </c>
    </row>
    <row r="621" ht="16.5" spans="1:5">
      <c r="A621" s="8">
        <v>3044878.823</v>
      </c>
      <c r="B621" s="8">
        <v>35401272.521</v>
      </c>
      <c r="C621" s="8">
        <v>905.391</v>
      </c>
      <c r="D621" s="11">
        <v>45119</v>
      </c>
      <c r="E621" s="10">
        <v>726.58</v>
      </c>
    </row>
    <row r="622" ht="16.5" spans="1:5">
      <c r="A622" s="8">
        <v>3044878.823</v>
      </c>
      <c r="B622" s="8">
        <v>35401272.521</v>
      </c>
      <c r="C622" s="8">
        <v>905.391</v>
      </c>
      <c r="D622" s="11">
        <v>45120</v>
      </c>
      <c r="E622" s="10">
        <v>726.389</v>
      </c>
    </row>
    <row r="623" ht="16.5" spans="1:5">
      <c r="A623" s="8">
        <v>3044878.823</v>
      </c>
      <c r="B623" s="8">
        <v>35401272.521</v>
      </c>
      <c r="C623" s="8">
        <v>905.391</v>
      </c>
      <c r="D623" s="11">
        <v>45121</v>
      </c>
      <c r="E623" s="10">
        <v>726.216</v>
      </c>
    </row>
    <row r="624" ht="16.5" spans="1:5">
      <c r="A624" s="8">
        <v>3044878.823</v>
      </c>
      <c r="B624" s="8">
        <v>35401272.521</v>
      </c>
      <c r="C624" s="8">
        <v>905.391</v>
      </c>
      <c r="D624" s="11">
        <v>45122</v>
      </c>
      <c r="E624" s="10">
        <v>726.118</v>
      </c>
    </row>
    <row r="625" ht="16.5" spans="1:5">
      <c r="A625" s="8">
        <v>3044878.823</v>
      </c>
      <c r="B625" s="8">
        <v>35401272.521</v>
      </c>
      <c r="C625" s="8">
        <v>905.391</v>
      </c>
      <c r="D625" s="11">
        <v>45123</v>
      </c>
      <c r="E625" s="10">
        <v>726.282</v>
      </c>
    </row>
    <row r="626" ht="16.5" spans="1:5">
      <c r="A626" s="8">
        <v>3044878.823</v>
      </c>
      <c r="B626" s="8">
        <v>35401272.521</v>
      </c>
      <c r="C626" s="8">
        <v>905.391</v>
      </c>
      <c r="D626" s="11">
        <v>45124</v>
      </c>
      <c r="E626" s="10">
        <v>725.966</v>
      </c>
    </row>
    <row r="627" ht="16.5" spans="1:5">
      <c r="A627" s="8">
        <v>3044878.823</v>
      </c>
      <c r="B627" s="8">
        <v>35401272.521</v>
      </c>
      <c r="C627" s="8">
        <v>905.391</v>
      </c>
      <c r="D627" s="11">
        <v>45125</v>
      </c>
      <c r="E627" s="10">
        <v>725.867</v>
      </c>
    </row>
    <row r="628" ht="16.5" spans="1:5">
      <c r="A628" s="8">
        <v>3044878.823</v>
      </c>
      <c r="B628" s="8">
        <v>35401272.521</v>
      </c>
      <c r="C628" s="8">
        <v>905.391</v>
      </c>
      <c r="D628" s="11">
        <v>45126</v>
      </c>
      <c r="E628" s="10">
        <v>725.715</v>
      </c>
    </row>
    <row r="629" ht="16.5" spans="1:5">
      <c r="A629" s="8">
        <v>3044878.823</v>
      </c>
      <c r="B629" s="8">
        <v>35401272.521</v>
      </c>
      <c r="C629" s="8">
        <v>905.391</v>
      </c>
      <c r="D629" s="11">
        <v>45127</v>
      </c>
      <c r="E629" s="10">
        <v>725.76</v>
      </c>
    </row>
    <row r="630" ht="16.5" spans="1:5">
      <c r="A630" s="8">
        <v>3044878.823</v>
      </c>
      <c r="B630" s="8">
        <v>35401272.521</v>
      </c>
      <c r="C630" s="8">
        <v>905.391</v>
      </c>
      <c r="D630" s="11">
        <v>45128</v>
      </c>
      <c r="E630" s="10">
        <v>725.57</v>
      </c>
    </row>
    <row r="631" ht="16.5" spans="1:5">
      <c r="A631" s="8">
        <v>3044878.823</v>
      </c>
      <c r="B631" s="8">
        <v>35401272.521</v>
      </c>
      <c r="C631" s="8">
        <v>905.391</v>
      </c>
      <c r="D631" s="11">
        <v>45129</v>
      </c>
      <c r="E631" s="10">
        <v>725.52</v>
      </c>
    </row>
    <row r="632" ht="16.5" spans="1:5">
      <c r="A632" s="8">
        <v>3044878.823</v>
      </c>
      <c r="B632" s="8">
        <v>35401272.521</v>
      </c>
      <c r="C632" s="8">
        <v>905.391</v>
      </c>
      <c r="D632" s="11">
        <v>45130</v>
      </c>
      <c r="E632" s="10">
        <v>725.24</v>
      </c>
    </row>
    <row r="633" ht="16.5" spans="1:5">
      <c r="A633" s="8">
        <v>3044878.823</v>
      </c>
      <c r="B633" s="8">
        <v>35401272.521</v>
      </c>
      <c r="C633" s="8">
        <v>905.391</v>
      </c>
      <c r="D633" s="11">
        <v>45131</v>
      </c>
      <c r="E633" s="10">
        <v>725.34</v>
      </c>
    </row>
    <row r="634" ht="16.5" spans="1:5">
      <c r="A634" s="8">
        <v>3044878.823</v>
      </c>
      <c r="B634" s="8">
        <v>35401272.521</v>
      </c>
      <c r="C634" s="8">
        <v>905.391</v>
      </c>
      <c r="D634" s="11">
        <v>45132</v>
      </c>
      <c r="E634" s="10">
        <v>724.88</v>
      </c>
    </row>
    <row r="635" ht="16.5" spans="1:5">
      <c r="A635" s="8">
        <v>3044878.823</v>
      </c>
      <c r="B635" s="8">
        <v>35401272.521</v>
      </c>
      <c r="C635" s="8">
        <v>905.391</v>
      </c>
      <c r="D635" s="11">
        <v>45133</v>
      </c>
      <c r="E635" s="10">
        <v>724.51</v>
      </c>
    </row>
    <row r="636" ht="16.5" spans="1:5">
      <c r="A636" s="8">
        <v>3044878.823</v>
      </c>
      <c r="B636" s="8">
        <v>35401272.521</v>
      </c>
      <c r="C636" s="8">
        <v>905.391</v>
      </c>
      <c r="D636" s="11">
        <v>45134</v>
      </c>
      <c r="E636" s="10">
        <v>725.06</v>
      </c>
    </row>
    <row r="637" ht="16.5" spans="1:5">
      <c r="A637" s="8">
        <v>3044878.823</v>
      </c>
      <c r="B637" s="8">
        <v>35401272.521</v>
      </c>
      <c r="C637" s="8">
        <v>905.391</v>
      </c>
      <c r="D637" s="11">
        <v>45135</v>
      </c>
      <c r="E637" s="10">
        <v>725.2</v>
      </c>
    </row>
    <row r="638" ht="16.5" spans="1:5">
      <c r="A638" s="8">
        <v>3044878.823</v>
      </c>
      <c r="B638" s="8">
        <v>35401272.521</v>
      </c>
      <c r="C638" s="8">
        <v>905.391</v>
      </c>
      <c r="D638" s="11">
        <v>45136</v>
      </c>
      <c r="E638" s="10">
        <v>725.18</v>
      </c>
    </row>
    <row r="639" ht="16.5" spans="1:5">
      <c r="A639" s="8">
        <v>3044878.823</v>
      </c>
      <c r="B639" s="8">
        <v>35401272.521</v>
      </c>
      <c r="C639" s="8">
        <v>905.391</v>
      </c>
      <c r="D639" s="11">
        <v>45137</v>
      </c>
      <c r="E639" s="10">
        <v>725.16</v>
      </c>
    </row>
    <row r="640" ht="16.5" spans="1:5">
      <c r="A640" s="8">
        <v>3044878.823</v>
      </c>
      <c r="B640" s="8">
        <v>35401272.521</v>
      </c>
      <c r="C640" s="8">
        <v>905.391</v>
      </c>
      <c r="D640" s="11">
        <v>45138</v>
      </c>
      <c r="E640" s="10">
        <v>725.27</v>
      </c>
    </row>
    <row r="641" ht="16.5" spans="1:5">
      <c r="A641" s="8">
        <v>3044878.823</v>
      </c>
      <c r="B641" s="8">
        <v>35401272.521</v>
      </c>
      <c r="C641" s="8">
        <v>905.391</v>
      </c>
      <c r="D641" s="11">
        <v>45139</v>
      </c>
      <c r="E641" s="10">
        <v>725.34</v>
      </c>
    </row>
    <row r="642" ht="16.5" spans="1:5">
      <c r="A642" s="8">
        <v>3044878.823</v>
      </c>
      <c r="B642" s="8">
        <v>35401272.521</v>
      </c>
      <c r="C642" s="8">
        <v>905.391</v>
      </c>
      <c r="D642" s="11">
        <v>45140</v>
      </c>
      <c r="E642" s="10">
        <v>725.41</v>
      </c>
    </row>
    <row r="643" ht="16.5" spans="1:5">
      <c r="A643" s="8">
        <v>3044878.823</v>
      </c>
      <c r="B643" s="8">
        <v>35401272.521</v>
      </c>
      <c r="C643" s="8">
        <v>905.391</v>
      </c>
      <c r="D643" s="11">
        <v>45141</v>
      </c>
      <c r="E643" s="14">
        <v>725.508</v>
      </c>
    </row>
    <row r="644" ht="16.5" spans="1:5">
      <c r="A644" s="8">
        <v>3044878.823</v>
      </c>
      <c r="B644" s="8">
        <v>35401272.521</v>
      </c>
      <c r="C644" s="8">
        <v>905.391</v>
      </c>
      <c r="D644" s="11">
        <v>45142</v>
      </c>
      <c r="E644" s="10">
        <v>725.66</v>
      </c>
    </row>
    <row r="645" ht="16.5" spans="1:5">
      <c r="A645" s="8">
        <v>3044878.823</v>
      </c>
      <c r="B645" s="8">
        <v>35401272.521</v>
      </c>
      <c r="C645" s="8">
        <v>905.391</v>
      </c>
      <c r="D645" s="11">
        <v>45143</v>
      </c>
      <c r="E645" s="10">
        <v>725.562</v>
      </c>
    </row>
    <row r="646" ht="16.5" spans="1:5">
      <c r="A646" s="8">
        <v>3044878.823</v>
      </c>
      <c r="B646" s="8">
        <v>35401272.521</v>
      </c>
      <c r="C646" s="8">
        <v>905.391</v>
      </c>
      <c r="D646" s="11">
        <v>45144</v>
      </c>
      <c r="E646" s="10">
        <v>725.565</v>
      </c>
    </row>
    <row r="647" ht="16.5" spans="1:5">
      <c r="A647" s="8">
        <v>3044878.823</v>
      </c>
      <c r="B647" s="8">
        <v>35401272.521</v>
      </c>
      <c r="C647" s="8">
        <v>905.391</v>
      </c>
      <c r="D647" s="11">
        <v>45145</v>
      </c>
      <c r="E647" s="10">
        <v>725.712</v>
      </c>
    </row>
    <row r="648" ht="16.5" spans="1:5">
      <c r="A648" s="8">
        <v>3044878.823</v>
      </c>
      <c r="B648" s="8">
        <v>35401272.521</v>
      </c>
      <c r="C648" s="8">
        <v>905.391</v>
      </c>
      <c r="D648" s="11">
        <v>45146</v>
      </c>
      <c r="E648" s="10">
        <v>725.301</v>
      </c>
    </row>
    <row r="649" ht="16.5" spans="1:5">
      <c r="A649" s="8">
        <v>3044878.823</v>
      </c>
      <c r="B649" s="8">
        <v>35401272.521</v>
      </c>
      <c r="C649" s="8">
        <v>905.391</v>
      </c>
      <c r="D649" s="11">
        <v>45147</v>
      </c>
      <c r="E649" s="10">
        <v>725.301</v>
      </c>
    </row>
    <row r="650" ht="16.5" spans="1:5">
      <c r="A650" s="8">
        <v>3044878.823</v>
      </c>
      <c r="B650" s="8">
        <v>35401272.521</v>
      </c>
      <c r="C650" s="8">
        <v>905.391</v>
      </c>
      <c r="D650" s="11">
        <v>45148</v>
      </c>
      <c r="E650" s="12"/>
    </row>
    <row r="651" ht="16.5" spans="1:5">
      <c r="A651" s="8">
        <v>3044878.823</v>
      </c>
      <c r="B651" s="8">
        <v>35401272.521</v>
      </c>
      <c r="C651" s="8">
        <v>905.391</v>
      </c>
      <c r="D651" s="11">
        <v>45149</v>
      </c>
      <c r="E651" s="10">
        <v>725.446</v>
      </c>
    </row>
    <row r="652" ht="16.5" spans="1:5">
      <c r="A652" s="8">
        <v>3044878.823</v>
      </c>
      <c r="B652" s="8">
        <v>35401272.521</v>
      </c>
      <c r="C652" s="8">
        <v>905.391</v>
      </c>
      <c r="D652" s="11">
        <v>45150</v>
      </c>
      <c r="E652" s="10">
        <v>725.374</v>
      </c>
    </row>
    <row r="653" ht="16.5" spans="1:5">
      <c r="A653" s="8">
        <v>3044878.823</v>
      </c>
      <c r="B653" s="8">
        <v>35401272.521</v>
      </c>
      <c r="C653" s="8">
        <v>905.391</v>
      </c>
      <c r="D653" s="11">
        <v>45151</v>
      </c>
      <c r="E653" s="10">
        <v>725.519</v>
      </c>
    </row>
    <row r="654" ht="16.5" spans="1:5">
      <c r="A654" s="8">
        <v>3044878.823</v>
      </c>
      <c r="B654" s="8">
        <v>35401272.521</v>
      </c>
      <c r="C654" s="8">
        <v>905.391</v>
      </c>
      <c r="D654" s="11">
        <v>45152</v>
      </c>
      <c r="E654" s="10">
        <v>723.343</v>
      </c>
    </row>
    <row r="655" ht="16.5" spans="1:5">
      <c r="A655" s="8">
        <v>3044878.823</v>
      </c>
      <c r="B655" s="8">
        <v>35401272.521</v>
      </c>
      <c r="C655" s="8">
        <v>905.391</v>
      </c>
      <c r="D655" s="11">
        <v>45153</v>
      </c>
      <c r="E655" s="17">
        <v>724.683</v>
      </c>
    </row>
    <row r="656" ht="16.5" spans="1:5">
      <c r="A656" s="8">
        <v>3044878.823</v>
      </c>
      <c r="B656" s="8">
        <v>35401272.521</v>
      </c>
      <c r="C656" s="8">
        <v>905.391</v>
      </c>
      <c r="D656" s="11">
        <v>45154</v>
      </c>
      <c r="E656" s="10">
        <v>724.498</v>
      </c>
    </row>
    <row r="657" ht="16.5" spans="1:5">
      <c r="A657" s="8">
        <v>3044878.823</v>
      </c>
      <c r="B657" s="8">
        <v>35401272.521</v>
      </c>
      <c r="C657" s="8">
        <v>905.391</v>
      </c>
      <c r="D657" s="11">
        <v>45155</v>
      </c>
      <c r="E657" s="10">
        <v>724.265</v>
      </c>
    </row>
    <row r="658" ht="16.5" spans="1:5">
      <c r="A658" s="8">
        <v>3044878.823</v>
      </c>
      <c r="B658" s="8">
        <v>35401272.521</v>
      </c>
      <c r="C658" s="8">
        <v>905.391</v>
      </c>
      <c r="D658" s="11">
        <v>45156</v>
      </c>
      <c r="E658" s="10">
        <v>724.514</v>
      </c>
    </row>
    <row r="659" ht="16.5" spans="1:5">
      <c r="A659" s="8">
        <v>3044878.823</v>
      </c>
      <c r="B659" s="8">
        <v>35401272.521</v>
      </c>
      <c r="C659" s="8">
        <v>905.391</v>
      </c>
      <c r="D659" s="11">
        <v>45157</v>
      </c>
      <c r="E659" s="10">
        <v>724.359</v>
      </c>
    </row>
    <row r="660" ht="16.5" spans="1:5">
      <c r="A660" s="8">
        <v>3044878.823</v>
      </c>
      <c r="B660" s="8">
        <v>35401272.521</v>
      </c>
      <c r="C660" s="8">
        <v>905.391</v>
      </c>
      <c r="D660" s="11">
        <v>45158</v>
      </c>
      <c r="E660" s="10">
        <v>724.034</v>
      </c>
    </row>
    <row r="661" ht="16.5" spans="1:5">
      <c r="A661" s="8">
        <v>3044878.823</v>
      </c>
      <c r="B661" s="8">
        <v>35401272.521</v>
      </c>
      <c r="C661" s="8">
        <v>905.391</v>
      </c>
      <c r="D661" s="11">
        <v>45159</v>
      </c>
      <c r="E661" s="10">
        <v>723.827</v>
      </c>
    </row>
    <row r="662" ht="16.5" spans="1:5">
      <c r="A662" s="8">
        <v>3044878.823</v>
      </c>
      <c r="B662" s="8">
        <v>35401272.521</v>
      </c>
      <c r="C662" s="8">
        <v>905.391</v>
      </c>
      <c r="D662" s="11">
        <v>45160</v>
      </c>
      <c r="E662" s="10">
        <v>724.241</v>
      </c>
    </row>
    <row r="663" ht="16.5" spans="1:5">
      <c r="A663" s="8">
        <v>3044878.823</v>
      </c>
      <c r="B663" s="8">
        <v>35401272.521</v>
      </c>
      <c r="C663" s="8">
        <v>905.391</v>
      </c>
      <c r="D663" s="11">
        <v>45161</v>
      </c>
      <c r="E663" s="10">
        <v>723.906</v>
      </c>
    </row>
    <row r="664" ht="16.5" spans="1:5">
      <c r="A664" s="8">
        <v>3044878.823</v>
      </c>
      <c r="B664" s="8">
        <v>35401272.521</v>
      </c>
      <c r="C664" s="8">
        <v>905.391</v>
      </c>
      <c r="D664" s="11">
        <v>45162</v>
      </c>
      <c r="E664" s="10">
        <v>723.902</v>
      </c>
    </row>
    <row r="665" ht="16.5" spans="1:5">
      <c r="A665" s="8">
        <v>3044878.823</v>
      </c>
      <c r="B665" s="8">
        <v>35401272.521</v>
      </c>
      <c r="C665" s="8">
        <v>905.391</v>
      </c>
      <c r="D665" s="11">
        <v>45163</v>
      </c>
      <c r="E665" s="10">
        <v>721.17</v>
      </c>
    </row>
    <row r="666" ht="16.5" spans="1:5">
      <c r="A666" s="8">
        <v>3044878.823</v>
      </c>
      <c r="B666" s="8">
        <v>35401272.521</v>
      </c>
      <c r="C666" s="8">
        <v>905.391</v>
      </c>
      <c r="D666" s="11">
        <v>45164</v>
      </c>
      <c r="E666" s="10">
        <v>723.214</v>
      </c>
    </row>
    <row r="667" ht="16.5" spans="1:5">
      <c r="A667" s="8">
        <v>3044878.823</v>
      </c>
      <c r="B667" s="8">
        <v>35401272.521</v>
      </c>
      <c r="C667" s="8">
        <v>905.391</v>
      </c>
      <c r="D667" s="11">
        <v>45165</v>
      </c>
      <c r="E667" s="10">
        <v>723.454</v>
      </c>
    </row>
    <row r="668" ht="16.5" spans="1:5">
      <c r="A668" s="8">
        <v>3044878.823</v>
      </c>
      <c r="B668" s="8">
        <v>35401272.521</v>
      </c>
      <c r="C668" s="8">
        <v>905.391</v>
      </c>
      <c r="D668" s="11">
        <v>45166</v>
      </c>
      <c r="E668" s="10">
        <v>723.37</v>
      </c>
    </row>
    <row r="669" ht="16.5" spans="1:5">
      <c r="A669" s="8">
        <v>3044878.823</v>
      </c>
      <c r="B669" s="8">
        <v>35401272.521</v>
      </c>
      <c r="C669" s="8">
        <v>905.391</v>
      </c>
      <c r="D669" s="11">
        <v>45167</v>
      </c>
      <c r="E669" s="10">
        <v>723.333</v>
      </c>
    </row>
    <row r="670" ht="16.5" spans="1:5">
      <c r="A670" s="8">
        <v>3044878.823</v>
      </c>
      <c r="B670" s="8">
        <v>35401272.521</v>
      </c>
      <c r="C670" s="8">
        <v>905.391</v>
      </c>
      <c r="D670" s="11">
        <v>45168</v>
      </c>
      <c r="E670" s="10">
        <v>723.293</v>
      </c>
    </row>
    <row r="671" ht="16.5" spans="1:5">
      <c r="A671" s="8">
        <v>3044878.823</v>
      </c>
      <c r="B671" s="8">
        <v>35401272.521</v>
      </c>
      <c r="C671" s="8">
        <v>905.391</v>
      </c>
      <c r="D671" s="11">
        <v>45169</v>
      </c>
      <c r="E671" s="10">
        <v>723.358</v>
      </c>
    </row>
    <row r="672" ht="16.5" spans="1:5">
      <c r="A672" s="8">
        <v>3044878.823</v>
      </c>
      <c r="B672" s="8">
        <v>35401272.521</v>
      </c>
      <c r="C672" s="8">
        <v>905.391</v>
      </c>
      <c r="D672" s="11">
        <v>45170</v>
      </c>
      <c r="E672" s="10">
        <v>723.317</v>
      </c>
    </row>
    <row r="673" ht="16.5" spans="1:5">
      <c r="A673" s="8">
        <v>3044878.823</v>
      </c>
      <c r="B673" s="8">
        <v>35401272.521</v>
      </c>
      <c r="C673" s="8">
        <v>905.391</v>
      </c>
      <c r="D673" s="11">
        <v>45171</v>
      </c>
      <c r="E673" s="10"/>
    </row>
    <row r="674" ht="16.5" spans="1:5">
      <c r="A674" s="8">
        <v>3044878.823</v>
      </c>
      <c r="B674" s="8">
        <v>35401272.521</v>
      </c>
      <c r="C674" s="8">
        <v>905.391</v>
      </c>
      <c r="D674" s="11">
        <v>45172</v>
      </c>
      <c r="E674" s="10">
        <v>723.305</v>
      </c>
    </row>
    <row r="675" ht="16.5" spans="1:5">
      <c r="A675" s="8">
        <v>3044878.823</v>
      </c>
      <c r="B675" s="8">
        <v>35401272.521</v>
      </c>
      <c r="C675" s="8">
        <v>905.391</v>
      </c>
      <c r="D675" s="11">
        <v>45173</v>
      </c>
      <c r="E675" s="10">
        <v>723.279</v>
      </c>
    </row>
    <row r="676" ht="16.5" spans="1:5">
      <c r="A676" s="8">
        <v>3044878.823</v>
      </c>
      <c r="B676" s="8">
        <v>35401272.521</v>
      </c>
      <c r="C676" s="8">
        <v>905.391</v>
      </c>
      <c r="D676" s="11">
        <v>45174</v>
      </c>
      <c r="E676" s="10"/>
    </row>
    <row r="677" ht="16.5" spans="1:5">
      <c r="A677" s="8">
        <v>3044878.823</v>
      </c>
      <c r="B677" s="8">
        <v>35401272.521</v>
      </c>
      <c r="C677" s="8">
        <v>905.391</v>
      </c>
      <c r="D677" s="11">
        <v>45175</v>
      </c>
      <c r="E677" s="10"/>
    </row>
    <row r="678" ht="16.5" spans="1:5">
      <c r="A678" s="8">
        <v>3044878.823</v>
      </c>
      <c r="B678" s="8">
        <v>35401272.521</v>
      </c>
      <c r="C678" s="8">
        <v>905.391</v>
      </c>
      <c r="D678" s="11">
        <v>45176</v>
      </c>
      <c r="E678" s="10"/>
    </row>
    <row r="679" ht="16.5" spans="1:5">
      <c r="A679" s="8">
        <v>3044878.823</v>
      </c>
      <c r="B679" s="8">
        <v>35401272.521</v>
      </c>
      <c r="C679" s="8">
        <v>905.391</v>
      </c>
      <c r="D679" s="11">
        <v>45177</v>
      </c>
      <c r="E679" s="10">
        <v>723.134</v>
      </c>
    </row>
    <row r="680" ht="16.5" spans="1:5">
      <c r="A680" s="8">
        <v>3044878.823</v>
      </c>
      <c r="B680" s="8">
        <v>35401272.521</v>
      </c>
      <c r="C680" s="8">
        <v>905.391</v>
      </c>
      <c r="D680" s="11">
        <v>45178</v>
      </c>
      <c r="E680" s="10">
        <v>723.119</v>
      </c>
    </row>
    <row r="681" ht="16.5" spans="1:5">
      <c r="A681" s="8">
        <v>3044878.823</v>
      </c>
      <c r="B681" s="8">
        <v>35401272.521</v>
      </c>
      <c r="C681" s="8">
        <v>905.391</v>
      </c>
      <c r="D681" s="11">
        <v>45179</v>
      </c>
      <c r="E681" s="10">
        <v>723.154</v>
      </c>
    </row>
    <row r="682" ht="16.5" spans="1:5">
      <c r="A682" s="8">
        <v>3044878.823</v>
      </c>
      <c r="B682" s="8">
        <v>35401272.521</v>
      </c>
      <c r="C682" s="8">
        <v>905.391</v>
      </c>
      <c r="D682" s="11">
        <v>45180</v>
      </c>
      <c r="E682" s="10">
        <v>723.175</v>
      </c>
    </row>
    <row r="683" ht="16.5" spans="1:5">
      <c r="A683" s="8">
        <v>3044878.823</v>
      </c>
      <c r="B683" s="8">
        <v>35401272.521</v>
      </c>
      <c r="C683" s="8">
        <v>905.391</v>
      </c>
      <c r="D683" s="11">
        <v>45181</v>
      </c>
      <c r="E683" s="10">
        <v>723.061</v>
      </c>
    </row>
    <row r="684" ht="16.5" spans="1:5">
      <c r="A684" s="8">
        <v>3044878.823</v>
      </c>
      <c r="B684" s="8">
        <v>35401272.521</v>
      </c>
      <c r="C684" s="8">
        <v>905.391</v>
      </c>
      <c r="D684" s="11">
        <v>45182</v>
      </c>
      <c r="E684" s="10"/>
    </row>
    <row r="685" ht="16.5" spans="1:5">
      <c r="A685" s="8">
        <v>3044878.823</v>
      </c>
      <c r="B685" s="8">
        <v>35401272.521</v>
      </c>
      <c r="C685" s="8">
        <v>905.391</v>
      </c>
      <c r="D685" s="11">
        <v>45183</v>
      </c>
      <c r="E685" s="10">
        <v>723.15</v>
      </c>
    </row>
    <row r="686" ht="16.5" spans="1:5">
      <c r="A686" s="8">
        <v>3044878.823</v>
      </c>
      <c r="B686" s="8">
        <v>35401272.521</v>
      </c>
      <c r="C686" s="8">
        <v>905.391</v>
      </c>
      <c r="D686" s="11">
        <v>45184</v>
      </c>
      <c r="E686" s="12"/>
    </row>
    <row r="687" ht="16.5" spans="1:5">
      <c r="A687" s="8">
        <v>3044878.823</v>
      </c>
      <c r="B687" s="8">
        <v>35401272.521</v>
      </c>
      <c r="C687" s="8">
        <v>905.391</v>
      </c>
      <c r="D687" s="11">
        <v>45185</v>
      </c>
      <c r="E687" s="12"/>
    </row>
    <row r="688" ht="16.5" spans="1:5">
      <c r="A688" s="8">
        <v>3044878.823</v>
      </c>
      <c r="B688" s="8">
        <v>35401272.521</v>
      </c>
      <c r="C688" s="8">
        <v>905.391</v>
      </c>
      <c r="D688" s="11">
        <v>45186</v>
      </c>
      <c r="E688" s="12"/>
    </row>
    <row r="689" ht="16.5" spans="1:5">
      <c r="A689" s="8">
        <v>3044878.823</v>
      </c>
      <c r="B689" s="8">
        <v>35401272.521</v>
      </c>
      <c r="C689" s="8">
        <v>905.391</v>
      </c>
      <c r="D689" s="11">
        <v>45187</v>
      </c>
      <c r="E689" s="12"/>
    </row>
    <row r="690" ht="16.5" spans="1:5">
      <c r="A690" s="8">
        <v>3044878.823</v>
      </c>
      <c r="B690" s="8">
        <v>35401272.521</v>
      </c>
      <c r="C690" s="8">
        <v>905.391</v>
      </c>
      <c r="D690" s="11">
        <v>45188</v>
      </c>
      <c r="E690" s="12"/>
    </row>
    <row r="691" ht="16.5" spans="1:5">
      <c r="A691" s="8">
        <v>3044878.823</v>
      </c>
      <c r="B691" s="8">
        <v>35401272.521</v>
      </c>
      <c r="C691" s="8">
        <v>905.391</v>
      </c>
      <c r="D691" s="11">
        <v>45189</v>
      </c>
      <c r="E691" s="10">
        <v>721.762</v>
      </c>
    </row>
    <row r="692" ht="16.5" spans="1:5">
      <c r="A692" s="8">
        <v>3044878.823</v>
      </c>
      <c r="B692" s="8">
        <v>35401272.521</v>
      </c>
      <c r="C692" s="8">
        <v>905.391</v>
      </c>
      <c r="D692" s="11">
        <v>45190</v>
      </c>
      <c r="E692" s="10">
        <v>721.504</v>
      </c>
    </row>
    <row r="693" ht="16.5" spans="1:5">
      <c r="A693" s="8">
        <v>3044878.823</v>
      </c>
      <c r="B693" s="8">
        <v>35401272.521</v>
      </c>
      <c r="C693" s="8">
        <v>905.391</v>
      </c>
      <c r="D693" s="11">
        <v>45191</v>
      </c>
      <c r="E693" s="10">
        <v>721.461</v>
      </c>
    </row>
    <row r="694" ht="16.5" spans="1:5">
      <c r="A694" s="8">
        <v>3044878.823</v>
      </c>
      <c r="B694" s="8">
        <v>35401272.521</v>
      </c>
      <c r="C694" s="8">
        <v>905.391</v>
      </c>
      <c r="D694" s="11">
        <v>45192</v>
      </c>
      <c r="E694" s="10">
        <v>722.378</v>
      </c>
    </row>
    <row r="695" ht="16.5" spans="1:5">
      <c r="A695" s="8">
        <v>3044878.823</v>
      </c>
      <c r="B695" s="8">
        <v>35401272.521</v>
      </c>
      <c r="C695" s="8">
        <v>905.391</v>
      </c>
      <c r="D695" s="11">
        <v>45193</v>
      </c>
      <c r="E695" s="10">
        <v>722.605</v>
      </c>
    </row>
    <row r="696" ht="16.5" spans="1:5">
      <c r="A696" s="8">
        <v>3044878.823</v>
      </c>
      <c r="B696" s="8">
        <v>35401272.521</v>
      </c>
      <c r="C696" s="8">
        <v>905.391</v>
      </c>
      <c r="D696" s="11">
        <v>45194</v>
      </c>
      <c r="E696" s="10">
        <v>722.687</v>
      </c>
    </row>
    <row r="697" ht="16.5" spans="1:5">
      <c r="A697" s="8">
        <v>3044878.823</v>
      </c>
      <c r="B697" s="8">
        <v>35401272.521</v>
      </c>
      <c r="C697" s="8">
        <v>905.391</v>
      </c>
      <c r="D697" s="11">
        <v>45195</v>
      </c>
      <c r="E697" s="10">
        <v>722.54</v>
      </c>
    </row>
    <row r="698" ht="16.5" spans="1:5">
      <c r="A698" s="8">
        <v>3044878.823</v>
      </c>
      <c r="B698" s="8">
        <v>35401272.521</v>
      </c>
      <c r="C698" s="8">
        <v>905.391</v>
      </c>
      <c r="D698" s="11">
        <v>45196</v>
      </c>
      <c r="E698" s="10">
        <v>720.524</v>
      </c>
    </row>
    <row r="699" ht="16.5" spans="1:5">
      <c r="A699" s="8">
        <v>3044878.823</v>
      </c>
      <c r="B699" s="8">
        <v>35401272.521</v>
      </c>
      <c r="C699" s="8">
        <v>905.391</v>
      </c>
      <c r="D699" s="11">
        <v>45197</v>
      </c>
      <c r="E699" s="10">
        <v>718.876</v>
      </c>
    </row>
    <row r="700" ht="16.5" spans="1:5">
      <c r="A700" s="8">
        <v>3044878.823</v>
      </c>
      <c r="B700" s="8">
        <v>35401272.521</v>
      </c>
      <c r="C700" s="8">
        <v>905.391</v>
      </c>
      <c r="D700" s="11">
        <v>45198</v>
      </c>
      <c r="E700" s="10">
        <v>719.039</v>
      </c>
    </row>
    <row r="701" ht="16.5" spans="1:5">
      <c r="A701" s="8">
        <v>3044878.823</v>
      </c>
      <c r="B701" s="8">
        <v>35401272.521</v>
      </c>
      <c r="C701" s="8">
        <v>905.391</v>
      </c>
      <c r="D701" s="11">
        <v>45199</v>
      </c>
      <c r="E701" s="10">
        <v>719.084</v>
      </c>
    </row>
    <row r="702" ht="16.5" spans="1:5">
      <c r="A702" s="8">
        <v>3044878.823</v>
      </c>
      <c r="B702" s="8">
        <v>35401272.521</v>
      </c>
      <c r="C702" s="8">
        <v>905.391</v>
      </c>
      <c r="D702" s="11">
        <v>45200</v>
      </c>
      <c r="E702" s="10">
        <v>718.861</v>
      </c>
    </row>
    <row r="703" ht="16.5" spans="1:5">
      <c r="A703" s="8">
        <v>3044878.823</v>
      </c>
      <c r="B703" s="8">
        <v>35401272.521</v>
      </c>
      <c r="C703" s="8">
        <v>905.391</v>
      </c>
      <c r="D703" s="11">
        <v>45201</v>
      </c>
      <c r="E703" s="10">
        <v>718.749</v>
      </c>
    </row>
    <row r="704" ht="16.5" spans="1:5">
      <c r="A704" s="8">
        <v>3044878.823</v>
      </c>
      <c r="B704" s="8">
        <v>35401272.521</v>
      </c>
      <c r="C704" s="8">
        <v>905.391</v>
      </c>
      <c r="D704" s="11">
        <v>45202</v>
      </c>
      <c r="E704" s="10">
        <v>718.585</v>
      </c>
    </row>
    <row r="705" ht="16.5" spans="1:5">
      <c r="A705" s="8">
        <v>3044878.823</v>
      </c>
      <c r="B705" s="8">
        <v>35401272.521</v>
      </c>
      <c r="C705" s="8">
        <v>905.391</v>
      </c>
      <c r="D705" s="11">
        <v>45203</v>
      </c>
      <c r="E705" s="10">
        <v>718.491</v>
      </c>
    </row>
    <row r="706" ht="16.5" spans="1:5">
      <c r="A706" s="8">
        <v>3044878.823</v>
      </c>
      <c r="B706" s="8">
        <v>35401272.521</v>
      </c>
      <c r="C706" s="8">
        <v>905.391</v>
      </c>
      <c r="D706" s="11">
        <v>45204</v>
      </c>
      <c r="E706" s="10">
        <v>718.694</v>
      </c>
    </row>
    <row r="707" ht="16.5" spans="1:5">
      <c r="A707" s="8">
        <v>3044878.823</v>
      </c>
      <c r="B707" s="8">
        <v>35401272.521</v>
      </c>
      <c r="C707" s="8">
        <v>905.391</v>
      </c>
      <c r="D707" s="11">
        <v>45205</v>
      </c>
      <c r="E707" s="10">
        <v>718.694</v>
      </c>
    </row>
    <row r="708" ht="16.5" spans="1:5">
      <c r="A708" s="8">
        <v>3044878.823</v>
      </c>
      <c r="B708" s="8">
        <v>35401272.521</v>
      </c>
      <c r="C708" s="8">
        <v>905.391</v>
      </c>
      <c r="D708" s="11">
        <v>45206</v>
      </c>
      <c r="E708" s="10">
        <v>718.652</v>
      </c>
    </row>
    <row r="709" ht="16.5" spans="1:5">
      <c r="A709" s="8">
        <v>3044878.823</v>
      </c>
      <c r="B709" s="8">
        <v>35401272.521</v>
      </c>
      <c r="C709" s="8">
        <v>905.391</v>
      </c>
      <c r="D709" s="11">
        <v>45207</v>
      </c>
      <c r="E709" s="10">
        <v>718.655</v>
      </c>
    </row>
    <row r="710" ht="16.5" spans="1:5">
      <c r="A710" s="8">
        <v>3044878.823</v>
      </c>
      <c r="B710" s="8">
        <v>35401272.521</v>
      </c>
      <c r="C710" s="8">
        <v>905.391</v>
      </c>
      <c r="D710" s="11">
        <v>45208</v>
      </c>
      <c r="E710" s="10">
        <v>718.674</v>
      </c>
    </row>
    <row r="711" ht="16.5" spans="1:5">
      <c r="A711" s="8">
        <v>3044878.823</v>
      </c>
      <c r="B711" s="8">
        <v>35401272.521</v>
      </c>
      <c r="C711" s="8">
        <v>905.391</v>
      </c>
      <c r="D711" s="11">
        <v>45209</v>
      </c>
      <c r="E711" s="10">
        <v>718.729</v>
      </c>
    </row>
    <row r="712" ht="16.5" spans="1:5">
      <c r="A712" s="8">
        <v>3044878.823</v>
      </c>
      <c r="B712" s="8">
        <v>35401272.521</v>
      </c>
      <c r="C712" s="8">
        <v>905.391</v>
      </c>
      <c r="D712" s="11">
        <v>45210</v>
      </c>
      <c r="E712" s="10">
        <v>718.805</v>
      </c>
    </row>
    <row r="713" ht="16.5" spans="1:5">
      <c r="A713" s="8">
        <v>3044878.823</v>
      </c>
      <c r="B713" s="8">
        <v>35401272.521</v>
      </c>
      <c r="C713" s="8">
        <v>905.391</v>
      </c>
      <c r="D713" s="11">
        <v>45211</v>
      </c>
      <c r="E713" s="10">
        <v>718.76</v>
      </c>
    </row>
    <row r="714" ht="16.5" spans="1:5">
      <c r="A714" s="8">
        <v>3044878.823</v>
      </c>
      <c r="B714" s="8">
        <v>35401272.521</v>
      </c>
      <c r="C714" s="8">
        <v>905.391</v>
      </c>
      <c r="D714" s="11">
        <v>45212</v>
      </c>
      <c r="E714" s="10">
        <v>718.215</v>
      </c>
    </row>
    <row r="715" ht="16.5" spans="1:5">
      <c r="A715" s="8">
        <v>3044878.823</v>
      </c>
      <c r="B715" s="8">
        <v>35401272.521</v>
      </c>
      <c r="C715" s="8">
        <v>905.391</v>
      </c>
      <c r="D715" s="11">
        <v>45213</v>
      </c>
      <c r="E715" s="10">
        <v>717.962</v>
      </c>
    </row>
    <row r="716" ht="16.5" spans="1:5">
      <c r="A716" s="8">
        <v>3044878.823</v>
      </c>
      <c r="B716" s="8">
        <v>35401272.521</v>
      </c>
      <c r="C716" s="8">
        <v>905.391</v>
      </c>
      <c r="D716" s="11">
        <v>45214</v>
      </c>
      <c r="E716" s="10">
        <v>718.589</v>
      </c>
    </row>
    <row r="717" ht="16.5" spans="1:5">
      <c r="A717" s="8">
        <v>3044878.823</v>
      </c>
      <c r="B717" s="8">
        <v>35401272.521</v>
      </c>
      <c r="C717" s="8">
        <v>905.391</v>
      </c>
      <c r="D717" s="11">
        <v>45215</v>
      </c>
      <c r="E717" s="10">
        <v>718.812</v>
      </c>
    </row>
    <row r="718" ht="16.5" spans="1:5">
      <c r="A718" s="8">
        <v>3044878.823</v>
      </c>
      <c r="B718" s="8">
        <v>35401272.521</v>
      </c>
      <c r="C718" s="8">
        <v>905.391</v>
      </c>
      <c r="D718" s="11">
        <v>45216</v>
      </c>
      <c r="E718" s="10">
        <v>718.936</v>
      </c>
    </row>
    <row r="719" ht="16.5" spans="1:5">
      <c r="A719" s="8">
        <v>3044878.823</v>
      </c>
      <c r="B719" s="8">
        <v>35401272.521</v>
      </c>
      <c r="C719" s="8">
        <v>905.391</v>
      </c>
      <c r="D719" s="11">
        <v>45217</v>
      </c>
      <c r="E719" s="10">
        <v>719.047</v>
      </c>
    </row>
    <row r="720" ht="16.5" spans="1:5">
      <c r="A720" s="8">
        <v>3044878.823</v>
      </c>
      <c r="B720" s="8">
        <v>35401272.521</v>
      </c>
      <c r="C720" s="8">
        <v>905.391</v>
      </c>
      <c r="D720" s="11">
        <v>45218</v>
      </c>
      <c r="E720" s="10"/>
    </row>
    <row r="721" ht="16.5" spans="1:5">
      <c r="A721" s="8">
        <v>3044878.823</v>
      </c>
      <c r="B721" s="8">
        <v>35401272.521</v>
      </c>
      <c r="C721" s="8">
        <v>905.391</v>
      </c>
      <c r="D721" s="11">
        <v>45219</v>
      </c>
      <c r="E721" s="10">
        <v>719.179</v>
      </c>
    </row>
    <row r="722" ht="16.5" spans="1:5">
      <c r="A722" s="8">
        <v>3044878.823</v>
      </c>
      <c r="B722" s="8">
        <v>35401272.521</v>
      </c>
      <c r="C722" s="8">
        <v>905.391</v>
      </c>
      <c r="D722" s="11">
        <v>45220</v>
      </c>
      <c r="E722" s="10">
        <v>719.264</v>
      </c>
    </row>
    <row r="723" ht="16.5" spans="1:5">
      <c r="A723" s="8">
        <v>3044878.823</v>
      </c>
      <c r="B723" s="8">
        <v>35401272.521</v>
      </c>
      <c r="C723" s="8">
        <v>905.391</v>
      </c>
      <c r="D723" s="11">
        <v>45221</v>
      </c>
      <c r="E723" s="10">
        <v>719.33</v>
      </c>
    </row>
    <row r="724" ht="16.5" spans="1:5">
      <c r="A724" s="8">
        <v>3044878.823</v>
      </c>
      <c r="B724" s="8">
        <v>35401272.521</v>
      </c>
      <c r="C724" s="8">
        <v>905.391</v>
      </c>
      <c r="D724" s="11">
        <v>45222</v>
      </c>
      <c r="E724" s="10">
        <v>719.35</v>
      </c>
    </row>
    <row r="725" ht="16.5" spans="1:5">
      <c r="A725" s="8">
        <v>3044878.823</v>
      </c>
      <c r="B725" s="8">
        <v>35401272.521</v>
      </c>
      <c r="C725" s="8">
        <v>905.391</v>
      </c>
      <c r="D725" s="11">
        <v>45223</v>
      </c>
      <c r="E725" s="10">
        <v>719.336</v>
      </c>
    </row>
    <row r="726" ht="16.5" spans="1:5">
      <c r="A726" s="8">
        <v>3044878.823</v>
      </c>
      <c r="B726" s="8">
        <v>35401272.521</v>
      </c>
      <c r="C726" s="8">
        <v>905.391</v>
      </c>
      <c r="D726" s="11">
        <v>45224</v>
      </c>
      <c r="E726" s="10">
        <v>719.358</v>
      </c>
    </row>
    <row r="727" ht="16.5" spans="1:5">
      <c r="A727" s="8">
        <v>3044878.823</v>
      </c>
      <c r="B727" s="8">
        <v>35401272.521</v>
      </c>
      <c r="C727" s="8">
        <v>905.391</v>
      </c>
      <c r="D727" s="11">
        <v>45225</v>
      </c>
      <c r="E727" s="10">
        <v>718.831</v>
      </c>
    </row>
    <row r="728" ht="16.5" spans="1:5">
      <c r="A728" s="8">
        <v>3044878.823</v>
      </c>
      <c r="B728" s="8">
        <v>35401272.521</v>
      </c>
      <c r="C728" s="8">
        <v>905.391</v>
      </c>
      <c r="D728" s="11">
        <v>45226</v>
      </c>
      <c r="E728" s="10">
        <v>718.05</v>
      </c>
    </row>
    <row r="729" ht="16.5" spans="1:5">
      <c r="A729" s="8">
        <v>3044878.823</v>
      </c>
      <c r="B729" s="8">
        <v>35401272.521</v>
      </c>
      <c r="C729" s="8">
        <v>905.391</v>
      </c>
      <c r="D729" s="11">
        <v>45227</v>
      </c>
      <c r="E729" s="10">
        <v>717.36</v>
      </c>
    </row>
    <row r="730" ht="16.5" spans="1:5">
      <c r="A730" s="8">
        <v>3044878.823</v>
      </c>
      <c r="B730" s="8">
        <v>35401272.521</v>
      </c>
      <c r="C730" s="8">
        <v>905.391</v>
      </c>
      <c r="D730" s="11">
        <v>45228</v>
      </c>
      <c r="E730" s="10">
        <v>717.64</v>
      </c>
    </row>
    <row r="731" ht="16.5" spans="1:5">
      <c r="A731" s="8">
        <v>3044878.823</v>
      </c>
      <c r="B731" s="8">
        <v>35401272.521</v>
      </c>
      <c r="C731" s="8">
        <v>905.391</v>
      </c>
      <c r="D731" s="11">
        <v>45229</v>
      </c>
      <c r="E731" s="10">
        <v>718.13</v>
      </c>
    </row>
    <row r="732" ht="16.5" spans="1:5">
      <c r="A732" s="8">
        <v>3044878.823</v>
      </c>
      <c r="B732" s="8">
        <v>35401272.521</v>
      </c>
      <c r="C732" s="8">
        <v>905.391</v>
      </c>
      <c r="D732" s="11">
        <v>45230</v>
      </c>
      <c r="E732" s="10">
        <v>718.54</v>
      </c>
    </row>
    <row r="733" ht="16.5" spans="1:5">
      <c r="A733" s="8">
        <v>3044878.823</v>
      </c>
      <c r="B733" s="8">
        <v>35401272.521</v>
      </c>
      <c r="C733" s="8">
        <v>905.391</v>
      </c>
      <c r="D733" s="11">
        <v>45231</v>
      </c>
      <c r="E733" s="10">
        <v>718.09</v>
      </c>
    </row>
    <row r="734" ht="16.5" spans="1:5">
      <c r="A734" s="8">
        <v>3044878.823</v>
      </c>
      <c r="B734" s="8">
        <v>35401272.521</v>
      </c>
      <c r="C734" s="8">
        <v>905.391</v>
      </c>
      <c r="D734" s="11">
        <v>45232</v>
      </c>
      <c r="E734" s="10">
        <v>719.054</v>
      </c>
    </row>
    <row r="735" ht="16.5" spans="1:5">
      <c r="A735" s="8">
        <v>3044878.823</v>
      </c>
      <c r="B735" s="8">
        <v>35401272.521</v>
      </c>
      <c r="C735" s="8">
        <v>905.391</v>
      </c>
      <c r="D735" s="11">
        <v>45233</v>
      </c>
      <c r="E735" s="10">
        <v>719.68</v>
      </c>
    </row>
    <row r="736" ht="16.5" spans="1:5">
      <c r="A736" s="8">
        <v>3044878.823</v>
      </c>
      <c r="B736" s="8">
        <v>35401272.521</v>
      </c>
      <c r="C736" s="8">
        <v>905.391</v>
      </c>
      <c r="D736" s="11">
        <v>45234</v>
      </c>
      <c r="E736" s="10">
        <v>719.66</v>
      </c>
    </row>
    <row r="737" ht="16.5" spans="1:5">
      <c r="A737" s="8">
        <v>3044878.823</v>
      </c>
      <c r="B737" s="8">
        <v>35401272.521</v>
      </c>
      <c r="C737" s="8">
        <v>905.391</v>
      </c>
      <c r="D737" s="11">
        <v>45235</v>
      </c>
      <c r="E737" s="10">
        <v>719.68</v>
      </c>
    </row>
    <row r="738" ht="16.5" spans="1:5">
      <c r="A738" s="8">
        <v>3044878.823</v>
      </c>
      <c r="B738" s="8">
        <v>35401272.521</v>
      </c>
      <c r="C738" s="8">
        <v>905.391</v>
      </c>
      <c r="D738" s="11">
        <v>45236</v>
      </c>
      <c r="E738" s="10">
        <v>719.66</v>
      </c>
    </row>
    <row r="739" ht="16.5" spans="1:5">
      <c r="A739" s="8">
        <v>3044878.823</v>
      </c>
      <c r="B739" s="8">
        <v>35401272.521</v>
      </c>
      <c r="C739" s="8">
        <v>905.391</v>
      </c>
      <c r="D739" s="11">
        <v>45237</v>
      </c>
      <c r="E739" s="10">
        <v>719.88</v>
      </c>
    </row>
    <row r="740" ht="16.5" spans="1:5">
      <c r="A740" s="8">
        <v>3044878.823</v>
      </c>
      <c r="B740" s="8">
        <v>35401272.521</v>
      </c>
      <c r="C740" s="8">
        <v>905.391</v>
      </c>
      <c r="D740" s="11">
        <v>45238</v>
      </c>
      <c r="E740" s="10">
        <v>720.07</v>
      </c>
    </row>
    <row r="741" ht="16.5" spans="1:5">
      <c r="A741" s="8">
        <v>3044878.823</v>
      </c>
      <c r="B741" s="8">
        <v>35401272.521</v>
      </c>
      <c r="C741" s="8">
        <v>905.391</v>
      </c>
      <c r="D741" s="11">
        <v>45239</v>
      </c>
      <c r="E741" s="10">
        <v>719.92</v>
      </c>
    </row>
    <row r="742" ht="16.5" spans="1:5">
      <c r="A742" s="8">
        <v>3044878.823</v>
      </c>
      <c r="B742" s="8">
        <v>35401272.521</v>
      </c>
      <c r="C742" s="8">
        <v>905.391</v>
      </c>
      <c r="D742" s="11">
        <v>45240</v>
      </c>
      <c r="E742" s="10">
        <v>720.012</v>
      </c>
    </row>
    <row r="743" ht="16.5" spans="1:5">
      <c r="A743" s="8">
        <v>3044878.823</v>
      </c>
      <c r="B743" s="8">
        <v>35401272.521</v>
      </c>
      <c r="C743" s="8">
        <v>905.391</v>
      </c>
      <c r="D743" s="11">
        <v>45241</v>
      </c>
      <c r="E743" s="10">
        <v>719.96</v>
      </c>
    </row>
    <row r="744" ht="16.5" spans="1:5">
      <c r="A744" s="8">
        <v>3044878.823</v>
      </c>
      <c r="B744" s="8">
        <v>35401272.521</v>
      </c>
      <c r="C744" s="8">
        <v>905.391</v>
      </c>
      <c r="D744" s="11">
        <v>45242</v>
      </c>
      <c r="E744" s="10">
        <v>719.96</v>
      </c>
    </row>
    <row r="745" ht="16.5" spans="1:5">
      <c r="A745" s="8">
        <v>3044878.823</v>
      </c>
      <c r="B745" s="8">
        <v>35401272.521</v>
      </c>
      <c r="C745" s="8">
        <v>905.391</v>
      </c>
      <c r="D745" s="11">
        <v>45243</v>
      </c>
      <c r="E745" s="10">
        <v>719.94</v>
      </c>
    </row>
    <row r="746" ht="16.5" spans="1:5">
      <c r="A746" s="8">
        <v>3044878.823</v>
      </c>
      <c r="B746" s="8">
        <v>35401272.521</v>
      </c>
      <c r="C746" s="8">
        <v>905.391</v>
      </c>
      <c r="D746" s="11">
        <v>45244</v>
      </c>
      <c r="E746" s="10">
        <v>720.02</v>
      </c>
    </row>
    <row r="747" ht="16.5" spans="1:5">
      <c r="A747" s="8">
        <v>3044878.823</v>
      </c>
      <c r="B747" s="8">
        <v>35401272.521</v>
      </c>
      <c r="C747" s="8">
        <v>905.391</v>
      </c>
      <c r="D747" s="11">
        <v>45245</v>
      </c>
      <c r="E747" s="10">
        <v>720.03</v>
      </c>
    </row>
    <row r="748" ht="16.5" spans="1:5">
      <c r="A748" s="8">
        <v>3044878.823</v>
      </c>
      <c r="B748" s="8">
        <v>35401272.521</v>
      </c>
      <c r="C748" s="8">
        <v>905.391</v>
      </c>
      <c r="D748" s="11">
        <v>45246</v>
      </c>
      <c r="E748" s="10">
        <v>720.04</v>
      </c>
    </row>
    <row r="749" ht="16.5" spans="1:5">
      <c r="A749" s="8">
        <v>3044878.823</v>
      </c>
      <c r="B749" s="8">
        <v>35401272.521</v>
      </c>
      <c r="C749" s="8">
        <v>905.391</v>
      </c>
      <c r="D749" s="11">
        <v>45247</v>
      </c>
      <c r="E749" s="10">
        <v>720.17</v>
      </c>
    </row>
    <row r="750" ht="16.5" spans="1:5">
      <c r="A750" s="8">
        <v>3044878.823</v>
      </c>
      <c r="B750" s="8">
        <v>35401272.521</v>
      </c>
      <c r="C750" s="8">
        <v>905.391</v>
      </c>
      <c r="D750" s="11">
        <v>45248</v>
      </c>
      <c r="E750" s="10">
        <v>720.35</v>
      </c>
    </row>
    <row r="751" ht="16.5" spans="1:5">
      <c r="A751" s="8">
        <v>3044878.823</v>
      </c>
      <c r="B751" s="8">
        <v>35401272.521</v>
      </c>
      <c r="C751" s="8">
        <v>905.391</v>
      </c>
      <c r="D751" s="11">
        <v>45249</v>
      </c>
      <c r="E751" s="10">
        <v>720.5</v>
      </c>
    </row>
    <row r="752" ht="16.5" spans="1:5">
      <c r="A752" s="8">
        <v>3044878.823</v>
      </c>
      <c r="B752" s="8">
        <v>35401272.521</v>
      </c>
      <c r="C752" s="8">
        <v>905.391</v>
      </c>
      <c r="D752" s="11">
        <v>45250</v>
      </c>
      <c r="E752" s="10">
        <v>720.58</v>
      </c>
    </row>
    <row r="753" ht="16.5" spans="1:5">
      <c r="A753" s="8">
        <v>3044878.823</v>
      </c>
      <c r="B753" s="8">
        <v>35401272.521</v>
      </c>
      <c r="C753" s="8">
        <v>905.391</v>
      </c>
      <c r="D753" s="11">
        <v>45251</v>
      </c>
      <c r="E753" s="10">
        <v>720.61</v>
      </c>
    </row>
    <row r="754" ht="16.5" spans="1:5">
      <c r="A754" s="8">
        <v>3044878.823</v>
      </c>
      <c r="B754" s="8">
        <v>35401272.521</v>
      </c>
      <c r="C754" s="8">
        <v>905.391</v>
      </c>
      <c r="D754" s="11">
        <v>45252</v>
      </c>
      <c r="E754" s="10">
        <v>720.61</v>
      </c>
    </row>
    <row r="755" ht="16.5" spans="1:5">
      <c r="A755" s="8">
        <v>3044878.823</v>
      </c>
      <c r="B755" s="8">
        <v>35401272.521</v>
      </c>
      <c r="C755" s="8">
        <v>905.391</v>
      </c>
      <c r="D755" s="11">
        <v>45253</v>
      </c>
      <c r="E755" s="10">
        <v>720.63</v>
      </c>
    </row>
    <row r="756" ht="16.5" spans="1:5">
      <c r="A756" s="8">
        <v>3044878.823</v>
      </c>
      <c r="B756" s="8">
        <v>35401272.521</v>
      </c>
      <c r="C756" s="8">
        <v>905.391</v>
      </c>
      <c r="D756" s="11">
        <v>45254</v>
      </c>
      <c r="E756" s="10">
        <v>720.68</v>
      </c>
    </row>
    <row r="757" ht="16.5" spans="1:5">
      <c r="A757" s="8">
        <v>3044878.823</v>
      </c>
      <c r="B757" s="8">
        <v>35401272.521</v>
      </c>
      <c r="C757" s="8">
        <v>905.391</v>
      </c>
      <c r="D757" s="11">
        <v>45255</v>
      </c>
      <c r="E757" s="10"/>
    </row>
    <row r="758" ht="16.5" spans="1:5">
      <c r="A758" s="8">
        <v>3044878.823</v>
      </c>
      <c r="B758" s="8">
        <v>35401272.521</v>
      </c>
      <c r="C758" s="8">
        <v>905.391</v>
      </c>
      <c r="D758" s="11">
        <v>45256</v>
      </c>
      <c r="E758" s="10"/>
    </row>
    <row r="759" ht="16.5" spans="1:5">
      <c r="A759" s="8">
        <v>3044878.823</v>
      </c>
      <c r="B759" s="8">
        <v>35401272.521</v>
      </c>
      <c r="C759" s="8">
        <v>905.391</v>
      </c>
      <c r="D759" s="11">
        <v>45257</v>
      </c>
      <c r="E759" s="10"/>
    </row>
    <row r="760" ht="16.5" spans="1:5">
      <c r="A760" s="8">
        <v>3044878.823</v>
      </c>
      <c r="B760" s="8">
        <v>35401272.521</v>
      </c>
      <c r="C760" s="8">
        <v>905.391</v>
      </c>
      <c r="D760" s="11">
        <v>45258</v>
      </c>
      <c r="E760" s="10">
        <v>720.51</v>
      </c>
    </row>
    <row r="761" ht="16.5" spans="1:5">
      <c r="A761" s="8">
        <v>3044878.823</v>
      </c>
      <c r="B761" s="8">
        <v>35401272.521</v>
      </c>
      <c r="C761" s="8">
        <v>905.391</v>
      </c>
      <c r="D761" s="11">
        <v>45259</v>
      </c>
      <c r="E761" s="10">
        <v>720.44</v>
      </c>
    </row>
    <row r="762" ht="16.5" spans="1:5">
      <c r="A762" s="8">
        <v>3044878.823</v>
      </c>
      <c r="B762" s="8">
        <v>35401272.521</v>
      </c>
      <c r="C762" s="8">
        <v>905.391</v>
      </c>
      <c r="D762" s="11">
        <v>45260</v>
      </c>
      <c r="E762" s="10">
        <v>720.43</v>
      </c>
    </row>
    <row r="763" ht="16.5" spans="1:5">
      <c r="A763" s="8">
        <v>3044878.823</v>
      </c>
      <c r="B763" s="8">
        <v>35401272.521</v>
      </c>
      <c r="C763" s="8">
        <v>905.391</v>
      </c>
      <c r="D763" s="11">
        <v>45261</v>
      </c>
      <c r="E763" s="10">
        <v>720.47</v>
      </c>
    </row>
    <row r="764" ht="16.5" spans="1:5">
      <c r="A764" s="8">
        <v>3044878.823</v>
      </c>
      <c r="B764" s="8">
        <v>35401272.521</v>
      </c>
      <c r="C764" s="8">
        <v>905.391</v>
      </c>
      <c r="D764" s="11">
        <v>45262</v>
      </c>
      <c r="E764" s="10">
        <v>720.42</v>
      </c>
    </row>
    <row r="765" ht="16.5" spans="1:5">
      <c r="A765" s="8">
        <v>3044878.823</v>
      </c>
      <c r="B765" s="8">
        <v>35401272.521</v>
      </c>
      <c r="C765" s="8">
        <v>905.391</v>
      </c>
      <c r="D765" s="11">
        <v>45263</v>
      </c>
      <c r="E765" s="10">
        <v>720.36</v>
      </c>
    </row>
    <row r="766" ht="16.5" spans="1:5">
      <c r="A766" s="8">
        <v>3044878.823</v>
      </c>
      <c r="B766" s="8">
        <v>35401272.521</v>
      </c>
      <c r="C766" s="8">
        <v>905.391</v>
      </c>
      <c r="D766" s="11">
        <v>45264</v>
      </c>
      <c r="E766" s="10">
        <v>720.38</v>
      </c>
    </row>
    <row r="767" ht="16.5" spans="1:5">
      <c r="A767" s="8">
        <v>3044878.823</v>
      </c>
      <c r="B767" s="8">
        <v>35401272.521</v>
      </c>
      <c r="C767" s="8">
        <v>905.391</v>
      </c>
      <c r="D767" s="11">
        <v>45265</v>
      </c>
      <c r="E767" s="10">
        <v>720.41</v>
      </c>
    </row>
    <row r="768" ht="16.5" spans="1:5">
      <c r="A768" s="8">
        <v>3044878.823</v>
      </c>
      <c r="B768" s="8">
        <v>35401272.521</v>
      </c>
      <c r="C768" s="8">
        <v>905.391</v>
      </c>
      <c r="D768" s="11">
        <v>45266</v>
      </c>
      <c r="E768" s="10">
        <v>720.38</v>
      </c>
    </row>
    <row r="769" ht="16.5" spans="1:5">
      <c r="A769" s="8">
        <v>3044878.823</v>
      </c>
      <c r="B769" s="8">
        <v>35401272.521</v>
      </c>
      <c r="C769" s="8">
        <v>905.391</v>
      </c>
      <c r="D769" s="11">
        <v>45267</v>
      </c>
      <c r="E769" s="10">
        <v>720.31</v>
      </c>
    </row>
    <row r="770" ht="16.5" spans="1:5">
      <c r="A770" s="8">
        <v>3044878.823</v>
      </c>
      <c r="B770" s="8">
        <v>35401272.521</v>
      </c>
      <c r="C770" s="8">
        <v>905.391</v>
      </c>
      <c r="D770" s="11">
        <v>45268</v>
      </c>
      <c r="E770" s="10">
        <v>720.327</v>
      </c>
    </row>
    <row r="771" ht="16.5" spans="1:5">
      <c r="A771" s="8">
        <v>3044878.823</v>
      </c>
      <c r="B771" s="8">
        <v>35401272.521</v>
      </c>
      <c r="C771" s="8">
        <v>905.391</v>
      </c>
      <c r="D771" s="11">
        <v>45269</v>
      </c>
      <c r="E771" s="10">
        <v>719.348</v>
      </c>
    </row>
    <row r="772" ht="16.5" spans="1:5">
      <c r="A772" s="8">
        <v>3044878.823</v>
      </c>
      <c r="B772" s="8">
        <v>35401272.521</v>
      </c>
      <c r="C772" s="8">
        <v>905.391</v>
      </c>
      <c r="D772" s="11">
        <v>45270</v>
      </c>
      <c r="E772" s="10">
        <v>719.227</v>
      </c>
    </row>
    <row r="773" ht="16.5" spans="1:5">
      <c r="A773" s="8">
        <v>3044878.823</v>
      </c>
      <c r="B773" s="8">
        <v>35401272.521</v>
      </c>
      <c r="C773" s="8">
        <v>905.391</v>
      </c>
      <c r="D773" s="11">
        <v>45271</v>
      </c>
      <c r="E773" s="10">
        <v>719.101</v>
      </c>
    </row>
    <row r="774" ht="16.5" spans="1:5">
      <c r="A774" s="8">
        <v>3044878.823</v>
      </c>
      <c r="B774" s="8">
        <v>35401272.521</v>
      </c>
      <c r="C774" s="8">
        <v>905.391</v>
      </c>
      <c r="D774" s="11">
        <v>45272</v>
      </c>
      <c r="E774" s="10">
        <v>719.059</v>
      </c>
    </row>
    <row r="775" ht="16.5" spans="1:5">
      <c r="A775" s="8">
        <v>3044878.823</v>
      </c>
      <c r="B775" s="8">
        <v>35401272.521</v>
      </c>
      <c r="C775" s="8">
        <v>905.391</v>
      </c>
      <c r="D775" s="11">
        <v>45273</v>
      </c>
      <c r="E775" s="10">
        <v>719.247</v>
      </c>
    </row>
    <row r="776" ht="16.5" spans="1:5">
      <c r="A776" s="8">
        <v>3044878.823</v>
      </c>
      <c r="B776" s="8">
        <v>35401272.521</v>
      </c>
      <c r="C776" s="8">
        <v>905.391</v>
      </c>
      <c r="D776" s="11">
        <v>45274</v>
      </c>
      <c r="E776" s="10">
        <v>719.24</v>
      </c>
    </row>
    <row r="777" ht="16.5" spans="1:5">
      <c r="A777" s="8">
        <v>3044878.823</v>
      </c>
      <c r="B777" s="8">
        <v>35401272.521</v>
      </c>
      <c r="C777" s="8">
        <v>905.391</v>
      </c>
      <c r="D777" s="11">
        <v>45275</v>
      </c>
      <c r="E777" s="10">
        <v>718.182</v>
      </c>
    </row>
    <row r="778" ht="16.5" spans="1:5">
      <c r="A778" s="8">
        <v>3044878.823</v>
      </c>
      <c r="B778" s="8">
        <v>35401272.521</v>
      </c>
      <c r="C778" s="8">
        <v>905.391</v>
      </c>
      <c r="D778" s="11">
        <v>45276</v>
      </c>
      <c r="E778" s="10">
        <v>717.918</v>
      </c>
    </row>
    <row r="779" ht="16.5" spans="1:5">
      <c r="A779" s="8">
        <v>3044878.823</v>
      </c>
      <c r="B779" s="8">
        <v>35401272.521</v>
      </c>
      <c r="C779" s="8">
        <v>905.391</v>
      </c>
      <c r="D779" s="11">
        <v>45277</v>
      </c>
      <c r="E779" s="10">
        <v>717.914</v>
      </c>
    </row>
    <row r="780" ht="16.5" spans="1:5">
      <c r="A780" s="8">
        <v>3044878.823</v>
      </c>
      <c r="B780" s="8">
        <v>35401272.521</v>
      </c>
      <c r="C780" s="8">
        <v>905.391</v>
      </c>
      <c r="D780" s="11">
        <v>45278</v>
      </c>
      <c r="E780" s="10">
        <v>717.926</v>
      </c>
    </row>
    <row r="781" ht="16.5" spans="1:5">
      <c r="A781" s="8">
        <v>3044878.823</v>
      </c>
      <c r="B781" s="8">
        <v>35401272.521</v>
      </c>
      <c r="C781" s="8">
        <v>905.391</v>
      </c>
      <c r="D781" s="11">
        <v>45279</v>
      </c>
      <c r="E781" s="10">
        <v>717.845</v>
      </c>
    </row>
    <row r="782" ht="16.5" spans="1:5">
      <c r="A782" s="8">
        <v>3044878.823</v>
      </c>
      <c r="B782" s="8">
        <v>35401272.521</v>
      </c>
      <c r="C782" s="8">
        <v>905.391</v>
      </c>
      <c r="D782" s="11">
        <v>45280</v>
      </c>
      <c r="E782" s="10">
        <v>717.801</v>
      </c>
    </row>
    <row r="783" ht="16.5" spans="1:5">
      <c r="A783" s="8">
        <v>3044878.823</v>
      </c>
      <c r="B783" s="8">
        <v>35401272.521</v>
      </c>
      <c r="C783" s="8">
        <v>905.391</v>
      </c>
      <c r="D783" s="11">
        <v>45281</v>
      </c>
      <c r="E783" s="10">
        <v>717.795</v>
      </c>
    </row>
    <row r="784" ht="16.5" spans="1:5">
      <c r="A784" s="8">
        <v>3044878.823</v>
      </c>
      <c r="B784" s="8">
        <v>35401272.521</v>
      </c>
      <c r="C784" s="8">
        <v>905.391</v>
      </c>
      <c r="D784" s="11">
        <v>45282</v>
      </c>
      <c r="E784" s="10">
        <v>717.835</v>
      </c>
    </row>
    <row r="785" ht="16.5" spans="1:5">
      <c r="A785" s="8">
        <v>3044878.823</v>
      </c>
      <c r="B785" s="8">
        <v>35401272.521</v>
      </c>
      <c r="C785" s="8">
        <v>905.391</v>
      </c>
      <c r="D785" s="11">
        <v>45283</v>
      </c>
      <c r="E785" s="10">
        <v>718.427</v>
      </c>
    </row>
    <row r="786" ht="16.5" spans="1:5">
      <c r="A786" s="8">
        <v>3044878.823</v>
      </c>
      <c r="B786" s="8">
        <v>35401272.521</v>
      </c>
      <c r="C786" s="8">
        <v>905.391</v>
      </c>
      <c r="D786" s="11">
        <v>45284</v>
      </c>
      <c r="E786" s="10">
        <v>719.296</v>
      </c>
    </row>
    <row r="787" ht="16.5" spans="1:5">
      <c r="A787" s="8">
        <v>3044878.823</v>
      </c>
      <c r="B787" s="8">
        <v>35401272.521</v>
      </c>
      <c r="C787" s="8">
        <v>905.391</v>
      </c>
      <c r="D787" s="11">
        <v>45285</v>
      </c>
      <c r="E787" s="10">
        <v>719.65</v>
      </c>
    </row>
    <row r="788" ht="16.5" spans="1:5">
      <c r="A788" s="8">
        <v>3044878.823</v>
      </c>
      <c r="B788" s="8">
        <v>35401272.521</v>
      </c>
      <c r="C788" s="8">
        <v>905.391</v>
      </c>
      <c r="D788" s="11">
        <v>45286</v>
      </c>
      <c r="E788" s="10">
        <v>718.466</v>
      </c>
    </row>
    <row r="789" ht="16.5" spans="1:5">
      <c r="A789" s="8">
        <v>3044878.823</v>
      </c>
      <c r="B789" s="8">
        <v>35401272.521</v>
      </c>
      <c r="C789" s="8">
        <v>905.391</v>
      </c>
      <c r="D789" s="11">
        <v>45287</v>
      </c>
      <c r="E789" s="10">
        <v>718.271</v>
      </c>
    </row>
    <row r="790" ht="16.5" spans="1:5">
      <c r="A790" s="8">
        <v>3044878.823</v>
      </c>
      <c r="B790" s="8">
        <v>35401272.521</v>
      </c>
      <c r="C790" s="8">
        <v>905.391</v>
      </c>
      <c r="D790" s="11">
        <v>45288</v>
      </c>
      <c r="E790" s="10">
        <v>718.474</v>
      </c>
    </row>
    <row r="791" ht="16.5" spans="1:5">
      <c r="A791" s="8">
        <v>3044878.823</v>
      </c>
      <c r="B791" s="8">
        <v>35401272.521</v>
      </c>
      <c r="C791" s="8">
        <v>905.391</v>
      </c>
      <c r="D791" s="11">
        <v>45289</v>
      </c>
      <c r="E791" s="10">
        <v>718.174</v>
      </c>
    </row>
    <row r="792" ht="16.5" spans="1:5">
      <c r="A792" s="8">
        <v>3044878.823</v>
      </c>
      <c r="B792" s="8">
        <v>35401272.521</v>
      </c>
      <c r="C792" s="8">
        <v>905.391</v>
      </c>
      <c r="D792" s="11">
        <v>45290</v>
      </c>
      <c r="E792" s="10">
        <v>719.766</v>
      </c>
    </row>
    <row r="793" ht="16.5" spans="1:5">
      <c r="A793" s="8">
        <v>3044878.823</v>
      </c>
      <c r="B793" s="8">
        <v>35401272.521</v>
      </c>
      <c r="C793" s="8">
        <v>905.391</v>
      </c>
      <c r="D793" s="11">
        <v>45291</v>
      </c>
      <c r="E793" s="10">
        <v>719.938</v>
      </c>
    </row>
    <row r="794" ht="16.5" spans="1:5">
      <c r="A794" s="8">
        <v>3044878.823</v>
      </c>
      <c r="B794" s="8">
        <v>35401272.521</v>
      </c>
      <c r="C794" s="8">
        <v>905.391</v>
      </c>
      <c r="D794" s="11">
        <v>45292</v>
      </c>
      <c r="E794" s="10">
        <v>720.051</v>
      </c>
    </row>
    <row r="795" ht="16.5" spans="1:5">
      <c r="A795" s="8">
        <v>3044878.823</v>
      </c>
      <c r="B795" s="8">
        <v>35401272.521</v>
      </c>
      <c r="C795" s="8">
        <v>905.391</v>
      </c>
      <c r="D795" s="11">
        <v>45293</v>
      </c>
      <c r="E795" s="10">
        <v>720.11</v>
      </c>
    </row>
    <row r="796" ht="16.5" spans="1:5">
      <c r="A796" s="8">
        <v>3044878.823</v>
      </c>
      <c r="B796" s="8">
        <v>35401272.521</v>
      </c>
      <c r="C796" s="8">
        <v>905.391</v>
      </c>
      <c r="D796" s="11">
        <v>45294</v>
      </c>
      <c r="E796" s="10">
        <v>720.109</v>
      </c>
    </row>
    <row r="797" ht="16.5" spans="1:5">
      <c r="A797" s="8">
        <v>3044878.823</v>
      </c>
      <c r="B797" s="8">
        <v>35401272.521</v>
      </c>
      <c r="C797" s="8">
        <v>905.391</v>
      </c>
      <c r="D797" s="11">
        <v>45295</v>
      </c>
      <c r="E797" s="18">
        <v>719.994</v>
      </c>
    </row>
    <row r="798" ht="16.5" spans="1:5">
      <c r="A798" s="8">
        <v>3044878.823</v>
      </c>
      <c r="B798" s="8">
        <v>35401272.521</v>
      </c>
      <c r="C798" s="8">
        <v>905.391</v>
      </c>
      <c r="D798" s="11">
        <v>45296</v>
      </c>
      <c r="E798" s="18">
        <v>719.976</v>
      </c>
    </row>
    <row r="799" ht="16.5" spans="1:5">
      <c r="A799" s="8">
        <v>3044878.823</v>
      </c>
      <c r="B799" s="8">
        <v>35401272.521</v>
      </c>
      <c r="C799" s="8">
        <v>905.391</v>
      </c>
      <c r="D799" s="11">
        <v>45297</v>
      </c>
      <c r="E799" s="18">
        <v>720.073</v>
      </c>
    </row>
    <row r="800" ht="16.5" spans="1:5">
      <c r="A800" s="8">
        <v>3044878.823</v>
      </c>
      <c r="B800" s="8">
        <v>35401272.521</v>
      </c>
      <c r="C800" s="8">
        <v>905.391</v>
      </c>
      <c r="D800" s="11">
        <v>45298</v>
      </c>
      <c r="E800" s="19">
        <v>719.909</v>
      </c>
    </row>
    <row r="801" ht="16.5" spans="1:5">
      <c r="A801" s="8">
        <v>3044878.823</v>
      </c>
      <c r="B801" s="8">
        <v>35401272.521</v>
      </c>
      <c r="C801" s="8">
        <v>905.391</v>
      </c>
      <c r="D801" s="11">
        <v>45299</v>
      </c>
      <c r="E801" s="19">
        <v>717.383</v>
      </c>
    </row>
    <row r="802" ht="16.5" spans="1:5">
      <c r="A802" s="8">
        <v>3044878.823</v>
      </c>
      <c r="B802" s="8">
        <v>35401272.521</v>
      </c>
      <c r="C802" s="8">
        <v>905.391</v>
      </c>
      <c r="D802" s="11">
        <v>45300</v>
      </c>
      <c r="E802" s="19">
        <v>716.528</v>
      </c>
    </row>
    <row r="803" ht="16.5" spans="1:5">
      <c r="A803" s="8">
        <v>3044878.823</v>
      </c>
      <c r="B803" s="8">
        <v>35401272.521</v>
      </c>
      <c r="C803" s="8">
        <v>905.391</v>
      </c>
      <c r="D803" s="11">
        <v>45301</v>
      </c>
      <c r="E803" s="19">
        <v>715.472</v>
      </c>
    </row>
    <row r="804" ht="16.5" spans="1:5">
      <c r="A804" s="8">
        <v>3044878.823</v>
      </c>
      <c r="B804" s="8">
        <v>35401272.521</v>
      </c>
      <c r="C804" s="8">
        <v>905.391</v>
      </c>
      <c r="D804" s="11">
        <v>45302</v>
      </c>
      <c r="E804" s="18">
        <v>715.527</v>
      </c>
    </row>
    <row r="805" ht="16.5" spans="1:5">
      <c r="A805" s="8">
        <v>3044878.823</v>
      </c>
      <c r="B805" s="8">
        <v>35401272.521</v>
      </c>
      <c r="C805" s="8">
        <v>905.391</v>
      </c>
      <c r="D805" s="11">
        <v>45303</v>
      </c>
      <c r="E805" s="18">
        <v>715.453</v>
      </c>
    </row>
    <row r="806" ht="16.5" spans="1:5">
      <c r="A806" s="8">
        <v>3044878.823</v>
      </c>
      <c r="B806" s="8">
        <v>35401272.521</v>
      </c>
      <c r="C806" s="8">
        <v>905.391</v>
      </c>
      <c r="D806" s="11">
        <v>45304</v>
      </c>
      <c r="E806" s="18">
        <v>715.385</v>
      </c>
    </row>
    <row r="807" ht="16.5" spans="1:5">
      <c r="A807" s="8">
        <v>3044878.823</v>
      </c>
      <c r="B807" s="8">
        <v>35401272.521</v>
      </c>
      <c r="C807" s="8">
        <v>905.391</v>
      </c>
      <c r="D807" s="11">
        <v>45305</v>
      </c>
      <c r="E807" s="18">
        <v>715.304</v>
      </c>
    </row>
    <row r="808" ht="16.5" spans="1:5">
      <c r="A808" s="8">
        <v>3044878.823</v>
      </c>
      <c r="B808" s="8">
        <v>35401272.521</v>
      </c>
      <c r="C808" s="8">
        <v>905.391</v>
      </c>
      <c r="D808" s="11">
        <v>45306</v>
      </c>
      <c r="E808" s="18">
        <v>715.305</v>
      </c>
    </row>
    <row r="809" ht="16.5" spans="1:5">
      <c r="A809" s="8">
        <v>3044878.823</v>
      </c>
      <c r="B809" s="8">
        <v>35401272.521</v>
      </c>
      <c r="C809" s="8">
        <v>905.391</v>
      </c>
      <c r="D809" s="11">
        <v>45307</v>
      </c>
      <c r="E809" s="18">
        <v>715.248</v>
      </c>
    </row>
    <row r="810" ht="16.5" spans="1:5">
      <c r="A810" s="8">
        <v>3044878.823</v>
      </c>
      <c r="B810" s="8">
        <v>35401272.521</v>
      </c>
      <c r="C810" s="8">
        <v>905.391</v>
      </c>
      <c r="D810" s="11">
        <v>45308</v>
      </c>
      <c r="E810" s="18">
        <v>715.169</v>
      </c>
    </row>
    <row r="811" ht="16.5" spans="1:5">
      <c r="A811" s="8">
        <v>3044878.823</v>
      </c>
      <c r="B811" s="8">
        <v>35401272.521</v>
      </c>
      <c r="C811" s="8">
        <v>905.391</v>
      </c>
      <c r="D811" s="11">
        <v>45309</v>
      </c>
      <c r="E811" s="18">
        <v>715.111</v>
      </c>
    </row>
    <row r="812" ht="16.5" spans="1:5">
      <c r="A812" s="8">
        <v>3044878.823</v>
      </c>
      <c r="B812" s="8">
        <v>35401272.521</v>
      </c>
      <c r="C812" s="8">
        <v>905.391</v>
      </c>
      <c r="D812" s="11">
        <v>45310</v>
      </c>
      <c r="E812" s="18">
        <v>714.981</v>
      </c>
    </row>
    <row r="813" ht="16.5" spans="1:5">
      <c r="A813" s="8">
        <v>3044878.823</v>
      </c>
      <c r="B813" s="8">
        <v>35401272.521</v>
      </c>
      <c r="C813" s="8">
        <v>905.391</v>
      </c>
      <c r="D813" s="11">
        <v>45311</v>
      </c>
      <c r="E813" s="18">
        <v>714.833</v>
      </c>
    </row>
    <row r="814" ht="16.5" spans="1:5">
      <c r="A814" s="8">
        <v>3044878.823</v>
      </c>
      <c r="B814" s="8">
        <v>35401272.521</v>
      </c>
      <c r="C814" s="8">
        <v>905.391</v>
      </c>
      <c r="D814" s="11">
        <v>45312</v>
      </c>
      <c r="E814" s="18">
        <v>714.807</v>
      </c>
    </row>
    <row r="815" ht="16.5" spans="1:5">
      <c r="A815" s="8">
        <v>3044878.823</v>
      </c>
      <c r="B815" s="8">
        <v>35401272.521</v>
      </c>
      <c r="C815" s="8">
        <v>905.391</v>
      </c>
      <c r="D815" s="11">
        <v>45313</v>
      </c>
      <c r="E815" s="18">
        <v>714.631</v>
      </c>
    </row>
    <row r="816" ht="16.5" spans="1:5">
      <c r="A816" s="8">
        <v>3044878.823</v>
      </c>
      <c r="B816" s="8">
        <v>35401272.521</v>
      </c>
      <c r="C816" s="8">
        <v>905.391</v>
      </c>
      <c r="D816" s="11">
        <v>45314</v>
      </c>
      <c r="E816" s="18">
        <v>713.667</v>
      </c>
    </row>
    <row r="817" ht="16.5" spans="1:5">
      <c r="A817" s="8">
        <v>3044878.823</v>
      </c>
      <c r="B817" s="8">
        <v>35401272.521</v>
      </c>
      <c r="C817" s="8">
        <v>905.391</v>
      </c>
      <c r="D817" s="11">
        <v>45315</v>
      </c>
      <c r="E817" s="18">
        <v>712.001</v>
      </c>
    </row>
    <row r="818" ht="16.5" spans="1:5">
      <c r="A818" s="8">
        <v>3044878.823</v>
      </c>
      <c r="B818" s="8">
        <v>35401272.521</v>
      </c>
      <c r="C818" s="8">
        <v>905.391</v>
      </c>
      <c r="D818" s="11">
        <v>45316</v>
      </c>
      <c r="E818" s="18">
        <v>711.598</v>
      </c>
    </row>
    <row r="819" ht="16.5" spans="1:5">
      <c r="A819" s="8">
        <v>3044878.823</v>
      </c>
      <c r="B819" s="8">
        <v>35401272.521</v>
      </c>
      <c r="C819" s="8">
        <v>905.391</v>
      </c>
      <c r="D819" s="11">
        <v>45317</v>
      </c>
      <c r="E819" s="18">
        <v>710.807</v>
      </c>
    </row>
    <row r="820" ht="16.5" spans="1:5">
      <c r="A820" s="8">
        <v>3044878.823</v>
      </c>
      <c r="B820" s="8">
        <v>35401272.521</v>
      </c>
      <c r="C820" s="8">
        <v>905.391</v>
      </c>
      <c r="D820" s="11">
        <v>45318</v>
      </c>
      <c r="E820" s="18">
        <v>710.471</v>
      </c>
    </row>
    <row r="821" ht="16.5" spans="1:5">
      <c r="A821" s="8">
        <v>3044878.823</v>
      </c>
      <c r="B821" s="8">
        <v>35401272.521</v>
      </c>
      <c r="C821" s="8">
        <v>905.391</v>
      </c>
      <c r="D821" s="11">
        <v>45319</v>
      </c>
      <c r="E821" s="18">
        <v>711.972</v>
      </c>
    </row>
    <row r="822" ht="16.5" spans="1:5">
      <c r="A822" s="8">
        <v>3044878.823</v>
      </c>
      <c r="B822" s="8">
        <v>35401272.521</v>
      </c>
      <c r="C822" s="8">
        <v>905.391</v>
      </c>
      <c r="D822" s="11">
        <v>45320</v>
      </c>
      <c r="E822" s="18">
        <v>712.037</v>
      </c>
    </row>
    <row r="823" ht="16.5" spans="1:5">
      <c r="A823" s="8">
        <v>3044878.823</v>
      </c>
      <c r="B823" s="8">
        <v>35401272.521</v>
      </c>
      <c r="C823" s="8">
        <v>905.391</v>
      </c>
      <c r="D823" s="11">
        <v>45321</v>
      </c>
      <c r="E823" s="18">
        <v>711.979</v>
      </c>
    </row>
    <row r="824" ht="16.5" spans="1:5">
      <c r="A824" s="8">
        <v>3044878.823</v>
      </c>
      <c r="B824" s="8">
        <v>35401272.521</v>
      </c>
      <c r="C824" s="8">
        <v>905.391</v>
      </c>
      <c r="D824" s="11">
        <v>45322</v>
      </c>
      <c r="E824" s="18">
        <v>711.903</v>
      </c>
    </row>
    <row r="825" ht="16.5" spans="1:5">
      <c r="A825" s="8">
        <v>3044878.823</v>
      </c>
      <c r="B825" s="8">
        <v>35401272.521</v>
      </c>
      <c r="C825" s="8">
        <v>905.391</v>
      </c>
      <c r="D825" s="11">
        <v>45323</v>
      </c>
      <c r="E825" s="18">
        <v>711.746</v>
      </c>
    </row>
    <row r="826" ht="16.5" spans="1:5">
      <c r="A826" s="8">
        <v>3044878.823</v>
      </c>
      <c r="B826" s="8">
        <v>35401272.521</v>
      </c>
      <c r="C826" s="8">
        <v>905.391</v>
      </c>
      <c r="D826" s="11">
        <v>45324</v>
      </c>
      <c r="E826" s="18">
        <v>711.074</v>
      </c>
    </row>
    <row r="827" ht="16.5" spans="1:5">
      <c r="A827" s="8">
        <v>3044878.823</v>
      </c>
      <c r="B827" s="8">
        <v>35401272.521</v>
      </c>
      <c r="C827" s="8">
        <v>905.391</v>
      </c>
      <c r="D827" s="11">
        <v>45325</v>
      </c>
      <c r="E827" s="18">
        <v>711.506</v>
      </c>
    </row>
    <row r="828" ht="16.5" spans="1:5">
      <c r="A828" s="8">
        <v>3044878.823</v>
      </c>
      <c r="B828" s="8">
        <v>35401272.521</v>
      </c>
      <c r="C828" s="8">
        <v>905.391</v>
      </c>
      <c r="D828" s="11">
        <v>45326</v>
      </c>
      <c r="E828" s="18">
        <v>711.488</v>
      </c>
    </row>
    <row r="829" ht="16.5" spans="1:5">
      <c r="A829" s="8">
        <v>3044878.823</v>
      </c>
      <c r="B829" s="8">
        <v>35401272.521</v>
      </c>
      <c r="C829" s="8">
        <v>905.391</v>
      </c>
      <c r="D829" s="11">
        <v>45327</v>
      </c>
      <c r="E829" s="18">
        <v>711.715</v>
      </c>
    </row>
    <row r="830" ht="16.5" spans="1:5">
      <c r="A830" s="8">
        <v>3044878.823</v>
      </c>
      <c r="B830" s="8">
        <v>35401272.521</v>
      </c>
      <c r="C830" s="8">
        <v>905.391</v>
      </c>
      <c r="D830" s="11">
        <v>45328</v>
      </c>
      <c r="E830" s="18">
        <v>711.776</v>
      </c>
    </row>
    <row r="831" ht="16.5" spans="1:5">
      <c r="A831" s="8">
        <v>3044878.823</v>
      </c>
      <c r="B831" s="8">
        <v>35401272.521</v>
      </c>
      <c r="C831" s="8">
        <v>905.391</v>
      </c>
      <c r="D831" s="11">
        <v>45329</v>
      </c>
      <c r="E831" s="18">
        <v>711.811</v>
      </c>
    </row>
    <row r="832" ht="16.5" spans="1:5">
      <c r="A832" s="8">
        <v>3044878.823</v>
      </c>
      <c r="B832" s="8">
        <v>35401272.521</v>
      </c>
      <c r="C832" s="8">
        <v>905.391</v>
      </c>
      <c r="D832" s="11">
        <v>45330</v>
      </c>
      <c r="E832" s="18">
        <v>711.813</v>
      </c>
    </row>
    <row r="833" ht="16.5" spans="1:5">
      <c r="A833" s="8">
        <v>3044878.823</v>
      </c>
      <c r="B833" s="8">
        <v>35401272.521</v>
      </c>
      <c r="C833" s="8">
        <v>905.391</v>
      </c>
      <c r="D833" s="11">
        <v>45331</v>
      </c>
      <c r="E833" s="18">
        <v>711.776</v>
      </c>
    </row>
    <row r="834" ht="16.5" spans="1:5">
      <c r="A834" s="8">
        <v>3044878.823</v>
      </c>
      <c r="B834" s="8">
        <v>35401272.521</v>
      </c>
      <c r="C834" s="8">
        <v>905.391</v>
      </c>
      <c r="D834" s="11">
        <v>45332</v>
      </c>
      <c r="E834" s="18">
        <v>711.822</v>
      </c>
    </row>
    <row r="835" ht="16.5" spans="1:5">
      <c r="A835" s="8">
        <v>3044878.823</v>
      </c>
      <c r="B835" s="8">
        <v>35401272.521</v>
      </c>
      <c r="C835" s="8">
        <v>905.391</v>
      </c>
      <c r="D835" s="11">
        <v>45333</v>
      </c>
      <c r="E835" s="18">
        <v>711.866</v>
      </c>
    </row>
    <row r="836" ht="16.5" spans="1:5">
      <c r="A836" s="8">
        <v>3044878.823</v>
      </c>
      <c r="B836" s="8">
        <v>35401272.521</v>
      </c>
      <c r="C836" s="8">
        <v>905.391</v>
      </c>
      <c r="D836" s="11">
        <v>45334</v>
      </c>
      <c r="E836" s="18">
        <v>711.908</v>
      </c>
    </row>
    <row r="837" ht="16.5" spans="1:5">
      <c r="A837" s="8">
        <v>3044878.823</v>
      </c>
      <c r="B837" s="8">
        <v>35401272.521</v>
      </c>
      <c r="C837" s="8">
        <v>905.391</v>
      </c>
      <c r="D837" s="11">
        <v>45335</v>
      </c>
      <c r="E837" s="18">
        <v>711.897</v>
      </c>
    </row>
    <row r="838" ht="16.5" spans="1:5">
      <c r="A838" s="8">
        <v>3044878.823</v>
      </c>
      <c r="B838" s="8">
        <v>35401272.521</v>
      </c>
      <c r="C838" s="8">
        <v>905.391</v>
      </c>
      <c r="D838" s="11">
        <v>45336</v>
      </c>
      <c r="E838" s="20">
        <v>711.896</v>
      </c>
    </row>
    <row r="839" ht="16.5" spans="1:5">
      <c r="A839" s="8">
        <v>3044878.823</v>
      </c>
      <c r="B839" s="8">
        <v>35401272.521</v>
      </c>
      <c r="C839" s="8">
        <v>905.391</v>
      </c>
      <c r="D839" s="11">
        <v>45337</v>
      </c>
      <c r="E839" s="12"/>
    </row>
    <row r="840" ht="16.5" spans="1:5">
      <c r="A840" s="8">
        <v>3044878.823</v>
      </c>
      <c r="B840" s="8">
        <v>35401272.521</v>
      </c>
      <c r="C840" s="8">
        <v>905.391</v>
      </c>
      <c r="D840" s="11">
        <v>45338</v>
      </c>
      <c r="E840" s="12"/>
    </row>
    <row r="841" ht="16.5" spans="1:5">
      <c r="A841" s="8">
        <v>3044878.823</v>
      </c>
      <c r="B841" s="8">
        <v>35401272.521</v>
      </c>
      <c r="C841" s="8">
        <v>905.391</v>
      </c>
      <c r="D841" s="11">
        <v>45339</v>
      </c>
      <c r="E841" s="12"/>
    </row>
    <row r="842" ht="16.5" spans="1:5">
      <c r="A842" s="8">
        <v>3044878.823</v>
      </c>
      <c r="B842" s="8">
        <v>35401272.521</v>
      </c>
      <c r="C842" s="8">
        <v>905.391</v>
      </c>
      <c r="D842" s="11">
        <v>45340</v>
      </c>
      <c r="E842" s="12"/>
    </row>
    <row r="843" ht="16.5" spans="1:5">
      <c r="A843" s="8">
        <v>3044878.823</v>
      </c>
      <c r="B843" s="8">
        <v>35401272.521</v>
      </c>
      <c r="C843" s="8">
        <v>905.391</v>
      </c>
      <c r="D843" s="11">
        <v>45341</v>
      </c>
      <c r="E843" s="18"/>
    </row>
    <row r="844" ht="16.5" spans="1:5">
      <c r="A844" s="8">
        <v>3044878.823</v>
      </c>
      <c r="B844" s="8">
        <v>35401272.521</v>
      </c>
      <c r="C844" s="8">
        <v>905.391</v>
      </c>
      <c r="D844" s="11">
        <v>45342</v>
      </c>
      <c r="E844" s="18"/>
    </row>
    <row r="845" ht="16.5" spans="1:5">
      <c r="A845" s="8">
        <v>3044878.823</v>
      </c>
      <c r="B845" s="8">
        <v>35401272.521</v>
      </c>
      <c r="C845" s="8">
        <v>905.391</v>
      </c>
      <c r="D845" s="11">
        <v>45343</v>
      </c>
      <c r="E845" s="18"/>
    </row>
    <row r="846" ht="16.5" spans="1:5">
      <c r="A846" s="8">
        <v>3044878.823</v>
      </c>
      <c r="B846" s="8">
        <v>35401272.521</v>
      </c>
      <c r="C846" s="8">
        <v>905.391</v>
      </c>
      <c r="D846" s="11">
        <v>45344</v>
      </c>
      <c r="E846" s="18"/>
    </row>
    <row r="847" ht="16.5" spans="1:5">
      <c r="A847" s="8">
        <v>3044878.823</v>
      </c>
      <c r="B847" s="8">
        <v>35401272.521</v>
      </c>
      <c r="C847" s="8">
        <v>905.391</v>
      </c>
      <c r="D847" s="11">
        <v>45345</v>
      </c>
      <c r="E847" s="18"/>
    </row>
    <row r="848" ht="16.5" spans="1:5">
      <c r="A848" s="8">
        <v>3044878.823</v>
      </c>
      <c r="B848" s="8">
        <v>35401272.521</v>
      </c>
      <c r="C848" s="8">
        <v>905.391</v>
      </c>
      <c r="D848" s="11">
        <v>45346</v>
      </c>
      <c r="E848" s="18"/>
    </row>
    <row r="849" ht="16.5" spans="1:5">
      <c r="A849" s="8">
        <v>3044878.823</v>
      </c>
      <c r="B849" s="8">
        <v>35401272.521</v>
      </c>
      <c r="C849" s="8">
        <v>905.391</v>
      </c>
      <c r="D849" s="11">
        <v>45347</v>
      </c>
      <c r="E849" s="18"/>
    </row>
    <row r="850" ht="16.5" spans="1:5">
      <c r="A850" s="8">
        <v>3044878.823</v>
      </c>
      <c r="B850" s="8">
        <v>35401272.521</v>
      </c>
      <c r="C850" s="8">
        <v>905.391</v>
      </c>
      <c r="D850" s="11">
        <v>45348</v>
      </c>
      <c r="E850" s="18"/>
    </row>
    <row r="851" ht="16.5" spans="1:5">
      <c r="A851" s="8">
        <v>3044878.823</v>
      </c>
      <c r="B851" s="8">
        <v>35401272.521</v>
      </c>
      <c r="C851" s="8">
        <v>905.391</v>
      </c>
      <c r="D851" s="11">
        <v>45349</v>
      </c>
      <c r="E851" s="18"/>
    </row>
    <row r="852" ht="16.5" spans="1:5">
      <c r="A852" s="8">
        <v>3044878.823</v>
      </c>
      <c r="B852" s="8">
        <v>35401272.521</v>
      </c>
      <c r="C852" s="8">
        <v>905.391</v>
      </c>
      <c r="D852" s="11">
        <v>45350</v>
      </c>
      <c r="E852" s="18"/>
    </row>
    <row r="853" ht="16.5" spans="1:5">
      <c r="A853" s="8">
        <v>3044878.823</v>
      </c>
      <c r="B853" s="8">
        <v>35401272.521</v>
      </c>
      <c r="C853" s="8">
        <v>905.391</v>
      </c>
      <c r="D853" s="11">
        <v>45351</v>
      </c>
      <c r="E853" s="18"/>
    </row>
    <row r="854" ht="16.5" spans="1:5">
      <c r="A854" s="8">
        <v>3044878.823</v>
      </c>
      <c r="B854" s="8">
        <v>35401272.521</v>
      </c>
      <c r="C854" s="8">
        <v>905.391</v>
      </c>
      <c r="D854" s="11">
        <v>45352</v>
      </c>
      <c r="E854" s="18"/>
    </row>
    <row r="855" ht="16.5" spans="1:5">
      <c r="A855" s="8">
        <v>3044878.823</v>
      </c>
      <c r="B855" s="8">
        <v>35401272.521</v>
      </c>
      <c r="C855" s="8">
        <v>905.391</v>
      </c>
      <c r="D855" s="11">
        <v>45353</v>
      </c>
      <c r="E855" s="18"/>
    </row>
    <row r="856" ht="16.5" spans="1:5">
      <c r="A856" s="8">
        <v>3044878.823</v>
      </c>
      <c r="B856" s="8">
        <v>35401272.521</v>
      </c>
      <c r="C856" s="8">
        <v>905.391</v>
      </c>
      <c r="D856" s="11">
        <v>45354</v>
      </c>
      <c r="E856" s="18"/>
    </row>
    <row r="857" ht="16.5" spans="1:5">
      <c r="A857" s="8">
        <v>3044878.823</v>
      </c>
      <c r="B857" s="8">
        <v>35401272.521</v>
      </c>
      <c r="C857" s="8">
        <v>905.391</v>
      </c>
      <c r="D857" s="11">
        <v>45355</v>
      </c>
      <c r="E857" s="18"/>
    </row>
    <row r="858" ht="16.5" spans="1:5">
      <c r="A858" s="8">
        <v>3044878.823</v>
      </c>
      <c r="B858" s="8">
        <v>35401272.521</v>
      </c>
      <c r="C858" s="8">
        <v>905.391</v>
      </c>
      <c r="D858" s="11">
        <v>45356</v>
      </c>
      <c r="E858" s="18"/>
    </row>
    <row r="859" ht="16.5" spans="1:5">
      <c r="A859" s="8">
        <v>3044878.823</v>
      </c>
      <c r="B859" s="8">
        <v>35401272.521</v>
      </c>
      <c r="C859" s="8">
        <v>905.391</v>
      </c>
      <c r="D859" s="11">
        <v>45357</v>
      </c>
      <c r="E859" s="18"/>
    </row>
    <row r="860" ht="16.5" spans="1:5">
      <c r="A860" s="8">
        <v>3044878.823</v>
      </c>
      <c r="B860" s="8">
        <v>35401272.521</v>
      </c>
      <c r="C860" s="8">
        <v>905.391</v>
      </c>
      <c r="D860" s="11">
        <v>45358</v>
      </c>
      <c r="E860" s="18"/>
    </row>
    <row r="861" ht="16.5" spans="1:5">
      <c r="A861" s="8">
        <v>3044878.823</v>
      </c>
      <c r="B861" s="8">
        <v>35401272.521</v>
      </c>
      <c r="C861" s="8">
        <v>905.391</v>
      </c>
      <c r="D861" s="11">
        <v>45359</v>
      </c>
      <c r="E861" s="18"/>
    </row>
    <row r="862" ht="16.5" spans="1:5">
      <c r="A862" s="8">
        <v>3044878.823</v>
      </c>
      <c r="B862" s="8">
        <v>35401272.521</v>
      </c>
      <c r="C862" s="8">
        <v>905.391</v>
      </c>
      <c r="D862" s="11">
        <v>45360</v>
      </c>
      <c r="E862" s="18"/>
    </row>
    <row r="863" ht="16.5" spans="1:5">
      <c r="A863" s="8">
        <v>3044878.823</v>
      </c>
      <c r="B863" s="8">
        <v>35401272.521</v>
      </c>
      <c r="C863" s="8">
        <v>905.391</v>
      </c>
      <c r="D863" s="11">
        <v>45361</v>
      </c>
      <c r="E863" s="18"/>
    </row>
    <row r="864" ht="16.5" spans="1:5">
      <c r="A864" s="8">
        <v>3044878.823</v>
      </c>
      <c r="B864" s="8">
        <v>35401272.521</v>
      </c>
      <c r="C864" s="8">
        <v>905.391</v>
      </c>
      <c r="D864" s="11">
        <v>45362</v>
      </c>
      <c r="E864" s="18"/>
    </row>
    <row r="865" ht="16.5" spans="1:5">
      <c r="A865" s="8">
        <v>3044878.823</v>
      </c>
      <c r="B865" s="8">
        <v>35401272.521</v>
      </c>
      <c r="C865" s="8">
        <v>905.391</v>
      </c>
      <c r="D865" s="11">
        <v>45363</v>
      </c>
      <c r="E865" s="18"/>
    </row>
    <row r="866" ht="16.5" spans="1:5">
      <c r="A866" s="8">
        <v>3044878.823</v>
      </c>
      <c r="B866" s="8">
        <v>35401272.521</v>
      </c>
      <c r="C866" s="8">
        <v>905.391</v>
      </c>
      <c r="D866" s="11">
        <v>45364</v>
      </c>
      <c r="E866" s="18"/>
    </row>
    <row r="867" ht="16.5" spans="1:5">
      <c r="A867" s="8">
        <v>3044878.823</v>
      </c>
      <c r="B867" s="8">
        <v>35401272.521</v>
      </c>
      <c r="C867" s="8">
        <v>905.391</v>
      </c>
      <c r="D867" s="11">
        <v>45365</v>
      </c>
      <c r="E867" s="18"/>
    </row>
    <row r="868" ht="16.5" spans="1:5">
      <c r="A868" s="8">
        <v>3044878.823</v>
      </c>
      <c r="B868" s="8">
        <v>35401272.521</v>
      </c>
      <c r="C868" s="8">
        <v>905.391</v>
      </c>
      <c r="D868" s="11">
        <v>45366</v>
      </c>
      <c r="E868" s="18"/>
    </row>
    <row r="869" ht="16.5" spans="1:5">
      <c r="A869" s="8">
        <v>3044878.823</v>
      </c>
      <c r="B869" s="8">
        <v>35401272.521</v>
      </c>
      <c r="C869" s="8">
        <v>905.391</v>
      </c>
      <c r="D869" s="11">
        <v>45367</v>
      </c>
      <c r="E869" s="18"/>
    </row>
    <row r="870" ht="16.5" spans="1:5">
      <c r="A870" s="8">
        <v>3044878.823</v>
      </c>
      <c r="B870" s="8">
        <v>35401272.521</v>
      </c>
      <c r="C870" s="8">
        <v>905.391</v>
      </c>
      <c r="D870" s="11">
        <v>45368</v>
      </c>
      <c r="E870" s="18"/>
    </row>
    <row r="871" ht="16.5" spans="1:5">
      <c r="A871" s="8">
        <v>3044878.823</v>
      </c>
      <c r="B871" s="8">
        <v>35401272.521</v>
      </c>
      <c r="C871" s="8">
        <v>905.391</v>
      </c>
      <c r="D871" s="11">
        <v>45369</v>
      </c>
      <c r="E871" s="18"/>
    </row>
    <row r="872" ht="16.5" spans="1:5">
      <c r="A872" s="8">
        <v>3044878.823</v>
      </c>
      <c r="B872" s="8">
        <v>35401272.521</v>
      </c>
      <c r="C872" s="8">
        <v>905.391</v>
      </c>
      <c r="D872" s="11">
        <v>45370</v>
      </c>
      <c r="E872" s="18"/>
    </row>
    <row r="873" ht="16.5" spans="1:5">
      <c r="A873" s="8">
        <v>3044878.823</v>
      </c>
      <c r="B873" s="8">
        <v>35401272.521</v>
      </c>
      <c r="C873" s="8">
        <v>905.391</v>
      </c>
      <c r="D873" s="11">
        <v>45371</v>
      </c>
      <c r="E873" s="18"/>
    </row>
    <row r="874" ht="16.5" spans="1:5">
      <c r="A874" s="8">
        <v>3044878.823</v>
      </c>
      <c r="B874" s="8">
        <v>35401272.521</v>
      </c>
      <c r="C874" s="8">
        <v>905.391</v>
      </c>
      <c r="D874" s="11">
        <v>45372</v>
      </c>
      <c r="E874" s="18"/>
    </row>
    <row r="875" ht="16.5" spans="1:5">
      <c r="A875" s="8">
        <v>3044878.823</v>
      </c>
      <c r="B875" s="8">
        <v>35401272.521</v>
      </c>
      <c r="C875" s="8">
        <v>905.391</v>
      </c>
      <c r="D875" s="11">
        <v>45373</v>
      </c>
      <c r="E875" s="18"/>
    </row>
    <row r="876" ht="16.5" spans="1:5">
      <c r="A876" s="8">
        <v>3044878.823</v>
      </c>
      <c r="B876" s="8">
        <v>35401272.521</v>
      </c>
      <c r="C876" s="8">
        <v>905.391</v>
      </c>
      <c r="D876" s="11">
        <v>45374</v>
      </c>
      <c r="E876" s="18"/>
    </row>
    <row r="877" ht="16.5" spans="1:5">
      <c r="A877" s="8">
        <v>3044878.823</v>
      </c>
      <c r="B877" s="8">
        <v>35401272.521</v>
      </c>
      <c r="C877" s="8">
        <v>905.391</v>
      </c>
      <c r="D877" s="11">
        <v>45375</v>
      </c>
      <c r="E877" s="18"/>
    </row>
    <row r="878" ht="16.5" spans="1:5">
      <c r="A878" s="8">
        <v>3044878.823</v>
      </c>
      <c r="B878" s="8">
        <v>35401272.521</v>
      </c>
      <c r="C878" s="8">
        <v>905.391</v>
      </c>
      <c r="D878" s="11">
        <v>45376</v>
      </c>
      <c r="E878" s="18"/>
    </row>
    <row r="879" ht="16.5" spans="1:5">
      <c r="A879" s="8">
        <v>3044878.823</v>
      </c>
      <c r="B879" s="8">
        <v>35401272.521</v>
      </c>
      <c r="C879" s="8">
        <v>905.391</v>
      </c>
      <c r="D879" s="11">
        <v>45377</v>
      </c>
      <c r="E879" s="18"/>
    </row>
    <row r="880" ht="16.5" spans="1:5">
      <c r="A880" s="8">
        <v>3044878.823</v>
      </c>
      <c r="B880" s="8">
        <v>35401272.521</v>
      </c>
      <c r="C880" s="8">
        <v>905.391</v>
      </c>
      <c r="D880" s="11">
        <v>45378</v>
      </c>
      <c r="E880" s="18"/>
    </row>
    <row r="881" ht="16.5" spans="1:5">
      <c r="A881" s="8">
        <v>3044878.823</v>
      </c>
      <c r="B881" s="8">
        <v>35401272.521</v>
      </c>
      <c r="C881" s="8">
        <v>905.391</v>
      </c>
      <c r="D881" s="11">
        <v>45379</v>
      </c>
      <c r="E881" s="18"/>
    </row>
    <row r="882" ht="16.5" spans="1:5">
      <c r="A882" s="8">
        <v>3044878.823</v>
      </c>
      <c r="B882" s="8">
        <v>35401272.521</v>
      </c>
      <c r="C882" s="8">
        <v>905.391</v>
      </c>
      <c r="D882" s="11">
        <v>45380</v>
      </c>
      <c r="E882" s="18"/>
    </row>
    <row r="883" ht="16.5" spans="1:5">
      <c r="A883" s="8">
        <v>3044878.823</v>
      </c>
      <c r="B883" s="8">
        <v>35401272.521</v>
      </c>
      <c r="C883" s="8">
        <v>905.391</v>
      </c>
      <c r="D883" s="11">
        <v>45381</v>
      </c>
      <c r="E883" s="18"/>
    </row>
    <row r="884" ht="16.5" spans="1:5">
      <c r="A884" s="8">
        <v>3044878.823</v>
      </c>
      <c r="B884" s="8">
        <v>35401272.521</v>
      </c>
      <c r="C884" s="8">
        <v>905.391</v>
      </c>
      <c r="D884" s="11">
        <v>45382</v>
      </c>
      <c r="E884" s="18"/>
    </row>
    <row r="885" ht="16.5" spans="1:5">
      <c r="A885" s="8">
        <v>3044878.823</v>
      </c>
      <c r="B885" s="8">
        <v>35401272.521</v>
      </c>
      <c r="C885" s="8">
        <v>905.391</v>
      </c>
      <c r="D885" s="11">
        <v>45383</v>
      </c>
      <c r="E885" s="18"/>
    </row>
    <row r="886" ht="16.5" spans="1:5">
      <c r="A886" s="8">
        <v>3044878.823</v>
      </c>
      <c r="B886" s="8">
        <v>35401272.521</v>
      </c>
      <c r="C886" s="8">
        <v>905.391</v>
      </c>
      <c r="D886" s="11">
        <v>45384</v>
      </c>
      <c r="E886" s="18"/>
    </row>
    <row r="887" ht="16.5" spans="1:5">
      <c r="A887" s="8">
        <v>3044878.823</v>
      </c>
      <c r="B887" s="8">
        <v>35401272.521</v>
      </c>
      <c r="C887" s="8">
        <v>905.391</v>
      </c>
      <c r="D887" s="11">
        <v>45385</v>
      </c>
      <c r="E887" s="18"/>
    </row>
    <row r="888" ht="16.5" spans="1:5">
      <c r="A888" s="8">
        <v>3044878.823</v>
      </c>
      <c r="B888" s="8">
        <v>35401272.521</v>
      </c>
      <c r="C888" s="8">
        <v>905.391</v>
      </c>
      <c r="D888" s="11">
        <v>45386</v>
      </c>
      <c r="E888" s="18"/>
    </row>
    <row r="889" ht="16.5" spans="1:5">
      <c r="A889" s="8">
        <v>3044878.823</v>
      </c>
      <c r="B889" s="8">
        <v>35401272.521</v>
      </c>
      <c r="C889" s="8">
        <v>905.391</v>
      </c>
      <c r="D889" s="11">
        <v>45387</v>
      </c>
      <c r="E889" s="18"/>
    </row>
    <row r="890" ht="16.5" spans="1:5">
      <c r="A890" s="8">
        <v>3044878.823</v>
      </c>
      <c r="B890" s="8">
        <v>35401272.521</v>
      </c>
      <c r="C890" s="8">
        <v>905.391</v>
      </c>
      <c r="D890" s="11">
        <v>45388</v>
      </c>
      <c r="E890" s="18"/>
    </row>
    <row r="891" ht="16.5" spans="1:5">
      <c r="A891" s="8">
        <v>3044878.823</v>
      </c>
      <c r="B891" s="8">
        <v>35401272.521</v>
      </c>
      <c r="C891" s="8">
        <v>905.391</v>
      </c>
      <c r="D891" s="11">
        <v>45389</v>
      </c>
      <c r="E891" s="18"/>
    </row>
    <row r="892" ht="16.5" spans="1:5">
      <c r="A892" s="8">
        <v>3044878.823</v>
      </c>
      <c r="B892" s="8">
        <v>35401272.521</v>
      </c>
      <c r="C892" s="8">
        <v>905.391</v>
      </c>
      <c r="D892" s="11">
        <v>45390</v>
      </c>
      <c r="E892" s="18"/>
    </row>
    <row r="893" ht="16.5" spans="1:5">
      <c r="A893" s="8">
        <v>3044878.823</v>
      </c>
      <c r="B893" s="8">
        <v>35401272.521</v>
      </c>
      <c r="C893" s="8">
        <v>905.391</v>
      </c>
      <c r="D893" s="11">
        <v>45391</v>
      </c>
      <c r="E893" s="18"/>
    </row>
    <row r="894" ht="16.5" spans="1:5">
      <c r="A894" s="8">
        <v>3044878.823</v>
      </c>
      <c r="B894" s="8">
        <v>35401272.521</v>
      </c>
      <c r="C894" s="8">
        <v>905.391</v>
      </c>
      <c r="D894" s="11">
        <v>45392</v>
      </c>
      <c r="E894" s="18"/>
    </row>
    <row r="895" ht="16.5" spans="1:5">
      <c r="A895" s="8">
        <v>3044878.823</v>
      </c>
      <c r="B895" s="8">
        <v>35401272.521</v>
      </c>
      <c r="C895" s="8">
        <v>905.391</v>
      </c>
      <c r="D895" s="11">
        <v>45393</v>
      </c>
      <c r="E895" s="18"/>
    </row>
    <row r="896" ht="16.5" spans="1:5">
      <c r="A896" s="8">
        <v>3044878.823</v>
      </c>
      <c r="B896" s="8">
        <v>35401272.521</v>
      </c>
      <c r="C896" s="8">
        <v>905.391</v>
      </c>
      <c r="D896" s="11">
        <v>45394</v>
      </c>
      <c r="E896" s="18"/>
    </row>
    <row r="897" ht="16.5" spans="1:5">
      <c r="A897" s="8">
        <v>3044878.823</v>
      </c>
      <c r="B897" s="8">
        <v>35401272.521</v>
      </c>
      <c r="C897" s="8">
        <v>905.391</v>
      </c>
      <c r="D897" s="11">
        <v>45395</v>
      </c>
      <c r="E897" s="18"/>
    </row>
    <row r="898" ht="16.5" spans="1:5">
      <c r="A898" s="8">
        <v>3044878.823</v>
      </c>
      <c r="B898" s="8">
        <v>35401272.521</v>
      </c>
      <c r="C898" s="8">
        <v>905.391</v>
      </c>
      <c r="D898" s="11">
        <v>45396</v>
      </c>
      <c r="E898" s="18"/>
    </row>
    <row r="899" ht="16.5" spans="1:5">
      <c r="A899" s="8">
        <v>3044878.823</v>
      </c>
      <c r="B899" s="8">
        <v>35401272.521</v>
      </c>
      <c r="C899" s="8">
        <v>905.391</v>
      </c>
      <c r="D899" s="11">
        <v>45397</v>
      </c>
      <c r="E899" s="18"/>
    </row>
    <row r="900" ht="16.5" spans="1:5">
      <c r="A900" s="8">
        <v>3044878.823</v>
      </c>
      <c r="B900" s="8">
        <v>35401272.521</v>
      </c>
      <c r="C900" s="8">
        <v>905.391</v>
      </c>
      <c r="D900" s="11">
        <v>45398</v>
      </c>
      <c r="E900" s="18"/>
    </row>
    <row r="901" ht="16.5" spans="1:5">
      <c r="A901" s="8">
        <v>3044878.823</v>
      </c>
      <c r="B901" s="8">
        <v>35401272.521</v>
      </c>
      <c r="C901" s="8">
        <v>905.391</v>
      </c>
      <c r="D901" s="11">
        <v>45399</v>
      </c>
      <c r="E901" s="18"/>
    </row>
    <row r="902" ht="16.5" spans="1:5">
      <c r="A902" s="8">
        <v>3044878.823</v>
      </c>
      <c r="B902" s="8">
        <v>35401272.521</v>
      </c>
      <c r="C902" s="8">
        <v>905.391</v>
      </c>
      <c r="D902" s="11">
        <v>45400</v>
      </c>
      <c r="E902" s="18"/>
    </row>
    <row r="903" ht="16.5" spans="1:5">
      <c r="A903" s="8">
        <v>3044878.823</v>
      </c>
      <c r="B903" s="8">
        <v>35401272.521</v>
      </c>
      <c r="C903" s="8">
        <v>905.391</v>
      </c>
      <c r="D903" s="11">
        <v>45401</v>
      </c>
      <c r="E903" s="18"/>
    </row>
    <row r="904" ht="16.5" spans="1:5">
      <c r="A904" s="8">
        <v>3044878.823</v>
      </c>
      <c r="B904" s="8">
        <v>35401272.521</v>
      </c>
      <c r="C904" s="8">
        <v>905.391</v>
      </c>
      <c r="D904" s="11">
        <v>45402</v>
      </c>
      <c r="E904" s="18"/>
    </row>
    <row r="905" ht="16.5" spans="1:5">
      <c r="A905" s="8">
        <v>3044878.823</v>
      </c>
      <c r="B905" s="8">
        <v>35401272.521</v>
      </c>
      <c r="C905" s="8">
        <v>905.391</v>
      </c>
      <c r="D905" s="11">
        <v>45403</v>
      </c>
      <c r="E905" s="18"/>
    </row>
    <row r="906" ht="16.5" spans="1:5">
      <c r="A906" s="8">
        <v>3044878.823</v>
      </c>
      <c r="B906" s="8">
        <v>35401272.521</v>
      </c>
      <c r="C906" s="8">
        <v>905.391</v>
      </c>
      <c r="D906" s="11">
        <v>45404</v>
      </c>
      <c r="E906" s="18"/>
    </row>
    <row r="907" ht="16.5" spans="1:5">
      <c r="A907" s="8">
        <v>3044878.823</v>
      </c>
      <c r="B907" s="8">
        <v>35401272.521</v>
      </c>
      <c r="C907" s="8">
        <v>905.391</v>
      </c>
      <c r="D907" s="11">
        <v>45405</v>
      </c>
      <c r="E907" s="18"/>
    </row>
    <row r="908" ht="16.5" spans="1:5">
      <c r="A908" s="8">
        <v>3044878.823</v>
      </c>
      <c r="B908" s="8">
        <v>35401272.521</v>
      </c>
      <c r="C908" s="8">
        <v>905.391</v>
      </c>
      <c r="D908" s="11">
        <v>45406</v>
      </c>
      <c r="E908" s="18"/>
    </row>
    <row r="909" ht="16.5" spans="1:5">
      <c r="A909" s="8">
        <v>3044878.823</v>
      </c>
      <c r="B909" s="8">
        <v>35401272.521</v>
      </c>
      <c r="C909" s="8">
        <v>905.391</v>
      </c>
      <c r="D909" s="11">
        <v>45407</v>
      </c>
      <c r="E909" s="18"/>
    </row>
    <row r="910" ht="16.5" spans="1:5">
      <c r="A910" s="8">
        <v>3044878.823</v>
      </c>
      <c r="B910" s="8">
        <v>35401272.521</v>
      </c>
      <c r="C910" s="8">
        <v>905.391</v>
      </c>
      <c r="D910" s="11">
        <v>45408</v>
      </c>
      <c r="E910" s="18"/>
    </row>
    <row r="911" ht="16.5" spans="1:5">
      <c r="A911" s="8">
        <v>3044878.823</v>
      </c>
      <c r="B911" s="8">
        <v>35401272.521</v>
      </c>
      <c r="C911" s="8">
        <v>905.391</v>
      </c>
      <c r="D911" s="11">
        <v>45409</v>
      </c>
      <c r="E911" s="18"/>
    </row>
    <row r="912" ht="16.5" spans="1:5">
      <c r="A912" s="8">
        <v>3044878.823</v>
      </c>
      <c r="B912" s="8">
        <v>35401272.521</v>
      </c>
      <c r="C912" s="8">
        <v>905.391</v>
      </c>
      <c r="D912" s="11">
        <v>45410</v>
      </c>
      <c r="E912" s="18">
        <v>701.728</v>
      </c>
    </row>
    <row r="913" ht="16.5" spans="1:5">
      <c r="A913" s="8">
        <v>3044878.823</v>
      </c>
      <c r="B913" s="8">
        <v>35401272.521</v>
      </c>
      <c r="C913" s="8">
        <v>905.391</v>
      </c>
      <c r="D913" s="11">
        <v>45411</v>
      </c>
      <c r="E913" s="18">
        <v>701.701</v>
      </c>
    </row>
    <row r="914" ht="16.5" spans="1:5">
      <c r="A914" s="8">
        <v>3044878.823</v>
      </c>
      <c r="B914" s="8">
        <v>35401272.521</v>
      </c>
      <c r="C914" s="8">
        <v>905.391</v>
      </c>
      <c r="D914" s="11">
        <v>45412</v>
      </c>
      <c r="E914" s="18">
        <v>701.5</v>
      </c>
    </row>
    <row r="915" ht="16.5" spans="1:5">
      <c r="A915" s="8">
        <v>3044878.823</v>
      </c>
      <c r="B915" s="8">
        <v>35401272.521</v>
      </c>
      <c r="C915" s="8">
        <v>905.391</v>
      </c>
      <c r="D915" s="11">
        <v>45413</v>
      </c>
      <c r="E915" s="18">
        <v>701.385</v>
      </c>
    </row>
    <row r="916" ht="16.5" spans="1:5">
      <c r="A916" s="8">
        <v>3044878.823</v>
      </c>
      <c r="B916" s="8">
        <v>35401272.521</v>
      </c>
      <c r="C916" s="8">
        <v>905.391</v>
      </c>
      <c r="D916" s="11">
        <v>45414</v>
      </c>
      <c r="E916" s="18">
        <v>701.301</v>
      </c>
    </row>
    <row r="917" ht="16.5" spans="1:5">
      <c r="A917" s="8">
        <v>3044878.823</v>
      </c>
      <c r="B917" s="8">
        <v>35401272.521</v>
      </c>
      <c r="C917" s="8">
        <v>905.391</v>
      </c>
      <c r="D917" s="11">
        <v>45415</v>
      </c>
      <c r="E917" s="18">
        <v>699.967</v>
      </c>
    </row>
    <row r="918" ht="16.5" spans="1:5">
      <c r="A918" s="8">
        <v>3044878.823</v>
      </c>
      <c r="B918" s="8">
        <v>35401272.521</v>
      </c>
      <c r="C918" s="8">
        <v>905.391</v>
      </c>
      <c r="D918" s="11">
        <v>45416</v>
      </c>
      <c r="E918" s="18">
        <v>699.59</v>
      </c>
    </row>
    <row r="919" ht="16.5" spans="1:5">
      <c r="A919" s="8">
        <v>3044878.823</v>
      </c>
      <c r="B919" s="8">
        <v>35401272.521</v>
      </c>
      <c r="C919" s="8">
        <v>905.391</v>
      </c>
      <c r="D919" s="11">
        <v>45417</v>
      </c>
      <c r="E919" s="18">
        <v>699.171</v>
      </c>
    </row>
    <row r="920" ht="16.5" spans="1:5">
      <c r="A920" s="8">
        <v>3044878.823</v>
      </c>
      <c r="B920" s="8">
        <v>35401272.521</v>
      </c>
      <c r="C920" s="8">
        <v>905.391</v>
      </c>
      <c r="D920" s="11">
        <v>45418</v>
      </c>
      <c r="E920" s="18">
        <v>698.823</v>
      </c>
    </row>
    <row r="921" ht="16.5" spans="1:5">
      <c r="A921" s="8">
        <v>3044878.823</v>
      </c>
      <c r="B921" s="8">
        <v>35401272.521</v>
      </c>
      <c r="C921" s="8">
        <v>905.391</v>
      </c>
      <c r="D921" s="11">
        <v>45419</v>
      </c>
      <c r="E921" s="18">
        <v>698.311</v>
      </c>
    </row>
    <row r="922" ht="16.5" spans="1:5">
      <c r="A922" s="8">
        <v>3044878.823</v>
      </c>
      <c r="B922" s="8">
        <v>35401272.521</v>
      </c>
      <c r="C922" s="8">
        <v>905.391</v>
      </c>
      <c r="D922" s="11">
        <v>45420</v>
      </c>
      <c r="E922" s="18">
        <v>697.91</v>
      </c>
    </row>
    <row r="923" ht="16.5" spans="1:5">
      <c r="A923" s="8">
        <v>3044878.823</v>
      </c>
      <c r="B923" s="8">
        <v>35401272.521</v>
      </c>
      <c r="C923" s="8">
        <v>905.391</v>
      </c>
      <c r="D923" s="11">
        <v>45421</v>
      </c>
      <c r="E923" s="18">
        <v>697.636</v>
      </c>
    </row>
    <row r="924" ht="16.5" spans="1:5">
      <c r="A924" s="8">
        <v>3044878.823</v>
      </c>
      <c r="B924" s="8">
        <v>35401272.521</v>
      </c>
      <c r="C924" s="8">
        <v>905.391</v>
      </c>
      <c r="D924" s="11">
        <v>45422</v>
      </c>
      <c r="E924" s="18">
        <v>697.217</v>
      </c>
    </row>
    <row r="925" ht="16.5" spans="1:5">
      <c r="A925" s="8">
        <v>3044878.823</v>
      </c>
      <c r="B925" s="8">
        <v>35401272.521</v>
      </c>
      <c r="C925" s="8">
        <v>905.391</v>
      </c>
      <c r="D925" s="11">
        <v>45423</v>
      </c>
      <c r="E925" s="18">
        <v>695.142</v>
      </c>
    </row>
  </sheetData>
  <mergeCells count="1">
    <mergeCell ref="A1:C1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5"/>
  <sheetViews>
    <sheetView topLeftCell="A891" workbookViewId="0">
      <selection activeCell="A3" sqref="A3:C925"/>
    </sheetView>
  </sheetViews>
  <sheetFormatPr defaultColWidth="9" defaultRowHeight="14.25" outlineLevelCol="5"/>
  <cols>
    <col min="1" max="1" width="11.375" customWidth="1"/>
    <col min="2" max="2" width="12.375" customWidth="1"/>
    <col min="3" max="3" width="19.25" customWidth="1"/>
    <col min="4" max="4" width="17.25" customWidth="1"/>
    <col min="6" max="6" width="26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6.5" spans="1:6">
      <c r="A3" s="7">
        <v>3045084.549</v>
      </c>
      <c r="B3" s="7">
        <v>35401418.175</v>
      </c>
      <c r="C3" s="8">
        <v>907.26</v>
      </c>
      <c r="D3" s="9" t="s">
        <v>311</v>
      </c>
      <c r="E3" s="21"/>
      <c r="F3" t="s">
        <v>3068</v>
      </c>
    </row>
    <row r="4" ht="16.5" spans="1:5">
      <c r="A4" s="7">
        <v>3045084.549</v>
      </c>
      <c r="B4" s="7">
        <v>35401418.175</v>
      </c>
      <c r="C4" s="8">
        <v>907.26</v>
      </c>
      <c r="D4" s="9" t="s">
        <v>312</v>
      </c>
      <c r="E4" s="21"/>
    </row>
    <row r="5" ht="16.5" spans="1:5">
      <c r="A5" s="7">
        <v>3045084.549</v>
      </c>
      <c r="B5" s="7">
        <v>35401418.175</v>
      </c>
      <c r="C5" s="8">
        <v>907.26</v>
      </c>
      <c r="D5" s="9" t="s">
        <v>313</v>
      </c>
      <c r="E5" s="21"/>
    </row>
    <row r="6" ht="16.5" spans="1:5">
      <c r="A6" s="7">
        <v>3045084.549</v>
      </c>
      <c r="B6" s="7">
        <v>35401418.175</v>
      </c>
      <c r="C6" s="8">
        <v>907.26</v>
      </c>
      <c r="D6" s="9" t="s">
        <v>314</v>
      </c>
      <c r="E6" s="21"/>
    </row>
    <row r="7" ht="16.5" spans="1:5">
      <c r="A7" s="7">
        <v>3045084.549</v>
      </c>
      <c r="B7" s="7">
        <v>35401418.175</v>
      </c>
      <c r="C7" s="8">
        <v>907.26</v>
      </c>
      <c r="D7" s="9" t="s">
        <v>315</v>
      </c>
      <c r="E7" s="21"/>
    </row>
    <row r="8" ht="16.5" spans="1:5">
      <c r="A8" s="7">
        <v>3045084.549</v>
      </c>
      <c r="B8" s="7">
        <v>35401418.175</v>
      </c>
      <c r="C8" s="8">
        <v>907.26</v>
      </c>
      <c r="D8" s="9" t="s">
        <v>316</v>
      </c>
      <c r="E8" s="21"/>
    </row>
    <row r="9" ht="16.5" spans="1:5">
      <c r="A9" s="7">
        <v>3045084.549</v>
      </c>
      <c r="B9" s="7">
        <v>35401418.175</v>
      </c>
      <c r="C9" s="8">
        <v>907.26</v>
      </c>
      <c r="D9" s="9" t="s">
        <v>317</v>
      </c>
      <c r="E9" s="21"/>
    </row>
    <row r="10" ht="16.5" spans="1:5">
      <c r="A10" s="7">
        <v>3045084.549</v>
      </c>
      <c r="B10" s="7">
        <v>35401418.175</v>
      </c>
      <c r="C10" s="8">
        <v>907.26</v>
      </c>
      <c r="D10" s="9" t="s">
        <v>318</v>
      </c>
      <c r="E10" s="21"/>
    </row>
    <row r="11" ht="16.5" spans="1:5">
      <c r="A11" s="7">
        <v>3045084.549</v>
      </c>
      <c r="B11" s="7">
        <v>35401418.175</v>
      </c>
      <c r="C11" s="8">
        <v>907.26</v>
      </c>
      <c r="D11" s="9" t="s">
        <v>319</v>
      </c>
      <c r="E11" s="21"/>
    </row>
    <row r="12" ht="16.5" spans="1:5">
      <c r="A12" s="7">
        <v>3045084.549</v>
      </c>
      <c r="B12" s="7">
        <v>35401418.175</v>
      </c>
      <c r="C12" s="8">
        <v>907.26</v>
      </c>
      <c r="D12" s="9" t="s">
        <v>320</v>
      </c>
      <c r="E12" s="21"/>
    </row>
    <row r="13" ht="16.5" spans="1:5">
      <c r="A13" s="7">
        <v>3045084.549</v>
      </c>
      <c r="B13" s="7">
        <v>35401418.175</v>
      </c>
      <c r="C13" s="8">
        <v>907.26</v>
      </c>
      <c r="D13" s="9" t="s">
        <v>321</v>
      </c>
      <c r="E13" s="21"/>
    </row>
    <row r="14" ht="16.5" spans="1:5">
      <c r="A14" s="7">
        <v>3045084.549</v>
      </c>
      <c r="B14" s="7">
        <v>35401418.175</v>
      </c>
      <c r="C14" s="8">
        <v>907.26</v>
      </c>
      <c r="D14" s="9" t="s">
        <v>322</v>
      </c>
      <c r="E14" s="21"/>
    </row>
    <row r="15" ht="16.5" spans="1:5">
      <c r="A15" s="7">
        <v>3045084.549</v>
      </c>
      <c r="B15" s="7">
        <v>35401418.175</v>
      </c>
      <c r="C15" s="8">
        <v>907.26</v>
      </c>
      <c r="D15" s="9" t="s">
        <v>323</v>
      </c>
      <c r="E15" s="21"/>
    </row>
    <row r="16" ht="16.5" spans="1:5">
      <c r="A16" s="7">
        <v>3045084.549</v>
      </c>
      <c r="B16" s="7">
        <v>35401418.175</v>
      </c>
      <c r="C16" s="8">
        <v>907.26</v>
      </c>
      <c r="D16" s="9" t="s">
        <v>324</v>
      </c>
      <c r="E16" s="21"/>
    </row>
    <row r="17" ht="16.5" spans="1:5">
      <c r="A17" s="7">
        <v>3045084.549</v>
      </c>
      <c r="B17" s="7">
        <v>35401418.175</v>
      </c>
      <c r="C17" s="8">
        <v>907.26</v>
      </c>
      <c r="D17" s="9" t="s">
        <v>325</v>
      </c>
      <c r="E17" s="21"/>
    </row>
    <row r="18" ht="16.5" spans="1:5">
      <c r="A18" s="7">
        <v>3045084.549</v>
      </c>
      <c r="B18" s="7">
        <v>35401418.175</v>
      </c>
      <c r="C18" s="8">
        <v>907.26</v>
      </c>
      <c r="D18" s="9" t="s">
        <v>326</v>
      </c>
      <c r="E18" s="21"/>
    </row>
    <row r="19" ht="16.5" spans="1:5">
      <c r="A19" s="7">
        <v>3045084.549</v>
      </c>
      <c r="B19" s="7">
        <v>35401418.175</v>
      </c>
      <c r="C19" s="8">
        <v>907.26</v>
      </c>
      <c r="D19" s="9" t="s">
        <v>327</v>
      </c>
      <c r="E19" s="21"/>
    </row>
    <row r="20" ht="16.5" spans="1:5">
      <c r="A20" s="7">
        <v>3045084.549</v>
      </c>
      <c r="B20" s="7">
        <v>35401418.175</v>
      </c>
      <c r="C20" s="8">
        <v>907.26</v>
      </c>
      <c r="D20" s="9" t="s">
        <v>328</v>
      </c>
      <c r="E20" s="21"/>
    </row>
    <row r="21" ht="16.5" spans="1:5">
      <c r="A21" s="7">
        <v>3045084.549</v>
      </c>
      <c r="B21" s="7">
        <v>35401418.175</v>
      </c>
      <c r="C21" s="8">
        <v>907.26</v>
      </c>
      <c r="D21" s="9" t="s">
        <v>329</v>
      </c>
      <c r="E21" s="21"/>
    </row>
    <row r="22" ht="16.5" spans="1:5">
      <c r="A22" s="7">
        <v>3045084.549</v>
      </c>
      <c r="B22" s="7">
        <v>35401418.175</v>
      </c>
      <c r="C22" s="8">
        <v>907.26</v>
      </c>
      <c r="D22" s="9" t="s">
        <v>330</v>
      </c>
      <c r="E22" s="21"/>
    </row>
    <row r="23" ht="16.5" spans="1:5">
      <c r="A23" s="7">
        <v>3045084.549</v>
      </c>
      <c r="B23" s="7">
        <v>35401418.175</v>
      </c>
      <c r="C23" s="8">
        <v>907.26</v>
      </c>
      <c r="D23" s="9" t="s">
        <v>331</v>
      </c>
      <c r="E23" s="21"/>
    </row>
    <row r="24" ht="16.5" spans="1:5">
      <c r="A24" s="7">
        <v>3045084.549</v>
      </c>
      <c r="B24" s="7">
        <v>35401418.175</v>
      </c>
      <c r="C24" s="8">
        <v>907.26</v>
      </c>
      <c r="D24" s="9" t="s">
        <v>332</v>
      </c>
      <c r="E24" s="21"/>
    </row>
    <row r="25" ht="16.5" spans="1:5">
      <c r="A25" s="7">
        <v>3045084.549</v>
      </c>
      <c r="B25" s="7">
        <v>35401418.175</v>
      </c>
      <c r="C25" s="8">
        <v>907.26</v>
      </c>
      <c r="D25" s="9" t="s">
        <v>333</v>
      </c>
      <c r="E25" s="21"/>
    </row>
    <row r="26" ht="16.5" spans="1:5">
      <c r="A26" s="7">
        <v>3045084.549</v>
      </c>
      <c r="B26" s="7">
        <v>35401418.175</v>
      </c>
      <c r="C26" s="8">
        <v>907.26</v>
      </c>
      <c r="D26" s="9" t="s">
        <v>334</v>
      </c>
      <c r="E26" s="21"/>
    </row>
    <row r="27" ht="16.5" spans="1:5">
      <c r="A27" s="7">
        <v>3045084.549</v>
      </c>
      <c r="B27" s="7">
        <v>35401418.175</v>
      </c>
      <c r="C27" s="8">
        <v>907.26</v>
      </c>
      <c r="D27" s="9" t="s">
        <v>335</v>
      </c>
      <c r="E27" s="21"/>
    </row>
    <row r="28" ht="16.5" spans="1:5">
      <c r="A28" s="7">
        <v>3045084.549</v>
      </c>
      <c r="B28" s="7">
        <v>35401418.175</v>
      </c>
      <c r="C28" s="8">
        <v>907.26</v>
      </c>
      <c r="D28" s="9" t="s">
        <v>336</v>
      </c>
      <c r="E28" s="21"/>
    </row>
    <row r="29" ht="16.5" spans="1:5">
      <c r="A29" s="7">
        <v>3045084.549</v>
      </c>
      <c r="B29" s="7">
        <v>35401418.175</v>
      </c>
      <c r="C29" s="8">
        <v>907.26</v>
      </c>
      <c r="D29" s="9" t="s">
        <v>337</v>
      </c>
      <c r="E29" s="21"/>
    </row>
    <row r="30" ht="16.5" spans="1:5">
      <c r="A30" s="7">
        <v>3045084.549</v>
      </c>
      <c r="B30" s="7">
        <v>35401418.175</v>
      </c>
      <c r="C30" s="8">
        <v>907.26</v>
      </c>
      <c r="D30" s="9" t="s">
        <v>338</v>
      </c>
      <c r="E30" s="21"/>
    </row>
    <row r="31" ht="16.5" spans="1:5">
      <c r="A31" s="7">
        <v>3045084.549</v>
      </c>
      <c r="B31" s="7">
        <v>35401418.175</v>
      </c>
      <c r="C31" s="8">
        <v>907.26</v>
      </c>
      <c r="D31" s="9" t="s">
        <v>339</v>
      </c>
      <c r="E31" s="21"/>
    </row>
    <row r="32" ht="16.5" spans="1:5">
      <c r="A32" s="7">
        <v>3045084.549</v>
      </c>
      <c r="B32" s="7">
        <v>35401418.175</v>
      </c>
      <c r="C32" s="8">
        <v>907.26</v>
      </c>
      <c r="D32" s="9" t="s">
        <v>340</v>
      </c>
      <c r="E32" s="21"/>
    </row>
    <row r="33" ht="16.5" spans="1:5">
      <c r="A33" s="7">
        <v>3045084.549</v>
      </c>
      <c r="B33" s="7">
        <v>35401418.175</v>
      </c>
      <c r="C33" s="8">
        <v>907.26</v>
      </c>
      <c r="D33" s="9" t="s">
        <v>341</v>
      </c>
      <c r="E33" s="21"/>
    </row>
    <row r="34" ht="16.5" spans="1:5">
      <c r="A34" s="7">
        <v>3045084.549</v>
      </c>
      <c r="B34" s="7">
        <v>35401418.175</v>
      </c>
      <c r="C34" s="8">
        <v>907.26</v>
      </c>
      <c r="D34" s="9" t="s">
        <v>342</v>
      </c>
      <c r="E34" s="21"/>
    </row>
    <row r="35" ht="16.5" spans="1:5">
      <c r="A35" s="7">
        <v>3045084.549</v>
      </c>
      <c r="B35" s="7">
        <v>35401418.175</v>
      </c>
      <c r="C35" s="8">
        <v>907.26</v>
      </c>
      <c r="D35" s="9" t="s">
        <v>343</v>
      </c>
      <c r="E35" s="21"/>
    </row>
    <row r="36" ht="16.5" spans="1:5">
      <c r="A36" s="7">
        <v>3045084.549</v>
      </c>
      <c r="B36" s="7">
        <v>35401418.175</v>
      </c>
      <c r="C36" s="8">
        <v>907.26</v>
      </c>
      <c r="D36" s="9" t="s">
        <v>344</v>
      </c>
      <c r="E36" s="21"/>
    </row>
    <row r="37" ht="16.5" spans="1:5">
      <c r="A37" s="7">
        <v>3045084.549</v>
      </c>
      <c r="B37" s="7">
        <v>35401418.175</v>
      </c>
      <c r="C37" s="8">
        <v>907.26</v>
      </c>
      <c r="D37" s="9" t="s">
        <v>345</v>
      </c>
      <c r="E37" s="21"/>
    </row>
    <row r="38" ht="16.5" spans="1:5">
      <c r="A38" s="7">
        <v>3045084.549</v>
      </c>
      <c r="B38" s="7">
        <v>35401418.175</v>
      </c>
      <c r="C38" s="8">
        <v>907.26</v>
      </c>
      <c r="D38" s="9" t="s">
        <v>346</v>
      </c>
      <c r="E38" s="21"/>
    </row>
    <row r="39" ht="16.5" spans="1:5">
      <c r="A39" s="7">
        <v>3045084.549</v>
      </c>
      <c r="B39" s="7">
        <v>35401418.175</v>
      </c>
      <c r="C39" s="8">
        <v>907.26</v>
      </c>
      <c r="D39" s="9" t="s">
        <v>347</v>
      </c>
      <c r="E39" s="21"/>
    </row>
    <row r="40" ht="16.5" spans="1:5">
      <c r="A40" s="7">
        <v>3045084.549</v>
      </c>
      <c r="B40" s="7">
        <v>35401418.175</v>
      </c>
      <c r="C40" s="8">
        <v>907.26</v>
      </c>
      <c r="D40" s="9" t="s">
        <v>348</v>
      </c>
      <c r="E40" s="21"/>
    </row>
    <row r="41" ht="16.5" spans="1:5">
      <c r="A41" s="7">
        <v>3045084.549</v>
      </c>
      <c r="B41" s="7">
        <v>35401418.175</v>
      </c>
      <c r="C41" s="8">
        <v>907.26</v>
      </c>
      <c r="D41" s="9" t="s">
        <v>349</v>
      </c>
      <c r="E41" s="21"/>
    </row>
    <row r="42" ht="16.5" spans="1:5">
      <c r="A42" s="7">
        <v>3045084.549</v>
      </c>
      <c r="B42" s="7">
        <v>35401418.175</v>
      </c>
      <c r="C42" s="8">
        <v>907.26</v>
      </c>
      <c r="D42" s="9" t="s">
        <v>350</v>
      </c>
      <c r="E42" s="21"/>
    </row>
    <row r="43" ht="16.5" spans="1:5">
      <c r="A43" s="7">
        <v>3045084.549</v>
      </c>
      <c r="B43" s="7">
        <v>35401418.175</v>
      </c>
      <c r="C43" s="8">
        <v>907.26</v>
      </c>
      <c r="D43" s="9" t="s">
        <v>351</v>
      </c>
      <c r="E43" s="21"/>
    </row>
    <row r="44" ht="16.5" spans="1:5">
      <c r="A44" s="7">
        <v>3045084.549</v>
      </c>
      <c r="B44" s="7">
        <v>35401418.175</v>
      </c>
      <c r="C44" s="8">
        <v>907.26</v>
      </c>
      <c r="D44" s="9" t="s">
        <v>352</v>
      </c>
      <c r="E44" s="21"/>
    </row>
    <row r="45" ht="16.5" spans="1:5">
      <c r="A45" s="7">
        <v>3045084.549</v>
      </c>
      <c r="B45" s="7">
        <v>35401418.175</v>
      </c>
      <c r="C45" s="8">
        <v>907.26</v>
      </c>
      <c r="D45" s="9" t="s">
        <v>353</v>
      </c>
      <c r="E45" s="21"/>
    </row>
    <row r="46" ht="16.5" spans="1:5">
      <c r="A46" s="7">
        <v>3045084.549</v>
      </c>
      <c r="B46" s="7">
        <v>35401418.175</v>
      </c>
      <c r="C46" s="8">
        <v>907.26</v>
      </c>
      <c r="D46" s="9" t="s">
        <v>354</v>
      </c>
      <c r="E46" s="21"/>
    </row>
    <row r="47" ht="16.5" spans="1:5">
      <c r="A47" s="7">
        <v>3045084.549</v>
      </c>
      <c r="B47" s="7">
        <v>35401418.175</v>
      </c>
      <c r="C47" s="8">
        <v>907.26</v>
      </c>
      <c r="D47" s="9" t="s">
        <v>355</v>
      </c>
      <c r="E47" s="21"/>
    </row>
    <row r="48" ht="16.5" spans="1:5">
      <c r="A48" s="7">
        <v>3045084.549</v>
      </c>
      <c r="B48" s="7">
        <v>35401418.175</v>
      </c>
      <c r="C48" s="8">
        <v>907.26</v>
      </c>
      <c r="D48" s="9" t="s">
        <v>356</v>
      </c>
      <c r="E48" s="21"/>
    </row>
    <row r="49" ht="16.5" spans="1:5">
      <c r="A49" s="7">
        <v>3045084.549</v>
      </c>
      <c r="B49" s="7">
        <v>35401418.175</v>
      </c>
      <c r="C49" s="8">
        <v>907.26</v>
      </c>
      <c r="D49" s="9" t="s">
        <v>357</v>
      </c>
      <c r="E49" s="21"/>
    </row>
    <row r="50" ht="16.5" spans="1:5">
      <c r="A50" s="7">
        <v>3045084.549</v>
      </c>
      <c r="B50" s="7">
        <v>35401418.175</v>
      </c>
      <c r="C50" s="8">
        <v>907.26</v>
      </c>
      <c r="D50" s="9" t="s">
        <v>358</v>
      </c>
      <c r="E50" s="21"/>
    </row>
    <row r="51" ht="16.5" spans="1:5">
      <c r="A51" s="7">
        <v>3045084.549</v>
      </c>
      <c r="B51" s="7">
        <v>35401418.175</v>
      </c>
      <c r="C51" s="8">
        <v>907.26</v>
      </c>
      <c r="D51" s="9" t="s">
        <v>359</v>
      </c>
      <c r="E51" s="21"/>
    </row>
    <row r="52" ht="16.5" spans="1:5">
      <c r="A52" s="7">
        <v>3045084.549</v>
      </c>
      <c r="B52" s="7">
        <v>35401418.175</v>
      </c>
      <c r="C52" s="8">
        <v>907.26</v>
      </c>
      <c r="D52" s="9" t="s">
        <v>360</v>
      </c>
      <c r="E52" s="21"/>
    </row>
    <row r="53" ht="16.5" spans="1:5">
      <c r="A53" s="7">
        <v>3045084.549</v>
      </c>
      <c r="B53" s="7">
        <v>35401418.175</v>
      </c>
      <c r="C53" s="8">
        <v>907.26</v>
      </c>
      <c r="D53" s="9" t="s">
        <v>361</v>
      </c>
      <c r="E53" s="21"/>
    </row>
    <row r="54" ht="16.5" spans="1:5">
      <c r="A54" s="7">
        <v>3045084.549</v>
      </c>
      <c r="B54" s="7">
        <v>35401418.175</v>
      </c>
      <c r="C54" s="8">
        <v>907.26</v>
      </c>
      <c r="D54" s="9" t="s">
        <v>362</v>
      </c>
      <c r="E54" s="21"/>
    </row>
    <row r="55" ht="16.5" spans="1:5">
      <c r="A55" s="7">
        <v>3045084.549</v>
      </c>
      <c r="B55" s="7">
        <v>35401418.175</v>
      </c>
      <c r="C55" s="8">
        <v>907.26</v>
      </c>
      <c r="D55" s="9" t="s">
        <v>363</v>
      </c>
      <c r="E55" s="21"/>
    </row>
    <row r="56" ht="16.5" spans="1:5">
      <c r="A56" s="7">
        <v>3045084.549</v>
      </c>
      <c r="B56" s="7">
        <v>35401418.175</v>
      </c>
      <c r="C56" s="8">
        <v>907.26</v>
      </c>
      <c r="D56" s="9" t="s">
        <v>364</v>
      </c>
      <c r="E56" s="21"/>
    </row>
    <row r="57" ht="16.5" spans="1:5">
      <c r="A57" s="7">
        <v>3045084.549</v>
      </c>
      <c r="B57" s="7">
        <v>35401418.175</v>
      </c>
      <c r="C57" s="8">
        <v>907.26</v>
      </c>
      <c r="D57" s="9" t="s">
        <v>365</v>
      </c>
      <c r="E57" s="21"/>
    </row>
    <row r="58" ht="16.5" spans="1:5">
      <c r="A58" s="7">
        <v>3045084.549</v>
      </c>
      <c r="B58" s="7">
        <v>35401418.175</v>
      </c>
      <c r="C58" s="8">
        <v>907.26</v>
      </c>
      <c r="D58" s="9" t="s">
        <v>366</v>
      </c>
      <c r="E58" s="21"/>
    </row>
    <row r="59" ht="16.5" spans="1:5">
      <c r="A59" s="7">
        <v>3045084.549</v>
      </c>
      <c r="B59" s="7">
        <v>35401418.175</v>
      </c>
      <c r="C59" s="8">
        <v>907.26</v>
      </c>
      <c r="D59" s="9" t="s">
        <v>367</v>
      </c>
      <c r="E59" s="21"/>
    </row>
    <row r="60" ht="16.5" spans="1:5">
      <c r="A60" s="7">
        <v>3045084.549</v>
      </c>
      <c r="B60" s="7">
        <v>35401418.175</v>
      </c>
      <c r="C60" s="8">
        <v>907.26</v>
      </c>
      <c r="D60" s="9" t="s">
        <v>368</v>
      </c>
      <c r="E60" s="21"/>
    </row>
    <row r="61" ht="16.5" spans="1:5">
      <c r="A61" s="7">
        <v>3045084.549</v>
      </c>
      <c r="B61" s="7">
        <v>35401418.175</v>
      </c>
      <c r="C61" s="8">
        <v>907.26</v>
      </c>
      <c r="D61" s="9" t="s">
        <v>369</v>
      </c>
      <c r="E61" s="21"/>
    </row>
    <row r="62" ht="16.5" spans="1:5">
      <c r="A62" s="7">
        <v>3045084.549</v>
      </c>
      <c r="B62" s="7">
        <v>35401418.175</v>
      </c>
      <c r="C62" s="8">
        <v>907.26</v>
      </c>
      <c r="D62" s="9" t="s">
        <v>370</v>
      </c>
      <c r="E62" s="21">
        <v>784.84</v>
      </c>
    </row>
    <row r="63" ht="16.5" spans="1:5">
      <c r="A63" s="7">
        <v>3045084.549</v>
      </c>
      <c r="B63" s="7">
        <v>35401418.175</v>
      </c>
      <c r="C63" s="8">
        <v>907.26</v>
      </c>
      <c r="D63" s="9" t="s">
        <v>371</v>
      </c>
      <c r="E63" s="21"/>
    </row>
    <row r="64" ht="16.5" spans="1:5">
      <c r="A64" s="7">
        <v>3045084.549</v>
      </c>
      <c r="B64" s="7">
        <v>35401418.175</v>
      </c>
      <c r="C64" s="8">
        <v>907.26</v>
      </c>
      <c r="D64" s="9" t="s">
        <v>372</v>
      </c>
      <c r="E64" s="21"/>
    </row>
    <row r="65" ht="16.5" spans="1:5">
      <c r="A65" s="7">
        <v>3045084.549</v>
      </c>
      <c r="B65" s="7">
        <v>35401418.175</v>
      </c>
      <c r="C65" s="8">
        <v>907.26</v>
      </c>
      <c r="D65" s="9" t="s">
        <v>373</v>
      </c>
      <c r="E65" s="21"/>
    </row>
    <row r="66" ht="16.5" spans="1:5">
      <c r="A66" s="7">
        <v>3045084.549</v>
      </c>
      <c r="B66" s="7">
        <v>35401418.175</v>
      </c>
      <c r="C66" s="8">
        <v>907.26</v>
      </c>
      <c r="D66" s="9" t="s">
        <v>374</v>
      </c>
      <c r="E66" s="21"/>
    </row>
    <row r="67" ht="16.5" spans="1:5">
      <c r="A67" s="7">
        <v>3045084.549</v>
      </c>
      <c r="B67" s="7">
        <v>35401418.175</v>
      </c>
      <c r="C67" s="8">
        <v>907.26</v>
      </c>
      <c r="D67" s="9" t="s">
        <v>375</v>
      </c>
      <c r="E67" s="21"/>
    </row>
    <row r="68" ht="16.5" spans="1:5">
      <c r="A68" s="7">
        <v>3045084.549</v>
      </c>
      <c r="B68" s="7">
        <v>35401418.175</v>
      </c>
      <c r="C68" s="8">
        <v>907.26</v>
      </c>
      <c r="D68" s="9" t="s">
        <v>376</v>
      </c>
      <c r="E68" s="21"/>
    </row>
    <row r="69" ht="16.5" spans="1:5">
      <c r="A69" s="7">
        <v>3045084.549</v>
      </c>
      <c r="B69" s="7">
        <v>35401418.175</v>
      </c>
      <c r="C69" s="8">
        <v>907.26</v>
      </c>
      <c r="D69" s="9" t="s">
        <v>377</v>
      </c>
      <c r="E69" s="21"/>
    </row>
    <row r="70" ht="16.5" spans="1:5">
      <c r="A70" s="7">
        <v>3045084.549</v>
      </c>
      <c r="B70" s="7">
        <v>35401418.175</v>
      </c>
      <c r="C70" s="8">
        <v>907.26</v>
      </c>
      <c r="D70" s="9" t="s">
        <v>378</v>
      </c>
      <c r="E70" s="21">
        <v>784.71</v>
      </c>
    </row>
    <row r="71" ht="16.5" spans="1:5">
      <c r="A71" s="7">
        <v>3045084.549</v>
      </c>
      <c r="B71" s="7">
        <v>35401418.175</v>
      </c>
      <c r="C71" s="8">
        <v>907.26</v>
      </c>
      <c r="D71" s="9" t="s">
        <v>379</v>
      </c>
      <c r="E71" s="21"/>
    </row>
    <row r="72" ht="16.5" spans="1:5">
      <c r="A72" s="7">
        <v>3045084.549</v>
      </c>
      <c r="B72" s="7">
        <v>35401418.175</v>
      </c>
      <c r="C72" s="8">
        <v>907.26</v>
      </c>
      <c r="D72" s="9" t="s">
        <v>380</v>
      </c>
      <c r="E72" s="21"/>
    </row>
    <row r="73" ht="16.5" spans="1:5">
      <c r="A73" s="7">
        <v>3045084.549</v>
      </c>
      <c r="B73" s="7">
        <v>35401418.175</v>
      </c>
      <c r="C73" s="8">
        <v>907.26</v>
      </c>
      <c r="D73" s="9" t="s">
        <v>381</v>
      </c>
      <c r="E73" s="21"/>
    </row>
    <row r="74" ht="16.5" spans="1:5">
      <c r="A74" s="7">
        <v>3045084.549</v>
      </c>
      <c r="B74" s="7">
        <v>35401418.175</v>
      </c>
      <c r="C74" s="8">
        <v>907.26</v>
      </c>
      <c r="D74" s="9" t="s">
        <v>382</v>
      </c>
      <c r="E74" s="21"/>
    </row>
    <row r="75" ht="16.5" spans="1:5">
      <c r="A75" s="7">
        <v>3045084.549</v>
      </c>
      <c r="B75" s="7">
        <v>35401418.175</v>
      </c>
      <c r="C75" s="8">
        <v>907.26</v>
      </c>
      <c r="D75" s="9" t="s">
        <v>383</v>
      </c>
      <c r="E75" s="21"/>
    </row>
    <row r="76" ht="16.5" spans="1:5">
      <c r="A76" s="7">
        <v>3045084.549</v>
      </c>
      <c r="B76" s="7">
        <v>35401418.175</v>
      </c>
      <c r="C76" s="8">
        <v>907.26</v>
      </c>
      <c r="D76" s="9" t="s">
        <v>384</v>
      </c>
      <c r="E76" s="21"/>
    </row>
    <row r="77" ht="16.5" spans="1:5">
      <c r="A77" s="7">
        <v>3045084.549</v>
      </c>
      <c r="B77" s="7">
        <v>35401418.175</v>
      </c>
      <c r="C77" s="8">
        <v>907.26</v>
      </c>
      <c r="D77" s="9" t="s">
        <v>385</v>
      </c>
      <c r="E77" s="21"/>
    </row>
    <row r="78" ht="16.5" spans="1:5">
      <c r="A78" s="7">
        <v>3045084.549</v>
      </c>
      <c r="B78" s="7">
        <v>35401418.175</v>
      </c>
      <c r="C78" s="8">
        <v>907.26</v>
      </c>
      <c r="D78" s="9" t="s">
        <v>386</v>
      </c>
      <c r="E78" s="21"/>
    </row>
    <row r="79" ht="16.5" spans="1:5">
      <c r="A79" s="7">
        <v>3045084.549</v>
      </c>
      <c r="B79" s="7">
        <v>35401418.175</v>
      </c>
      <c r="C79" s="8">
        <v>907.26</v>
      </c>
      <c r="D79" s="9" t="s">
        <v>387</v>
      </c>
      <c r="E79" s="21">
        <v>782.41</v>
      </c>
    </row>
    <row r="80" ht="16.5" spans="1:5">
      <c r="A80" s="7">
        <v>3045084.549</v>
      </c>
      <c r="B80" s="7">
        <v>35401418.175</v>
      </c>
      <c r="C80" s="8">
        <v>907.26</v>
      </c>
      <c r="D80" s="9" t="s">
        <v>388</v>
      </c>
      <c r="E80" s="21"/>
    </row>
    <row r="81" ht="16.5" spans="1:5">
      <c r="A81" s="7">
        <v>3045084.549</v>
      </c>
      <c r="B81" s="7">
        <v>35401418.175</v>
      </c>
      <c r="C81" s="8">
        <v>907.26</v>
      </c>
      <c r="D81" s="9" t="s">
        <v>389</v>
      </c>
      <c r="E81" s="21"/>
    </row>
    <row r="82" ht="16.5" spans="1:5">
      <c r="A82" s="7">
        <v>3045084.549</v>
      </c>
      <c r="B82" s="7">
        <v>35401418.175</v>
      </c>
      <c r="C82" s="8">
        <v>907.26</v>
      </c>
      <c r="D82" s="9" t="s">
        <v>390</v>
      </c>
      <c r="E82" s="21">
        <v>783.49</v>
      </c>
    </row>
    <row r="83" ht="16.5" spans="1:5">
      <c r="A83" s="7">
        <v>3045084.549</v>
      </c>
      <c r="B83" s="7">
        <v>35401418.175</v>
      </c>
      <c r="C83" s="8">
        <v>907.26</v>
      </c>
      <c r="D83" s="9" t="s">
        <v>391</v>
      </c>
      <c r="E83" s="21"/>
    </row>
    <row r="84" ht="16.5" spans="1:5">
      <c r="A84" s="7">
        <v>3045084.549</v>
      </c>
      <c r="B84" s="7">
        <v>35401418.175</v>
      </c>
      <c r="C84" s="8">
        <v>907.26</v>
      </c>
      <c r="D84" s="9" t="s">
        <v>392</v>
      </c>
      <c r="E84" s="21"/>
    </row>
    <row r="85" ht="16.5" spans="1:5">
      <c r="A85" s="7">
        <v>3045084.549</v>
      </c>
      <c r="B85" s="7">
        <v>35401418.175</v>
      </c>
      <c r="C85" s="8">
        <v>907.26</v>
      </c>
      <c r="D85" s="9" t="s">
        <v>393</v>
      </c>
      <c r="E85" s="21"/>
    </row>
    <row r="86" ht="16.5" spans="1:5">
      <c r="A86" s="7">
        <v>3045084.549</v>
      </c>
      <c r="B86" s="7">
        <v>35401418.175</v>
      </c>
      <c r="C86" s="8">
        <v>907.26</v>
      </c>
      <c r="D86" s="9" t="s">
        <v>394</v>
      </c>
      <c r="E86" s="21"/>
    </row>
    <row r="87" ht="16.5" spans="1:5">
      <c r="A87" s="7">
        <v>3045084.549</v>
      </c>
      <c r="B87" s="7">
        <v>35401418.175</v>
      </c>
      <c r="C87" s="8">
        <v>907.26</v>
      </c>
      <c r="D87" s="9" t="s">
        <v>395</v>
      </c>
      <c r="E87" s="21"/>
    </row>
    <row r="88" ht="16.5" spans="1:5">
      <c r="A88" s="7">
        <v>3045084.549</v>
      </c>
      <c r="B88" s="7">
        <v>35401418.175</v>
      </c>
      <c r="C88" s="8">
        <v>907.26</v>
      </c>
      <c r="D88" s="9" t="s">
        <v>396</v>
      </c>
      <c r="E88" s="21"/>
    </row>
    <row r="89" ht="16.5" spans="1:5">
      <c r="A89" s="7">
        <v>3045084.549</v>
      </c>
      <c r="B89" s="7">
        <v>35401418.175</v>
      </c>
      <c r="C89" s="8">
        <v>907.26</v>
      </c>
      <c r="D89" s="9" t="s">
        <v>397</v>
      </c>
      <c r="E89" s="21">
        <v>782.51</v>
      </c>
    </row>
    <row r="90" ht="16.5" spans="1:5">
      <c r="A90" s="7">
        <v>3045084.549</v>
      </c>
      <c r="B90" s="7">
        <v>35401418.175</v>
      </c>
      <c r="C90" s="8">
        <v>907.26</v>
      </c>
      <c r="D90" s="9" t="s">
        <v>398</v>
      </c>
      <c r="E90" s="21"/>
    </row>
    <row r="91" ht="16.5" spans="1:5">
      <c r="A91" s="7">
        <v>3045084.549</v>
      </c>
      <c r="B91" s="7">
        <v>35401418.175</v>
      </c>
      <c r="C91" s="8">
        <v>907.26</v>
      </c>
      <c r="D91" s="9" t="s">
        <v>399</v>
      </c>
      <c r="E91" s="21"/>
    </row>
    <row r="92" ht="16.5" spans="1:5">
      <c r="A92" s="7">
        <v>3045084.549</v>
      </c>
      <c r="B92" s="7">
        <v>35401418.175</v>
      </c>
      <c r="C92" s="8">
        <v>907.26</v>
      </c>
      <c r="D92" s="9" t="s">
        <v>400</v>
      </c>
      <c r="E92" s="21"/>
    </row>
    <row r="93" ht="16.5" spans="1:5">
      <c r="A93" s="7">
        <v>3045084.549</v>
      </c>
      <c r="B93" s="7">
        <v>35401418.175</v>
      </c>
      <c r="C93" s="8">
        <v>907.26</v>
      </c>
      <c r="D93" s="9" t="s">
        <v>401</v>
      </c>
      <c r="E93" s="21"/>
    </row>
    <row r="94" ht="16.5" spans="1:5">
      <c r="A94" s="7">
        <v>3045084.549</v>
      </c>
      <c r="B94" s="7">
        <v>35401418.175</v>
      </c>
      <c r="C94" s="8">
        <v>907.26</v>
      </c>
      <c r="D94" s="9" t="s">
        <v>402</v>
      </c>
      <c r="E94" s="21"/>
    </row>
    <row r="95" ht="16.5" spans="1:5">
      <c r="A95" s="7">
        <v>3045084.549</v>
      </c>
      <c r="B95" s="7">
        <v>35401418.175</v>
      </c>
      <c r="C95" s="8">
        <v>907.26</v>
      </c>
      <c r="D95" s="9" t="s">
        <v>403</v>
      </c>
      <c r="E95" s="21"/>
    </row>
    <row r="96" ht="16.5" spans="1:5">
      <c r="A96" s="7">
        <v>3045084.549</v>
      </c>
      <c r="B96" s="7">
        <v>35401418.175</v>
      </c>
      <c r="C96" s="8">
        <v>907.26</v>
      </c>
      <c r="D96" s="9" t="s">
        <v>404</v>
      </c>
      <c r="E96" s="21"/>
    </row>
    <row r="97" ht="16.5" spans="1:5">
      <c r="A97" s="7">
        <v>3045084.549</v>
      </c>
      <c r="B97" s="7">
        <v>35401418.175</v>
      </c>
      <c r="C97" s="8">
        <v>907.26</v>
      </c>
      <c r="D97" s="9" t="s">
        <v>405</v>
      </c>
      <c r="E97" s="21"/>
    </row>
    <row r="98" ht="16.5" spans="1:5">
      <c r="A98" s="7">
        <v>3045084.549</v>
      </c>
      <c r="B98" s="7">
        <v>35401418.175</v>
      </c>
      <c r="C98" s="8">
        <v>907.26</v>
      </c>
      <c r="D98" s="9" t="s">
        <v>406</v>
      </c>
      <c r="E98" s="21"/>
    </row>
    <row r="99" ht="16.5" spans="1:5">
      <c r="A99" s="7">
        <v>3045084.549</v>
      </c>
      <c r="B99" s="7">
        <v>35401418.175</v>
      </c>
      <c r="C99" s="8">
        <v>907.26</v>
      </c>
      <c r="D99" s="9" t="s">
        <v>407</v>
      </c>
      <c r="E99" s="21"/>
    </row>
    <row r="100" ht="16.5" spans="1:5">
      <c r="A100" s="7">
        <v>3045084.549</v>
      </c>
      <c r="B100" s="7">
        <v>35401418.175</v>
      </c>
      <c r="C100" s="8">
        <v>907.26</v>
      </c>
      <c r="D100" s="9" t="s">
        <v>408</v>
      </c>
      <c r="E100" s="21"/>
    </row>
    <row r="101" ht="16.5" spans="1:5">
      <c r="A101" s="7">
        <v>3045084.549</v>
      </c>
      <c r="B101" s="7">
        <v>35401418.175</v>
      </c>
      <c r="C101" s="8">
        <v>907.26</v>
      </c>
      <c r="D101" s="9" t="s">
        <v>409</v>
      </c>
      <c r="E101" s="21"/>
    </row>
    <row r="102" ht="16.5" spans="1:5">
      <c r="A102" s="7">
        <v>3045084.549</v>
      </c>
      <c r="B102" s="7">
        <v>35401418.175</v>
      </c>
      <c r="C102" s="8">
        <v>907.26</v>
      </c>
      <c r="D102" s="9" t="s">
        <v>410</v>
      </c>
      <c r="E102" s="21">
        <v>780.46</v>
      </c>
    </row>
    <row r="103" ht="16.5" spans="1:5">
      <c r="A103" s="7">
        <v>3045084.549</v>
      </c>
      <c r="B103" s="7">
        <v>35401418.175</v>
      </c>
      <c r="C103" s="8">
        <v>907.26</v>
      </c>
      <c r="D103" s="9" t="s">
        <v>411</v>
      </c>
      <c r="E103" s="21"/>
    </row>
    <row r="104" ht="16.5" spans="1:5">
      <c r="A104" s="7">
        <v>3045084.549</v>
      </c>
      <c r="B104" s="7">
        <v>35401418.175</v>
      </c>
      <c r="C104" s="8">
        <v>907.26</v>
      </c>
      <c r="D104" s="9" t="s">
        <v>412</v>
      </c>
      <c r="E104" s="21"/>
    </row>
    <row r="105" ht="16.5" spans="1:5">
      <c r="A105" s="7">
        <v>3045084.549</v>
      </c>
      <c r="B105" s="7">
        <v>35401418.175</v>
      </c>
      <c r="C105" s="8">
        <v>907.26</v>
      </c>
      <c r="D105" s="9" t="s">
        <v>413</v>
      </c>
      <c r="E105" s="21"/>
    </row>
    <row r="106" ht="16.5" spans="1:5">
      <c r="A106" s="7">
        <v>3045084.549</v>
      </c>
      <c r="B106" s="7">
        <v>35401418.175</v>
      </c>
      <c r="C106" s="8">
        <v>907.26</v>
      </c>
      <c r="D106" s="9" t="s">
        <v>414</v>
      </c>
      <c r="E106" s="21"/>
    </row>
    <row r="107" ht="16.5" spans="1:5">
      <c r="A107" s="7">
        <v>3045084.549</v>
      </c>
      <c r="B107" s="7">
        <v>35401418.175</v>
      </c>
      <c r="C107" s="8">
        <v>907.26</v>
      </c>
      <c r="D107" s="9" t="s">
        <v>415</v>
      </c>
      <c r="E107" s="21">
        <v>774.1</v>
      </c>
    </row>
    <row r="108" ht="16.5" spans="1:5">
      <c r="A108" s="7">
        <v>3045084.549</v>
      </c>
      <c r="B108" s="7">
        <v>35401418.175</v>
      </c>
      <c r="C108" s="8">
        <v>907.26</v>
      </c>
      <c r="D108" s="9" t="s">
        <v>416</v>
      </c>
      <c r="E108" s="21"/>
    </row>
    <row r="109" ht="16.5" spans="1:5">
      <c r="A109" s="7">
        <v>3045084.549</v>
      </c>
      <c r="B109" s="7">
        <v>35401418.175</v>
      </c>
      <c r="C109" s="8">
        <v>907.26</v>
      </c>
      <c r="D109" s="9" t="s">
        <v>417</v>
      </c>
      <c r="E109" s="21"/>
    </row>
    <row r="110" ht="16.5" spans="1:5">
      <c r="A110" s="7">
        <v>3045084.549</v>
      </c>
      <c r="B110" s="7">
        <v>35401418.175</v>
      </c>
      <c r="C110" s="8">
        <v>907.26</v>
      </c>
      <c r="D110" s="9" t="s">
        <v>418</v>
      </c>
      <c r="E110" s="21"/>
    </row>
    <row r="111" ht="16.5" spans="1:5">
      <c r="A111" s="7">
        <v>3045084.549</v>
      </c>
      <c r="B111" s="7">
        <v>35401418.175</v>
      </c>
      <c r="C111" s="8">
        <v>907.26</v>
      </c>
      <c r="D111" s="9" t="s">
        <v>419</v>
      </c>
      <c r="E111" s="21"/>
    </row>
    <row r="112" ht="16.5" spans="1:5">
      <c r="A112" s="7">
        <v>3045084.549</v>
      </c>
      <c r="B112" s="7">
        <v>35401418.175</v>
      </c>
      <c r="C112" s="8">
        <v>907.26</v>
      </c>
      <c r="D112" s="9" t="s">
        <v>420</v>
      </c>
      <c r="E112" s="21"/>
    </row>
    <row r="113" ht="16.5" spans="1:5">
      <c r="A113" s="7">
        <v>3045084.549</v>
      </c>
      <c r="B113" s="7">
        <v>35401418.175</v>
      </c>
      <c r="C113" s="8">
        <v>907.26</v>
      </c>
      <c r="D113" s="9" t="s">
        <v>421</v>
      </c>
      <c r="E113" s="21"/>
    </row>
    <row r="114" ht="16.5" spans="1:5">
      <c r="A114" s="7">
        <v>3045084.549</v>
      </c>
      <c r="B114" s="7">
        <v>35401418.175</v>
      </c>
      <c r="C114" s="8">
        <v>907.26</v>
      </c>
      <c r="D114" s="9" t="s">
        <v>422</v>
      </c>
      <c r="E114" s="21"/>
    </row>
    <row r="115" ht="16.5" spans="1:5">
      <c r="A115" s="7">
        <v>3045084.549</v>
      </c>
      <c r="B115" s="7">
        <v>35401418.175</v>
      </c>
      <c r="C115" s="8">
        <v>907.26</v>
      </c>
      <c r="D115" s="9" t="s">
        <v>423</v>
      </c>
      <c r="E115" s="21"/>
    </row>
    <row r="116" ht="16.5" spans="1:5">
      <c r="A116" s="7">
        <v>3045084.549</v>
      </c>
      <c r="B116" s="7">
        <v>35401418.175</v>
      </c>
      <c r="C116" s="8">
        <v>907.26</v>
      </c>
      <c r="D116" s="9" t="s">
        <v>424</v>
      </c>
      <c r="E116" s="21"/>
    </row>
    <row r="117" ht="16.5" spans="1:5">
      <c r="A117" s="7">
        <v>3045084.549</v>
      </c>
      <c r="B117" s="7">
        <v>35401418.175</v>
      </c>
      <c r="C117" s="8">
        <v>907.26</v>
      </c>
      <c r="D117" s="9" t="s">
        <v>425</v>
      </c>
      <c r="E117" s="21"/>
    </row>
    <row r="118" ht="16.5" spans="1:5">
      <c r="A118" s="7">
        <v>3045084.549</v>
      </c>
      <c r="B118" s="7">
        <v>35401418.175</v>
      </c>
      <c r="C118" s="8">
        <v>907.26</v>
      </c>
      <c r="D118" s="9" t="s">
        <v>426</v>
      </c>
      <c r="E118" s="21">
        <v>781</v>
      </c>
    </row>
    <row r="119" ht="16.5" spans="1:5">
      <c r="A119" s="7">
        <v>3045084.549</v>
      </c>
      <c r="B119" s="7">
        <v>35401418.175</v>
      </c>
      <c r="C119" s="8">
        <v>907.26</v>
      </c>
      <c r="D119" s="9" t="s">
        <v>427</v>
      </c>
      <c r="E119" s="21"/>
    </row>
    <row r="120" ht="16.5" spans="1:5">
      <c r="A120" s="7">
        <v>3045084.549</v>
      </c>
      <c r="B120" s="7">
        <v>35401418.175</v>
      </c>
      <c r="C120" s="8">
        <v>907.26</v>
      </c>
      <c r="D120" s="9" t="s">
        <v>428</v>
      </c>
      <c r="E120" s="21"/>
    </row>
    <row r="121" ht="16.5" spans="1:5">
      <c r="A121" s="7">
        <v>3045084.549</v>
      </c>
      <c r="B121" s="7">
        <v>35401418.175</v>
      </c>
      <c r="C121" s="8">
        <v>907.26</v>
      </c>
      <c r="D121" s="9" t="s">
        <v>429</v>
      </c>
      <c r="E121" s="21"/>
    </row>
    <row r="122" ht="16.5" spans="1:5">
      <c r="A122" s="7">
        <v>3045084.549</v>
      </c>
      <c r="B122" s="7">
        <v>35401418.175</v>
      </c>
      <c r="C122" s="8">
        <v>907.26</v>
      </c>
      <c r="D122" s="9" t="s">
        <v>430</v>
      </c>
      <c r="E122" s="21"/>
    </row>
    <row r="123" ht="16.5" spans="1:5">
      <c r="A123" s="7">
        <v>3045084.549</v>
      </c>
      <c r="B123" s="7">
        <v>35401418.175</v>
      </c>
      <c r="C123" s="8">
        <v>907.26</v>
      </c>
      <c r="D123" s="9" t="s">
        <v>431</v>
      </c>
      <c r="E123" s="21"/>
    </row>
    <row r="124" ht="16.5" spans="1:5">
      <c r="A124" s="7">
        <v>3045084.549</v>
      </c>
      <c r="B124" s="7">
        <v>35401418.175</v>
      </c>
      <c r="C124" s="8">
        <v>907.26</v>
      </c>
      <c r="D124" s="9" t="s">
        <v>432</v>
      </c>
      <c r="E124" s="21"/>
    </row>
    <row r="125" ht="16.5" spans="1:5">
      <c r="A125" s="7">
        <v>3045084.549</v>
      </c>
      <c r="B125" s="7">
        <v>35401418.175</v>
      </c>
      <c r="C125" s="8">
        <v>907.26</v>
      </c>
      <c r="D125" s="9" t="s">
        <v>433</v>
      </c>
      <c r="E125" s="21">
        <v>781.06</v>
      </c>
    </row>
    <row r="126" ht="16.5" spans="1:5">
      <c r="A126" s="7">
        <v>3045084.549</v>
      </c>
      <c r="B126" s="7">
        <v>35401418.175</v>
      </c>
      <c r="C126" s="8">
        <v>907.26</v>
      </c>
      <c r="D126" s="9" t="s">
        <v>434</v>
      </c>
      <c r="E126" s="21"/>
    </row>
    <row r="127" ht="16.5" spans="1:5">
      <c r="A127" s="7">
        <v>3045084.549</v>
      </c>
      <c r="B127" s="7">
        <v>35401418.175</v>
      </c>
      <c r="C127" s="8">
        <v>907.26</v>
      </c>
      <c r="D127" s="9" t="s">
        <v>435</v>
      </c>
      <c r="E127" s="21"/>
    </row>
    <row r="128" ht="16.5" spans="1:5">
      <c r="A128" s="7">
        <v>3045084.549</v>
      </c>
      <c r="B128" s="7">
        <v>35401418.175</v>
      </c>
      <c r="C128" s="8">
        <v>907.26</v>
      </c>
      <c r="D128" s="9" t="s">
        <v>436</v>
      </c>
      <c r="E128" s="21"/>
    </row>
    <row r="129" ht="16.5" spans="1:5">
      <c r="A129" s="7">
        <v>3045084.549</v>
      </c>
      <c r="B129" s="7">
        <v>35401418.175</v>
      </c>
      <c r="C129" s="8">
        <v>907.26</v>
      </c>
      <c r="D129" s="9" t="s">
        <v>437</v>
      </c>
      <c r="E129" s="21">
        <v>780.66</v>
      </c>
    </row>
    <row r="130" ht="16.5" spans="1:5">
      <c r="A130" s="7">
        <v>3045084.549</v>
      </c>
      <c r="B130" s="7">
        <v>35401418.175</v>
      </c>
      <c r="C130" s="8">
        <v>907.26</v>
      </c>
      <c r="D130" s="9" t="s">
        <v>438</v>
      </c>
      <c r="E130" s="21"/>
    </row>
    <row r="131" ht="16.5" spans="1:5">
      <c r="A131" s="7">
        <v>3045084.549</v>
      </c>
      <c r="B131" s="7">
        <v>35401418.175</v>
      </c>
      <c r="C131" s="8">
        <v>907.26</v>
      </c>
      <c r="D131" s="9" t="s">
        <v>439</v>
      </c>
      <c r="E131" s="21"/>
    </row>
    <row r="132" ht="16.5" spans="1:5">
      <c r="A132" s="7">
        <v>3045084.549</v>
      </c>
      <c r="B132" s="7">
        <v>35401418.175</v>
      </c>
      <c r="C132" s="8">
        <v>907.26</v>
      </c>
      <c r="D132" s="9" t="s">
        <v>440</v>
      </c>
      <c r="E132" s="21"/>
    </row>
    <row r="133" ht="16.5" spans="1:5">
      <c r="A133" s="7">
        <v>3045084.549</v>
      </c>
      <c r="B133" s="7">
        <v>35401418.175</v>
      </c>
      <c r="C133" s="8">
        <v>907.26</v>
      </c>
      <c r="D133" s="9" t="s">
        <v>441</v>
      </c>
      <c r="E133" s="21"/>
    </row>
    <row r="134" ht="16.5" spans="1:5">
      <c r="A134" s="7">
        <v>3045084.549</v>
      </c>
      <c r="B134" s="7">
        <v>35401418.175</v>
      </c>
      <c r="C134" s="8">
        <v>907.26</v>
      </c>
      <c r="D134" s="9" t="s">
        <v>442</v>
      </c>
      <c r="E134" s="21"/>
    </row>
    <row r="135" ht="16.5" spans="1:5">
      <c r="A135" s="7">
        <v>3045084.549</v>
      </c>
      <c r="B135" s="7">
        <v>35401418.175</v>
      </c>
      <c r="C135" s="8">
        <v>907.26</v>
      </c>
      <c r="D135" s="9" t="s">
        <v>443</v>
      </c>
      <c r="E135" s="21"/>
    </row>
    <row r="136" ht="16.5" spans="1:5">
      <c r="A136" s="7">
        <v>3045084.549</v>
      </c>
      <c r="B136" s="7">
        <v>35401418.175</v>
      </c>
      <c r="C136" s="8">
        <v>907.26</v>
      </c>
      <c r="D136" s="9" t="s">
        <v>444</v>
      </c>
      <c r="E136" s="21"/>
    </row>
    <row r="137" ht="16.5" spans="1:5">
      <c r="A137" s="7">
        <v>3045084.549</v>
      </c>
      <c r="B137" s="7">
        <v>35401418.175</v>
      </c>
      <c r="C137" s="8">
        <v>907.26</v>
      </c>
      <c r="D137" s="9" t="s">
        <v>445</v>
      </c>
      <c r="E137" s="21"/>
    </row>
    <row r="138" ht="16.5" spans="1:5">
      <c r="A138" s="7">
        <v>3045084.549</v>
      </c>
      <c r="B138" s="7">
        <v>35401418.175</v>
      </c>
      <c r="C138" s="8">
        <v>907.26</v>
      </c>
      <c r="D138" s="9" t="s">
        <v>446</v>
      </c>
      <c r="E138" s="21"/>
    </row>
    <row r="139" ht="16.5" spans="1:5">
      <c r="A139" s="7">
        <v>3045084.549</v>
      </c>
      <c r="B139" s="7">
        <v>35401418.175</v>
      </c>
      <c r="C139" s="8">
        <v>907.26</v>
      </c>
      <c r="D139" s="9" t="s">
        <v>447</v>
      </c>
      <c r="E139" s="21">
        <v>780.46</v>
      </c>
    </row>
    <row r="140" ht="16.5" spans="1:5">
      <c r="A140" s="7">
        <v>3045084.549</v>
      </c>
      <c r="B140" s="7">
        <v>35401418.175</v>
      </c>
      <c r="C140" s="8">
        <v>907.26</v>
      </c>
      <c r="D140" s="9" t="s">
        <v>448</v>
      </c>
      <c r="E140" s="21"/>
    </row>
    <row r="141" ht="16.5" spans="1:5">
      <c r="A141" s="7">
        <v>3045084.549</v>
      </c>
      <c r="B141" s="7">
        <v>35401418.175</v>
      </c>
      <c r="C141" s="8">
        <v>907.26</v>
      </c>
      <c r="D141" s="9" t="s">
        <v>449</v>
      </c>
      <c r="E141" s="21"/>
    </row>
    <row r="142" ht="16.5" spans="1:5">
      <c r="A142" s="7">
        <v>3045084.549</v>
      </c>
      <c r="B142" s="7">
        <v>35401418.175</v>
      </c>
      <c r="C142" s="8">
        <v>907.26</v>
      </c>
      <c r="D142" s="9" t="s">
        <v>450</v>
      </c>
      <c r="E142" s="21"/>
    </row>
    <row r="143" ht="16.5" spans="1:5">
      <c r="A143" s="7">
        <v>3045084.549</v>
      </c>
      <c r="B143" s="7">
        <v>35401418.175</v>
      </c>
      <c r="C143" s="8">
        <v>907.26</v>
      </c>
      <c r="D143" s="9" t="s">
        <v>451</v>
      </c>
      <c r="E143" s="21"/>
    </row>
    <row r="144" ht="16.5" spans="1:5">
      <c r="A144" s="7">
        <v>3045084.549</v>
      </c>
      <c r="B144" s="7">
        <v>35401418.175</v>
      </c>
      <c r="C144" s="8">
        <v>907.26</v>
      </c>
      <c r="D144" s="9" t="s">
        <v>452</v>
      </c>
      <c r="E144" s="21">
        <v>773</v>
      </c>
    </row>
    <row r="145" ht="16.5" spans="1:5">
      <c r="A145" s="7">
        <v>3045084.549</v>
      </c>
      <c r="B145" s="7">
        <v>35401418.175</v>
      </c>
      <c r="C145" s="8">
        <v>907.26</v>
      </c>
      <c r="D145" s="9" t="s">
        <v>453</v>
      </c>
      <c r="E145" s="21"/>
    </row>
    <row r="146" ht="16.5" spans="1:5">
      <c r="A146" s="7">
        <v>3045084.549</v>
      </c>
      <c r="B146" s="7">
        <v>35401418.175</v>
      </c>
      <c r="C146" s="8">
        <v>907.26</v>
      </c>
      <c r="D146" s="9" t="s">
        <v>454</v>
      </c>
      <c r="E146" s="21"/>
    </row>
    <row r="147" ht="16.5" spans="1:5">
      <c r="A147" s="7">
        <v>3045084.549</v>
      </c>
      <c r="B147" s="7">
        <v>35401418.175</v>
      </c>
      <c r="C147" s="8">
        <v>907.26</v>
      </c>
      <c r="D147" s="9" t="s">
        <v>455</v>
      </c>
      <c r="E147" s="21"/>
    </row>
    <row r="148" ht="16.5" spans="1:5">
      <c r="A148" s="7">
        <v>3045084.549</v>
      </c>
      <c r="B148" s="7">
        <v>35401418.175</v>
      </c>
      <c r="C148" s="8">
        <v>907.26</v>
      </c>
      <c r="D148" s="9" t="s">
        <v>456</v>
      </c>
      <c r="E148" s="21"/>
    </row>
    <row r="149" ht="16.5" spans="1:5">
      <c r="A149" s="7">
        <v>3045084.549</v>
      </c>
      <c r="B149" s="7">
        <v>35401418.175</v>
      </c>
      <c r="C149" s="8">
        <v>907.26</v>
      </c>
      <c r="D149" s="9" t="s">
        <v>457</v>
      </c>
      <c r="E149" s="21"/>
    </row>
    <row r="150" ht="16.5" spans="1:5">
      <c r="A150" s="7">
        <v>3045084.549</v>
      </c>
      <c r="B150" s="7">
        <v>35401418.175</v>
      </c>
      <c r="C150" s="8">
        <v>907.26</v>
      </c>
      <c r="D150" s="9" t="s">
        <v>458</v>
      </c>
      <c r="E150" s="21"/>
    </row>
    <row r="151" ht="16.5" spans="1:5">
      <c r="A151" s="7">
        <v>3045084.549</v>
      </c>
      <c r="B151" s="7">
        <v>35401418.175</v>
      </c>
      <c r="C151" s="8">
        <v>907.26</v>
      </c>
      <c r="D151" s="9" t="s">
        <v>459</v>
      </c>
      <c r="E151" s="21">
        <v>780.7</v>
      </c>
    </row>
    <row r="152" ht="16.5" spans="1:5">
      <c r="A152" s="7">
        <v>3045084.549</v>
      </c>
      <c r="B152" s="7">
        <v>35401418.175</v>
      </c>
      <c r="C152" s="8">
        <v>907.26</v>
      </c>
      <c r="D152" s="9" t="s">
        <v>460</v>
      </c>
      <c r="E152" s="21"/>
    </row>
    <row r="153" ht="16.5" spans="1:5">
      <c r="A153" s="7">
        <v>3045084.549</v>
      </c>
      <c r="B153" s="7">
        <v>35401418.175</v>
      </c>
      <c r="C153" s="8">
        <v>907.26</v>
      </c>
      <c r="D153" s="9" t="s">
        <v>461</v>
      </c>
      <c r="E153" s="21"/>
    </row>
    <row r="154" ht="16.5" spans="1:5">
      <c r="A154" s="7">
        <v>3045084.549</v>
      </c>
      <c r="B154" s="7">
        <v>35401418.175</v>
      </c>
      <c r="C154" s="8">
        <v>907.26</v>
      </c>
      <c r="D154" s="9" t="s">
        <v>462</v>
      </c>
      <c r="E154" s="21"/>
    </row>
    <row r="155" ht="16.5" spans="1:5">
      <c r="A155" s="7">
        <v>3045084.549</v>
      </c>
      <c r="B155" s="7">
        <v>35401418.175</v>
      </c>
      <c r="C155" s="8">
        <v>907.26</v>
      </c>
      <c r="D155" s="9" t="s">
        <v>463</v>
      </c>
      <c r="E155" s="21">
        <v>781.15</v>
      </c>
    </row>
    <row r="156" ht="16.5" spans="1:5">
      <c r="A156" s="7">
        <v>3045084.549</v>
      </c>
      <c r="B156" s="7">
        <v>35401418.175</v>
      </c>
      <c r="C156" s="8">
        <v>907.26</v>
      </c>
      <c r="D156" s="9" t="s">
        <v>464</v>
      </c>
      <c r="E156" s="21">
        <v>780.99</v>
      </c>
    </row>
    <row r="157" ht="16.5" spans="1:5">
      <c r="A157" s="7">
        <v>3045084.549</v>
      </c>
      <c r="B157" s="7">
        <v>35401418.175</v>
      </c>
      <c r="C157" s="8">
        <v>907.26</v>
      </c>
      <c r="D157" s="9" t="s">
        <v>465</v>
      </c>
      <c r="E157" s="21"/>
    </row>
    <row r="158" ht="16.5" spans="1:5">
      <c r="A158" s="7">
        <v>3045084.549</v>
      </c>
      <c r="B158" s="7">
        <v>35401418.175</v>
      </c>
      <c r="C158" s="8">
        <v>907.26</v>
      </c>
      <c r="D158" s="9" t="s">
        <v>466</v>
      </c>
      <c r="E158" s="21">
        <v>781.13</v>
      </c>
    </row>
    <row r="159" ht="16.5" spans="1:5">
      <c r="A159" s="7">
        <v>3045084.549</v>
      </c>
      <c r="B159" s="7">
        <v>35401418.175</v>
      </c>
      <c r="C159" s="8">
        <v>907.26</v>
      </c>
      <c r="D159" s="9" t="s">
        <v>467</v>
      </c>
      <c r="E159" s="21"/>
    </row>
    <row r="160" ht="16.5" spans="1:5">
      <c r="A160" s="7">
        <v>3045084.549</v>
      </c>
      <c r="B160" s="7">
        <v>35401418.175</v>
      </c>
      <c r="C160" s="8">
        <v>907.26</v>
      </c>
      <c r="D160" s="9" t="s">
        <v>468</v>
      </c>
      <c r="E160" s="21">
        <v>782.35</v>
      </c>
    </row>
    <row r="161" ht="16.5" spans="1:5">
      <c r="A161" s="7">
        <v>3045084.549</v>
      </c>
      <c r="B161" s="7">
        <v>35401418.175</v>
      </c>
      <c r="C161" s="8">
        <v>907.26</v>
      </c>
      <c r="D161" s="9" t="s">
        <v>469</v>
      </c>
      <c r="E161" s="21">
        <v>782.54</v>
      </c>
    </row>
    <row r="162" ht="16.5" spans="1:5">
      <c r="A162" s="7">
        <v>3045084.549</v>
      </c>
      <c r="B162" s="7">
        <v>35401418.175</v>
      </c>
      <c r="C162" s="8">
        <v>907.26</v>
      </c>
      <c r="D162" s="9" t="s">
        <v>470</v>
      </c>
      <c r="E162" s="21">
        <v>782.63</v>
      </c>
    </row>
    <row r="163" ht="16.5" spans="1:5">
      <c r="A163" s="7">
        <v>3045084.549</v>
      </c>
      <c r="B163" s="7">
        <v>35401418.175</v>
      </c>
      <c r="C163" s="8">
        <v>907.26</v>
      </c>
      <c r="D163" s="9" t="s">
        <v>471</v>
      </c>
      <c r="E163" s="21">
        <v>782.72</v>
      </c>
    </row>
    <row r="164" ht="16.5" spans="1:5">
      <c r="A164" s="7">
        <v>3045084.549</v>
      </c>
      <c r="B164" s="7">
        <v>35401418.175</v>
      </c>
      <c r="C164" s="8">
        <v>907.26</v>
      </c>
      <c r="D164" s="9" t="s">
        <v>472</v>
      </c>
      <c r="E164" s="21">
        <v>782.52</v>
      </c>
    </row>
    <row r="165" ht="16.5" spans="1:5">
      <c r="A165" s="7">
        <v>3045084.549</v>
      </c>
      <c r="B165" s="7">
        <v>35401418.175</v>
      </c>
      <c r="C165" s="8">
        <v>907.26</v>
      </c>
      <c r="D165" s="9" t="s">
        <v>473</v>
      </c>
      <c r="E165" s="21">
        <v>782.82</v>
      </c>
    </row>
    <row r="166" ht="16.5" spans="1:5">
      <c r="A166" s="7">
        <v>3045084.549</v>
      </c>
      <c r="B166" s="7">
        <v>35401418.175</v>
      </c>
      <c r="C166" s="8">
        <v>907.26</v>
      </c>
      <c r="D166" s="9" t="s">
        <v>474</v>
      </c>
      <c r="E166" s="21">
        <v>782.88</v>
      </c>
    </row>
    <row r="167" ht="16.5" spans="1:5">
      <c r="A167" s="7">
        <v>3045084.549</v>
      </c>
      <c r="B167" s="7">
        <v>35401418.175</v>
      </c>
      <c r="C167" s="8">
        <v>907.26</v>
      </c>
      <c r="D167" s="9" t="s">
        <v>475</v>
      </c>
      <c r="E167" s="21">
        <v>783.24</v>
      </c>
    </row>
    <row r="168" ht="16.5" spans="1:5">
      <c r="A168" s="7">
        <v>3045084.549</v>
      </c>
      <c r="B168" s="7">
        <v>35401418.175</v>
      </c>
      <c r="C168" s="8">
        <v>907.26</v>
      </c>
      <c r="D168" s="9" t="s">
        <v>476</v>
      </c>
      <c r="E168" s="21">
        <v>783.35</v>
      </c>
    </row>
    <row r="169" ht="16.5" spans="1:5">
      <c r="A169" s="7">
        <v>3045084.549</v>
      </c>
      <c r="B169" s="7">
        <v>35401418.175</v>
      </c>
      <c r="C169" s="8">
        <v>907.26</v>
      </c>
      <c r="D169" s="9" t="s">
        <v>477</v>
      </c>
      <c r="E169" s="21">
        <v>783.56</v>
      </c>
    </row>
    <row r="170" ht="16.5" spans="1:5">
      <c r="A170" s="7">
        <v>3045084.549</v>
      </c>
      <c r="B170" s="7">
        <v>35401418.175</v>
      </c>
      <c r="C170" s="8">
        <v>907.26</v>
      </c>
      <c r="D170" s="9" t="s">
        <v>478</v>
      </c>
      <c r="E170" s="21">
        <v>783.61</v>
      </c>
    </row>
    <row r="171" ht="16.5" spans="1:5">
      <c r="A171" s="7">
        <v>3045084.549</v>
      </c>
      <c r="B171" s="7">
        <v>35401418.175</v>
      </c>
      <c r="C171" s="8">
        <v>907.26</v>
      </c>
      <c r="D171" s="9" t="s">
        <v>479</v>
      </c>
      <c r="E171" s="21">
        <v>783.49</v>
      </c>
    </row>
    <row r="172" ht="16.5" spans="1:5">
      <c r="A172" s="7">
        <v>3045084.549</v>
      </c>
      <c r="B172" s="7">
        <v>35401418.175</v>
      </c>
      <c r="C172" s="8">
        <v>907.26</v>
      </c>
      <c r="D172" s="9" t="s">
        <v>480</v>
      </c>
      <c r="E172" s="21">
        <v>784.53</v>
      </c>
    </row>
    <row r="173" ht="16.5" spans="1:5">
      <c r="A173" s="7">
        <v>3045084.549</v>
      </c>
      <c r="B173" s="7">
        <v>35401418.175</v>
      </c>
      <c r="C173" s="8">
        <v>907.26</v>
      </c>
      <c r="D173" s="9" t="s">
        <v>481</v>
      </c>
      <c r="E173" s="21">
        <v>783.52</v>
      </c>
    </row>
    <row r="174" ht="16.5" spans="1:5">
      <c r="A174" s="7">
        <v>3045084.549</v>
      </c>
      <c r="B174" s="7">
        <v>35401418.175</v>
      </c>
      <c r="C174" s="8">
        <v>907.26</v>
      </c>
      <c r="D174" s="9" t="s">
        <v>482</v>
      </c>
      <c r="E174" s="21">
        <v>783.71</v>
      </c>
    </row>
    <row r="175" ht="16.5" spans="1:5">
      <c r="A175" s="7">
        <v>3045084.549</v>
      </c>
      <c r="B175" s="7">
        <v>35401418.175</v>
      </c>
      <c r="C175" s="8">
        <v>907.26</v>
      </c>
      <c r="D175" s="9" t="s">
        <v>483</v>
      </c>
      <c r="E175" s="21">
        <v>783.32</v>
      </c>
    </row>
    <row r="176" ht="16.5" spans="1:5">
      <c r="A176" s="7">
        <v>3045084.549</v>
      </c>
      <c r="B176" s="7">
        <v>35401418.175</v>
      </c>
      <c r="C176" s="8">
        <v>907.26</v>
      </c>
      <c r="D176" s="9" t="s">
        <v>484</v>
      </c>
      <c r="E176" s="21">
        <v>783.24</v>
      </c>
    </row>
    <row r="177" ht="16.5" spans="1:5">
      <c r="A177" s="7">
        <v>3045084.549</v>
      </c>
      <c r="B177" s="7">
        <v>35401418.175</v>
      </c>
      <c r="C177" s="8">
        <v>907.26</v>
      </c>
      <c r="D177" s="9" t="s">
        <v>485</v>
      </c>
      <c r="E177" s="21"/>
    </row>
    <row r="178" ht="16.5" spans="1:5">
      <c r="A178" s="7">
        <v>3045084.549</v>
      </c>
      <c r="B178" s="7">
        <v>35401418.175</v>
      </c>
      <c r="C178" s="8">
        <v>907.26</v>
      </c>
      <c r="D178" s="9" t="s">
        <v>486</v>
      </c>
      <c r="E178" s="21"/>
    </row>
    <row r="179" ht="16.5" spans="1:5">
      <c r="A179" s="7">
        <v>3045084.549</v>
      </c>
      <c r="B179" s="7">
        <v>35401418.175</v>
      </c>
      <c r="C179" s="8">
        <v>907.26</v>
      </c>
      <c r="D179" s="9" t="s">
        <v>487</v>
      </c>
      <c r="E179" s="21"/>
    </row>
    <row r="180" ht="16.5" spans="1:5">
      <c r="A180" s="7">
        <v>3045084.549</v>
      </c>
      <c r="B180" s="7">
        <v>35401418.175</v>
      </c>
      <c r="C180" s="8">
        <v>907.26</v>
      </c>
      <c r="D180" s="9" t="s">
        <v>488</v>
      </c>
      <c r="E180" s="21"/>
    </row>
    <row r="181" ht="16.5" spans="1:5">
      <c r="A181" s="7">
        <v>3045084.549</v>
      </c>
      <c r="B181" s="7">
        <v>35401418.175</v>
      </c>
      <c r="C181" s="8">
        <v>907.26</v>
      </c>
      <c r="D181" s="9" t="s">
        <v>489</v>
      </c>
      <c r="E181" s="21"/>
    </row>
    <row r="182" ht="16.5" spans="1:5">
      <c r="A182" s="7">
        <v>3045084.549</v>
      </c>
      <c r="B182" s="7">
        <v>35401418.175</v>
      </c>
      <c r="C182" s="8">
        <v>907.26</v>
      </c>
      <c r="D182" s="9" t="s">
        <v>490</v>
      </c>
      <c r="E182" s="21"/>
    </row>
    <row r="183" ht="16.5" spans="1:5">
      <c r="A183" s="7">
        <v>3045084.549</v>
      </c>
      <c r="B183" s="7">
        <v>35401418.175</v>
      </c>
      <c r="C183" s="8">
        <v>907.26</v>
      </c>
      <c r="D183" s="9" t="s">
        <v>491</v>
      </c>
      <c r="E183" s="21"/>
    </row>
    <row r="184" ht="16.5" spans="1:5">
      <c r="A184" s="7">
        <v>3045084.549</v>
      </c>
      <c r="B184" s="7">
        <v>35401418.175</v>
      </c>
      <c r="C184" s="8">
        <v>907.26</v>
      </c>
      <c r="D184" s="11">
        <v>44682</v>
      </c>
      <c r="E184" s="21"/>
    </row>
    <row r="185" ht="16.5" spans="1:5">
      <c r="A185" s="7">
        <v>3045084.549</v>
      </c>
      <c r="B185" s="7">
        <v>35401418.175</v>
      </c>
      <c r="C185" s="8">
        <v>907.26</v>
      </c>
      <c r="D185" s="11">
        <v>44683</v>
      </c>
      <c r="E185" s="21"/>
    </row>
    <row r="186" ht="16.5" spans="1:5">
      <c r="A186" s="7">
        <v>3045084.549</v>
      </c>
      <c r="B186" s="7">
        <v>35401418.175</v>
      </c>
      <c r="C186" s="8">
        <v>907.26</v>
      </c>
      <c r="D186" s="11">
        <v>44684</v>
      </c>
      <c r="E186" s="21"/>
    </row>
    <row r="187" ht="16.5" spans="1:5">
      <c r="A187" s="7">
        <v>3045084.549</v>
      </c>
      <c r="B187" s="7">
        <v>35401418.175</v>
      </c>
      <c r="C187" s="8">
        <v>907.26</v>
      </c>
      <c r="D187" s="11">
        <v>44685</v>
      </c>
      <c r="E187" s="21"/>
    </row>
    <row r="188" ht="16.5" spans="1:5">
      <c r="A188" s="7">
        <v>3045084.549</v>
      </c>
      <c r="B188" s="7">
        <v>35401418.175</v>
      </c>
      <c r="C188" s="8">
        <v>907.26</v>
      </c>
      <c r="D188" s="11">
        <v>44686</v>
      </c>
      <c r="E188" s="21"/>
    </row>
    <row r="189" ht="16.5" spans="1:5">
      <c r="A189" s="7">
        <v>3045084.549</v>
      </c>
      <c r="B189" s="7">
        <v>35401418.175</v>
      </c>
      <c r="C189" s="8">
        <v>907.26</v>
      </c>
      <c r="D189" s="11">
        <v>44687</v>
      </c>
      <c r="E189" s="21"/>
    </row>
    <row r="190" ht="16.5" spans="1:5">
      <c r="A190" s="7">
        <v>3045084.549</v>
      </c>
      <c r="B190" s="7">
        <v>35401418.175</v>
      </c>
      <c r="C190" s="8">
        <v>907.26</v>
      </c>
      <c r="D190" s="11">
        <v>44688</v>
      </c>
      <c r="E190" s="21"/>
    </row>
    <row r="191" ht="16.5" spans="1:5">
      <c r="A191" s="7">
        <v>3045084.549</v>
      </c>
      <c r="B191" s="7">
        <v>35401418.175</v>
      </c>
      <c r="C191" s="8">
        <v>907.26</v>
      </c>
      <c r="D191" s="11">
        <v>44689</v>
      </c>
      <c r="E191" s="21"/>
    </row>
    <row r="192" ht="16.5" spans="1:5">
      <c r="A192" s="7">
        <v>3045084.549</v>
      </c>
      <c r="B192" s="7">
        <v>35401418.175</v>
      </c>
      <c r="C192" s="8">
        <v>907.26</v>
      </c>
      <c r="D192" s="11">
        <v>44690</v>
      </c>
      <c r="E192" s="21"/>
    </row>
    <row r="193" ht="16.5" spans="1:5">
      <c r="A193" s="7">
        <v>3045084.549</v>
      </c>
      <c r="B193" s="7">
        <v>35401418.175</v>
      </c>
      <c r="C193" s="8">
        <v>907.26</v>
      </c>
      <c r="D193" s="11">
        <v>44691</v>
      </c>
      <c r="E193" s="21"/>
    </row>
    <row r="194" ht="16.5" spans="1:5">
      <c r="A194" s="7">
        <v>3045084.549</v>
      </c>
      <c r="B194" s="7">
        <v>35401418.175</v>
      </c>
      <c r="C194" s="8">
        <v>907.26</v>
      </c>
      <c r="D194" s="11">
        <v>44692</v>
      </c>
      <c r="E194" s="21"/>
    </row>
    <row r="195" ht="16.5" spans="1:5">
      <c r="A195" s="7">
        <v>3045084.549</v>
      </c>
      <c r="B195" s="7">
        <v>35401418.175</v>
      </c>
      <c r="C195" s="8">
        <v>907.26</v>
      </c>
      <c r="D195" s="11">
        <v>44693</v>
      </c>
      <c r="E195" s="21"/>
    </row>
    <row r="196" ht="16.5" spans="1:5">
      <c r="A196" s="7">
        <v>3045084.549</v>
      </c>
      <c r="B196" s="7">
        <v>35401418.175</v>
      </c>
      <c r="C196" s="8">
        <v>907.26</v>
      </c>
      <c r="D196" s="11">
        <v>44694</v>
      </c>
      <c r="E196" s="21"/>
    </row>
    <row r="197" ht="16.5" spans="1:5">
      <c r="A197" s="7">
        <v>3045084.549</v>
      </c>
      <c r="B197" s="7">
        <v>35401418.175</v>
      </c>
      <c r="C197" s="8">
        <v>907.26</v>
      </c>
      <c r="D197" s="11">
        <v>44695</v>
      </c>
      <c r="E197" s="21"/>
    </row>
    <row r="198" ht="16.5" spans="1:5">
      <c r="A198" s="7">
        <v>3045084.549</v>
      </c>
      <c r="B198" s="7">
        <v>35401418.175</v>
      </c>
      <c r="C198" s="8">
        <v>907.26</v>
      </c>
      <c r="D198" s="11">
        <v>44696</v>
      </c>
      <c r="E198" s="21"/>
    </row>
    <row r="199" ht="16.5" spans="1:5">
      <c r="A199" s="7">
        <v>3045084.549</v>
      </c>
      <c r="B199" s="7">
        <v>35401418.175</v>
      </c>
      <c r="C199" s="8">
        <v>907.26</v>
      </c>
      <c r="D199" s="11">
        <v>44697</v>
      </c>
      <c r="E199" s="21"/>
    </row>
    <row r="200" ht="16.5" spans="1:5">
      <c r="A200" s="7">
        <v>3045084.549</v>
      </c>
      <c r="B200" s="7">
        <v>35401418.175</v>
      </c>
      <c r="C200" s="8">
        <v>907.26</v>
      </c>
      <c r="D200" s="11">
        <v>44698</v>
      </c>
      <c r="E200" s="21"/>
    </row>
    <row r="201" ht="16.5" spans="1:5">
      <c r="A201" s="7">
        <v>3045084.549</v>
      </c>
      <c r="B201" s="7">
        <v>35401418.175</v>
      </c>
      <c r="C201" s="8">
        <v>907.26</v>
      </c>
      <c r="D201" s="11">
        <v>44699</v>
      </c>
      <c r="E201" s="21"/>
    </row>
    <row r="202" ht="16.5" spans="1:5">
      <c r="A202" s="7">
        <v>3045084.549</v>
      </c>
      <c r="B202" s="7">
        <v>35401418.175</v>
      </c>
      <c r="C202" s="8">
        <v>907.26</v>
      </c>
      <c r="D202" s="11">
        <v>44700</v>
      </c>
      <c r="E202" s="21"/>
    </row>
    <row r="203" ht="16.5" spans="1:5">
      <c r="A203" s="7">
        <v>3045084.549</v>
      </c>
      <c r="B203" s="7">
        <v>35401418.175</v>
      </c>
      <c r="C203" s="8">
        <v>907.26</v>
      </c>
      <c r="D203" s="11">
        <v>44701</v>
      </c>
      <c r="E203" s="21"/>
    </row>
    <row r="204" ht="16.5" spans="1:5">
      <c r="A204" s="7">
        <v>3045084.549</v>
      </c>
      <c r="B204" s="7">
        <v>35401418.175</v>
      </c>
      <c r="C204" s="8">
        <v>907.26</v>
      </c>
      <c r="D204" s="11">
        <v>44702</v>
      </c>
      <c r="E204" s="21"/>
    </row>
    <row r="205" ht="16.5" spans="1:5">
      <c r="A205" s="7">
        <v>3045084.549</v>
      </c>
      <c r="B205" s="7">
        <v>35401418.175</v>
      </c>
      <c r="C205" s="8">
        <v>907.26</v>
      </c>
      <c r="D205" s="11">
        <v>44703</v>
      </c>
      <c r="E205" s="21"/>
    </row>
    <row r="206" ht="16.5" spans="1:5">
      <c r="A206" s="7">
        <v>3045084.549</v>
      </c>
      <c r="B206" s="7">
        <v>35401418.175</v>
      </c>
      <c r="C206" s="8">
        <v>907.26</v>
      </c>
      <c r="D206" s="11">
        <v>44704</v>
      </c>
      <c r="E206" s="21"/>
    </row>
    <row r="207" ht="16.5" spans="1:5">
      <c r="A207" s="7">
        <v>3045084.549</v>
      </c>
      <c r="B207" s="7">
        <v>35401418.175</v>
      </c>
      <c r="C207" s="8">
        <v>907.26</v>
      </c>
      <c r="D207" s="11">
        <v>44705</v>
      </c>
      <c r="E207" s="21"/>
    </row>
    <row r="208" ht="16.5" spans="1:5">
      <c r="A208" s="7">
        <v>3045084.549</v>
      </c>
      <c r="B208" s="7">
        <v>35401418.175</v>
      </c>
      <c r="C208" s="8">
        <v>907.26</v>
      </c>
      <c r="D208" s="11">
        <v>44706</v>
      </c>
      <c r="E208" s="21"/>
    </row>
    <row r="209" ht="16.5" spans="1:5">
      <c r="A209" s="7">
        <v>3045084.549</v>
      </c>
      <c r="B209" s="7">
        <v>35401418.175</v>
      </c>
      <c r="C209" s="8">
        <v>907.26</v>
      </c>
      <c r="D209" s="11">
        <v>44707</v>
      </c>
      <c r="E209" s="21"/>
    </row>
    <row r="210" ht="16.5" spans="1:5">
      <c r="A210" s="7">
        <v>3045084.549</v>
      </c>
      <c r="B210" s="7">
        <v>35401418.175</v>
      </c>
      <c r="C210" s="8">
        <v>907.26</v>
      </c>
      <c r="D210" s="11">
        <v>44708</v>
      </c>
      <c r="E210" s="21"/>
    </row>
    <row r="211" ht="16.5" spans="1:5">
      <c r="A211" s="7">
        <v>3045084.549</v>
      </c>
      <c r="B211" s="7">
        <v>35401418.175</v>
      </c>
      <c r="C211" s="8">
        <v>907.26</v>
      </c>
      <c r="D211" s="11">
        <v>44709</v>
      </c>
      <c r="E211" s="21"/>
    </row>
    <row r="212" ht="16.5" spans="1:5">
      <c r="A212" s="7">
        <v>3045084.549</v>
      </c>
      <c r="B212" s="7">
        <v>35401418.175</v>
      </c>
      <c r="C212" s="8">
        <v>907.26</v>
      </c>
      <c r="D212" s="11">
        <v>44710</v>
      </c>
      <c r="E212" s="21"/>
    </row>
    <row r="213" ht="16.5" spans="1:5">
      <c r="A213" s="7">
        <v>3045084.549</v>
      </c>
      <c r="B213" s="7">
        <v>35401418.175</v>
      </c>
      <c r="C213" s="8">
        <v>907.26</v>
      </c>
      <c r="D213" s="11">
        <v>44711</v>
      </c>
      <c r="E213" s="21"/>
    </row>
    <row r="214" ht="16.5" spans="1:5">
      <c r="A214" s="7">
        <v>3045084.549</v>
      </c>
      <c r="B214" s="7">
        <v>35401418.175</v>
      </c>
      <c r="C214" s="8">
        <v>907.26</v>
      </c>
      <c r="D214" s="11">
        <v>44712</v>
      </c>
      <c r="E214" s="21"/>
    </row>
    <row r="215" ht="16.5" spans="1:5">
      <c r="A215" s="7">
        <v>3045084.549</v>
      </c>
      <c r="B215" s="7">
        <v>35401418.175</v>
      </c>
      <c r="C215" s="8">
        <v>907.26</v>
      </c>
      <c r="D215" s="11">
        <v>44713</v>
      </c>
      <c r="E215" s="22"/>
    </row>
    <row r="216" ht="16.5" spans="1:5">
      <c r="A216" s="7">
        <v>3045084.549</v>
      </c>
      <c r="B216" s="7">
        <v>35401418.175</v>
      </c>
      <c r="C216" s="8">
        <v>907.26</v>
      </c>
      <c r="D216" s="11">
        <v>44714</v>
      </c>
      <c r="E216" s="22"/>
    </row>
    <row r="217" ht="16.5" spans="1:5">
      <c r="A217" s="7">
        <v>3045084.549</v>
      </c>
      <c r="B217" s="7">
        <v>35401418.175</v>
      </c>
      <c r="C217" s="8">
        <v>907.26</v>
      </c>
      <c r="D217" s="11">
        <v>44715</v>
      </c>
      <c r="E217" s="22"/>
    </row>
    <row r="218" ht="16.5" spans="1:5">
      <c r="A218" s="7">
        <v>3045084.549</v>
      </c>
      <c r="B218" s="7">
        <v>35401418.175</v>
      </c>
      <c r="C218" s="8">
        <v>907.26</v>
      </c>
      <c r="D218" s="11">
        <v>44716</v>
      </c>
      <c r="E218" s="22"/>
    </row>
    <row r="219" ht="16.5" spans="1:5">
      <c r="A219" s="7">
        <v>3045084.549</v>
      </c>
      <c r="B219" s="7">
        <v>35401418.175</v>
      </c>
      <c r="C219" s="8">
        <v>907.26</v>
      </c>
      <c r="D219" s="11">
        <v>44717</v>
      </c>
      <c r="E219" s="22"/>
    </row>
    <row r="220" ht="16.5" spans="1:5">
      <c r="A220" s="7">
        <v>3045084.549</v>
      </c>
      <c r="B220" s="7">
        <v>35401418.175</v>
      </c>
      <c r="C220" s="8">
        <v>907.26</v>
      </c>
      <c r="D220" s="11">
        <v>44718</v>
      </c>
      <c r="E220" s="22"/>
    </row>
    <row r="221" ht="16.5" spans="1:5">
      <c r="A221" s="7">
        <v>3045084.549</v>
      </c>
      <c r="B221" s="7">
        <v>35401418.175</v>
      </c>
      <c r="C221" s="8">
        <v>907.26</v>
      </c>
      <c r="D221" s="11">
        <v>44719</v>
      </c>
      <c r="E221" s="22"/>
    </row>
    <row r="222" ht="16.5" spans="1:5">
      <c r="A222" s="7">
        <v>3045084.549</v>
      </c>
      <c r="B222" s="7">
        <v>35401418.175</v>
      </c>
      <c r="C222" s="8">
        <v>907.26</v>
      </c>
      <c r="D222" s="11">
        <v>44720</v>
      </c>
      <c r="E222" s="22"/>
    </row>
    <row r="223" ht="16.5" spans="1:5">
      <c r="A223" s="7">
        <v>3045084.549</v>
      </c>
      <c r="B223" s="7">
        <v>35401418.175</v>
      </c>
      <c r="C223" s="8">
        <v>907.26</v>
      </c>
      <c r="D223" s="11">
        <v>44721</v>
      </c>
      <c r="E223" s="22"/>
    </row>
    <row r="224" ht="16.5" spans="1:5">
      <c r="A224" s="7">
        <v>3045084.549</v>
      </c>
      <c r="B224" s="7">
        <v>35401418.175</v>
      </c>
      <c r="C224" s="8">
        <v>907.26</v>
      </c>
      <c r="D224" s="11">
        <v>44722</v>
      </c>
      <c r="E224" s="22"/>
    </row>
    <row r="225" ht="16.5" spans="1:5">
      <c r="A225" s="7">
        <v>3045084.549</v>
      </c>
      <c r="B225" s="7">
        <v>35401418.175</v>
      </c>
      <c r="C225" s="8">
        <v>907.26</v>
      </c>
      <c r="D225" s="11">
        <v>44723</v>
      </c>
      <c r="E225" s="21"/>
    </row>
    <row r="226" ht="16.5" spans="1:5">
      <c r="A226" s="7">
        <v>3045084.549</v>
      </c>
      <c r="B226" s="7">
        <v>35401418.175</v>
      </c>
      <c r="C226" s="8">
        <v>907.26</v>
      </c>
      <c r="D226" s="11">
        <v>44724</v>
      </c>
      <c r="E226" s="21"/>
    </row>
    <row r="227" ht="16.5" spans="1:5">
      <c r="A227" s="7">
        <v>3045084.549</v>
      </c>
      <c r="B227" s="7">
        <v>35401418.175</v>
      </c>
      <c r="C227" s="8">
        <v>907.26</v>
      </c>
      <c r="D227" s="11">
        <v>44725</v>
      </c>
      <c r="E227" s="21"/>
    </row>
    <row r="228" ht="16.5" spans="1:5">
      <c r="A228" s="7">
        <v>3045084.549</v>
      </c>
      <c r="B228" s="7">
        <v>35401418.175</v>
      </c>
      <c r="C228" s="8">
        <v>907.26</v>
      </c>
      <c r="D228" s="11">
        <v>44726</v>
      </c>
      <c r="E228" s="21"/>
    </row>
    <row r="229" ht="16.5" spans="1:5">
      <c r="A229" s="7">
        <v>3045084.549</v>
      </c>
      <c r="B229" s="7">
        <v>35401418.175</v>
      </c>
      <c r="C229" s="8">
        <v>907.26</v>
      </c>
      <c r="D229" s="11">
        <v>44727</v>
      </c>
      <c r="E229" s="21"/>
    </row>
    <row r="230" ht="16.5" spans="1:5">
      <c r="A230" s="7">
        <v>3045084.549</v>
      </c>
      <c r="B230" s="7">
        <v>35401418.175</v>
      </c>
      <c r="C230" s="8">
        <v>907.26</v>
      </c>
      <c r="D230" s="11">
        <v>44728</v>
      </c>
      <c r="E230" s="21"/>
    </row>
    <row r="231" ht="16.5" spans="1:5">
      <c r="A231" s="7">
        <v>3045084.549</v>
      </c>
      <c r="B231" s="7">
        <v>35401418.175</v>
      </c>
      <c r="C231" s="8">
        <v>907.26</v>
      </c>
      <c r="D231" s="11">
        <v>44729</v>
      </c>
      <c r="E231" s="21"/>
    </row>
    <row r="232" ht="16.5" spans="1:5">
      <c r="A232" s="7">
        <v>3045084.549</v>
      </c>
      <c r="B232" s="7">
        <v>35401418.175</v>
      </c>
      <c r="C232" s="8">
        <v>907.26</v>
      </c>
      <c r="D232" s="11">
        <v>44730</v>
      </c>
      <c r="E232" s="21"/>
    </row>
    <row r="233" ht="16.5" spans="1:5">
      <c r="A233" s="7">
        <v>3045084.549</v>
      </c>
      <c r="B233" s="7">
        <v>35401418.175</v>
      </c>
      <c r="C233" s="8">
        <v>907.26</v>
      </c>
      <c r="D233" s="11">
        <v>44731</v>
      </c>
      <c r="E233" s="21"/>
    </row>
    <row r="234" ht="16.5" spans="1:5">
      <c r="A234" s="7">
        <v>3045084.549</v>
      </c>
      <c r="B234" s="7">
        <v>35401418.175</v>
      </c>
      <c r="C234" s="8">
        <v>907.26</v>
      </c>
      <c r="D234" s="13">
        <v>44732</v>
      </c>
      <c r="E234" s="21"/>
    </row>
    <row r="235" ht="16.5" spans="1:5">
      <c r="A235" s="7">
        <v>3045084.549</v>
      </c>
      <c r="B235" s="7">
        <v>35401418.175</v>
      </c>
      <c r="C235" s="8">
        <v>907.26</v>
      </c>
      <c r="D235" s="13">
        <v>44733</v>
      </c>
      <c r="E235" s="21"/>
    </row>
    <row r="236" ht="16.5" spans="1:5">
      <c r="A236" s="7">
        <v>3045084.549</v>
      </c>
      <c r="B236" s="7">
        <v>35401418.175</v>
      </c>
      <c r="C236" s="8">
        <v>907.26</v>
      </c>
      <c r="D236" s="13">
        <v>44734</v>
      </c>
      <c r="E236" s="21"/>
    </row>
    <row r="237" ht="16.5" spans="1:5">
      <c r="A237" s="7">
        <v>3045084.549</v>
      </c>
      <c r="B237" s="7">
        <v>35401418.175</v>
      </c>
      <c r="C237" s="8">
        <v>907.26</v>
      </c>
      <c r="D237" s="13">
        <v>44735</v>
      </c>
      <c r="E237" s="21"/>
    </row>
    <row r="238" ht="16.5" spans="1:5">
      <c r="A238" s="7">
        <v>3045084.549</v>
      </c>
      <c r="B238" s="7">
        <v>35401418.175</v>
      </c>
      <c r="C238" s="8">
        <v>907.26</v>
      </c>
      <c r="D238" s="13">
        <v>44736</v>
      </c>
      <c r="E238" s="21"/>
    </row>
    <row r="239" ht="16.5" spans="1:5">
      <c r="A239" s="7">
        <v>3045084.549</v>
      </c>
      <c r="B239" s="7">
        <v>35401418.175</v>
      </c>
      <c r="C239" s="8">
        <v>907.26</v>
      </c>
      <c r="D239" s="13">
        <v>44737</v>
      </c>
      <c r="E239" s="21"/>
    </row>
    <row r="240" ht="16.5" spans="1:5">
      <c r="A240" s="7">
        <v>3045084.549</v>
      </c>
      <c r="B240" s="7">
        <v>35401418.175</v>
      </c>
      <c r="C240" s="8">
        <v>907.26</v>
      </c>
      <c r="D240" s="13">
        <v>44738</v>
      </c>
      <c r="E240" s="21"/>
    </row>
    <row r="241" ht="16.5" spans="1:5">
      <c r="A241" s="7">
        <v>3045084.549</v>
      </c>
      <c r="B241" s="7">
        <v>35401418.175</v>
      </c>
      <c r="C241" s="8">
        <v>907.26</v>
      </c>
      <c r="D241" s="13">
        <v>44739</v>
      </c>
      <c r="E241" s="22"/>
    </row>
    <row r="242" ht="16.5" spans="1:5">
      <c r="A242" s="7">
        <v>3045084.549</v>
      </c>
      <c r="B242" s="7">
        <v>35401418.175</v>
      </c>
      <c r="C242" s="8">
        <v>907.26</v>
      </c>
      <c r="D242" s="13">
        <v>44740</v>
      </c>
      <c r="E242" s="22"/>
    </row>
    <row r="243" ht="16.5" spans="1:5">
      <c r="A243" s="7">
        <v>3045084.549</v>
      </c>
      <c r="B243" s="7">
        <v>35401418.175</v>
      </c>
      <c r="C243" s="8">
        <v>907.26</v>
      </c>
      <c r="D243" s="13">
        <v>44741</v>
      </c>
      <c r="E243" s="22"/>
    </row>
    <row r="244" ht="16.5" spans="1:5">
      <c r="A244" s="7">
        <v>3045084.549</v>
      </c>
      <c r="B244" s="7">
        <v>35401418.175</v>
      </c>
      <c r="C244" s="8">
        <v>907.26</v>
      </c>
      <c r="D244" s="13">
        <v>44742</v>
      </c>
      <c r="E244" s="22"/>
    </row>
    <row r="245" ht="16.5" spans="1:5">
      <c r="A245" s="7">
        <v>3045084.549</v>
      </c>
      <c r="B245" s="7">
        <v>35401418.175</v>
      </c>
      <c r="C245" s="8">
        <v>907.26</v>
      </c>
      <c r="D245" s="13">
        <v>44743</v>
      </c>
      <c r="E245" s="22"/>
    </row>
    <row r="246" ht="16.5" spans="1:5">
      <c r="A246" s="7">
        <v>3045084.549</v>
      </c>
      <c r="B246" s="7">
        <v>35401418.175</v>
      </c>
      <c r="C246" s="8">
        <v>907.26</v>
      </c>
      <c r="D246" s="13">
        <v>44744</v>
      </c>
      <c r="E246" s="22"/>
    </row>
    <row r="247" ht="16.5" spans="1:5">
      <c r="A247" s="7">
        <v>3045084.549</v>
      </c>
      <c r="B247" s="7">
        <v>35401418.175</v>
      </c>
      <c r="C247" s="8">
        <v>907.26</v>
      </c>
      <c r="D247" s="13">
        <v>44745</v>
      </c>
      <c r="E247" s="22"/>
    </row>
    <row r="248" ht="16.5" spans="1:5">
      <c r="A248" s="7">
        <v>3045084.549</v>
      </c>
      <c r="B248" s="7">
        <v>35401418.175</v>
      </c>
      <c r="C248" s="8">
        <v>907.26</v>
      </c>
      <c r="D248" s="13">
        <v>44746</v>
      </c>
      <c r="E248" s="22"/>
    </row>
    <row r="249" ht="16.5" spans="1:5">
      <c r="A249" s="7">
        <v>3045084.549</v>
      </c>
      <c r="B249" s="7">
        <v>35401418.175</v>
      </c>
      <c r="C249" s="8">
        <v>907.26</v>
      </c>
      <c r="D249" s="13">
        <v>44747</v>
      </c>
      <c r="E249" s="22"/>
    </row>
    <row r="250" ht="16.5" spans="1:5">
      <c r="A250" s="7">
        <v>3045084.549</v>
      </c>
      <c r="B250" s="7">
        <v>35401418.175</v>
      </c>
      <c r="C250" s="8">
        <v>907.26</v>
      </c>
      <c r="D250" s="13">
        <v>44748</v>
      </c>
      <c r="E250" s="22"/>
    </row>
    <row r="251" ht="16.5" spans="1:5">
      <c r="A251" s="7">
        <v>3045084.549</v>
      </c>
      <c r="B251" s="7">
        <v>35401418.175</v>
      </c>
      <c r="C251" s="8">
        <v>907.26</v>
      </c>
      <c r="D251" s="13">
        <v>44749</v>
      </c>
      <c r="E251" s="22"/>
    </row>
    <row r="252" ht="16.5" spans="1:5">
      <c r="A252" s="7">
        <v>3045084.549</v>
      </c>
      <c r="B252" s="7">
        <v>35401418.175</v>
      </c>
      <c r="C252" s="8">
        <v>907.26</v>
      </c>
      <c r="D252" s="13">
        <v>44750</v>
      </c>
      <c r="E252" s="22"/>
    </row>
    <row r="253" ht="16.5" spans="1:5">
      <c r="A253" s="7">
        <v>3045084.549</v>
      </c>
      <c r="B253" s="7">
        <v>35401418.175</v>
      </c>
      <c r="C253" s="8">
        <v>907.26</v>
      </c>
      <c r="D253" s="13">
        <v>44751</v>
      </c>
      <c r="E253" s="22"/>
    </row>
    <row r="254" ht="16.5" spans="1:5">
      <c r="A254" s="7">
        <v>3045084.549</v>
      </c>
      <c r="B254" s="7">
        <v>35401418.175</v>
      </c>
      <c r="C254" s="8">
        <v>907.26</v>
      </c>
      <c r="D254" s="13">
        <v>44752</v>
      </c>
      <c r="E254" s="22"/>
    </row>
    <row r="255" ht="16.5" spans="1:5">
      <c r="A255" s="7">
        <v>3045084.549</v>
      </c>
      <c r="B255" s="7">
        <v>35401418.175</v>
      </c>
      <c r="C255" s="8">
        <v>907.26</v>
      </c>
      <c r="D255" s="13">
        <v>44753</v>
      </c>
      <c r="E255" s="22"/>
    </row>
    <row r="256" ht="16.5" spans="1:5">
      <c r="A256" s="7">
        <v>3045084.549</v>
      </c>
      <c r="B256" s="7">
        <v>35401418.175</v>
      </c>
      <c r="C256" s="8">
        <v>907.26</v>
      </c>
      <c r="D256" s="13">
        <v>44754</v>
      </c>
      <c r="E256" s="22"/>
    </row>
    <row r="257" ht="16.5" spans="1:5">
      <c r="A257" s="7">
        <v>3045084.549</v>
      </c>
      <c r="B257" s="7">
        <v>35401418.175</v>
      </c>
      <c r="C257" s="8">
        <v>907.26</v>
      </c>
      <c r="D257" s="13">
        <v>44755</v>
      </c>
      <c r="E257" s="22"/>
    </row>
    <row r="258" ht="16.5" spans="1:5">
      <c r="A258" s="7">
        <v>3045084.549</v>
      </c>
      <c r="B258" s="7">
        <v>35401418.175</v>
      </c>
      <c r="C258" s="8">
        <v>907.26</v>
      </c>
      <c r="D258" s="13">
        <v>44756</v>
      </c>
      <c r="E258" s="22"/>
    </row>
    <row r="259" ht="16.5" spans="1:5">
      <c r="A259" s="7">
        <v>3045084.549</v>
      </c>
      <c r="B259" s="7">
        <v>35401418.175</v>
      </c>
      <c r="C259" s="8">
        <v>907.26</v>
      </c>
      <c r="D259" s="13">
        <v>44757</v>
      </c>
      <c r="E259" s="22"/>
    </row>
    <row r="260" ht="16.5" spans="1:5">
      <c r="A260" s="7">
        <v>3045084.549</v>
      </c>
      <c r="B260" s="7">
        <v>35401418.175</v>
      </c>
      <c r="C260" s="8">
        <v>907.26</v>
      </c>
      <c r="D260" s="13">
        <v>44758</v>
      </c>
      <c r="E260" s="22"/>
    </row>
    <row r="261" ht="16.5" spans="1:5">
      <c r="A261" s="7">
        <v>3045084.549</v>
      </c>
      <c r="B261" s="7">
        <v>35401418.175</v>
      </c>
      <c r="C261" s="8">
        <v>907.26</v>
      </c>
      <c r="D261" s="13">
        <v>44759</v>
      </c>
      <c r="E261" s="22"/>
    </row>
    <row r="262" ht="16.5" spans="1:5">
      <c r="A262" s="7">
        <v>3045084.549</v>
      </c>
      <c r="B262" s="7">
        <v>35401418.175</v>
      </c>
      <c r="C262" s="8">
        <v>907.26</v>
      </c>
      <c r="D262" s="13">
        <v>44760</v>
      </c>
      <c r="E262" s="22"/>
    </row>
    <row r="263" ht="16.5" spans="1:5">
      <c r="A263" s="7">
        <v>3045084.549</v>
      </c>
      <c r="B263" s="7">
        <v>35401418.175</v>
      </c>
      <c r="C263" s="8">
        <v>907.26</v>
      </c>
      <c r="D263" s="13">
        <v>44761</v>
      </c>
      <c r="E263" s="22"/>
    </row>
    <row r="264" ht="16.5" spans="1:5">
      <c r="A264" s="7">
        <v>3045084.549</v>
      </c>
      <c r="B264" s="7">
        <v>35401418.175</v>
      </c>
      <c r="C264" s="8">
        <v>907.26</v>
      </c>
      <c r="D264" s="13">
        <v>44762</v>
      </c>
      <c r="E264" s="22"/>
    </row>
    <row r="265" ht="16.5" spans="1:5">
      <c r="A265" s="7">
        <v>3045084.549</v>
      </c>
      <c r="B265" s="7">
        <v>35401418.175</v>
      </c>
      <c r="C265" s="8">
        <v>907.26</v>
      </c>
      <c r="D265" s="13">
        <v>44763</v>
      </c>
      <c r="E265" s="22"/>
    </row>
    <row r="266" ht="16.5" spans="1:5">
      <c r="A266" s="7">
        <v>3045084.549</v>
      </c>
      <c r="B266" s="7">
        <v>35401418.175</v>
      </c>
      <c r="C266" s="8">
        <v>907.26</v>
      </c>
      <c r="D266" s="13">
        <v>44764</v>
      </c>
      <c r="E266" s="22"/>
    </row>
    <row r="267" ht="16.5" spans="1:5">
      <c r="A267" s="7">
        <v>3045084.549</v>
      </c>
      <c r="B267" s="7">
        <v>35401418.175</v>
      </c>
      <c r="C267" s="8">
        <v>907.26</v>
      </c>
      <c r="D267" s="13">
        <v>44765</v>
      </c>
      <c r="E267" s="22"/>
    </row>
    <row r="268" ht="16.5" spans="1:5">
      <c r="A268" s="7">
        <v>3045084.549</v>
      </c>
      <c r="B268" s="7">
        <v>35401418.175</v>
      </c>
      <c r="C268" s="8">
        <v>907.26</v>
      </c>
      <c r="D268" s="13">
        <v>44766</v>
      </c>
      <c r="E268" s="22"/>
    </row>
    <row r="269" ht="16.5" spans="1:5">
      <c r="A269" s="7">
        <v>3045084.549</v>
      </c>
      <c r="B269" s="7">
        <v>35401418.175</v>
      </c>
      <c r="C269" s="8">
        <v>907.26</v>
      </c>
      <c r="D269" s="13">
        <v>44767</v>
      </c>
      <c r="E269" s="22"/>
    </row>
    <row r="270" ht="16.5" spans="1:5">
      <c r="A270" s="7">
        <v>3045084.549</v>
      </c>
      <c r="B270" s="7">
        <v>35401418.175</v>
      </c>
      <c r="C270" s="8">
        <v>907.26</v>
      </c>
      <c r="D270" s="13">
        <v>44768</v>
      </c>
      <c r="E270" s="22"/>
    </row>
    <row r="271" ht="16.5" spans="1:5">
      <c r="A271" s="7">
        <v>3045084.549</v>
      </c>
      <c r="B271" s="7">
        <v>35401418.175</v>
      </c>
      <c r="C271" s="8">
        <v>907.26</v>
      </c>
      <c r="D271" s="13">
        <v>44769</v>
      </c>
      <c r="E271" s="22"/>
    </row>
    <row r="272" ht="16.5" spans="1:5">
      <c r="A272" s="7">
        <v>3045084.549</v>
      </c>
      <c r="B272" s="7">
        <v>35401418.175</v>
      </c>
      <c r="C272" s="8">
        <v>907.26</v>
      </c>
      <c r="D272" s="13">
        <v>44770</v>
      </c>
      <c r="E272" s="22"/>
    </row>
    <row r="273" ht="16.5" spans="1:5">
      <c r="A273" s="7">
        <v>3045084.549</v>
      </c>
      <c r="B273" s="7">
        <v>35401418.175</v>
      </c>
      <c r="C273" s="8">
        <v>907.26</v>
      </c>
      <c r="D273" s="13">
        <v>44771</v>
      </c>
      <c r="E273" s="22"/>
    </row>
    <row r="274" ht="16.5" spans="1:5">
      <c r="A274" s="7">
        <v>3045084.549</v>
      </c>
      <c r="B274" s="7">
        <v>35401418.175</v>
      </c>
      <c r="C274" s="8">
        <v>907.26</v>
      </c>
      <c r="D274" s="13">
        <v>44772</v>
      </c>
      <c r="E274" s="22"/>
    </row>
    <row r="275" ht="16.5" spans="1:5">
      <c r="A275" s="7">
        <v>3045084.549</v>
      </c>
      <c r="B275" s="7">
        <v>35401418.175</v>
      </c>
      <c r="C275" s="8">
        <v>907.26</v>
      </c>
      <c r="D275" s="13">
        <v>44773</v>
      </c>
      <c r="E275" s="22"/>
    </row>
    <row r="276" ht="16.5" spans="1:5">
      <c r="A276" s="7">
        <v>3045084.549</v>
      </c>
      <c r="B276" s="7">
        <v>35401418.175</v>
      </c>
      <c r="C276" s="8">
        <v>907.26</v>
      </c>
      <c r="D276" s="13">
        <v>44774</v>
      </c>
      <c r="E276" s="22"/>
    </row>
    <row r="277" ht="16.5" spans="1:5">
      <c r="A277" s="7">
        <v>3045084.549</v>
      </c>
      <c r="B277" s="7">
        <v>35401418.175</v>
      </c>
      <c r="C277" s="8">
        <v>907.26</v>
      </c>
      <c r="D277" s="13">
        <v>44775</v>
      </c>
      <c r="E277" s="22"/>
    </row>
    <row r="278" ht="16.5" spans="1:5">
      <c r="A278" s="7">
        <v>3045084.549</v>
      </c>
      <c r="B278" s="7">
        <v>35401418.175</v>
      </c>
      <c r="C278" s="8">
        <v>907.26</v>
      </c>
      <c r="D278" s="13">
        <v>44776</v>
      </c>
      <c r="E278" s="22"/>
    </row>
    <row r="279" ht="16.5" spans="1:5">
      <c r="A279" s="7">
        <v>3045084.549</v>
      </c>
      <c r="B279" s="7">
        <v>35401418.175</v>
      </c>
      <c r="C279" s="8">
        <v>907.26</v>
      </c>
      <c r="D279" s="13">
        <v>44777</v>
      </c>
      <c r="E279" s="22"/>
    </row>
    <row r="280" ht="16.5" spans="1:5">
      <c r="A280" s="7">
        <v>3045084.549</v>
      </c>
      <c r="B280" s="7">
        <v>35401418.175</v>
      </c>
      <c r="C280" s="8">
        <v>907.26</v>
      </c>
      <c r="D280" s="13">
        <v>44778</v>
      </c>
      <c r="E280" s="22"/>
    </row>
    <row r="281" ht="16.5" spans="1:5">
      <c r="A281" s="7">
        <v>3045084.549</v>
      </c>
      <c r="B281" s="7">
        <v>35401418.175</v>
      </c>
      <c r="C281" s="8">
        <v>907.26</v>
      </c>
      <c r="D281" s="13">
        <v>44779</v>
      </c>
      <c r="E281" s="22"/>
    </row>
    <row r="282" ht="16.5" spans="1:5">
      <c r="A282" s="7">
        <v>3045084.549</v>
      </c>
      <c r="B282" s="7">
        <v>35401418.175</v>
      </c>
      <c r="C282" s="8">
        <v>907.26</v>
      </c>
      <c r="D282" s="13">
        <v>44780</v>
      </c>
      <c r="E282" s="22"/>
    </row>
    <row r="283" ht="16.5" spans="1:5">
      <c r="A283" s="7">
        <v>3045084.549</v>
      </c>
      <c r="B283" s="7">
        <v>35401418.175</v>
      </c>
      <c r="C283" s="8">
        <v>907.26</v>
      </c>
      <c r="D283" s="13">
        <v>44781</v>
      </c>
      <c r="E283" s="22"/>
    </row>
    <row r="284" ht="16.5" spans="1:5">
      <c r="A284" s="7">
        <v>3045084.549</v>
      </c>
      <c r="B284" s="7">
        <v>35401418.175</v>
      </c>
      <c r="C284" s="8">
        <v>907.26</v>
      </c>
      <c r="D284" s="13">
        <v>44782</v>
      </c>
      <c r="E284" s="22"/>
    </row>
    <row r="285" ht="16.5" spans="1:5">
      <c r="A285" s="7">
        <v>3045084.549</v>
      </c>
      <c r="B285" s="7">
        <v>35401418.175</v>
      </c>
      <c r="C285" s="8">
        <v>907.26</v>
      </c>
      <c r="D285" s="13">
        <v>44783</v>
      </c>
      <c r="E285" s="22"/>
    </row>
    <row r="286" ht="16.5" spans="1:5">
      <c r="A286" s="7">
        <v>3045084.549</v>
      </c>
      <c r="B286" s="7">
        <v>35401418.175</v>
      </c>
      <c r="C286" s="8">
        <v>907.26</v>
      </c>
      <c r="D286" s="13">
        <v>44784</v>
      </c>
      <c r="E286" s="22"/>
    </row>
    <row r="287" ht="16.5" spans="1:5">
      <c r="A287" s="7">
        <v>3045084.549</v>
      </c>
      <c r="B287" s="7">
        <v>35401418.175</v>
      </c>
      <c r="C287" s="8">
        <v>907.26</v>
      </c>
      <c r="D287" s="13">
        <v>44785</v>
      </c>
      <c r="E287" s="22"/>
    </row>
    <row r="288" ht="16.5" spans="1:5">
      <c r="A288" s="7">
        <v>3045084.549</v>
      </c>
      <c r="B288" s="7">
        <v>35401418.175</v>
      </c>
      <c r="C288" s="8">
        <v>907.26</v>
      </c>
      <c r="D288" s="13">
        <v>44786</v>
      </c>
      <c r="E288" s="22"/>
    </row>
    <row r="289" ht="16.5" spans="1:5">
      <c r="A289" s="7">
        <v>3045084.549</v>
      </c>
      <c r="B289" s="7">
        <v>35401418.175</v>
      </c>
      <c r="C289" s="8">
        <v>907.26</v>
      </c>
      <c r="D289" s="13">
        <v>44787</v>
      </c>
      <c r="E289" s="22"/>
    </row>
    <row r="290" ht="16.5" spans="1:5">
      <c r="A290" s="7">
        <v>3045084.549</v>
      </c>
      <c r="B290" s="7">
        <v>35401418.175</v>
      </c>
      <c r="C290" s="8">
        <v>907.26</v>
      </c>
      <c r="D290" s="13">
        <v>44788</v>
      </c>
      <c r="E290" s="22"/>
    </row>
    <row r="291" ht="16.5" spans="1:5">
      <c r="A291" s="7">
        <v>3045084.549</v>
      </c>
      <c r="B291" s="7">
        <v>35401418.175</v>
      </c>
      <c r="C291" s="8">
        <v>907.26</v>
      </c>
      <c r="D291" s="13">
        <v>44789</v>
      </c>
      <c r="E291" s="22"/>
    </row>
    <row r="292" ht="16.5" spans="1:5">
      <c r="A292" s="7">
        <v>3045084.549</v>
      </c>
      <c r="B292" s="7">
        <v>35401418.175</v>
      </c>
      <c r="C292" s="8">
        <v>907.26</v>
      </c>
      <c r="D292" s="13">
        <v>44790</v>
      </c>
      <c r="E292" s="22"/>
    </row>
    <row r="293" ht="16.5" spans="1:5">
      <c r="A293" s="7">
        <v>3045084.549</v>
      </c>
      <c r="B293" s="7">
        <v>35401418.175</v>
      </c>
      <c r="C293" s="8">
        <v>907.26</v>
      </c>
      <c r="D293" s="13">
        <v>44791</v>
      </c>
      <c r="E293" s="22"/>
    </row>
    <row r="294" ht="16.5" spans="1:5">
      <c r="A294" s="7">
        <v>3045084.549</v>
      </c>
      <c r="B294" s="7">
        <v>35401418.175</v>
      </c>
      <c r="C294" s="8">
        <v>907.26</v>
      </c>
      <c r="D294" s="13">
        <v>44792</v>
      </c>
      <c r="E294" s="22"/>
    </row>
    <row r="295" ht="16.5" spans="1:5">
      <c r="A295" s="7">
        <v>3045084.549</v>
      </c>
      <c r="B295" s="7">
        <v>35401418.175</v>
      </c>
      <c r="C295" s="8">
        <v>907.26</v>
      </c>
      <c r="D295" s="13">
        <v>44793</v>
      </c>
      <c r="E295" s="22"/>
    </row>
    <row r="296" ht="16.5" spans="1:5">
      <c r="A296" s="7">
        <v>3045084.549</v>
      </c>
      <c r="B296" s="7">
        <v>35401418.175</v>
      </c>
      <c r="C296" s="8">
        <v>907.26</v>
      </c>
      <c r="D296" s="13">
        <v>44794</v>
      </c>
      <c r="E296" s="22"/>
    </row>
    <row r="297" ht="16.5" spans="1:5">
      <c r="A297" s="7">
        <v>3045084.549</v>
      </c>
      <c r="B297" s="7">
        <v>35401418.175</v>
      </c>
      <c r="C297" s="8">
        <v>907.26</v>
      </c>
      <c r="D297" s="13">
        <v>44795</v>
      </c>
      <c r="E297" s="22"/>
    </row>
    <row r="298" ht="16.5" spans="1:5">
      <c r="A298" s="7">
        <v>3045084.549</v>
      </c>
      <c r="B298" s="7">
        <v>35401418.175</v>
      </c>
      <c r="C298" s="8">
        <v>907.26</v>
      </c>
      <c r="D298" s="13">
        <v>44796</v>
      </c>
      <c r="E298" s="22"/>
    </row>
    <row r="299" ht="16.5" spans="1:5">
      <c r="A299" s="7">
        <v>3045084.549</v>
      </c>
      <c r="B299" s="7">
        <v>35401418.175</v>
      </c>
      <c r="C299" s="8">
        <v>907.26</v>
      </c>
      <c r="D299" s="13">
        <v>44797</v>
      </c>
      <c r="E299" s="22"/>
    </row>
    <row r="300" ht="16.5" spans="1:5">
      <c r="A300" s="7">
        <v>3045084.549</v>
      </c>
      <c r="B300" s="7">
        <v>35401418.175</v>
      </c>
      <c r="C300" s="8">
        <v>907.26</v>
      </c>
      <c r="D300" s="13">
        <v>44798</v>
      </c>
      <c r="E300" s="22"/>
    </row>
    <row r="301" ht="16.5" spans="1:5">
      <c r="A301" s="7">
        <v>3045084.549</v>
      </c>
      <c r="B301" s="7">
        <v>35401418.175</v>
      </c>
      <c r="C301" s="8">
        <v>907.26</v>
      </c>
      <c r="D301" s="13">
        <v>44799</v>
      </c>
      <c r="E301" s="22"/>
    </row>
    <row r="302" ht="16.5" spans="1:5">
      <c r="A302" s="7">
        <v>3045084.549</v>
      </c>
      <c r="B302" s="7">
        <v>35401418.175</v>
      </c>
      <c r="C302" s="8">
        <v>907.26</v>
      </c>
      <c r="D302" s="13">
        <v>44800</v>
      </c>
      <c r="E302" s="22"/>
    </row>
    <row r="303" ht="16.5" spans="1:5">
      <c r="A303" s="7">
        <v>3045084.549</v>
      </c>
      <c r="B303" s="7">
        <v>35401418.175</v>
      </c>
      <c r="C303" s="8">
        <v>907.26</v>
      </c>
      <c r="D303" s="13">
        <v>44801</v>
      </c>
      <c r="E303" s="22"/>
    </row>
    <row r="304" ht="16.5" spans="1:5">
      <c r="A304" s="7">
        <v>3045084.549</v>
      </c>
      <c r="B304" s="7">
        <v>35401418.175</v>
      </c>
      <c r="C304" s="8">
        <v>907.26</v>
      </c>
      <c r="D304" s="13">
        <v>44802</v>
      </c>
      <c r="E304" s="22"/>
    </row>
    <row r="305" ht="16.5" spans="1:5">
      <c r="A305" s="7">
        <v>3045084.549</v>
      </c>
      <c r="B305" s="7">
        <v>35401418.175</v>
      </c>
      <c r="C305" s="8">
        <v>907.26</v>
      </c>
      <c r="D305" s="13">
        <v>44803</v>
      </c>
      <c r="E305" s="22"/>
    </row>
    <row r="306" ht="16.5" spans="1:5">
      <c r="A306" s="7">
        <v>3045084.549</v>
      </c>
      <c r="B306" s="7">
        <v>35401418.175</v>
      </c>
      <c r="C306" s="8">
        <v>907.26</v>
      </c>
      <c r="D306" s="13">
        <v>44804</v>
      </c>
      <c r="E306" s="22"/>
    </row>
    <row r="307" ht="16.5" spans="1:5">
      <c r="A307" s="7">
        <v>3045084.549</v>
      </c>
      <c r="B307" s="7">
        <v>35401418.175</v>
      </c>
      <c r="C307" s="8">
        <v>907.26</v>
      </c>
      <c r="D307" s="13">
        <v>44805</v>
      </c>
      <c r="E307" s="22"/>
    </row>
    <row r="308" ht="16.5" spans="1:5">
      <c r="A308" s="7">
        <v>3045084.549</v>
      </c>
      <c r="B308" s="7">
        <v>35401418.175</v>
      </c>
      <c r="C308" s="8">
        <v>907.26</v>
      </c>
      <c r="D308" s="13">
        <v>44806</v>
      </c>
      <c r="E308" s="22"/>
    </row>
    <row r="309" ht="16.5" spans="1:5">
      <c r="A309" s="7">
        <v>3045084.549</v>
      </c>
      <c r="B309" s="7">
        <v>35401418.175</v>
      </c>
      <c r="C309" s="8">
        <v>907.26</v>
      </c>
      <c r="D309" s="13">
        <v>44807</v>
      </c>
      <c r="E309" s="22"/>
    </row>
    <row r="310" ht="16.5" spans="1:5">
      <c r="A310" s="7">
        <v>3045084.549</v>
      </c>
      <c r="B310" s="7">
        <v>35401418.175</v>
      </c>
      <c r="C310" s="8">
        <v>907.26</v>
      </c>
      <c r="D310" s="13">
        <v>44808</v>
      </c>
      <c r="E310" s="22"/>
    </row>
    <row r="311" ht="16.5" spans="1:5">
      <c r="A311" s="7">
        <v>3045084.549</v>
      </c>
      <c r="B311" s="7">
        <v>35401418.175</v>
      </c>
      <c r="C311" s="8">
        <v>907.26</v>
      </c>
      <c r="D311" s="13">
        <v>44809</v>
      </c>
      <c r="E311" s="22"/>
    </row>
    <row r="312" ht="16.5" spans="1:5">
      <c r="A312" s="7">
        <v>3045084.549</v>
      </c>
      <c r="B312" s="7">
        <v>35401418.175</v>
      </c>
      <c r="C312" s="8">
        <v>907.26</v>
      </c>
      <c r="D312" s="13">
        <v>44810</v>
      </c>
      <c r="E312" s="22"/>
    </row>
    <row r="313" ht="16.5" spans="1:5">
      <c r="A313" s="7">
        <v>3045084.549</v>
      </c>
      <c r="B313" s="7">
        <v>35401418.175</v>
      </c>
      <c r="C313" s="8">
        <v>907.26</v>
      </c>
      <c r="D313" s="13">
        <v>44811</v>
      </c>
      <c r="E313" s="22"/>
    </row>
    <row r="314" ht="16.5" spans="1:5">
      <c r="A314" s="7">
        <v>3045084.549</v>
      </c>
      <c r="B314" s="7">
        <v>35401418.175</v>
      </c>
      <c r="C314" s="8">
        <v>907.26</v>
      </c>
      <c r="D314" s="13">
        <v>44812</v>
      </c>
      <c r="E314" s="22"/>
    </row>
    <row r="315" ht="16.5" spans="1:5">
      <c r="A315" s="7">
        <v>3045084.549</v>
      </c>
      <c r="B315" s="7">
        <v>35401418.175</v>
      </c>
      <c r="C315" s="8">
        <v>907.26</v>
      </c>
      <c r="D315" s="13">
        <v>44813</v>
      </c>
      <c r="E315" s="22"/>
    </row>
    <row r="316" ht="16.5" spans="1:5">
      <c r="A316" s="7">
        <v>3045084.549</v>
      </c>
      <c r="B316" s="7">
        <v>35401418.175</v>
      </c>
      <c r="C316" s="8">
        <v>907.26</v>
      </c>
      <c r="D316" s="13">
        <v>44814</v>
      </c>
      <c r="E316" s="22"/>
    </row>
    <row r="317" ht="16.5" spans="1:5">
      <c r="A317" s="7">
        <v>3045084.549</v>
      </c>
      <c r="B317" s="7">
        <v>35401418.175</v>
      </c>
      <c r="C317" s="8">
        <v>907.26</v>
      </c>
      <c r="D317" s="13">
        <v>44815</v>
      </c>
      <c r="E317" s="22"/>
    </row>
    <row r="318" ht="16.5" spans="1:5">
      <c r="A318" s="7">
        <v>3045084.549</v>
      </c>
      <c r="B318" s="7">
        <v>35401418.175</v>
      </c>
      <c r="C318" s="8">
        <v>907.26</v>
      </c>
      <c r="D318" s="13">
        <v>44816</v>
      </c>
      <c r="E318" s="22"/>
    </row>
    <row r="319" ht="16.5" spans="1:5">
      <c r="A319" s="7">
        <v>3045084.549</v>
      </c>
      <c r="B319" s="7">
        <v>35401418.175</v>
      </c>
      <c r="C319" s="8">
        <v>907.26</v>
      </c>
      <c r="D319" s="13">
        <v>44817</v>
      </c>
      <c r="E319" s="22"/>
    </row>
    <row r="320" ht="16.5" spans="1:5">
      <c r="A320" s="7">
        <v>3045084.549</v>
      </c>
      <c r="B320" s="7">
        <v>35401418.175</v>
      </c>
      <c r="C320" s="8">
        <v>907.26</v>
      </c>
      <c r="D320" s="13">
        <v>44818</v>
      </c>
      <c r="E320" s="22"/>
    </row>
    <row r="321" ht="16.5" spans="1:5">
      <c r="A321" s="7">
        <v>3045084.549</v>
      </c>
      <c r="B321" s="7">
        <v>35401418.175</v>
      </c>
      <c r="C321" s="8">
        <v>907.26</v>
      </c>
      <c r="D321" s="11">
        <v>44819</v>
      </c>
      <c r="E321" s="21"/>
    </row>
    <row r="322" ht="16.5" spans="1:5">
      <c r="A322" s="7">
        <v>3045084.549</v>
      </c>
      <c r="B322" s="7">
        <v>35401418.175</v>
      </c>
      <c r="C322" s="8">
        <v>907.26</v>
      </c>
      <c r="D322" s="11">
        <v>44820</v>
      </c>
      <c r="E322" s="21"/>
    </row>
    <row r="323" ht="16.5" spans="1:5">
      <c r="A323" s="7">
        <v>3045084.549</v>
      </c>
      <c r="B323" s="7">
        <v>35401418.175</v>
      </c>
      <c r="C323" s="8">
        <v>907.26</v>
      </c>
      <c r="D323" s="11">
        <v>44821</v>
      </c>
      <c r="E323" s="21"/>
    </row>
    <row r="324" ht="16.5" spans="1:5">
      <c r="A324" s="7">
        <v>3045084.549</v>
      </c>
      <c r="B324" s="7">
        <v>35401418.175</v>
      </c>
      <c r="C324" s="8">
        <v>907.26</v>
      </c>
      <c r="D324" s="11">
        <v>44822</v>
      </c>
      <c r="E324" s="21"/>
    </row>
    <row r="325" ht="16.5" spans="1:5">
      <c r="A325" s="7">
        <v>3045084.549</v>
      </c>
      <c r="B325" s="7">
        <v>35401418.175</v>
      </c>
      <c r="C325" s="8">
        <v>907.26</v>
      </c>
      <c r="D325" s="11">
        <v>44823</v>
      </c>
      <c r="E325" s="21"/>
    </row>
    <row r="326" ht="16.5" spans="1:5">
      <c r="A326" s="7">
        <v>3045084.549</v>
      </c>
      <c r="B326" s="7">
        <v>35401418.175</v>
      </c>
      <c r="C326" s="8">
        <v>907.26</v>
      </c>
      <c r="D326" s="11">
        <v>44824</v>
      </c>
      <c r="E326" s="21"/>
    </row>
    <row r="327" ht="16.5" spans="1:5">
      <c r="A327" s="7">
        <v>3045084.549</v>
      </c>
      <c r="B327" s="7">
        <v>35401418.175</v>
      </c>
      <c r="C327" s="8">
        <v>907.26</v>
      </c>
      <c r="D327" s="11">
        <v>44825</v>
      </c>
      <c r="E327" s="21"/>
    </row>
    <row r="328" ht="16.5" spans="1:5">
      <c r="A328" s="7">
        <v>3045084.549</v>
      </c>
      <c r="B328" s="7">
        <v>35401418.175</v>
      </c>
      <c r="C328" s="8">
        <v>907.26</v>
      </c>
      <c r="D328" s="11">
        <v>44826</v>
      </c>
      <c r="E328" s="21"/>
    </row>
    <row r="329" ht="16.5" spans="1:5">
      <c r="A329" s="7">
        <v>3045084.549</v>
      </c>
      <c r="B329" s="7">
        <v>35401418.175</v>
      </c>
      <c r="C329" s="8">
        <v>907.26</v>
      </c>
      <c r="D329" s="11">
        <v>44827</v>
      </c>
      <c r="E329" s="21"/>
    </row>
    <row r="330" ht="16.5" spans="1:5">
      <c r="A330" s="7">
        <v>3045084.549</v>
      </c>
      <c r="B330" s="7">
        <v>35401418.175</v>
      </c>
      <c r="C330" s="8">
        <v>907.26</v>
      </c>
      <c r="D330" s="11">
        <v>44828</v>
      </c>
      <c r="E330" s="21"/>
    </row>
    <row r="331" ht="16.5" spans="1:5">
      <c r="A331" s="7">
        <v>3045084.549</v>
      </c>
      <c r="B331" s="7">
        <v>35401418.175</v>
      </c>
      <c r="C331" s="8">
        <v>907.26</v>
      </c>
      <c r="D331" s="11">
        <v>44829</v>
      </c>
      <c r="E331" s="21"/>
    </row>
    <row r="332" ht="16.5" spans="1:5">
      <c r="A332" s="7">
        <v>3045084.549</v>
      </c>
      <c r="B332" s="7">
        <v>35401418.175</v>
      </c>
      <c r="C332" s="8">
        <v>907.26</v>
      </c>
      <c r="D332" s="11">
        <v>44830</v>
      </c>
      <c r="E332" s="21"/>
    </row>
    <row r="333" ht="16.5" spans="1:5">
      <c r="A333" s="7">
        <v>3045084.549</v>
      </c>
      <c r="B333" s="7">
        <v>35401418.175</v>
      </c>
      <c r="C333" s="8">
        <v>907.26</v>
      </c>
      <c r="D333" s="11">
        <v>44831</v>
      </c>
      <c r="E333" s="21"/>
    </row>
    <row r="334" ht="16.5" spans="1:5">
      <c r="A334" s="7">
        <v>3045084.549</v>
      </c>
      <c r="B334" s="7">
        <v>35401418.175</v>
      </c>
      <c r="C334" s="8">
        <v>907.26</v>
      </c>
      <c r="D334" s="11">
        <v>44832</v>
      </c>
      <c r="E334" s="21"/>
    </row>
    <row r="335" ht="16.5" spans="1:5">
      <c r="A335" s="7">
        <v>3045084.549</v>
      </c>
      <c r="B335" s="7">
        <v>35401418.175</v>
      </c>
      <c r="C335" s="8">
        <v>907.26</v>
      </c>
      <c r="D335" s="11">
        <v>44833</v>
      </c>
      <c r="E335" s="21"/>
    </row>
    <row r="336" ht="16.5" spans="1:5">
      <c r="A336" s="7">
        <v>3045084.549</v>
      </c>
      <c r="B336" s="7">
        <v>35401418.175</v>
      </c>
      <c r="C336" s="8">
        <v>907.26</v>
      </c>
      <c r="D336" s="11">
        <v>44834</v>
      </c>
      <c r="E336" s="21"/>
    </row>
    <row r="337" ht="16.5" spans="1:5">
      <c r="A337" s="7">
        <v>3045084.549</v>
      </c>
      <c r="B337" s="7">
        <v>35401418.175</v>
      </c>
      <c r="C337" s="8">
        <v>907.26</v>
      </c>
      <c r="D337" s="11">
        <v>44835</v>
      </c>
      <c r="E337" s="21"/>
    </row>
    <row r="338" ht="16.5" spans="1:5">
      <c r="A338" s="7">
        <v>3045084.549</v>
      </c>
      <c r="B338" s="7">
        <v>35401418.175</v>
      </c>
      <c r="C338" s="8">
        <v>907.26</v>
      </c>
      <c r="D338" s="11">
        <v>44836</v>
      </c>
      <c r="E338" s="21"/>
    </row>
    <row r="339" ht="16.5" spans="1:5">
      <c r="A339" s="7">
        <v>3045084.549</v>
      </c>
      <c r="B339" s="7">
        <v>35401418.175</v>
      </c>
      <c r="C339" s="8">
        <v>907.26</v>
      </c>
      <c r="D339" s="11">
        <v>44837</v>
      </c>
      <c r="E339" s="21"/>
    </row>
    <row r="340" ht="16.5" spans="1:5">
      <c r="A340" s="7">
        <v>3045084.549</v>
      </c>
      <c r="B340" s="7">
        <v>35401418.175</v>
      </c>
      <c r="C340" s="8">
        <v>907.26</v>
      </c>
      <c r="D340" s="11">
        <v>44838</v>
      </c>
      <c r="E340" s="21"/>
    </row>
    <row r="341" ht="16.5" spans="1:5">
      <c r="A341" s="7">
        <v>3045084.549</v>
      </c>
      <c r="B341" s="7">
        <v>35401418.175</v>
      </c>
      <c r="C341" s="8">
        <v>907.26</v>
      </c>
      <c r="D341" s="11">
        <v>44839</v>
      </c>
      <c r="E341" s="21"/>
    </row>
    <row r="342" ht="16.5" spans="1:5">
      <c r="A342" s="7">
        <v>3045084.549</v>
      </c>
      <c r="B342" s="7">
        <v>35401418.175</v>
      </c>
      <c r="C342" s="8">
        <v>907.26</v>
      </c>
      <c r="D342" s="11">
        <v>44840</v>
      </c>
      <c r="E342" s="21"/>
    </row>
    <row r="343" ht="16.5" spans="1:5">
      <c r="A343" s="7">
        <v>3045084.549</v>
      </c>
      <c r="B343" s="7">
        <v>35401418.175</v>
      </c>
      <c r="C343" s="8">
        <v>907.26</v>
      </c>
      <c r="D343" s="11">
        <v>44841</v>
      </c>
      <c r="E343" s="21"/>
    </row>
    <row r="344" ht="16.5" spans="1:5">
      <c r="A344" s="7">
        <v>3045084.549</v>
      </c>
      <c r="B344" s="7">
        <v>35401418.175</v>
      </c>
      <c r="C344" s="8">
        <v>907.26</v>
      </c>
      <c r="D344" s="11">
        <v>44842</v>
      </c>
      <c r="E344" s="21"/>
    </row>
    <row r="345" ht="16.5" spans="1:5">
      <c r="A345" s="7">
        <v>3045084.549</v>
      </c>
      <c r="B345" s="7">
        <v>35401418.175</v>
      </c>
      <c r="C345" s="8">
        <v>907.26</v>
      </c>
      <c r="D345" s="11">
        <v>44843</v>
      </c>
      <c r="E345" s="21"/>
    </row>
    <row r="346" ht="16.5" spans="1:5">
      <c r="A346" s="7">
        <v>3045084.549</v>
      </c>
      <c r="B346" s="7">
        <v>35401418.175</v>
      </c>
      <c r="C346" s="8">
        <v>907.26</v>
      </c>
      <c r="D346" s="11">
        <v>44844</v>
      </c>
      <c r="E346" s="21"/>
    </row>
    <row r="347" ht="16.5" spans="1:5">
      <c r="A347" s="7">
        <v>3045084.549</v>
      </c>
      <c r="B347" s="7">
        <v>35401418.175</v>
      </c>
      <c r="C347" s="8">
        <v>907.26</v>
      </c>
      <c r="D347" s="11">
        <v>44845</v>
      </c>
      <c r="E347" s="21"/>
    </row>
    <row r="348" ht="16.5" spans="1:5">
      <c r="A348" s="7">
        <v>3045084.549</v>
      </c>
      <c r="B348" s="7">
        <v>35401418.175</v>
      </c>
      <c r="C348" s="8">
        <v>907.26</v>
      </c>
      <c r="D348" s="11">
        <v>44846</v>
      </c>
      <c r="E348" s="21"/>
    </row>
    <row r="349" ht="16.5" spans="1:5">
      <c r="A349" s="7">
        <v>3045084.549</v>
      </c>
      <c r="B349" s="7">
        <v>35401418.175</v>
      </c>
      <c r="C349" s="8">
        <v>907.26</v>
      </c>
      <c r="D349" s="11">
        <v>44847</v>
      </c>
      <c r="E349" s="21"/>
    </row>
    <row r="350" ht="16.5" spans="1:5">
      <c r="A350" s="7">
        <v>3045084.549</v>
      </c>
      <c r="B350" s="7">
        <v>35401418.175</v>
      </c>
      <c r="C350" s="8">
        <v>907.26</v>
      </c>
      <c r="D350" s="11">
        <v>44848</v>
      </c>
      <c r="E350" s="21"/>
    </row>
    <row r="351" ht="16.5" spans="1:5">
      <c r="A351" s="7">
        <v>3045084.549</v>
      </c>
      <c r="B351" s="7">
        <v>35401418.175</v>
      </c>
      <c r="C351" s="8">
        <v>907.26</v>
      </c>
      <c r="D351" s="11">
        <v>44849</v>
      </c>
      <c r="E351" s="21"/>
    </row>
    <row r="352" ht="16.5" spans="1:5">
      <c r="A352" s="7">
        <v>3045084.549</v>
      </c>
      <c r="B352" s="7">
        <v>35401418.175</v>
      </c>
      <c r="C352" s="8">
        <v>907.26</v>
      </c>
      <c r="D352" s="11">
        <v>44850</v>
      </c>
      <c r="E352" s="21"/>
    </row>
    <row r="353" ht="16.5" spans="1:5">
      <c r="A353" s="7">
        <v>3045084.549</v>
      </c>
      <c r="B353" s="7">
        <v>35401418.175</v>
      </c>
      <c r="C353" s="8">
        <v>907.26</v>
      </c>
      <c r="D353" s="11">
        <v>44851</v>
      </c>
      <c r="E353" s="21"/>
    </row>
    <row r="354" ht="16.5" spans="1:5">
      <c r="A354" s="7">
        <v>3045084.549</v>
      </c>
      <c r="B354" s="7">
        <v>35401418.175</v>
      </c>
      <c r="C354" s="8">
        <v>907.26</v>
      </c>
      <c r="D354" s="11">
        <v>44852</v>
      </c>
      <c r="E354" s="21"/>
    </row>
    <row r="355" ht="16.5" spans="1:5">
      <c r="A355" s="7">
        <v>3045084.549</v>
      </c>
      <c r="B355" s="7">
        <v>35401418.175</v>
      </c>
      <c r="C355" s="8">
        <v>907.26</v>
      </c>
      <c r="D355" s="11">
        <v>44853</v>
      </c>
      <c r="E355" s="21"/>
    </row>
    <row r="356" ht="16.5" spans="1:5">
      <c r="A356" s="7">
        <v>3045084.549</v>
      </c>
      <c r="B356" s="7">
        <v>35401418.175</v>
      </c>
      <c r="C356" s="8">
        <v>907.26</v>
      </c>
      <c r="D356" s="11">
        <v>44854</v>
      </c>
      <c r="E356" s="21"/>
    </row>
    <row r="357" ht="16.5" spans="1:5">
      <c r="A357" s="7">
        <v>3045084.549</v>
      </c>
      <c r="B357" s="7">
        <v>35401418.175</v>
      </c>
      <c r="C357" s="8">
        <v>907.26</v>
      </c>
      <c r="D357" s="11">
        <v>44855</v>
      </c>
      <c r="E357" s="21"/>
    </row>
    <row r="358" ht="16.5" spans="1:5">
      <c r="A358" s="7">
        <v>3045084.549</v>
      </c>
      <c r="B358" s="7">
        <v>35401418.175</v>
      </c>
      <c r="C358" s="8">
        <v>907.26</v>
      </c>
      <c r="D358" s="11">
        <v>44856</v>
      </c>
      <c r="E358" s="21"/>
    </row>
    <row r="359" ht="16.5" spans="1:5">
      <c r="A359" s="7">
        <v>3045084.549</v>
      </c>
      <c r="B359" s="7">
        <v>35401418.175</v>
      </c>
      <c r="C359" s="8">
        <v>907.26</v>
      </c>
      <c r="D359" s="11">
        <v>44857</v>
      </c>
      <c r="E359" s="21"/>
    </row>
    <row r="360" ht="16.5" spans="1:5">
      <c r="A360" s="7">
        <v>3045084.549</v>
      </c>
      <c r="B360" s="7">
        <v>35401418.175</v>
      </c>
      <c r="C360" s="8">
        <v>907.26</v>
      </c>
      <c r="D360" s="11">
        <v>44858</v>
      </c>
      <c r="E360" s="21"/>
    </row>
    <row r="361" ht="16.5" spans="1:5">
      <c r="A361" s="7">
        <v>3045084.549</v>
      </c>
      <c r="B361" s="7">
        <v>35401418.175</v>
      </c>
      <c r="C361" s="8">
        <v>907.26</v>
      </c>
      <c r="D361" s="11">
        <v>44859</v>
      </c>
      <c r="E361" s="21"/>
    </row>
    <row r="362" ht="16.5" spans="1:5">
      <c r="A362" s="7">
        <v>3045084.549</v>
      </c>
      <c r="B362" s="7">
        <v>35401418.175</v>
      </c>
      <c r="C362" s="8">
        <v>907.26</v>
      </c>
      <c r="D362" s="11">
        <v>44860</v>
      </c>
      <c r="E362" s="21"/>
    </row>
    <row r="363" ht="16.5" spans="1:5">
      <c r="A363" s="7">
        <v>3045084.549</v>
      </c>
      <c r="B363" s="7">
        <v>35401418.175</v>
      </c>
      <c r="C363" s="8">
        <v>907.26</v>
      </c>
      <c r="D363" s="11">
        <v>44861</v>
      </c>
      <c r="E363" s="21"/>
    </row>
    <row r="364" ht="16.5" spans="1:5">
      <c r="A364" s="7">
        <v>3045084.549</v>
      </c>
      <c r="B364" s="7">
        <v>35401418.175</v>
      </c>
      <c r="C364" s="8">
        <v>907.26</v>
      </c>
      <c r="D364" s="11">
        <v>44862</v>
      </c>
      <c r="E364" s="21"/>
    </row>
    <row r="365" ht="16.5" spans="1:5">
      <c r="A365" s="7">
        <v>3045084.549</v>
      </c>
      <c r="B365" s="7">
        <v>35401418.175</v>
      </c>
      <c r="C365" s="8">
        <v>907.26</v>
      </c>
      <c r="D365" s="11">
        <v>44863</v>
      </c>
      <c r="E365" s="21"/>
    </row>
    <row r="366" ht="16.5" spans="1:5">
      <c r="A366" s="7">
        <v>3045084.549</v>
      </c>
      <c r="B366" s="7">
        <v>35401418.175</v>
      </c>
      <c r="C366" s="8">
        <v>907.26</v>
      </c>
      <c r="D366" s="11">
        <v>44864</v>
      </c>
      <c r="E366" s="21"/>
    </row>
    <row r="367" ht="16.5" spans="1:5">
      <c r="A367" s="7">
        <v>3045084.549</v>
      </c>
      <c r="B367" s="7">
        <v>35401418.175</v>
      </c>
      <c r="C367" s="8">
        <v>907.26</v>
      </c>
      <c r="D367" s="11">
        <v>44865</v>
      </c>
      <c r="E367" s="21"/>
    </row>
    <row r="368" ht="16.5" spans="1:5">
      <c r="A368" s="7">
        <v>3045084.549</v>
      </c>
      <c r="B368" s="7">
        <v>35401418.175</v>
      </c>
      <c r="C368" s="8">
        <v>907.26</v>
      </c>
      <c r="D368" s="11">
        <v>44866</v>
      </c>
      <c r="E368" s="21"/>
    </row>
    <row r="369" ht="16.5" spans="1:5">
      <c r="A369" s="7">
        <v>3045084.549</v>
      </c>
      <c r="B369" s="7">
        <v>35401418.175</v>
      </c>
      <c r="C369" s="8">
        <v>907.26</v>
      </c>
      <c r="D369" s="11">
        <v>44867</v>
      </c>
      <c r="E369" s="21"/>
    </row>
    <row r="370" ht="16.5" spans="1:5">
      <c r="A370" s="7">
        <v>3045084.549</v>
      </c>
      <c r="B370" s="7">
        <v>35401418.175</v>
      </c>
      <c r="C370" s="8">
        <v>907.26</v>
      </c>
      <c r="D370" s="11">
        <v>44868</v>
      </c>
      <c r="E370" s="22"/>
    </row>
    <row r="371" ht="16.5" spans="1:5">
      <c r="A371" s="7">
        <v>3045084.549</v>
      </c>
      <c r="B371" s="7">
        <v>35401418.175</v>
      </c>
      <c r="C371" s="8">
        <v>907.26</v>
      </c>
      <c r="D371" s="11">
        <v>44869</v>
      </c>
      <c r="E371" s="21"/>
    </row>
    <row r="372" ht="16.5" spans="1:5">
      <c r="A372" s="7">
        <v>3045084.549</v>
      </c>
      <c r="B372" s="7">
        <v>35401418.175</v>
      </c>
      <c r="C372" s="8">
        <v>907.26</v>
      </c>
      <c r="D372" s="11">
        <v>44870</v>
      </c>
      <c r="E372" s="21"/>
    </row>
    <row r="373" ht="16.5" spans="1:5">
      <c r="A373" s="7">
        <v>3045084.549</v>
      </c>
      <c r="B373" s="7">
        <v>35401418.175</v>
      </c>
      <c r="C373" s="8">
        <v>907.26</v>
      </c>
      <c r="D373" s="11">
        <v>44871</v>
      </c>
      <c r="E373" s="21"/>
    </row>
    <row r="374" ht="16.5" spans="1:5">
      <c r="A374" s="7">
        <v>3045084.549</v>
      </c>
      <c r="B374" s="7">
        <v>35401418.175</v>
      </c>
      <c r="C374" s="8">
        <v>907.26</v>
      </c>
      <c r="D374" s="11">
        <v>44872</v>
      </c>
      <c r="E374" s="21"/>
    </row>
    <row r="375" ht="16.5" spans="1:5">
      <c r="A375" s="7">
        <v>3045084.549</v>
      </c>
      <c r="B375" s="7">
        <v>35401418.175</v>
      </c>
      <c r="C375" s="8">
        <v>907.26</v>
      </c>
      <c r="D375" s="11">
        <v>44873</v>
      </c>
      <c r="E375" s="21"/>
    </row>
    <row r="376" ht="16.5" spans="1:5">
      <c r="A376" s="7">
        <v>3045084.549</v>
      </c>
      <c r="B376" s="7">
        <v>35401418.175</v>
      </c>
      <c r="C376" s="8">
        <v>907.26</v>
      </c>
      <c r="D376" s="11">
        <v>44874</v>
      </c>
      <c r="E376" s="21"/>
    </row>
    <row r="377" ht="16.5" spans="1:5">
      <c r="A377" s="7">
        <v>3045084.549</v>
      </c>
      <c r="B377" s="7">
        <v>35401418.175</v>
      </c>
      <c r="C377" s="8">
        <v>907.26</v>
      </c>
      <c r="D377" s="11">
        <v>44875</v>
      </c>
      <c r="E377" s="21"/>
    </row>
    <row r="378" ht="16.5" spans="1:5">
      <c r="A378" s="7">
        <v>3045084.549</v>
      </c>
      <c r="B378" s="7">
        <v>35401418.175</v>
      </c>
      <c r="C378" s="8">
        <v>907.26</v>
      </c>
      <c r="D378" s="11">
        <v>44876</v>
      </c>
      <c r="E378" s="21"/>
    </row>
    <row r="379" ht="16.5" spans="1:5">
      <c r="A379" s="7">
        <v>3045084.549</v>
      </c>
      <c r="B379" s="7">
        <v>35401418.175</v>
      </c>
      <c r="C379" s="8">
        <v>907.26</v>
      </c>
      <c r="D379" s="11">
        <v>44877</v>
      </c>
      <c r="E379" s="21"/>
    </row>
    <row r="380" ht="16.5" spans="1:5">
      <c r="A380" s="7">
        <v>3045084.549</v>
      </c>
      <c r="B380" s="7">
        <v>35401418.175</v>
      </c>
      <c r="C380" s="8">
        <v>907.26</v>
      </c>
      <c r="D380" s="11">
        <v>44878</v>
      </c>
      <c r="E380" s="21"/>
    </row>
    <row r="381" ht="16.5" spans="1:5">
      <c r="A381" s="7">
        <v>3045084.549</v>
      </c>
      <c r="B381" s="7">
        <v>35401418.175</v>
      </c>
      <c r="C381" s="8">
        <v>907.26</v>
      </c>
      <c r="D381" s="11">
        <v>44879</v>
      </c>
      <c r="E381" s="21"/>
    </row>
    <row r="382" ht="16.5" spans="1:5">
      <c r="A382" s="7">
        <v>3045084.549</v>
      </c>
      <c r="B382" s="7">
        <v>35401418.175</v>
      </c>
      <c r="C382" s="8">
        <v>907.26</v>
      </c>
      <c r="D382" s="11">
        <v>44880</v>
      </c>
      <c r="E382" s="21"/>
    </row>
    <row r="383" ht="16.5" spans="1:5">
      <c r="A383" s="7">
        <v>3045084.549</v>
      </c>
      <c r="B383" s="7">
        <v>35401418.175</v>
      </c>
      <c r="C383" s="8">
        <v>907.26</v>
      </c>
      <c r="D383" s="11">
        <v>44881</v>
      </c>
      <c r="E383" s="21"/>
    </row>
    <row r="384" ht="16.5" spans="1:5">
      <c r="A384" s="7">
        <v>3045084.549</v>
      </c>
      <c r="B384" s="7">
        <v>35401418.175</v>
      </c>
      <c r="C384" s="8">
        <v>907.26</v>
      </c>
      <c r="D384" s="11">
        <v>44882</v>
      </c>
      <c r="E384" s="21"/>
    </row>
    <row r="385" ht="16.5" spans="1:5">
      <c r="A385" s="7">
        <v>3045084.549</v>
      </c>
      <c r="B385" s="7">
        <v>35401418.175</v>
      </c>
      <c r="C385" s="8">
        <v>907.26</v>
      </c>
      <c r="D385" s="11">
        <v>44883</v>
      </c>
      <c r="E385" s="21"/>
    </row>
    <row r="386" ht="16.5" spans="1:5">
      <c r="A386" s="7">
        <v>3045084.549</v>
      </c>
      <c r="B386" s="7">
        <v>35401418.175</v>
      </c>
      <c r="C386" s="8">
        <v>907.26</v>
      </c>
      <c r="D386" s="11">
        <v>44884</v>
      </c>
      <c r="E386" s="21"/>
    </row>
    <row r="387" ht="16.5" spans="1:5">
      <c r="A387" s="7">
        <v>3045084.549</v>
      </c>
      <c r="B387" s="7">
        <v>35401418.175</v>
      </c>
      <c r="C387" s="8">
        <v>907.26</v>
      </c>
      <c r="D387" s="11">
        <v>44885</v>
      </c>
      <c r="E387" s="21"/>
    </row>
    <row r="388" ht="16.5" spans="1:5">
      <c r="A388" s="7">
        <v>3045084.549</v>
      </c>
      <c r="B388" s="7">
        <v>35401418.175</v>
      </c>
      <c r="C388" s="8">
        <v>907.26</v>
      </c>
      <c r="D388" s="11">
        <v>44886</v>
      </c>
      <c r="E388" s="21"/>
    </row>
    <row r="389" ht="16.5" spans="1:5">
      <c r="A389" s="7">
        <v>3045084.549</v>
      </c>
      <c r="B389" s="7">
        <v>35401418.175</v>
      </c>
      <c r="C389" s="8">
        <v>907.26</v>
      </c>
      <c r="D389" s="11">
        <v>44887</v>
      </c>
      <c r="E389" s="23"/>
    </row>
    <row r="390" ht="16.5" spans="1:5">
      <c r="A390" s="7">
        <v>3045084.549</v>
      </c>
      <c r="B390" s="7">
        <v>35401418.175</v>
      </c>
      <c r="C390" s="8">
        <v>907.26</v>
      </c>
      <c r="D390" s="11">
        <v>44888</v>
      </c>
      <c r="E390" s="22"/>
    </row>
    <row r="391" ht="16.5" spans="1:5">
      <c r="A391" s="7">
        <v>3045084.549</v>
      </c>
      <c r="B391" s="7">
        <v>35401418.175</v>
      </c>
      <c r="C391" s="8">
        <v>907.26</v>
      </c>
      <c r="D391" s="11">
        <v>44889</v>
      </c>
      <c r="E391" s="22"/>
    </row>
    <row r="392" ht="16.5" spans="1:5">
      <c r="A392" s="7">
        <v>3045084.549</v>
      </c>
      <c r="B392" s="7">
        <v>35401418.175</v>
      </c>
      <c r="C392" s="8">
        <v>907.26</v>
      </c>
      <c r="D392" s="11">
        <v>44890</v>
      </c>
      <c r="E392" s="22"/>
    </row>
    <row r="393" ht="16.5" spans="1:5">
      <c r="A393" s="7">
        <v>3045084.549</v>
      </c>
      <c r="B393" s="7">
        <v>35401418.175</v>
      </c>
      <c r="C393" s="8">
        <v>907.26</v>
      </c>
      <c r="D393" s="11">
        <v>44891</v>
      </c>
      <c r="E393" s="22"/>
    </row>
    <row r="394" ht="16.5" spans="1:5">
      <c r="A394" s="7">
        <v>3045084.549</v>
      </c>
      <c r="B394" s="7">
        <v>35401418.175</v>
      </c>
      <c r="C394" s="8">
        <v>907.26</v>
      </c>
      <c r="D394" s="11">
        <v>44892</v>
      </c>
      <c r="E394" s="22"/>
    </row>
    <row r="395" ht="16.5" spans="1:5">
      <c r="A395" s="7">
        <v>3045084.549</v>
      </c>
      <c r="B395" s="7">
        <v>35401418.175</v>
      </c>
      <c r="C395" s="8">
        <v>907.26</v>
      </c>
      <c r="D395" s="11">
        <v>44893</v>
      </c>
      <c r="E395" s="22"/>
    </row>
    <row r="396" ht="16.5" spans="1:5">
      <c r="A396" s="7">
        <v>3045084.549</v>
      </c>
      <c r="B396" s="7">
        <v>35401418.175</v>
      </c>
      <c r="C396" s="8">
        <v>907.26</v>
      </c>
      <c r="D396" s="11">
        <v>44894</v>
      </c>
      <c r="E396" s="22"/>
    </row>
    <row r="397" ht="16.5" spans="1:5">
      <c r="A397" s="7">
        <v>3045084.549</v>
      </c>
      <c r="B397" s="7">
        <v>35401418.175</v>
      </c>
      <c r="C397" s="8">
        <v>907.26</v>
      </c>
      <c r="D397" s="11">
        <v>44895</v>
      </c>
      <c r="E397" s="22"/>
    </row>
    <row r="398" ht="16.5" spans="1:5">
      <c r="A398" s="7">
        <v>3045084.549</v>
      </c>
      <c r="B398" s="7">
        <v>35401418.175</v>
      </c>
      <c r="C398" s="8">
        <v>907.26</v>
      </c>
      <c r="D398" s="11">
        <v>44896</v>
      </c>
      <c r="E398" s="22"/>
    </row>
    <row r="399" ht="16.5" spans="1:5">
      <c r="A399" s="7">
        <v>3045084.549</v>
      </c>
      <c r="B399" s="7">
        <v>35401418.175</v>
      </c>
      <c r="C399" s="8">
        <v>907.26</v>
      </c>
      <c r="D399" s="11">
        <v>44897</v>
      </c>
      <c r="E399" s="22"/>
    </row>
    <row r="400" ht="16.5" spans="1:5">
      <c r="A400" s="7">
        <v>3045084.549</v>
      </c>
      <c r="B400" s="7">
        <v>35401418.175</v>
      </c>
      <c r="C400" s="8">
        <v>907.26</v>
      </c>
      <c r="D400" s="11">
        <v>44898</v>
      </c>
      <c r="E400" s="22"/>
    </row>
    <row r="401" ht="16.5" spans="1:5">
      <c r="A401" s="7">
        <v>3045084.549</v>
      </c>
      <c r="B401" s="7">
        <v>35401418.175</v>
      </c>
      <c r="C401" s="8">
        <v>907.26</v>
      </c>
      <c r="D401" s="11">
        <v>44899</v>
      </c>
      <c r="E401" s="22"/>
    </row>
    <row r="402" ht="16.5" spans="1:5">
      <c r="A402" s="7">
        <v>3045084.549</v>
      </c>
      <c r="B402" s="7">
        <v>35401418.175</v>
      </c>
      <c r="C402" s="8">
        <v>907.26</v>
      </c>
      <c r="D402" s="11">
        <v>44900</v>
      </c>
      <c r="E402" s="22"/>
    </row>
    <row r="403" ht="16.5" spans="1:5">
      <c r="A403" s="7">
        <v>3045084.549</v>
      </c>
      <c r="B403" s="7">
        <v>35401418.175</v>
      </c>
      <c r="C403" s="8">
        <v>907.26</v>
      </c>
      <c r="D403" s="11">
        <v>44901</v>
      </c>
      <c r="E403" s="22"/>
    </row>
    <row r="404" ht="16.5" spans="1:5">
      <c r="A404" s="7">
        <v>3045084.549</v>
      </c>
      <c r="B404" s="7">
        <v>35401418.175</v>
      </c>
      <c r="C404" s="8">
        <v>907.26</v>
      </c>
      <c r="D404" s="11">
        <v>44902</v>
      </c>
      <c r="E404" s="22"/>
    </row>
    <row r="405" ht="16.5" spans="1:5">
      <c r="A405" s="7">
        <v>3045084.549</v>
      </c>
      <c r="B405" s="7">
        <v>35401418.175</v>
      </c>
      <c r="C405" s="8">
        <v>907.26</v>
      </c>
      <c r="D405" s="11">
        <v>44903</v>
      </c>
      <c r="E405" s="22"/>
    </row>
    <row r="406" ht="16.5" spans="1:5">
      <c r="A406" s="7">
        <v>3045084.549</v>
      </c>
      <c r="B406" s="7">
        <v>35401418.175</v>
      </c>
      <c r="C406" s="8">
        <v>907.26</v>
      </c>
      <c r="D406" s="11">
        <v>44904</v>
      </c>
      <c r="E406" s="22"/>
    </row>
    <row r="407" ht="16.5" spans="1:5">
      <c r="A407" s="7">
        <v>3045084.549</v>
      </c>
      <c r="B407" s="7">
        <v>35401418.175</v>
      </c>
      <c r="C407" s="8">
        <v>907.26</v>
      </c>
      <c r="D407" s="11">
        <v>44905</v>
      </c>
      <c r="E407" s="22"/>
    </row>
    <row r="408" ht="16.5" spans="1:5">
      <c r="A408" s="7">
        <v>3045084.549</v>
      </c>
      <c r="B408" s="7">
        <v>35401418.175</v>
      </c>
      <c r="C408" s="8">
        <v>907.26</v>
      </c>
      <c r="D408" s="11">
        <v>44906</v>
      </c>
      <c r="E408" s="22"/>
    </row>
    <row r="409" ht="16.5" spans="1:5">
      <c r="A409" s="7">
        <v>3045084.549</v>
      </c>
      <c r="B409" s="7">
        <v>35401418.175</v>
      </c>
      <c r="C409" s="8">
        <v>907.26</v>
      </c>
      <c r="D409" s="11">
        <v>44907</v>
      </c>
      <c r="E409" s="22"/>
    </row>
    <row r="410" ht="16.5" spans="1:5">
      <c r="A410" s="7">
        <v>3045084.549</v>
      </c>
      <c r="B410" s="7">
        <v>35401418.175</v>
      </c>
      <c r="C410" s="8">
        <v>907.26</v>
      </c>
      <c r="D410" s="11">
        <v>44908</v>
      </c>
      <c r="E410" s="22"/>
    </row>
    <row r="411" ht="16.5" spans="1:5">
      <c r="A411" s="7">
        <v>3045084.549</v>
      </c>
      <c r="B411" s="7">
        <v>35401418.175</v>
      </c>
      <c r="C411" s="8">
        <v>907.26</v>
      </c>
      <c r="D411" s="11">
        <v>44909</v>
      </c>
      <c r="E411" s="22"/>
    </row>
    <row r="412" ht="16.5" spans="1:5">
      <c r="A412" s="7">
        <v>3045084.549</v>
      </c>
      <c r="B412" s="7">
        <v>35401418.175</v>
      </c>
      <c r="C412" s="8">
        <v>907.26</v>
      </c>
      <c r="D412" s="11">
        <v>44910</v>
      </c>
      <c r="E412" s="24"/>
    </row>
    <row r="413" ht="16.5" spans="1:5">
      <c r="A413" s="7">
        <v>3045084.549</v>
      </c>
      <c r="B413" s="7">
        <v>35401418.175</v>
      </c>
      <c r="C413" s="8">
        <v>907.26</v>
      </c>
      <c r="D413" s="11">
        <v>44911</v>
      </c>
      <c r="E413" s="24"/>
    </row>
    <row r="414" ht="16.5" spans="1:5">
      <c r="A414" s="7">
        <v>3045084.549</v>
      </c>
      <c r="B414" s="7">
        <v>35401418.175</v>
      </c>
      <c r="C414" s="8">
        <v>907.26</v>
      </c>
      <c r="D414" s="11">
        <v>44912</v>
      </c>
      <c r="E414" s="24"/>
    </row>
    <row r="415" ht="16.5" spans="1:5">
      <c r="A415" s="7">
        <v>3045084.549</v>
      </c>
      <c r="B415" s="7">
        <v>35401418.175</v>
      </c>
      <c r="C415" s="8">
        <v>907.26</v>
      </c>
      <c r="D415" s="11">
        <v>44913</v>
      </c>
      <c r="E415" s="24"/>
    </row>
    <row r="416" ht="16.5" spans="1:5">
      <c r="A416" s="7">
        <v>3045084.549</v>
      </c>
      <c r="B416" s="7">
        <v>35401418.175</v>
      </c>
      <c r="C416" s="8">
        <v>907.26</v>
      </c>
      <c r="D416" s="11">
        <v>44914</v>
      </c>
      <c r="E416" s="24"/>
    </row>
    <row r="417" ht="16.5" spans="1:5">
      <c r="A417" s="7">
        <v>3045084.549</v>
      </c>
      <c r="B417" s="7">
        <v>35401418.175</v>
      </c>
      <c r="C417" s="8">
        <v>907.26</v>
      </c>
      <c r="D417" s="11">
        <v>44915</v>
      </c>
      <c r="E417" s="24"/>
    </row>
    <row r="418" ht="16.5" spans="1:5">
      <c r="A418" s="7">
        <v>3045084.549</v>
      </c>
      <c r="B418" s="7">
        <v>35401418.175</v>
      </c>
      <c r="C418" s="8">
        <v>907.26</v>
      </c>
      <c r="D418" s="11">
        <v>44916</v>
      </c>
      <c r="E418" s="24"/>
    </row>
    <row r="419" ht="16.5" spans="1:5">
      <c r="A419" s="7">
        <v>3045084.549</v>
      </c>
      <c r="B419" s="7">
        <v>35401418.175</v>
      </c>
      <c r="C419" s="8">
        <v>907.26</v>
      </c>
      <c r="D419" s="11">
        <v>44917</v>
      </c>
      <c r="E419" s="24"/>
    </row>
    <row r="420" ht="16.5" spans="1:5">
      <c r="A420" s="7">
        <v>3045084.549</v>
      </c>
      <c r="B420" s="7">
        <v>35401418.175</v>
      </c>
      <c r="C420" s="8">
        <v>907.26</v>
      </c>
      <c r="D420" s="11">
        <v>44918</v>
      </c>
      <c r="E420" s="24"/>
    </row>
    <row r="421" ht="16.5" spans="1:5">
      <c r="A421" s="7">
        <v>3045084.549</v>
      </c>
      <c r="B421" s="7">
        <v>35401418.175</v>
      </c>
      <c r="C421" s="8">
        <v>907.26</v>
      </c>
      <c r="D421" s="11">
        <v>44919</v>
      </c>
      <c r="E421" s="24"/>
    </row>
    <row r="422" ht="16.5" spans="1:5">
      <c r="A422" s="7">
        <v>3045084.549</v>
      </c>
      <c r="B422" s="7">
        <v>35401418.175</v>
      </c>
      <c r="C422" s="8">
        <v>907.26</v>
      </c>
      <c r="D422" s="11">
        <v>44920</v>
      </c>
      <c r="E422" s="24"/>
    </row>
    <row r="423" ht="16.5" spans="1:5">
      <c r="A423" s="7">
        <v>3045084.549</v>
      </c>
      <c r="B423" s="7">
        <v>35401418.175</v>
      </c>
      <c r="C423" s="8">
        <v>907.26</v>
      </c>
      <c r="D423" s="11">
        <v>44921</v>
      </c>
      <c r="E423" s="24"/>
    </row>
    <row r="424" ht="16.5" spans="1:5">
      <c r="A424" s="7">
        <v>3045084.549</v>
      </c>
      <c r="B424" s="7">
        <v>35401418.175</v>
      </c>
      <c r="C424" s="8">
        <v>907.26</v>
      </c>
      <c r="D424" s="11">
        <v>44922</v>
      </c>
      <c r="E424" s="24"/>
    </row>
    <row r="425" ht="16.5" spans="1:5">
      <c r="A425" s="7">
        <v>3045084.549</v>
      </c>
      <c r="B425" s="7">
        <v>35401418.175</v>
      </c>
      <c r="C425" s="8">
        <v>907.26</v>
      </c>
      <c r="D425" s="11">
        <v>44923</v>
      </c>
      <c r="E425" s="24"/>
    </row>
    <row r="426" ht="16.5" spans="1:5">
      <c r="A426" s="7">
        <v>3045084.549</v>
      </c>
      <c r="B426" s="7">
        <v>35401418.175</v>
      </c>
      <c r="C426" s="8">
        <v>907.26</v>
      </c>
      <c r="D426" s="11">
        <v>44924</v>
      </c>
      <c r="E426" s="24"/>
    </row>
    <row r="427" ht="16.5" spans="1:5">
      <c r="A427" s="7">
        <v>3045084.549</v>
      </c>
      <c r="B427" s="7">
        <v>35401418.175</v>
      </c>
      <c r="C427" s="8">
        <v>907.26</v>
      </c>
      <c r="D427" s="11">
        <v>44925</v>
      </c>
      <c r="E427" s="24"/>
    </row>
    <row r="428" ht="16.5" spans="1:5">
      <c r="A428" s="7">
        <v>3045084.549</v>
      </c>
      <c r="B428" s="7">
        <v>35401418.175</v>
      </c>
      <c r="C428" s="8">
        <v>907.26</v>
      </c>
      <c r="D428" s="11">
        <v>44926</v>
      </c>
      <c r="E428" s="24"/>
    </row>
    <row r="429" ht="16.5" spans="1:4">
      <c r="A429" s="7">
        <v>3045084.549</v>
      </c>
      <c r="B429" s="7">
        <v>35401418.175</v>
      </c>
      <c r="C429" s="8">
        <v>907.26</v>
      </c>
      <c r="D429" s="11">
        <v>44927</v>
      </c>
    </row>
    <row r="430" ht="16.5" spans="1:4">
      <c r="A430" s="7">
        <v>3045084.549</v>
      </c>
      <c r="B430" s="7">
        <v>35401418.175</v>
      </c>
      <c r="C430" s="8">
        <v>907.26</v>
      </c>
      <c r="D430" s="11">
        <v>44928</v>
      </c>
    </row>
    <row r="431" ht="16.5" spans="1:4">
      <c r="A431" s="7">
        <v>3045084.549</v>
      </c>
      <c r="B431" s="7">
        <v>35401418.175</v>
      </c>
      <c r="C431" s="8">
        <v>907.26</v>
      </c>
      <c r="D431" s="11">
        <v>44929</v>
      </c>
    </row>
    <row r="432" ht="16.5" spans="1:4">
      <c r="A432" s="7">
        <v>3045084.549</v>
      </c>
      <c r="B432" s="7">
        <v>35401418.175</v>
      </c>
      <c r="C432" s="8">
        <v>907.26</v>
      </c>
      <c r="D432" s="11">
        <v>44930</v>
      </c>
    </row>
    <row r="433" ht="16.5" spans="1:4">
      <c r="A433" s="7">
        <v>3045084.549</v>
      </c>
      <c r="B433" s="7">
        <v>35401418.175</v>
      </c>
      <c r="C433" s="8">
        <v>907.26</v>
      </c>
      <c r="D433" s="11">
        <v>44931</v>
      </c>
    </row>
    <row r="434" ht="16.5" spans="1:4">
      <c r="A434" s="7">
        <v>3045084.549</v>
      </c>
      <c r="B434" s="7">
        <v>35401418.175</v>
      </c>
      <c r="C434" s="8">
        <v>907.26</v>
      </c>
      <c r="D434" s="11">
        <v>44932</v>
      </c>
    </row>
    <row r="435" ht="16.5" spans="1:4">
      <c r="A435" s="7">
        <v>3045084.549</v>
      </c>
      <c r="B435" s="7">
        <v>35401418.175</v>
      </c>
      <c r="C435" s="8">
        <v>907.26</v>
      </c>
      <c r="D435" s="11">
        <v>44933</v>
      </c>
    </row>
    <row r="436" ht="16.5" spans="1:4">
      <c r="A436" s="7">
        <v>3045084.549</v>
      </c>
      <c r="B436" s="7">
        <v>35401418.175</v>
      </c>
      <c r="C436" s="8">
        <v>907.26</v>
      </c>
      <c r="D436" s="11">
        <v>44934</v>
      </c>
    </row>
    <row r="437" ht="16.5" spans="1:4">
      <c r="A437" s="7">
        <v>3045084.549</v>
      </c>
      <c r="B437" s="7">
        <v>35401418.175</v>
      </c>
      <c r="C437" s="8">
        <v>907.26</v>
      </c>
      <c r="D437" s="11">
        <v>44935</v>
      </c>
    </row>
    <row r="438" ht="16.5" spans="1:4">
      <c r="A438" s="7">
        <v>3045084.549</v>
      </c>
      <c r="B438" s="7">
        <v>35401418.175</v>
      </c>
      <c r="C438" s="8">
        <v>907.26</v>
      </c>
      <c r="D438" s="11">
        <v>44936</v>
      </c>
    </row>
    <row r="439" ht="16.5" spans="1:4">
      <c r="A439" s="7">
        <v>3045084.549</v>
      </c>
      <c r="B439" s="7">
        <v>35401418.175</v>
      </c>
      <c r="C439" s="8">
        <v>907.26</v>
      </c>
      <c r="D439" s="11">
        <v>44937</v>
      </c>
    </row>
    <row r="440" ht="16.5" spans="1:4">
      <c r="A440" s="7">
        <v>3045084.549</v>
      </c>
      <c r="B440" s="7">
        <v>35401418.175</v>
      </c>
      <c r="C440" s="8">
        <v>907.26</v>
      </c>
      <c r="D440" s="11">
        <v>44938</v>
      </c>
    </row>
    <row r="441" ht="16.5" spans="1:4">
      <c r="A441" s="7">
        <v>3045084.549</v>
      </c>
      <c r="B441" s="7">
        <v>35401418.175</v>
      </c>
      <c r="C441" s="8">
        <v>907.26</v>
      </c>
      <c r="D441" s="11">
        <v>44939</v>
      </c>
    </row>
    <row r="442" ht="16.5" spans="1:4">
      <c r="A442" s="7">
        <v>3045084.549</v>
      </c>
      <c r="B442" s="7">
        <v>35401418.175</v>
      </c>
      <c r="C442" s="8">
        <v>907.26</v>
      </c>
      <c r="D442" s="11">
        <v>44940</v>
      </c>
    </row>
    <row r="443" ht="16.5" spans="1:4">
      <c r="A443" s="7">
        <v>3045084.549</v>
      </c>
      <c r="B443" s="7">
        <v>35401418.175</v>
      </c>
      <c r="C443" s="8">
        <v>907.26</v>
      </c>
      <c r="D443" s="11">
        <v>44941</v>
      </c>
    </row>
    <row r="444" ht="16.5" spans="1:4">
      <c r="A444" s="7">
        <v>3045084.549</v>
      </c>
      <c r="B444" s="7">
        <v>35401418.175</v>
      </c>
      <c r="C444" s="8">
        <v>907.26</v>
      </c>
      <c r="D444" s="11">
        <v>44942</v>
      </c>
    </row>
    <row r="445" ht="16.5" spans="1:4">
      <c r="A445" s="7">
        <v>3045084.549</v>
      </c>
      <c r="B445" s="7">
        <v>35401418.175</v>
      </c>
      <c r="C445" s="8">
        <v>907.26</v>
      </c>
      <c r="D445" s="11">
        <v>44943</v>
      </c>
    </row>
    <row r="446" ht="16.5" spans="1:4">
      <c r="A446" s="7">
        <v>3045084.549</v>
      </c>
      <c r="B446" s="7">
        <v>35401418.175</v>
      </c>
      <c r="C446" s="8">
        <v>907.26</v>
      </c>
      <c r="D446" s="11">
        <v>44944</v>
      </c>
    </row>
    <row r="447" ht="16.5" spans="1:4">
      <c r="A447" s="7">
        <v>3045084.549</v>
      </c>
      <c r="B447" s="7">
        <v>35401418.175</v>
      </c>
      <c r="C447" s="8">
        <v>907.26</v>
      </c>
      <c r="D447" s="11">
        <v>44945</v>
      </c>
    </row>
    <row r="448" ht="16.5" spans="1:4">
      <c r="A448" s="7">
        <v>3045084.549</v>
      </c>
      <c r="B448" s="7">
        <v>35401418.175</v>
      </c>
      <c r="C448" s="8">
        <v>907.26</v>
      </c>
      <c r="D448" s="11">
        <v>44946</v>
      </c>
    </row>
    <row r="449" ht="16.5" spans="1:4">
      <c r="A449" s="7">
        <v>3045084.549</v>
      </c>
      <c r="B449" s="7">
        <v>35401418.175</v>
      </c>
      <c r="C449" s="8">
        <v>907.26</v>
      </c>
      <c r="D449" s="11">
        <v>44947</v>
      </c>
    </row>
    <row r="450" ht="16.5" spans="1:4">
      <c r="A450" s="7">
        <v>3045084.549</v>
      </c>
      <c r="B450" s="7">
        <v>35401418.175</v>
      </c>
      <c r="C450" s="8">
        <v>907.26</v>
      </c>
      <c r="D450" s="11">
        <v>44948</v>
      </c>
    </row>
    <row r="451" ht="16.5" spans="1:4">
      <c r="A451" s="7">
        <v>3045084.549</v>
      </c>
      <c r="B451" s="7">
        <v>35401418.175</v>
      </c>
      <c r="C451" s="8">
        <v>907.26</v>
      </c>
      <c r="D451" s="11">
        <v>44949</v>
      </c>
    </row>
    <row r="452" ht="16.5" spans="1:4">
      <c r="A452" s="7">
        <v>3045084.549</v>
      </c>
      <c r="B452" s="7">
        <v>35401418.175</v>
      </c>
      <c r="C452" s="8">
        <v>907.26</v>
      </c>
      <c r="D452" s="11">
        <v>44950</v>
      </c>
    </row>
    <row r="453" ht="16.5" spans="1:4">
      <c r="A453" s="7">
        <v>3045084.549</v>
      </c>
      <c r="B453" s="7">
        <v>35401418.175</v>
      </c>
      <c r="C453" s="8">
        <v>907.26</v>
      </c>
      <c r="D453" s="11">
        <v>44951</v>
      </c>
    </row>
    <row r="454" ht="16.5" spans="1:4">
      <c r="A454" s="7">
        <v>3045084.549</v>
      </c>
      <c r="B454" s="7">
        <v>35401418.175</v>
      </c>
      <c r="C454" s="8">
        <v>907.26</v>
      </c>
      <c r="D454" s="11">
        <v>44952</v>
      </c>
    </row>
    <row r="455" ht="16.5" spans="1:4">
      <c r="A455" s="7">
        <v>3045084.549</v>
      </c>
      <c r="B455" s="7">
        <v>35401418.175</v>
      </c>
      <c r="C455" s="8">
        <v>907.26</v>
      </c>
      <c r="D455" s="11">
        <v>44953</v>
      </c>
    </row>
    <row r="456" ht="16.5" spans="1:4">
      <c r="A456" s="7">
        <v>3045084.549</v>
      </c>
      <c r="B456" s="7">
        <v>35401418.175</v>
      </c>
      <c r="C456" s="8">
        <v>907.26</v>
      </c>
      <c r="D456" s="11">
        <v>44954</v>
      </c>
    </row>
    <row r="457" ht="16.5" spans="1:4">
      <c r="A457" s="7">
        <v>3045084.549</v>
      </c>
      <c r="B457" s="7">
        <v>35401418.175</v>
      </c>
      <c r="C457" s="8">
        <v>907.26</v>
      </c>
      <c r="D457" s="11">
        <v>44955</v>
      </c>
    </row>
    <row r="458" ht="16.5" spans="1:4">
      <c r="A458" s="7">
        <v>3045084.549</v>
      </c>
      <c r="B458" s="7">
        <v>35401418.175</v>
      </c>
      <c r="C458" s="8">
        <v>907.26</v>
      </c>
      <c r="D458" s="11">
        <v>44956</v>
      </c>
    </row>
    <row r="459" ht="16.5" spans="1:4">
      <c r="A459" s="7">
        <v>3045084.549</v>
      </c>
      <c r="B459" s="7">
        <v>35401418.175</v>
      </c>
      <c r="C459" s="8">
        <v>907.26</v>
      </c>
      <c r="D459" s="11">
        <v>44957</v>
      </c>
    </row>
    <row r="460" ht="16.5" spans="1:4">
      <c r="A460" s="7">
        <v>3045084.549</v>
      </c>
      <c r="B460" s="7">
        <v>35401418.175</v>
      </c>
      <c r="C460" s="8">
        <v>907.26</v>
      </c>
      <c r="D460" s="11">
        <v>44958</v>
      </c>
    </row>
    <row r="461" ht="16.5" spans="1:4">
      <c r="A461" s="7">
        <v>3045084.549</v>
      </c>
      <c r="B461" s="7">
        <v>35401418.175</v>
      </c>
      <c r="C461" s="8">
        <v>907.26</v>
      </c>
      <c r="D461" s="11">
        <v>44959</v>
      </c>
    </row>
    <row r="462" ht="16.5" spans="1:4">
      <c r="A462" s="7">
        <v>3045084.549</v>
      </c>
      <c r="B462" s="7">
        <v>35401418.175</v>
      </c>
      <c r="C462" s="8">
        <v>907.26</v>
      </c>
      <c r="D462" s="11">
        <v>44960</v>
      </c>
    </row>
    <row r="463" ht="16.5" spans="1:4">
      <c r="A463" s="7">
        <v>3045084.549</v>
      </c>
      <c r="B463" s="7">
        <v>35401418.175</v>
      </c>
      <c r="C463" s="8">
        <v>907.26</v>
      </c>
      <c r="D463" s="11">
        <v>44961</v>
      </c>
    </row>
    <row r="464" ht="16.5" spans="1:4">
      <c r="A464" s="7">
        <v>3045084.549</v>
      </c>
      <c r="B464" s="7">
        <v>35401418.175</v>
      </c>
      <c r="C464" s="8">
        <v>907.26</v>
      </c>
      <c r="D464" s="11">
        <v>44962</v>
      </c>
    </row>
    <row r="465" ht="16.5" spans="1:4">
      <c r="A465" s="7">
        <v>3045084.549</v>
      </c>
      <c r="B465" s="7">
        <v>35401418.175</v>
      </c>
      <c r="C465" s="8">
        <v>907.26</v>
      </c>
      <c r="D465" s="11">
        <v>44963</v>
      </c>
    </row>
    <row r="466" ht="16.5" spans="1:4">
      <c r="A466" s="7">
        <v>3045084.549</v>
      </c>
      <c r="B466" s="7">
        <v>35401418.175</v>
      </c>
      <c r="C466" s="8">
        <v>907.26</v>
      </c>
      <c r="D466" s="11">
        <v>44964</v>
      </c>
    </row>
    <row r="467" ht="16.5" spans="1:4">
      <c r="A467" s="7">
        <v>3045084.549</v>
      </c>
      <c r="B467" s="7">
        <v>35401418.175</v>
      </c>
      <c r="C467" s="8">
        <v>907.26</v>
      </c>
      <c r="D467" s="11">
        <v>44965</v>
      </c>
    </row>
    <row r="468" ht="16.5" spans="1:4">
      <c r="A468" s="7">
        <v>3045084.549</v>
      </c>
      <c r="B468" s="7">
        <v>35401418.175</v>
      </c>
      <c r="C468" s="8">
        <v>907.26</v>
      </c>
      <c r="D468" s="11">
        <v>44966</v>
      </c>
    </row>
    <row r="469" ht="16.5" spans="1:4">
      <c r="A469" s="7">
        <v>3045084.549</v>
      </c>
      <c r="B469" s="7">
        <v>35401418.175</v>
      </c>
      <c r="C469" s="8">
        <v>907.26</v>
      </c>
      <c r="D469" s="11">
        <v>44967</v>
      </c>
    </row>
    <row r="470" ht="16.5" spans="1:4">
      <c r="A470" s="7">
        <v>3045084.549</v>
      </c>
      <c r="B470" s="7">
        <v>35401418.175</v>
      </c>
      <c r="C470" s="8">
        <v>907.26</v>
      </c>
      <c r="D470" s="11">
        <v>44968</v>
      </c>
    </row>
    <row r="471" ht="16.5" spans="1:4">
      <c r="A471" s="7">
        <v>3045084.549</v>
      </c>
      <c r="B471" s="7">
        <v>35401418.175</v>
      </c>
      <c r="C471" s="8">
        <v>907.26</v>
      </c>
      <c r="D471" s="11">
        <v>44969</v>
      </c>
    </row>
    <row r="472" ht="16.5" spans="1:4">
      <c r="A472" s="7">
        <v>3045084.549</v>
      </c>
      <c r="B472" s="7">
        <v>35401418.175</v>
      </c>
      <c r="C472" s="8">
        <v>907.26</v>
      </c>
      <c r="D472" s="11">
        <v>44970</v>
      </c>
    </row>
    <row r="473" ht="16.5" spans="1:4">
      <c r="A473" s="7">
        <v>3045084.549</v>
      </c>
      <c r="B473" s="7">
        <v>35401418.175</v>
      </c>
      <c r="C473" s="8">
        <v>907.26</v>
      </c>
      <c r="D473" s="11">
        <v>44971</v>
      </c>
    </row>
    <row r="474" ht="16.5" spans="1:4">
      <c r="A474" s="7">
        <v>3045084.549</v>
      </c>
      <c r="B474" s="7">
        <v>35401418.175</v>
      </c>
      <c r="C474" s="8">
        <v>907.26</v>
      </c>
      <c r="D474" s="11">
        <v>44972</v>
      </c>
    </row>
    <row r="475" ht="16.5" spans="1:4">
      <c r="A475" s="7">
        <v>3045084.549</v>
      </c>
      <c r="B475" s="7">
        <v>35401418.175</v>
      </c>
      <c r="C475" s="8">
        <v>907.26</v>
      </c>
      <c r="D475" s="11">
        <v>44973</v>
      </c>
    </row>
    <row r="476" ht="16.5" spans="1:4">
      <c r="A476" s="7">
        <v>3045084.549</v>
      </c>
      <c r="B476" s="7">
        <v>35401418.175</v>
      </c>
      <c r="C476" s="8">
        <v>907.26</v>
      </c>
      <c r="D476" s="11">
        <v>44974</v>
      </c>
    </row>
    <row r="477" ht="16.5" spans="1:4">
      <c r="A477" s="7">
        <v>3045084.549</v>
      </c>
      <c r="B477" s="7">
        <v>35401418.175</v>
      </c>
      <c r="C477" s="8">
        <v>907.26</v>
      </c>
      <c r="D477" s="11">
        <v>44975</v>
      </c>
    </row>
    <row r="478" ht="16.5" spans="1:4">
      <c r="A478" s="7">
        <v>3045084.549</v>
      </c>
      <c r="B478" s="7">
        <v>35401418.175</v>
      </c>
      <c r="C478" s="8">
        <v>907.26</v>
      </c>
      <c r="D478" s="11">
        <v>44976</v>
      </c>
    </row>
    <row r="479" ht="16.5" spans="1:4">
      <c r="A479" s="7">
        <v>3045084.549</v>
      </c>
      <c r="B479" s="7">
        <v>35401418.175</v>
      </c>
      <c r="C479" s="8">
        <v>907.26</v>
      </c>
      <c r="D479" s="11">
        <v>44977</v>
      </c>
    </row>
    <row r="480" ht="16.5" spans="1:4">
      <c r="A480" s="7">
        <v>3045084.549</v>
      </c>
      <c r="B480" s="7">
        <v>35401418.175</v>
      </c>
      <c r="C480" s="8">
        <v>907.26</v>
      </c>
      <c r="D480" s="11">
        <v>44978</v>
      </c>
    </row>
    <row r="481" ht="16.5" spans="1:4">
      <c r="A481" s="7">
        <v>3045084.549</v>
      </c>
      <c r="B481" s="7">
        <v>35401418.175</v>
      </c>
      <c r="C481" s="8">
        <v>907.26</v>
      </c>
      <c r="D481" s="11">
        <v>44979</v>
      </c>
    </row>
    <row r="482" ht="16.5" spans="1:4">
      <c r="A482" s="7">
        <v>3045084.549</v>
      </c>
      <c r="B482" s="7">
        <v>35401418.175</v>
      </c>
      <c r="C482" s="8">
        <v>907.26</v>
      </c>
      <c r="D482" s="11">
        <v>44980</v>
      </c>
    </row>
    <row r="483" ht="16.5" spans="1:4">
      <c r="A483" s="7">
        <v>3045084.549</v>
      </c>
      <c r="B483" s="7">
        <v>35401418.175</v>
      </c>
      <c r="C483" s="8">
        <v>907.26</v>
      </c>
      <c r="D483" s="11">
        <v>44981</v>
      </c>
    </row>
    <row r="484" ht="16.5" spans="1:4">
      <c r="A484" s="7">
        <v>3045084.549</v>
      </c>
      <c r="B484" s="7">
        <v>35401418.175</v>
      </c>
      <c r="C484" s="8">
        <v>907.26</v>
      </c>
      <c r="D484" s="11">
        <v>44982</v>
      </c>
    </row>
    <row r="485" ht="16.5" spans="1:4">
      <c r="A485" s="7">
        <v>3045084.549</v>
      </c>
      <c r="B485" s="7">
        <v>35401418.175</v>
      </c>
      <c r="C485" s="8">
        <v>907.26</v>
      </c>
      <c r="D485" s="11">
        <v>44983</v>
      </c>
    </row>
    <row r="486" ht="16.5" spans="1:4">
      <c r="A486" s="7">
        <v>3045084.549</v>
      </c>
      <c r="B486" s="7">
        <v>35401418.175</v>
      </c>
      <c r="C486" s="8">
        <v>907.26</v>
      </c>
      <c r="D486" s="11">
        <v>44984</v>
      </c>
    </row>
    <row r="487" ht="16.5" spans="1:4">
      <c r="A487" s="7">
        <v>3045084.549</v>
      </c>
      <c r="B487" s="7">
        <v>35401418.175</v>
      </c>
      <c r="C487" s="8">
        <v>907.26</v>
      </c>
      <c r="D487" s="11">
        <v>44985</v>
      </c>
    </row>
    <row r="488" ht="16.5" spans="1:4">
      <c r="A488" s="7">
        <v>3045084.549</v>
      </c>
      <c r="B488" s="7">
        <v>35401418.175</v>
      </c>
      <c r="C488" s="8">
        <v>907.26</v>
      </c>
      <c r="D488" s="11">
        <v>44986</v>
      </c>
    </row>
    <row r="489" ht="16.5" spans="1:5">
      <c r="A489" s="7">
        <v>3045084.549</v>
      </c>
      <c r="B489" s="7">
        <v>35401418.175</v>
      </c>
      <c r="C489" s="8">
        <v>907.26</v>
      </c>
      <c r="D489" s="11">
        <v>44987</v>
      </c>
      <c r="E489" s="24"/>
    </row>
    <row r="490" ht="16.5" spans="1:5">
      <c r="A490" s="7">
        <v>3045084.549</v>
      </c>
      <c r="B490" s="7">
        <v>35401418.175</v>
      </c>
      <c r="C490" s="8">
        <v>907.26</v>
      </c>
      <c r="D490" s="11">
        <v>44988</v>
      </c>
      <c r="E490" s="24"/>
    </row>
    <row r="491" ht="16.5" spans="1:5">
      <c r="A491" s="7">
        <v>3045084.549</v>
      </c>
      <c r="B491" s="7">
        <v>35401418.175</v>
      </c>
      <c r="C491" s="8">
        <v>907.26</v>
      </c>
      <c r="D491" s="11">
        <v>44989</v>
      </c>
      <c r="E491" s="24"/>
    </row>
    <row r="492" ht="16.5" spans="1:5">
      <c r="A492" s="7">
        <v>3045084.549</v>
      </c>
      <c r="B492" s="7">
        <v>35401418.175</v>
      </c>
      <c r="C492" s="8">
        <v>907.26</v>
      </c>
      <c r="D492" s="11">
        <v>44990</v>
      </c>
      <c r="E492" s="24"/>
    </row>
    <row r="493" ht="16.5" spans="1:5">
      <c r="A493" s="7">
        <v>3045084.549</v>
      </c>
      <c r="B493" s="7">
        <v>35401418.175</v>
      </c>
      <c r="C493" s="8">
        <v>907.26</v>
      </c>
      <c r="D493" s="11">
        <v>44991</v>
      </c>
      <c r="E493" s="24"/>
    </row>
    <row r="494" ht="16.5" spans="1:5">
      <c r="A494" s="7">
        <v>3045084.549</v>
      </c>
      <c r="B494" s="7">
        <v>35401418.175</v>
      </c>
      <c r="C494" s="8">
        <v>907.26</v>
      </c>
      <c r="D494" s="11">
        <v>44992</v>
      </c>
      <c r="E494" s="21"/>
    </row>
    <row r="495" ht="16.5" spans="1:5">
      <c r="A495" s="7">
        <v>3045084.549</v>
      </c>
      <c r="B495" s="7">
        <v>35401418.175</v>
      </c>
      <c r="C495" s="8">
        <v>907.26</v>
      </c>
      <c r="D495" s="11">
        <v>44993</v>
      </c>
      <c r="E495" s="21"/>
    </row>
    <row r="496" ht="16.5" spans="1:5">
      <c r="A496" s="7">
        <v>3045084.549</v>
      </c>
      <c r="B496" s="7">
        <v>35401418.175</v>
      </c>
      <c r="C496" s="8">
        <v>907.26</v>
      </c>
      <c r="D496" s="11">
        <v>44994</v>
      </c>
      <c r="E496" s="21"/>
    </row>
    <row r="497" ht="16.5" spans="1:5">
      <c r="A497" s="7">
        <v>3045084.549</v>
      </c>
      <c r="B497" s="7">
        <v>35401418.175</v>
      </c>
      <c r="C497" s="8">
        <v>907.26</v>
      </c>
      <c r="D497" s="11">
        <v>44995</v>
      </c>
      <c r="E497" s="21"/>
    </row>
    <row r="498" ht="16.5" spans="1:5">
      <c r="A498" s="7">
        <v>3045084.549</v>
      </c>
      <c r="B498" s="7">
        <v>35401418.175</v>
      </c>
      <c r="C498" s="8">
        <v>907.26</v>
      </c>
      <c r="D498" s="11">
        <v>44996</v>
      </c>
      <c r="E498" s="21"/>
    </row>
    <row r="499" ht="16.5" spans="1:5">
      <c r="A499" s="7">
        <v>3045084.549</v>
      </c>
      <c r="B499" s="7">
        <v>35401418.175</v>
      </c>
      <c r="C499" s="8">
        <v>907.26</v>
      </c>
      <c r="D499" s="11">
        <v>44997</v>
      </c>
      <c r="E499" s="21"/>
    </row>
    <row r="500" ht="16.5" spans="1:5">
      <c r="A500" s="7">
        <v>3045084.549</v>
      </c>
      <c r="B500" s="7">
        <v>35401418.175</v>
      </c>
      <c r="C500" s="8">
        <v>907.26</v>
      </c>
      <c r="D500" s="11">
        <v>44998</v>
      </c>
      <c r="E500" s="22"/>
    </row>
    <row r="501" ht="16.5" spans="1:5">
      <c r="A501" s="7">
        <v>3045084.549</v>
      </c>
      <c r="B501" s="7">
        <v>35401418.175</v>
      </c>
      <c r="C501" s="8">
        <v>907.26</v>
      </c>
      <c r="D501" s="11">
        <v>44999</v>
      </c>
      <c r="E501" s="22"/>
    </row>
    <row r="502" ht="16.5" spans="1:5">
      <c r="A502" s="7">
        <v>3045084.549</v>
      </c>
      <c r="B502" s="7">
        <v>35401418.175</v>
      </c>
      <c r="C502" s="8">
        <v>907.26</v>
      </c>
      <c r="D502" s="11">
        <v>45000</v>
      </c>
      <c r="E502" s="22"/>
    </row>
    <row r="503" ht="16.5" spans="1:5">
      <c r="A503" s="7">
        <v>3045084.549</v>
      </c>
      <c r="B503" s="7">
        <v>35401418.175</v>
      </c>
      <c r="C503" s="8">
        <v>907.26</v>
      </c>
      <c r="D503" s="11">
        <v>45001</v>
      </c>
      <c r="E503" s="22"/>
    </row>
    <row r="504" ht="16.5" spans="1:5">
      <c r="A504" s="7">
        <v>3045084.549</v>
      </c>
      <c r="B504" s="7">
        <v>35401418.175</v>
      </c>
      <c r="C504" s="8">
        <v>907.26</v>
      </c>
      <c r="D504" s="11">
        <v>45002</v>
      </c>
      <c r="E504" s="22"/>
    </row>
    <row r="505" ht="16.5" spans="1:5">
      <c r="A505" s="7">
        <v>3045084.549</v>
      </c>
      <c r="B505" s="7">
        <v>35401418.175</v>
      </c>
      <c r="C505" s="8">
        <v>907.26</v>
      </c>
      <c r="D505" s="11">
        <v>45003</v>
      </c>
      <c r="E505" s="22"/>
    </row>
    <row r="506" ht="16.5" spans="1:5">
      <c r="A506" s="7">
        <v>3045084.549</v>
      </c>
      <c r="B506" s="7">
        <v>35401418.175</v>
      </c>
      <c r="C506" s="8">
        <v>907.26</v>
      </c>
      <c r="D506" s="11">
        <v>45004</v>
      </c>
      <c r="E506" s="22"/>
    </row>
    <row r="507" ht="16.5" spans="1:5">
      <c r="A507" s="7">
        <v>3045084.549</v>
      </c>
      <c r="B507" s="7">
        <v>35401418.175</v>
      </c>
      <c r="C507" s="8">
        <v>907.26</v>
      </c>
      <c r="D507" s="11">
        <v>45005</v>
      </c>
      <c r="E507" s="24"/>
    </row>
    <row r="508" ht="16.5" spans="1:5">
      <c r="A508" s="7">
        <v>3045084.549</v>
      </c>
      <c r="B508" s="7">
        <v>35401418.175</v>
      </c>
      <c r="C508" s="8">
        <v>907.26</v>
      </c>
      <c r="D508" s="11">
        <v>45006</v>
      </c>
      <c r="E508" s="24"/>
    </row>
    <row r="509" ht="16.5" spans="1:5">
      <c r="A509" s="7">
        <v>3045084.549</v>
      </c>
      <c r="B509" s="7">
        <v>35401418.175</v>
      </c>
      <c r="C509" s="8">
        <v>907.26</v>
      </c>
      <c r="D509" s="11">
        <v>45007</v>
      </c>
      <c r="E509" s="24"/>
    </row>
    <row r="510" ht="16.5" spans="1:5">
      <c r="A510" s="7">
        <v>3045084.549</v>
      </c>
      <c r="B510" s="7">
        <v>35401418.175</v>
      </c>
      <c r="C510" s="8">
        <v>907.26</v>
      </c>
      <c r="D510" s="11">
        <v>45008</v>
      </c>
      <c r="E510" s="24"/>
    </row>
    <row r="511" ht="16.5" spans="1:5">
      <c r="A511" s="7">
        <v>3045084.549</v>
      </c>
      <c r="B511" s="7">
        <v>35401418.175</v>
      </c>
      <c r="C511" s="8">
        <v>907.26</v>
      </c>
      <c r="D511" s="11">
        <v>45009</v>
      </c>
      <c r="E511" s="24"/>
    </row>
    <row r="512" ht="16.5" spans="1:5">
      <c r="A512" s="7">
        <v>3045084.549</v>
      </c>
      <c r="B512" s="7">
        <v>35401418.175</v>
      </c>
      <c r="C512" s="8">
        <v>907.26</v>
      </c>
      <c r="D512" s="11">
        <v>45010</v>
      </c>
      <c r="E512" s="24"/>
    </row>
    <row r="513" ht="16.5" spans="1:5">
      <c r="A513" s="7">
        <v>3045084.549</v>
      </c>
      <c r="B513" s="7">
        <v>35401418.175</v>
      </c>
      <c r="C513" s="8">
        <v>907.26</v>
      </c>
      <c r="D513" s="11">
        <v>45011</v>
      </c>
      <c r="E513" s="24"/>
    </row>
    <row r="514" ht="16.5" spans="1:5">
      <c r="A514" s="7">
        <v>3045084.549</v>
      </c>
      <c r="B514" s="7">
        <v>35401418.175</v>
      </c>
      <c r="C514" s="8">
        <v>907.26</v>
      </c>
      <c r="D514" s="11">
        <v>45012</v>
      </c>
      <c r="E514" s="24"/>
    </row>
    <row r="515" ht="16.5" spans="1:5">
      <c r="A515" s="7">
        <v>3045084.549</v>
      </c>
      <c r="B515" s="7">
        <v>35401418.175</v>
      </c>
      <c r="C515" s="8">
        <v>907.26</v>
      </c>
      <c r="D515" s="11">
        <v>45013</v>
      </c>
      <c r="E515" s="24"/>
    </row>
    <row r="516" ht="16.5" spans="1:5">
      <c r="A516" s="7">
        <v>3045084.549</v>
      </c>
      <c r="B516" s="7">
        <v>35401418.175</v>
      </c>
      <c r="C516" s="8">
        <v>907.26</v>
      </c>
      <c r="D516" s="11">
        <v>45014</v>
      </c>
      <c r="E516" s="24"/>
    </row>
    <row r="517" ht="16.5" spans="1:5">
      <c r="A517" s="7">
        <v>3045084.549</v>
      </c>
      <c r="B517" s="7">
        <v>35401418.175</v>
      </c>
      <c r="C517" s="8">
        <v>907.26</v>
      </c>
      <c r="D517" s="11">
        <v>45015</v>
      </c>
      <c r="E517" s="24"/>
    </row>
    <row r="518" ht="16.5" spans="1:5">
      <c r="A518" s="7">
        <v>3045084.549</v>
      </c>
      <c r="B518" s="7">
        <v>35401418.175</v>
      </c>
      <c r="C518" s="8">
        <v>907.26</v>
      </c>
      <c r="D518" s="11">
        <v>45016</v>
      </c>
      <c r="E518" s="24"/>
    </row>
    <row r="519" ht="16.5" spans="1:5">
      <c r="A519" s="7">
        <v>3045084.549</v>
      </c>
      <c r="B519" s="7">
        <v>35401418.175</v>
      </c>
      <c r="C519" s="8">
        <v>907.26</v>
      </c>
      <c r="D519" s="11">
        <v>45017</v>
      </c>
      <c r="E519" s="24"/>
    </row>
    <row r="520" ht="16.5" spans="1:5">
      <c r="A520" s="7">
        <v>3045084.549</v>
      </c>
      <c r="B520" s="7">
        <v>35401418.175</v>
      </c>
      <c r="C520" s="8">
        <v>907.26</v>
      </c>
      <c r="D520" s="11">
        <v>45018</v>
      </c>
      <c r="E520" s="24"/>
    </row>
    <row r="521" ht="16.5" spans="1:5">
      <c r="A521" s="7">
        <v>3045084.549</v>
      </c>
      <c r="B521" s="7">
        <v>35401418.175</v>
      </c>
      <c r="C521" s="8">
        <v>907.26</v>
      </c>
      <c r="D521" s="11">
        <v>45019</v>
      </c>
      <c r="E521" s="24"/>
    </row>
    <row r="522" ht="16.5" spans="1:5">
      <c r="A522" s="7">
        <v>3045084.549</v>
      </c>
      <c r="B522" s="7">
        <v>35401418.175</v>
      </c>
      <c r="C522" s="8">
        <v>907.26</v>
      </c>
      <c r="D522" s="11">
        <v>45020</v>
      </c>
      <c r="E522" s="22"/>
    </row>
    <row r="523" ht="16.5" spans="1:5">
      <c r="A523" s="7">
        <v>3045084.549</v>
      </c>
      <c r="B523" s="7">
        <v>35401418.175</v>
      </c>
      <c r="C523" s="8">
        <v>907.26</v>
      </c>
      <c r="D523" s="11">
        <v>45021</v>
      </c>
      <c r="E523" s="22"/>
    </row>
    <row r="524" ht="16.5" spans="1:5">
      <c r="A524" s="7">
        <v>3045084.549</v>
      </c>
      <c r="B524" s="7">
        <v>35401418.175</v>
      </c>
      <c r="C524" s="8">
        <v>907.26</v>
      </c>
      <c r="D524" s="11">
        <v>45022</v>
      </c>
      <c r="E524" s="22"/>
    </row>
    <row r="525" ht="16.5" spans="1:5">
      <c r="A525" s="7">
        <v>3045084.549</v>
      </c>
      <c r="B525" s="7">
        <v>35401418.175</v>
      </c>
      <c r="C525" s="8">
        <v>907.26</v>
      </c>
      <c r="D525" s="11">
        <v>45023</v>
      </c>
      <c r="E525" s="22"/>
    </row>
    <row r="526" ht="16.5" spans="1:5">
      <c r="A526" s="7">
        <v>3045084.549</v>
      </c>
      <c r="B526" s="7">
        <v>35401418.175</v>
      </c>
      <c r="C526" s="8">
        <v>907.26</v>
      </c>
      <c r="D526" s="11">
        <v>45024</v>
      </c>
      <c r="E526" s="22"/>
    </row>
    <row r="527" ht="16.5" spans="1:5">
      <c r="A527" s="7">
        <v>3045084.549</v>
      </c>
      <c r="B527" s="7">
        <v>35401418.175</v>
      </c>
      <c r="C527" s="8">
        <v>907.26</v>
      </c>
      <c r="D527" s="11">
        <v>45025</v>
      </c>
      <c r="E527" s="22"/>
    </row>
    <row r="528" ht="16.5" spans="1:5">
      <c r="A528" s="7">
        <v>3045084.549</v>
      </c>
      <c r="B528" s="7">
        <v>35401418.175</v>
      </c>
      <c r="C528" s="8">
        <v>907.26</v>
      </c>
      <c r="D528" s="11">
        <v>45026</v>
      </c>
      <c r="E528" s="24"/>
    </row>
    <row r="529" ht="16.5" spans="1:5">
      <c r="A529" s="7">
        <v>3045084.549</v>
      </c>
      <c r="B529" s="7">
        <v>35401418.175</v>
      </c>
      <c r="C529" s="8">
        <v>907.26</v>
      </c>
      <c r="D529" s="11">
        <v>45027</v>
      </c>
      <c r="E529" s="24"/>
    </row>
    <row r="530" ht="16.5" spans="1:5">
      <c r="A530" s="7">
        <v>3045084.549</v>
      </c>
      <c r="B530" s="7">
        <v>35401418.175</v>
      </c>
      <c r="C530" s="8">
        <v>907.26</v>
      </c>
      <c r="D530" s="11">
        <v>45028</v>
      </c>
      <c r="E530" s="24"/>
    </row>
    <row r="531" ht="16.5" spans="1:5">
      <c r="A531" s="7">
        <v>3045084.549</v>
      </c>
      <c r="B531" s="7">
        <v>35401418.175</v>
      </c>
      <c r="C531" s="8">
        <v>907.26</v>
      </c>
      <c r="D531" s="11">
        <v>45029</v>
      </c>
      <c r="E531" s="24"/>
    </row>
    <row r="532" ht="16.5" spans="1:5">
      <c r="A532" s="7">
        <v>3045084.549</v>
      </c>
      <c r="B532" s="7">
        <v>35401418.175</v>
      </c>
      <c r="C532" s="8">
        <v>907.26</v>
      </c>
      <c r="D532" s="11">
        <v>45030</v>
      </c>
      <c r="E532" s="24"/>
    </row>
    <row r="533" ht="16.5" spans="1:5">
      <c r="A533" s="7">
        <v>3045084.549</v>
      </c>
      <c r="B533" s="7">
        <v>35401418.175</v>
      </c>
      <c r="C533" s="8">
        <v>907.26</v>
      </c>
      <c r="D533" s="11">
        <v>45031</v>
      </c>
      <c r="E533" s="22"/>
    </row>
    <row r="534" ht="16.5" spans="1:5">
      <c r="A534" s="7">
        <v>3045084.549</v>
      </c>
      <c r="B534" s="7">
        <v>35401418.175</v>
      </c>
      <c r="C534" s="8">
        <v>907.26</v>
      </c>
      <c r="D534" s="11">
        <v>45032</v>
      </c>
      <c r="E534" s="21"/>
    </row>
    <row r="535" ht="16.5" spans="1:5">
      <c r="A535" s="7">
        <v>3045084.549</v>
      </c>
      <c r="B535" s="7">
        <v>35401418.175</v>
      </c>
      <c r="C535" s="8">
        <v>907.26</v>
      </c>
      <c r="D535" s="11">
        <v>45033</v>
      </c>
      <c r="E535" s="21"/>
    </row>
    <row r="536" ht="16.5" spans="1:5">
      <c r="A536" s="7">
        <v>3045084.549</v>
      </c>
      <c r="B536" s="7">
        <v>35401418.175</v>
      </c>
      <c r="C536" s="8">
        <v>907.26</v>
      </c>
      <c r="D536" s="11">
        <v>45034</v>
      </c>
      <c r="E536" s="21"/>
    </row>
    <row r="537" ht="16.5" spans="1:5">
      <c r="A537" s="7">
        <v>3045084.549</v>
      </c>
      <c r="B537" s="7">
        <v>35401418.175</v>
      </c>
      <c r="C537" s="8">
        <v>907.26</v>
      </c>
      <c r="D537" s="11">
        <v>45035</v>
      </c>
      <c r="E537" s="21"/>
    </row>
    <row r="538" ht="16.5" spans="1:5">
      <c r="A538" s="7">
        <v>3045084.549</v>
      </c>
      <c r="B538" s="7">
        <v>35401418.175</v>
      </c>
      <c r="C538" s="8">
        <v>907.26</v>
      </c>
      <c r="D538" s="11">
        <v>45036</v>
      </c>
      <c r="E538" s="21"/>
    </row>
    <row r="539" ht="16.5" spans="1:5">
      <c r="A539" s="7">
        <v>3045084.549</v>
      </c>
      <c r="B539" s="7">
        <v>35401418.175</v>
      </c>
      <c r="C539" s="8">
        <v>907.26</v>
      </c>
      <c r="D539" s="11">
        <v>45037</v>
      </c>
      <c r="E539" s="21"/>
    </row>
    <row r="540" ht="16.5" spans="1:5">
      <c r="A540" s="7">
        <v>3045084.549</v>
      </c>
      <c r="B540" s="7">
        <v>35401418.175</v>
      </c>
      <c r="C540" s="8">
        <v>907.26</v>
      </c>
      <c r="D540" s="11">
        <v>45038</v>
      </c>
      <c r="E540" s="21"/>
    </row>
    <row r="541" ht="16.5" spans="1:5">
      <c r="A541" s="7">
        <v>3045084.549</v>
      </c>
      <c r="B541" s="7">
        <v>35401418.175</v>
      </c>
      <c r="C541" s="8">
        <v>907.26</v>
      </c>
      <c r="D541" s="11">
        <v>45039</v>
      </c>
      <c r="E541" s="21"/>
    </row>
    <row r="542" ht="16.5" spans="1:5">
      <c r="A542" s="7">
        <v>3045084.549</v>
      </c>
      <c r="B542" s="7">
        <v>35401418.175</v>
      </c>
      <c r="C542" s="8">
        <v>907.26</v>
      </c>
      <c r="D542" s="11">
        <v>45040</v>
      </c>
      <c r="E542" s="21"/>
    </row>
    <row r="543" ht="16.5" spans="1:5">
      <c r="A543" s="7">
        <v>3045084.549</v>
      </c>
      <c r="B543" s="7">
        <v>35401418.175</v>
      </c>
      <c r="C543" s="8">
        <v>907.26</v>
      </c>
      <c r="D543" s="11">
        <v>45041</v>
      </c>
      <c r="E543" s="21"/>
    </row>
    <row r="544" ht="16.5" spans="1:5">
      <c r="A544" s="7">
        <v>3045084.549</v>
      </c>
      <c r="B544" s="7">
        <v>35401418.175</v>
      </c>
      <c r="C544" s="8">
        <v>907.26</v>
      </c>
      <c r="D544" s="11">
        <v>45042</v>
      </c>
      <c r="E544" s="21"/>
    </row>
    <row r="545" ht="16.5" spans="1:5">
      <c r="A545" s="7">
        <v>3045084.549</v>
      </c>
      <c r="B545" s="7">
        <v>35401418.175</v>
      </c>
      <c r="C545" s="8">
        <v>907.26</v>
      </c>
      <c r="D545" s="11">
        <v>45043</v>
      </c>
      <c r="E545" s="21">
        <v>760.68</v>
      </c>
    </row>
    <row r="546" ht="16.5" spans="1:5">
      <c r="A546" s="7">
        <v>3045084.549</v>
      </c>
      <c r="B546" s="7">
        <v>35401418.175</v>
      </c>
      <c r="C546" s="8">
        <v>907.26</v>
      </c>
      <c r="D546" s="11">
        <v>45044</v>
      </c>
      <c r="E546" s="21">
        <v>760.55</v>
      </c>
    </row>
    <row r="547" ht="16.5" spans="1:5">
      <c r="A547" s="7">
        <v>3045084.549</v>
      </c>
      <c r="B547" s="7">
        <v>35401418.175</v>
      </c>
      <c r="C547" s="8">
        <v>907.26</v>
      </c>
      <c r="D547" s="11">
        <v>45045</v>
      </c>
      <c r="E547" s="21">
        <v>761.07</v>
      </c>
    </row>
    <row r="548" ht="16.5" spans="1:5">
      <c r="A548" s="7">
        <v>3045084.549</v>
      </c>
      <c r="B548" s="7">
        <v>35401418.175</v>
      </c>
      <c r="C548" s="8">
        <v>907.26</v>
      </c>
      <c r="D548" s="11">
        <v>45046</v>
      </c>
      <c r="E548" s="21">
        <v>760.15</v>
      </c>
    </row>
    <row r="549" ht="16.5" spans="1:5">
      <c r="A549" s="7">
        <v>3045084.549</v>
      </c>
      <c r="B549" s="7">
        <v>35401418.175</v>
      </c>
      <c r="C549" s="8">
        <v>907.26</v>
      </c>
      <c r="D549" s="11">
        <v>45047</v>
      </c>
      <c r="E549" s="21">
        <v>760.07</v>
      </c>
    </row>
    <row r="550" ht="16.5" spans="1:5">
      <c r="A550" s="7">
        <v>3045084.549</v>
      </c>
      <c r="B550" s="7">
        <v>35401418.175</v>
      </c>
      <c r="C550" s="8">
        <v>907.26</v>
      </c>
      <c r="D550" s="11">
        <v>45048</v>
      </c>
      <c r="E550" s="21">
        <v>759.95</v>
      </c>
    </row>
    <row r="551" ht="16.5" spans="1:5">
      <c r="A551" s="7">
        <v>3045084.549</v>
      </c>
      <c r="B551" s="7">
        <v>35401418.175</v>
      </c>
      <c r="C551" s="8">
        <v>907.26</v>
      </c>
      <c r="D551" s="11">
        <v>45049</v>
      </c>
      <c r="E551" s="21">
        <v>759.84</v>
      </c>
    </row>
    <row r="552" ht="16.5" spans="1:5">
      <c r="A552" s="7">
        <v>3045084.549</v>
      </c>
      <c r="B552" s="7">
        <v>35401418.175</v>
      </c>
      <c r="C552" s="8">
        <v>907.26</v>
      </c>
      <c r="D552" s="11">
        <v>45050</v>
      </c>
      <c r="E552" s="21">
        <v>759.74</v>
      </c>
    </row>
    <row r="553" ht="16.5" spans="1:5">
      <c r="A553" s="7">
        <v>3045084.549</v>
      </c>
      <c r="B553" s="7">
        <v>35401418.175</v>
      </c>
      <c r="C553" s="8">
        <v>907.26</v>
      </c>
      <c r="D553" s="11">
        <v>45051</v>
      </c>
      <c r="E553" s="21">
        <v>759.66</v>
      </c>
    </row>
    <row r="554" ht="16.5" spans="1:5">
      <c r="A554" s="7">
        <v>3045084.549</v>
      </c>
      <c r="B554" s="7">
        <v>35401418.175</v>
      </c>
      <c r="C554" s="8">
        <v>907.26</v>
      </c>
      <c r="D554" s="11">
        <v>45052</v>
      </c>
      <c r="E554" s="21">
        <v>759.73</v>
      </c>
    </row>
    <row r="555" ht="16.5" spans="1:5">
      <c r="A555" s="7">
        <v>3045084.549</v>
      </c>
      <c r="B555" s="7">
        <v>35401418.175</v>
      </c>
      <c r="C555" s="8">
        <v>907.26</v>
      </c>
      <c r="D555" s="11">
        <v>45053</v>
      </c>
      <c r="E555" s="21">
        <v>759.8</v>
      </c>
    </row>
    <row r="556" ht="16.5" spans="1:5">
      <c r="A556" s="7">
        <v>3045084.549</v>
      </c>
      <c r="B556" s="7">
        <v>35401418.175</v>
      </c>
      <c r="C556" s="8">
        <v>907.26</v>
      </c>
      <c r="D556" s="11">
        <v>45054</v>
      </c>
      <c r="E556" s="22"/>
    </row>
    <row r="557" ht="16.5" spans="1:5">
      <c r="A557" s="7">
        <v>3045084.549</v>
      </c>
      <c r="B557" s="7">
        <v>35401418.175</v>
      </c>
      <c r="C557" s="8">
        <v>907.26</v>
      </c>
      <c r="D557" s="11">
        <v>45055</v>
      </c>
      <c r="E557" s="22"/>
    </row>
    <row r="558" ht="16.5" spans="1:5">
      <c r="A558" s="7">
        <v>3045084.549</v>
      </c>
      <c r="B558" s="7">
        <v>35401418.175</v>
      </c>
      <c r="C558" s="8">
        <v>907.26</v>
      </c>
      <c r="D558" s="11">
        <v>45056</v>
      </c>
      <c r="E558" s="22"/>
    </row>
    <row r="559" ht="16.5" spans="1:5">
      <c r="A559" s="7">
        <v>3045084.549</v>
      </c>
      <c r="B559" s="7">
        <v>35401418.175</v>
      </c>
      <c r="C559" s="8">
        <v>907.26</v>
      </c>
      <c r="D559" s="11">
        <v>45057</v>
      </c>
      <c r="E559" s="22"/>
    </row>
    <row r="560" ht="16.5" spans="1:5">
      <c r="A560" s="7">
        <v>3045084.549</v>
      </c>
      <c r="B560" s="7">
        <v>35401418.175</v>
      </c>
      <c r="C560" s="8">
        <v>907.26</v>
      </c>
      <c r="D560" s="11">
        <v>45058</v>
      </c>
      <c r="E560" s="21">
        <v>759.18</v>
      </c>
    </row>
    <row r="561" ht="16.5" spans="1:5">
      <c r="A561" s="7">
        <v>3045084.549</v>
      </c>
      <c r="B561" s="7">
        <v>35401418.175</v>
      </c>
      <c r="C561" s="8">
        <v>907.26</v>
      </c>
      <c r="D561" s="11">
        <v>45059</v>
      </c>
      <c r="E561" s="21">
        <v>759.08</v>
      </c>
    </row>
    <row r="562" ht="16.5" spans="1:5">
      <c r="A562" s="7">
        <v>3045084.549</v>
      </c>
      <c r="B562" s="7">
        <v>35401418.175</v>
      </c>
      <c r="C562" s="8">
        <v>907.26</v>
      </c>
      <c r="D562" s="11">
        <v>45060</v>
      </c>
      <c r="E562" s="21">
        <v>758.94</v>
      </c>
    </row>
    <row r="563" ht="16.5" spans="1:5">
      <c r="A563" s="7">
        <v>3045084.549</v>
      </c>
      <c r="B563" s="7">
        <v>35401418.175</v>
      </c>
      <c r="C563" s="8">
        <v>907.26</v>
      </c>
      <c r="D563" s="11">
        <v>45061</v>
      </c>
      <c r="E563" s="21">
        <v>758.87</v>
      </c>
    </row>
    <row r="564" ht="16.5" spans="1:5">
      <c r="A564" s="7">
        <v>3045084.549</v>
      </c>
      <c r="B564" s="7">
        <v>35401418.175</v>
      </c>
      <c r="C564" s="8">
        <v>907.26</v>
      </c>
      <c r="D564" s="11">
        <v>45062</v>
      </c>
      <c r="E564" s="24"/>
    </row>
    <row r="565" ht="16.5" spans="1:5">
      <c r="A565" s="7">
        <v>3045084.549</v>
      </c>
      <c r="B565" s="7">
        <v>35401418.175</v>
      </c>
      <c r="C565" s="8">
        <v>907.26</v>
      </c>
      <c r="D565" s="11">
        <v>45063</v>
      </c>
      <c r="E565" s="21"/>
    </row>
    <row r="566" ht="16.5" spans="1:5">
      <c r="A566" s="7">
        <v>3045084.549</v>
      </c>
      <c r="B566" s="7">
        <v>35401418.175</v>
      </c>
      <c r="C566" s="8">
        <v>907.26</v>
      </c>
      <c r="D566" s="11">
        <v>45064</v>
      </c>
      <c r="E566" s="21">
        <v>758.55</v>
      </c>
    </row>
    <row r="567" ht="16.5" spans="1:5">
      <c r="A567" s="7">
        <v>3045084.549</v>
      </c>
      <c r="B567" s="7">
        <v>35401418.175</v>
      </c>
      <c r="C567" s="8">
        <v>907.26</v>
      </c>
      <c r="D567" s="11">
        <v>45065</v>
      </c>
      <c r="E567" s="21">
        <v>758.51</v>
      </c>
    </row>
    <row r="568" ht="16.5" spans="1:5">
      <c r="A568" s="7">
        <v>3045084.549</v>
      </c>
      <c r="B568" s="7">
        <v>35401418.175</v>
      </c>
      <c r="C568" s="8">
        <v>907.26</v>
      </c>
      <c r="D568" s="11">
        <v>45066</v>
      </c>
      <c r="E568" s="21">
        <v>758.44</v>
      </c>
    </row>
    <row r="569" ht="16.5" spans="1:5">
      <c r="A569" s="7">
        <v>3045084.549</v>
      </c>
      <c r="B569" s="7">
        <v>35401418.175</v>
      </c>
      <c r="C569" s="8">
        <v>907.26</v>
      </c>
      <c r="D569" s="11">
        <v>45067</v>
      </c>
      <c r="E569" s="21">
        <v>758.36</v>
      </c>
    </row>
    <row r="570" ht="16.5" spans="1:5">
      <c r="A570" s="7">
        <v>3045084.549</v>
      </c>
      <c r="B570" s="7">
        <v>35401418.175</v>
      </c>
      <c r="C570" s="8">
        <v>907.26</v>
      </c>
      <c r="D570" s="11">
        <v>45068</v>
      </c>
      <c r="E570" s="21">
        <v>758.3</v>
      </c>
    </row>
    <row r="571" ht="16.5" spans="1:5">
      <c r="A571" s="7">
        <v>3045084.549</v>
      </c>
      <c r="B571" s="7">
        <v>35401418.175</v>
      </c>
      <c r="C571" s="8">
        <v>907.26</v>
      </c>
      <c r="D571" s="11">
        <v>45069</v>
      </c>
      <c r="E571" s="21">
        <v>758.24</v>
      </c>
    </row>
    <row r="572" ht="16.5" spans="1:5">
      <c r="A572" s="7">
        <v>3045084.549</v>
      </c>
      <c r="B572" s="7">
        <v>35401418.175</v>
      </c>
      <c r="C572" s="8">
        <v>907.26</v>
      </c>
      <c r="D572" s="11">
        <v>45070</v>
      </c>
      <c r="E572" s="21">
        <v>758.16</v>
      </c>
    </row>
    <row r="573" ht="16.5" spans="1:5">
      <c r="A573" s="7">
        <v>3045084.549</v>
      </c>
      <c r="B573" s="7">
        <v>35401418.175</v>
      </c>
      <c r="C573" s="8">
        <v>907.26</v>
      </c>
      <c r="D573" s="11">
        <v>45071</v>
      </c>
      <c r="E573" s="21">
        <v>758.15</v>
      </c>
    </row>
    <row r="574" ht="16.5" spans="1:5">
      <c r="A574" s="7">
        <v>3045084.549</v>
      </c>
      <c r="B574" s="7">
        <v>35401418.175</v>
      </c>
      <c r="C574" s="8">
        <v>907.26</v>
      </c>
      <c r="D574" s="11">
        <v>45072</v>
      </c>
      <c r="E574" s="21">
        <v>758.07</v>
      </c>
    </row>
    <row r="575" ht="16.5" spans="1:5">
      <c r="A575" s="7">
        <v>3045084.549</v>
      </c>
      <c r="B575" s="7">
        <v>35401418.175</v>
      </c>
      <c r="C575" s="8">
        <v>907.26</v>
      </c>
      <c r="D575" s="11">
        <v>45073</v>
      </c>
      <c r="E575" s="22"/>
    </row>
    <row r="576" ht="16.5" spans="1:5">
      <c r="A576" s="7">
        <v>3045084.549</v>
      </c>
      <c r="B576" s="7">
        <v>35401418.175</v>
      </c>
      <c r="C576" s="8">
        <v>907.26</v>
      </c>
      <c r="D576" s="11">
        <v>45074</v>
      </c>
      <c r="E576" s="22"/>
    </row>
    <row r="577" ht="16.5" spans="1:5">
      <c r="A577" s="7">
        <v>3045084.549</v>
      </c>
      <c r="B577" s="7">
        <v>35401418.175</v>
      </c>
      <c r="C577" s="8">
        <v>907.26</v>
      </c>
      <c r="D577" s="11">
        <v>45075</v>
      </c>
      <c r="E577" s="25">
        <v>758.01</v>
      </c>
    </row>
    <row r="578" ht="16.5" spans="1:5">
      <c r="A578" s="7">
        <v>3045084.549</v>
      </c>
      <c r="B578" s="7">
        <v>35401418.175</v>
      </c>
      <c r="C578" s="8">
        <v>907.26</v>
      </c>
      <c r="D578" s="11">
        <v>45076</v>
      </c>
      <c r="E578" s="22"/>
    </row>
    <row r="579" ht="16.5" spans="1:5">
      <c r="A579" s="7">
        <v>3045084.549</v>
      </c>
      <c r="B579" s="7">
        <v>35401418.175</v>
      </c>
      <c r="C579" s="8">
        <v>907.26</v>
      </c>
      <c r="D579" s="11">
        <v>45077</v>
      </c>
      <c r="E579" s="21">
        <v>757.89</v>
      </c>
    </row>
    <row r="580" ht="16.5" spans="1:5">
      <c r="A580" s="7">
        <v>3045084.549</v>
      </c>
      <c r="B580" s="7">
        <v>35401418.175</v>
      </c>
      <c r="C580" s="8">
        <v>907.26</v>
      </c>
      <c r="D580" s="11">
        <v>45078</v>
      </c>
      <c r="E580" s="21">
        <v>757.92</v>
      </c>
    </row>
    <row r="581" ht="16.5" spans="1:5">
      <c r="A581" s="7">
        <v>3045084.549</v>
      </c>
      <c r="B581" s="7">
        <v>35401418.175</v>
      </c>
      <c r="C581" s="8">
        <v>907.26</v>
      </c>
      <c r="D581" s="11">
        <v>45079</v>
      </c>
      <c r="E581" s="21">
        <v>757.81</v>
      </c>
    </row>
    <row r="582" ht="16.5" spans="1:5">
      <c r="A582" s="7">
        <v>3045084.549</v>
      </c>
      <c r="B582" s="7">
        <v>35401418.175</v>
      </c>
      <c r="C582" s="8">
        <v>907.26</v>
      </c>
      <c r="D582" s="11">
        <v>45080</v>
      </c>
      <c r="E582" s="21">
        <v>757.6</v>
      </c>
    </row>
    <row r="583" ht="16.5" spans="1:5">
      <c r="A583" s="7">
        <v>3045084.549</v>
      </c>
      <c r="B583" s="7">
        <v>35401418.175</v>
      </c>
      <c r="C583" s="8">
        <v>907.26</v>
      </c>
      <c r="D583" s="11">
        <v>45081</v>
      </c>
      <c r="E583" s="21">
        <v>757.86</v>
      </c>
    </row>
    <row r="584" ht="16.5" spans="1:5">
      <c r="A584" s="7">
        <v>3045084.549</v>
      </c>
      <c r="B584" s="7">
        <v>35401418.175</v>
      </c>
      <c r="C584" s="8">
        <v>907.26</v>
      </c>
      <c r="D584" s="11">
        <v>45082</v>
      </c>
      <c r="E584" s="21">
        <v>757.73</v>
      </c>
    </row>
    <row r="585" ht="16.5" spans="1:5">
      <c r="A585" s="7">
        <v>3045084.549</v>
      </c>
      <c r="B585" s="7">
        <v>35401418.175</v>
      </c>
      <c r="C585" s="8">
        <v>907.26</v>
      </c>
      <c r="D585" s="11">
        <v>45083</v>
      </c>
      <c r="E585" s="21">
        <v>757.76</v>
      </c>
    </row>
    <row r="586" ht="16.5" spans="1:5">
      <c r="A586" s="7">
        <v>3045084.549</v>
      </c>
      <c r="B586" s="7">
        <v>35401418.175</v>
      </c>
      <c r="C586" s="8">
        <v>907.26</v>
      </c>
      <c r="D586" s="11">
        <v>45084</v>
      </c>
      <c r="E586" s="21">
        <v>757.76</v>
      </c>
    </row>
    <row r="587" ht="16.5" spans="1:5">
      <c r="A587" s="7">
        <v>3045084.549</v>
      </c>
      <c r="B587" s="7">
        <v>35401418.175</v>
      </c>
      <c r="C587" s="8">
        <v>907.26</v>
      </c>
      <c r="D587" s="11">
        <v>45085</v>
      </c>
      <c r="E587" s="21">
        <v>757.78</v>
      </c>
    </row>
    <row r="588" ht="16.5" spans="1:5">
      <c r="A588" s="7">
        <v>3045084.549</v>
      </c>
      <c r="B588" s="7">
        <v>35401418.175</v>
      </c>
      <c r="C588" s="8">
        <v>907.26</v>
      </c>
      <c r="D588" s="11">
        <v>45086</v>
      </c>
      <c r="E588" s="21">
        <v>757.77</v>
      </c>
    </row>
    <row r="589" ht="16.5" spans="1:5">
      <c r="A589" s="7">
        <v>3045084.549</v>
      </c>
      <c r="B589" s="7">
        <v>35401418.175</v>
      </c>
      <c r="C589" s="8">
        <v>907.26</v>
      </c>
      <c r="D589" s="11">
        <v>45087</v>
      </c>
      <c r="E589" s="21">
        <v>757.92</v>
      </c>
    </row>
    <row r="590" ht="16.5" spans="1:5">
      <c r="A590" s="7">
        <v>3045084.549</v>
      </c>
      <c r="B590" s="7">
        <v>35401418.175</v>
      </c>
      <c r="C590" s="8">
        <v>907.26</v>
      </c>
      <c r="D590" s="11">
        <v>45088</v>
      </c>
      <c r="E590" s="21">
        <v>757.92</v>
      </c>
    </row>
    <row r="591" ht="16.5" spans="1:5">
      <c r="A591" s="7">
        <v>3045084.549</v>
      </c>
      <c r="B591" s="7">
        <v>35401418.175</v>
      </c>
      <c r="C591" s="8">
        <v>907.26</v>
      </c>
      <c r="D591" s="11">
        <v>45089</v>
      </c>
      <c r="E591" s="21"/>
    </row>
    <row r="592" ht="16.5" spans="1:5">
      <c r="A592" s="7">
        <v>3045084.549</v>
      </c>
      <c r="B592" s="7">
        <v>35401418.175</v>
      </c>
      <c r="C592" s="8">
        <v>907.26</v>
      </c>
      <c r="D592" s="11">
        <v>45090</v>
      </c>
      <c r="E592" s="21">
        <v>757.92</v>
      </c>
    </row>
    <row r="593" ht="16.5" spans="1:5">
      <c r="A593" s="7">
        <v>3045084.549</v>
      </c>
      <c r="B593" s="7">
        <v>35401418.175</v>
      </c>
      <c r="C593" s="8">
        <v>907.26</v>
      </c>
      <c r="D593" s="11">
        <v>45091</v>
      </c>
      <c r="E593" s="21">
        <v>757.75</v>
      </c>
    </row>
    <row r="594" ht="16.5" spans="1:5">
      <c r="A594" s="7">
        <v>3045084.549</v>
      </c>
      <c r="B594" s="7">
        <v>35401418.175</v>
      </c>
      <c r="C594" s="8">
        <v>907.26</v>
      </c>
      <c r="D594" s="11">
        <v>45092</v>
      </c>
      <c r="E594" s="21">
        <v>757.73</v>
      </c>
    </row>
    <row r="595" ht="16.5" spans="1:5">
      <c r="A595" s="7">
        <v>3045084.549</v>
      </c>
      <c r="B595" s="7">
        <v>35401418.175</v>
      </c>
      <c r="C595" s="8">
        <v>907.26</v>
      </c>
      <c r="D595" s="11">
        <v>45093</v>
      </c>
      <c r="E595" s="21">
        <v>757.47</v>
      </c>
    </row>
    <row r="596" ht="16.5" spans="1:5">
      <c r="A596" s="7">
        <v>3045084.549</v>
      </c>
      <c r="B596" s="7">
        <v>35401418.175</v>
      </c>
      <c r="C596" s="8">
        <v>907.26</v>
      </c>
      <c r="D596" s="11">
        <v>45094</v>
      </c>
      <c r="E596" s="21">
        <v>757.49</v>
      </c>
    </row>
    <row r="597" ht="16.5" spans="1:5">
      <c r="A597" s="7">
        <v>3045084.549</v>
      </c>
      <c r="B597" s="7">
        <v>35401418.175</v>
      </c>
      <c r="C597" s="8">
        <v>907.26</v>
      </c>
      <c r="D597" s="11">
        <v>45095</v>
      </c>
      <c r="E597" s="21">
        <v>757.74</v>
      </c>
    </row>
    <row r="598" ht="16.5" spans="1:5">
      <c r="A598" s="7">
        <v>3045084.549</v>
      </c>
      <c r="B598" s="7">
        <v>35401418.175</v>
      </c>
      <c r="C598" s="8">
        <v>907.26</v>
      </c>
      <c r="D598" s="11">
        <v>45096</v>
      </c>
      <c r="E598" s="21"/>
    </row>
    <row r="599" ht="16.5" spans="1:5">
      <c r="A599" s="7">
        <v>3045084.549</v>
      </c>
      <c r="B599" s="7">
        <v>35401418.175</v>
      </c>
      <c r="C599" s="8">
        <v>907.26</v>
      </c>
      <c r="D599" s="11">
        <v>45097</v>
      </c>
      <c r="E599" s="22"/>
    </row>
    <row r="600" ht="16.5" spans="1:5">
      <c r="A600" s="7">
        <v>3045084.549</v>
      </c>
      <c r="B600" s="7">
        <v>35401418.175</v>
      </c>
      <c r="C600" s="8">
        <v>907.26</v>
      </c>
      <c r="D600" s="11">
        <v>45098</v>
      </c>
      <c r="E600" s="22"/>
    </row>
    <row r="601" ht="16.5" spans="1:5">
      <c r="A601" s="7">
        <v>3045084.549</v>
      </c>
      <c r="B601" s="7">
        <v>35401418.175</v>
      </c>
      <c r="C601" s="8">
        <v>907.26</v>
      </c>
      <c r="D601" s="11">
        <v>45099</v>
      </c>
      <c r="E601" s="22"/>
    </row>
    <row r="602" ht="16.5" spans="1:5">
      <c r="A602" s="7">
        <v>3045084.549</v>
      </c>
      <c r="B602" s="7">
        <v>35401418.175</v>
      </c>
      <c r="C602" s="8">
        <v>907.26</v>
      </c>
      <c r="D602" s="11">
        <v>45100</v>
      </c>
      <c r="E602" s="22"/>
    </row>
    <row r="603" ht="16.5" spans="1:5">
      <c r="A603" s="7">
        <v>3045084.549</v>
      </c>
      <c r="B603" s="7">
        <v>35401418.175</v>
      </c>
      <c r="C603" s="8">
        <v>907.26</v>
      </c>
      <c r="D603" s="11">
        <v>45101</v>
      </c>
      <c r="E603" s="22"/>
    </row>
    <row r="604" ht="16.5" spans="1:5">
      <c r="A604" s="7">
        <v>3045084.549</v>
      </c>
      <c r="B604" s="7">
        <v>35401418.175</v>
      </c>
      <c r="C604" s="8">
        <v>907.26</v>
      </c>
      <c r="D604" s="11">
        <v>45102</v>
      </c>
      <c r="E604" s="21"/>
    </row>
    <row r="605" ht="16.5" spans="1:5">
      <c r="A605" s="7">
        <v>3045084.549</v>
      </c>
      <c r="B605" s="7">
        <v>35401418.175</v>
      </c>
      <c r="C605" s="8">
        <v>907.26</v>
      </c>
      <c r="D605" s="11">
        <v>45103</v>
      </c>
      <c r="E605" s="21"/>
    </row>
    <row r="606" ht="16.5" spans="1:5">
      <c r="A606" s="7">
        <v>3045084.549</v>
      </c>
      <c r="B606" s="7">
        <v>35401418.175</v>
      </c>
      <c r="C606" s="8">
        <v>907.26</v>
      </c>
      <c r="D606" s="11">
        <v>45104</v>
      </c>
      <c r="E606" s="22"/>
    </row>
    <row r="607" ht="16.5" spans="1:5">
      <c r="A607" s="7">
        <v>3045084.549</v>
      </c>
      <c r="B607" s="7">
        <v>35401418.175</v>
      </c>
      <c r="C607" s="8">
        <v>907.26</v>
      </c>
      <c r="D607" s="11">
        <v>45105</v>
      </c>
      <c r="E607" s="22"/>
    </row>
    <row r="608" ht="16.5" spans="1:5">
      <c r="A608" s="7">
        <v>3045084.549</v>
      </c>
      <c r="B608" s="7">
        <v>35401418.175</v>
      </c>
      <c r="C608" s="8">
        <v>907.26</v>
      </c>
      <c r="D608" s="11">
        <v>45106</v>
      </c>
      <c r="E608" s="22"/>
    </row>
    <row r="609" ht="16.5" spans="1:5">
      <c r="A609" s="7">
        <v>3045084.549</v>
      </c>
      <c r="B609" s="7">
        <v>35401418.175</v>
      </c>
      <c r="C609" s="8">
        <v>907.26</v>
      </c>
      <c r="D609" s="11">
        <v>45107</v>
      </c>
      <c r="E609" s="22"/>
    </row>
    <row r="610" ht="16.5" spans="1:5">
      <c r="A610" s="7">
        <v>3045084.549</v>
      </c>
      <c r="B610" s="7">
        <v>35401418.175</v>
      </c>
      <c r="C610" s="8">
        <v>907.26</v>
      </c>
      <c r="D610" s="11">
        <v>45108</v>
      </c>
      <c r="E610" s="22"/>
    </row>
    <row r="611" ht="16.5" spans="1:5">
      <c r="A611" s="7">
        <v>3045084.549</v>
      </c>
      <c r="B611" s="7">
        <v>35401418.175</v>
      </c>
      <c r="C611" s="8">
        <v>907.26</v>
      </c>
      <c r="D611" s="11">
        <v>45109</v>
      </c>
      <c r="E611" s="22"/>
    </row>
    <row r="612" ht="16.5" spans="1:5">
      <c r="A612" s="7">
        <v>3045084.549</v>
      </c>
      <c r="B612" s="7">
        <v>35401418.175</v>
      </c>
      <c r="C612" s="8">
        <v>907.26</v>
      </c>
      <c r="D612" s="11">
        <v>45110</v>
      </c>
      <c r="E612" s="22"/>
    </row>
    <row r="613" ht="16.5" spans="1:5">
      <c r="A613" s="7">
        <v>3045084.549</v>
      </c>
      <c r="B613" s="7">
        <v>35401418.175</v>
      </c>
      <c r="C613" s="8">
        <v>907.26</v>
      </c>
      <c r="D613" s="11">
        <v>45111</v>
      </c>
      <c r="E613" s="22"/>
    </row>
    <row r="614" ht="16.5" spans="1:5">
      <c r="A614" s="7">
        <v>3045084.549</v>
      </c>
      <c r="B614" s="7">
        <v>35401418.175</v>
      </c>
      <c r="C614" s="8">
        <v>907.26</v>
      </c>
      <c r="D614" s="11">
        <v>45112</v>
      </c>
      <c r="E614" s="22"/>
    </row>
    <row r="615" ht="16.5" spans="1:5">
      <c r="A615" s="7">
        <v>3045084.549</v>
      </c>
      <c r="B615" s="7">
        <v>35401418.175</v>
      </c>
      <c r="C615" s="8">
        <v>907.26</v>
      </c>
      <c r="D615" s="11">
        <v>45113</v>
      </c>
      <c r="E615" s="22"/>
    </row>
    <row r="616" ht="16.5" spans="1:5">
      <c r="A616" s="7">
        <v>3045084.549</v>
      </c>
      <c r="B616" s="7">
        <v>35401418.175</v>
      </c>
      <c r="C616" s="8">
        <v>907.26</v>
      </c>
      <c r="D616" s="11">
        <v>45114</v>
      </c>
      <c r="E616" s="22"/>
    </row>
    <row r="617" ht="16.5" spans="1:5">
      <c r="A617" s="7">
        <v>3045084.549</v>
      </c>
      <c r="B617" s="7">
        <v>35401418.175</v>
      </c>
      <c r="C617" s="8">
        <v>907.26</v>
      </c>
      <c r="D617" s="11">
        <v>45115</v>
      </c>
      <c r="E617" s="22"/>
    </row>
    <row r="618" ht="16.5" spans="1:5">
      <c r="A618" s="7">
        <v>3045084.549</v>
      </c>
      <c r="B618" s="7">
        <v>35401418.175</v>
      </c>
      <c r="C618" s="8">
        <v>907.26</v>
      </c>
      <c r="D618" s="11">
        <v>45116</v>
      </c>
      <c r="E618" s="22"/>
    </row>
    <row r="619" ht="16.5" spans="1:5">
      <c r="A619" s="7">
        <v>3045084.549</v>
      </c>
      <c r="B619" s="7">
        <v>35401418.175</v>
      </c>
      <c r="C619" s="8">
        <v>907.26</v>
      </c>
      <c r="D619" s="11">
        <v>45117</v>
      </c>
      <c r="E619" s="21"/>
    </row>
    <row r="620" ht="16.5" spans="1:5">
      <c r="A620" s="7">
        <v>3045084.549</v>
      </c>
      <c r="B620" s="7">
        <v>35401418.175</v>
      </c>
      <c r="C620" s="8">
        <v>907.26</v>
      </c>
      <c r="D620" s="11">
        <v>45118</v>
      </c>
      <c r="E620" s="21"/>
    </row>
    <row r="621" ht="16.5" spans="1:5">
      <c r="A621" s="7">
        <v>3045084.549</v>
      </c>
      <c r="B621" s="7">
        <v>35401418.175</v>
      </c>
      <c r="C621" s="8">
        <v>907.26</v>
      </c>
      <c r="D621" s="11">
        <v>45119</v>
      </c>
      <c r="E621" s="21"/>
    </row>
    <row r="622" ht="16.5" spans="1:5">
      <c r="A622" s="7">
        <v>3045084.549</v>
      </c>
      <c r="B622" s="7">
        <v>35401418.175</v>
      </c>
      <c r="C622" s="8">
        <v>907.26</v>
      </c>
      <c r="D622" s="11">
        <v>45120</v>
      </c>
      <c r="E622" s="21"/>
    </row>
    <row r="623" ht="16.5" spans="1:5">
      <c r="A623" s="7">
        <v>3045084.549</v>
      </c>
      <c r="B623" s="7">
        <v>35401418.175</v>
      </c>
      <c r="C623" s="8">
        <v>907.26</v>
      </c>
      <c r="D623" s="11">
        <v>45121</v>
      </c>
      <c r="E623" s="21"/>
    </row>
    <row r="624" ht="16.5" spans="1:5">
      <c r="A624" s="7">
        <v>3045084.549</v>
      </c>
      <c r="B624" s="7">
        <v>35401418.175</v>
      </c>
      <c r="C624" s="8">
        <v>907.26</v>
      </c>
      <c r="D624" s="11">
        <v>45122</v>
      </c>
      <c r="E624" s="21"/>
    </row>
    <row r="625" ht="16.5" spans="1:5">
      <c r="A625" s="7">
        <v>3045084.549</v>
      </c>
      <c r="B625" s="7">
        <v>35401418.175</v>
      </c>
      <c r="C625" s="8">
        <v>907.26</v>
      </c>
      <c r="D625" s="11">
        <v>45123</v>
      </c>
      <c r="E625" s="21"/>
    </row>
    <row r="626" ht="16.5" spans="1:5">
      <c r="A626" s="7">
        <v>3045084.549</v>
      </c>
      <c r="B626" s="7">
        <v>35401418.175</v>
      </c>
      <c r="C626" s="8">
        <v>907.26</v>
      </c>
      <c r="D626" s="11">
        <v>45124</v>
      </c>
      <c r="E626" s="21"/>
    </row>
    <row r="627" ht="16.5" spans="1:5">
      <c r="A627" s="7">
        <v>3045084.549</v>
      </c>
      <c r="B627" s="7">
        <v>35401418.175</v>
      </c>
      <c r="C627" s="8">
        <v>907.26</v>
      </c>
      <c r="D627" s="11">
        <v>45125</v>
      </c>
      <c r="E627" s="22"/>
    </row>
    <row r="628" ht="16.5" spans="1:5">
      <c r="A628" s="7">
        <v>3045084.549</v>
      </c>
      <c r="B628" s="7">
        <v>35401418.175</v>
      </c>
      <c r="C628" s="8">
        <v>907.26</v>
      </c>
      <c r="D628" s="11">
        <v>45126</v>
      </c>
      <c r="E628" s="22"/>
    </row>
    <row r="629" ht="16.5" spans="1:5">
      <c r="A629" s="7">
        <v>3045084.549</v>
      </c>
      <c r="B629" s="7">
        <v>35401418.175</v>
      </c>
      <c r="C629" s="8">
        <v>907.26</v>
      </c>
      <c r="D629" s="11">
        <v>45127</v>
      </c>
      <c r="E629" s="22"/>
    </row>
    <row r="630" ht="16.5" spans="1:5">
      <c r="A630" s="7">
        <v>3045084.549</v>
      </c>
      <c r="B630" s="7">
        <v>35401418.175</v>
      </c>
      <c r="C630" s="8">
        <v>907.26</v>
      </c>
      <c r="D630" s="11">
        <v>45128</v>
      </c>
      <c r="E630" s="22"/>
    </row>
    <row r="631" ht="16.5" spans="1:5">
      <c r="A631" s="7">
        <v>3045084.549</v>
      </c>
      <c r="B631" s="7">
        <v>35401418.175</v>
      </c>
      <c r="C631" s="8">
        <v>907.26</v>
      </c>
      <c r="D631" s="11">
        <v>45129</v>
      </c>
      <c r="E631" s="22"/>
    </row>
    <row r="632" ht="16.5" spans="1:5">
      <c r="A632" s="7">
        <v>3045084.549</v>
      </c>
      <c r="B632" s="7">
        <v>35401418.175</v>
      </c>
      <c r="C632" s="8">
        <v>907.26</v>
      </c>
      <c r="D632" s="11">
        <v>45130</v>
      </c>
      <c r="E632" s="22"/>
    </row>
    <row r="633" ht="16.5" spans="1:5">
      <c r="A633" s="7">
        <v>3045084.549</v>
      </c>
      <c r="B633" s="7">
        <v>35401418.175</v>
      </c>
      <c r="C633" s="8">
        <v>907.26</v>
      </c>
      <c r="D633" s="11">
        <v>45131</v>
      </c>
      <c r="E633" s="22"/>
    </row>
    <row r="634" ht="16.5" spans="1:5">
      <c r="A634" s="7">
        <v>3045084.549</v>
      </c>
      <c r="B634" s="7">
        <v>35401418.175</v>
      </c>
      <c r="C634" s="8">
        <v>907.26</v>
      </c>
      <c r="D634" s="11">
        <v>45132</v>
      </c>
      <c r="E634" s="21"/>
    </row>
    <row r="635" ht="16.5" spans="1:5">
      <c r="A635" s="7">
        <v>3045084.549</v>
      </c>
      <c r="B635" s="7">
        <v>35401418.175</v>
      </c>
      <c r="C635" s="8">
        <v>907.26</v>
      </c>
      <c r="D635" s="11">
        <v>45133</v>
      </c>
      <c r="E635" s="21"/>
    </row>
    <row r="636" ht="16.5" spans="1:5">
      <c r="A636" s="7">
        <v>3045084.549</v>
      </c>
      <c r="B636" s="7">
        <v>35401418.175</v>
      </c>
      <c r="C636" s="8">
        <v>907.26</v>
      </c>
      <c r="D636" s="11">
        <v>45134</v>
      </c>
      <c r="E636" s="21"/>
    </row>
    <row r="637" ht="16.5" spans="1:5">
      <c r="A637" s="7">
        <v>3045084.549</v>
      </c>
      <c r="B637" s="7">
        <v>35401418.175</v>
      </c>
      <c r="C637" s="8">
        <v>907.26</v>
      </c>
      <c r="D637" s="11">
        <v>45135</v>
      </c>
      <c r="E637" s="21"/>
    </row>
    <row r="638" ht="16.5" spans="1:5">
      <c r="A638" s="7">
        <v>3045084.549</v>
      </c>
      <c r="B638" s="7">
        <v>35401418.175</v>
      </c>
      <c r="C638" s="8">
        <v>907.26</v>
      </c>
      <c r="D638" s="11">
        <v>45136</v>
      </c>
      <c r="E638" s="21"/>
    </row>
    <row r="639" ht="16.5" spans="1:5">
      <c r="A639" s="7">
        <v>3045084.549</v>
      </c>
      <c r="B639" s="7">
        <v>35401418.175</v>
      </c>
      <c r="C639" s="8">
        <v>907.26</v>
      </c>
      <c r="D639" s="11">
        <v>45137</v>
      </c>
      <c r="E639" s="21"/>
    </row>
    <row r="640" ht="16.5" spans="1:5">
      <c r="A640" s="7">
        <v>3045084.549</v>
      </c>
      <c r="B640" s="7">
        <v>35401418.175</v>
      </c>
      <c r="C640" s="8">
        <v>907.26</v>
      </c>
      <c r="D640" s="11">
        <v>45138</v>
      </c>
      <c r="E640" s="21">
        <v>746</v>
      </c>
    </row>
    <row r="641" ht="16.5" spans="1:5">
      <c r="A641" s="7">
        <v>3045084.549</v>
      </c>
      <c r="B641" s="7">
        <v>35401418.175</v>
      </c>
      <c r="C641" s="8">
        <v>907.26</v>
      </c>
      <c r="D641" s="11">
        <v>45139</v>
      </c>
      <c r="E641" s="21">
        <v>745.47</v>
      </c>
    </row>
    <row r="642" ht="16.5" spans="1:5">
      <c r="A642" s="7">
        <v>3045084.549</v>
      </c>
      <c r="B642" s="7">
        <v>35401418.175</v>
      </c>
      <c r="C642" s="8">
        <v>907.26</v>
      </c>
      <c r="D642" s="11">
        <v>45140</v>
      </c>
      <c r="E642" s="21">
        <v>745.11</v>
      </c>
    </row>
    <row r="643" ht="16.5" spans="1:5">
      <c r="A643" s="7">
        <v>3045084.549</v>
      </c>
      <c r="B643" s="7">
        <v>35401418.175</v>
      </c>
      <c r="C643" s="8">
        <v>907.26</v>
      </c>
      <c r="D643" s="11">
        <v>45141</v>
      </c>
      <c r="E643" s="21">
        <v>744.79</v>
      </c>
    </row>
    <row r="644" ht="16.5" spans="1:5">
      <c r="A644" s="7">
        <v>3045084.549</v>
      </c>
      <c r="B644" s="7">
        <v>35401418.175</v>
      </c>
      <c r="C644" s="8">
        <v>907.26</v>
      </c>
      <c r="D644" s="11">
        <v>45142</v>
      </c>
      <c r="E644" s="21">
        <v>744.38</v>
      </c>
    </row>
    <row r="645" ht="16.5" spans="1:5">
      <c r="A645" s="7">
        <v>3045084.549</v>
      </c>
      <c r="B645" s="7">
        <v>35401418.175</v>
      </c>
      <c r="C645" s="8">
        <v>907.26</v>
      </c>
      <c r="D645" s="11">
        <v>45143</v>
      </c>
      <c r="E645" s="21">
        <v>744.07</v>
      </c>
    </row>
    <row r="646" ht="16.5" spans="1:5">
      <c r="A646" s="7">
        <v>3045084.549</v>
      </c>
      <c r="B646" s="7">
        <v>35401418.175</v>
      </c>
      <c r="C646" s="8">
        <v>907.26</v>
      </c>
      <c r="D646" s="11">
        <v>45144</v>
      </c>
      <c r="E646" s="21">
        <v>743.75</v>
      </c>
    </row>
    <row r="647" ht="16.5" spans="1:5">
      <c r="A647" s="7">
        <v>3045084.549</v>
      </c>
      <c r="B647" s="7">
        <v>35401418.175</v>
      </c>
      <c r="C647" s="8">
        <v>907.26</v>
      </c>
      <c r="D647" s="11">
        <v>45145</v>
      </c>
      <c r="E647" s="21">
        <v>743.63</v>
      </c>
    </row>
    <row r="648" ht="16.5" spans="1:5">
      <c r="A648" s="7">
        <v>3045084.549</v>
      </c>
      <c r="B648" s="7">
        <v>35401418.175</v>
      </c>
      <c r="C648" s="8">
        <v>907.26</v>
      </c>
      <c r="D648" s="11">
        <v>45146</v>
      </c>
      <c r="E648" s="21">
        <v>743.24</v>
      </c>
    </row>
    <row r="649" ht="16.5" spans="1:5">
      <c r="A649" s="7">
        <v>3045084.549</v>
      </c>
      <c r="B649" s="7">
        <v>35401418.175</v>
      </c>
      <c r="C649" s="8">
        <v>907.26</v>
      </c>
      <c r="D649" s="11">
        <v>45147</v>
      </c>
      <c r="E649" s="21">
        <v>742.85</v>
      </c>
    </row>
    <row r="650" ht="16.5" spans="1:5">
      <c r="A650" s="7">
        <v>3045084.549</v>
      </c>
      <c r="B650" s="7">
        <v>35401418.175</v>
      </c>
      <c r="C650" s="8">
        <v>907.26</v>
      </c>
      <c r="D650" s="11">
        <v>45148</v>
      </c>
      <c r="E650" s="21">
        <v>742.35</v>
      </c>
    </row>
    <row r="651" ht="16.5" spans="1:5">
      <c r="A651" s="7">
        <v>3045084.549</v>
      </c>
      <c r="B651" s="7">
        <v>35401418.175</v>
      </c>
      <c r="C651" s="8">
        <v>907.26</v>
      </c>
      <c r="D651" s="11">
        <v>45149</v>
      </c>
      <c r="E651" s="21">
        <v>742</v>
      </c>
    </row>
    <row r="652" ht="16.5" spans="1:5">
      <c r="A652" s="7">
        <v>3045084.549</v>
      </c>
      <c r="B652" s="7">
        <v>35401418.175</v>
      </c>
      <c r="C652" s="8">
        <v>907.26</v>
      </c>
      <c r="D652" s="11">
        <v>45150</v>
      </c>
      <c r="E652" s="21">
        <v>741.91</v>
      </c>
    </row>
    <row r="653" ht="16.5" spans="1:5">
      <c r="A653" s="7">
        <v>3045084.549</v>
      </c>
      <c r="B653" s="7">
        <v>35401418.175</v>
      </c>
      <c r="C653" s="8">
        <v>907.26</v>
      </c>
      <c r="D653" s="11">
        <v>45151</v>
      </c>
      <c r="E653" s="21">
        <v>741.7</v>
      </c>
    </row>
    <row r="654" ht="16.5" spans="1:5">
      <c r="A654" s="7">
        <v>3045084.549</v>
      </c>
      <c r="B654" s="7">
        <v>35401418.175</v>
      </c>
      <c r="C654" s="8">
        <v>907.26</v>
      </c>
      <c r="D654" s="11">
        <v>45152</v>
      </c>
      <c r="E654" s="21">
        <v>741.6</v>
      </c>
    </row>
    <row r="655" ht="16.5" spans="1:5">
      <c r="A655" s="7">
        <v>3045084.549</v>
      </c>
      <c r="B655" s="7">
        <v>35401418.175</v>
      </c>
      <c r="C655" s="8">
        <v>907.26</v>
      </c>
      <c r="D655" s="11">
        <v>45153</v>
      </c>
      <c r="E655" s="21">
        <v>741.36</v>
      </c>
    </row>
    <row r="656" ht="16.5" spans="1:5">
      <c r="A656" s="7">
        <v>3045084.549</v>
      </c>
      <c r="B656" s="7">
        <v>35401418.175</v>
      </c>
      <c r="C656" s="8">
        <v>907.26</v>
      </c>
      <c r="D656" s="11">
        <v>45154</v>
      </c>
      <c r="E656" s="21">
        <v>741.07</v>
      </c>
    </row>
    <row r="657" ht="16.5" spans="1:5">
      <c r="A657" s="7">
        <v>3045084.549</v>
      </c>
      <c r="B657" s="7">
        <v>35401418.175</v>
      </c>
      <c r="C657" s="8">
        <v>907.26</v>
      </c>
      <c r="D657" s="11">
        <v>45155</v>
      </c>
      <c r="E657" s="21">
        <v>740.96</v>
      </c>
    </row>
    <row r="658" ht="16.5" spans="1:5">
      <c r="A658" s="7">
        <v>3045084.549</v>
      </c>
      <c r="B658" s="7">
        <v>35401418.175</v>
      </c>
      <c r="C658" s="8">
        <v>907.26</v>
      </c>
      <c r="D658" s="11">
        <v>45156</v>
      </c>
      <c r="E658" s="21">
        <v>740.81</v>
      </c>
    </row>
    <row r="659" ht="16.5" spans="1:5">
      <c r="A659" s="7">
        <v>3045084.549</v>
      </c>
      <c r="B659" s="7">
        <v>35401418.175</v>
      </c>
      <c r="C659" s="8">
        <v>907.26</v>
      </c>
      <c r="D659" s="11">
        <v>45157</v>
      </c>
      <c r="E659" s="21">
        <v>740.59</v>
      </c>
    </row>
    <row r="660" ht="16.5" spans="1:5">
      <c r="A660" s="7">
        <v>3045084.549</v>
      </c>
      <c r="B660" s="7">
        <v>35401418.175</v>
      </c>
      <c r="C660" s="8">
        <v>907.26</v>
      </c>
      <c r="D660" s="11">
        <v>45158</v>
      </c>
      <c r="E660" s="21">
        <v>740.32</v>
      </c>
    </row>
    <row r="661" ht="16.5" spans="1:5">
      <c r="A661" s="7">
        <v>3045084.549</v>
      </c>
      <c r="B661" s="7">
        <v>35401418.175</v>
      </c>
      <c r="C661" s="8">
        <v>907.26</v>
      </c>
      <c r="D661" s="11">
        <v>45159</v>
      </c>
      <c r="E661" s="21">
        <v>740.24</v>
      </c>
    </row>
    <row r="662" ht="16.5" spans="1:5">
      <c r="A662" s="7">
        <v>3045084.549</v>
      </c>
      <c r="B662" s="7">
        <v>35401418.175</v>
      </c>
      <c r="C662" s="8">
        <v>907.26</v>
      </c>
      <c r="D662" s="11">
        <v>45160</v>
      </c>
      <c r="E662" s="21">
        <v>740.29</v>
      </c>
    </row>
    <row r="663" ht="16.5" spans="1:5">
      <c r="A663" s="7">
        <v>3045084.549</v>
      </c>
      <c r="B663" s="7">
        <v>35401418.175</v>
      </c>
      <c r="C663" s="8">
        <v>907.26</v>
      </c>
      <c r="D663" s="11">
        <v>45161</v>
      </c>
      <c r="E663" s="21">
        <v>740.11</v>
      </c>
    </row>
    <row r="664" ht="16.5" spans="1:5">
      <c r="A664" s="7">
        <v>3045084.549</v>
      </c>
      <c r="B664" s="7">
        <v>35401418.175</v>
      </c>
      <c r="C664" s="8">
        <v>907.26</v>
      </c>
      <c r="D664" s="11">
        <v>45162</v>
      </c>
      <c r="E664" s="21">
        <v>739.88</v>
      </c>
    </row>
    <row r="665" ht="16.5" spans="1:5">
      <c r="A665" s="7">
        <v>3045084.549</v>
      </c>
      <c r="B665" s="7">
        <v>35401418.175</v>
      </c>
      <c r="C665" s="8">
        <v>907.26</v>
      </c>
      <c r="D665" s="11">
        <v>45163</v>
      </c>
      <c r="E665" s="21">
        <v>739.71</v>
      </c>
    </row>
    <row r="666" ht="16.5" spans="1:5">
      <c r="A666" s="7">
        <v>3045084.549</v>
      </c>
      <c r="B666" s="7">
        <v>35401418.175</v>
      </c>
      <c r="C666" s="8">
        <v>907.26</v>
      </c>
      <c r="D666" s="11">
        <v>45164</v>
      </c>
      <c r="E666" s="21">
        <v>739.72</v>
      </c>
    </row>
    <row r="667" ht="16.5" spans="1:5">
      <c r="A667" s="7">
        <v>3045084.549</v>
      </c>
      <c r="B667" s="7">
        <v>35401418.175</v>
      </c>
      <c r="C667" s="8">
        <v>907.26</v>
      </c>
      <c r="D667" s="11">
        <v>45165</v>
      </c>
      <c r="E667" s="21">
        <v>739.7</v>
      </c>
    </row>
    <row r="668" ht="16.5" spans="1:5">
      <c r="A668" s="7">
        <v>3045084.549</v>
      </c>
      <c r="B668" s="7">
        <v>35401418.175</v>
      </c>
      <c r="C668" s="8">
        <v>907.26</v>
      </c>
      <c r="D668" s="11">
        <v>45166</v>
      </c>
      <c r="E668" s="21">
        <v>739.78</v>
      </c>
    </row>
    <row r="669" ht="16.5" spans="1:5">
      <c r="A669" s="7">
        <v>3045084.549</v>
      </c>
      <c r="B669" s="7">
        <v>35401418.175</v>
      </c>
      <c r="C669" s="8">
        <v>907.26</v>
      </c>
      <c r="D669" s="11">
        <v>45167</v>
      </c>
      <c r="E669" s="21">
        <v>739.94</v>
      </c>
    </row>
    <row r="670" ht="16.5" spans="1:5">
      <c r="A670" s="7">
        <v>3045084.549</v>
      </c>
      <c r="B670" s="7">
        <v>35401418.175</v>
      </c>
      <c r="C670" s="8">
        <v>907.26</v>
      </c>
      <c r="D670" s="11">
        <v>45168</v>
      </c>
      <c r="E670" s="21">
        <v>740.07</v>
      </c>
    </row>
    <row r="671" ht="16.5" spans="1:5">
      <c r="A671" s="7">
        <v>3045084.549</v>
      </c>
      <c r="B671" s="7">
        <v>35401418.175</v>
      </c>
      <c r="C671" s="8">
        <v>907.26</v>
      </c>
      <c r="D671" s="11">
        <v>45169</v>
      </c>
      <c r="E671" s="21">
        <v>740.18</v>
      </c>
    </row>
    <row r="672" ht="16.5" spans="1:5">
      <c r="A672" s="7">
        <v>3045084.549</v>
      </c>
      <c r="B672" s="7">
        <v>35401418.175</v>
      </c>
      <c r="C672" s="8">
        <v>907.26</v>
      </c>
      <c r="D672" s="11">
        <v>45170</v>
      </c>
      <c r="E672" s="21">
        <v>740.26</v>
      </c>
    </row>
    <row r="673" ht="16.5" spans="1:5">
      <c r="A673" s="7">
        <v>3045084.549</v>
      </c>
      <c r="B673" s="7">
        <v>35401418.175</v>
      </c>
      <c r="C673" s="8">
        <v>907.26</v>
      </c>
      <c r="D673" s="11">
        <v>45171</v>
      </c>
      <c r="E673" s="21">
        <v>740.36</v>
      </c>
    </row>
    <row r="674" ht="16.5" spans="1:5">
      <c r="A674" s="7">
        <v>3045084.549</v>
      </c>
      <c r="B674" s="7">
        <v>35401418.175</v>
      </c>
      <c r="C674" s="8">
        <v>907.26</v>
      </c>
      <c r="D674" s="11">
        <v>45172</v>
      </c>
      <c r="E674" s="21">
        <v>740.3</v>
      </c>
    </row>
    <row r="675" ht="16.5" spans="1:5">
      <c r="A675" s="7">
        <v>3045084.549</v>
      </c>
      <c r="B675" s="7">
        <v>35401418.175</v>
      </c>
      <c r="C675" s="8">
        <v>907.26</v>
      </c>
      <c r="D675" s="11">
        <v>45173</v>
      </c>
      <c r="E675" s="21">
        <v>740.4</v>
      </c>
    </row>
    <row r="676" ht="16.5" spans="1:5">
      <c r="A676" s="7">
        <v>3045084.549</v>
      </c>
      <c r="B676" s="7">
        <v>35401418.175</v>
      </c>
      <c r="C676" s="8">
        <v>907.26</v>
      </c>
      <c r="D676" s="11">
        <v>45174</v>
      </c>
      <c r="E676" s="21">
        <v>740.39</v>
      </c>
    </row>
    <row r="677" ht="16.5" spans="1:5">
      <c r="A677" s="7">
        <v>3045084.549</v>
      </c>
      <c r="B677" s="7">
        <v>35401418.175</v>
      </c>
      <c r="C677" s="8">
        <v>907.26</v>
      </c>
      <c r="D677" s="11">
        <v>45175</v>
      </c>
      <c r="E677" s="21">
        <v>740.43</v>
      </c>
    </row>
    <row r="678" ht="16.5" spans="1:5">
      <c r="A678" s="7">
        <v>3045084.549</v>
      </c>
      <c r="B678" s="7">
        <v>35401418.175</v>
      </c>
      <c r="C678" s="8">
        <v>907.26</v>
      </c>
      <c r="D678" s="11">
        <v>45176</v>
      </c>
      <c r="E678" s="21">
        <v>740.65</v>
      </c>
    </row>
    <row r="679" ht="16.5" spans="1:5">
      <c r="A679" s="7">
        <v>3045084.549</v>
      </c>
      <c r="B679" s="7">
        <v>35401418.175</v>
      </c>
      <c r="C679" s="8">
        <v>907.26</v>
      </c>
      <c r="D679" s="11">
        <v>45177</v>
      </c>
      <c r="E679" s="21">
        <v>740.82</v>
      </c>
    </row>
    <row r="680" ht="16.5" spans="1:5">
      <c r="A680" s="7">
        <v>3045084.549</v>
      </c>
      <c r="B680" s="7">
        <v>35401418.175</v>
      </c>
      <c r="C680" s="8">
        <v>907.26</v>
      </c>
      <c r="D680" s="11">
        <v>45178</v>
      </c>
      <c r="E680" s="21">
        <v>740.9</v>
      </c>
    </row>
    <row r="681" ht="16.5" spans="1:5">
      <c r="A681" s="7">
        <v>3045084.549</v>
      </c>
      <c r="B681" s="7">
        <v>35401418.175</v>
      </c>
      <c r="C681" s="8">
        <v>907.26</v>
      </c>
      <c r="D681" s="11">
        <v>45179</v>
      </c>
      <c r="E681" s="21">
        <v>740.86</v>
      </c>
    </row>
    <row r="682" ht="16.5" spans="1:5">
      <c r="A682" s="7">
        <v>3045084.549</v>
      </c>
      <c r="B682" s="7">
        <v>35401418.175</v>
      </c>
      <c r="C682" s="8">
        <v>907.26</v>
      </c>
      <c r="D682" s="11">
        <v>45180</v>
      </c>
      <c r="E682" s="21">
        <v>740.849</v>
      </c>
    </row>
    <row r="683" ht="16.5" spans="1:5">
      <c r="A683" s="7">
        <v>3045084.549</v>
      </c>
      <c r="B683" s="7">
        <v>35401418.175</v>
      </c>
      <c r="C683" s="8">
        <v>907.26</v>
      </c>
      <c r="D683" s="11">
        <v>45181</v>
      </c>
      <c r="E683" s="21">
        <v>740.849</v>
      </c>
    </row>
    <row r="684" ht="16.5" spans="1:5">
      <c r="A684" s="7">
        <v>3045084.549</v>
      </c>
      <c r="B684" s="7">
        <v>35401418.175</v>
      </c>
      <c r="C684" s="8">
        <v>907.26</v>
      </c>
      <c r="D684" s="11">
        <v>45182</v>
      </c>
      <c r="E684" s="21">
        <v>740.917</v>
      </c>
    </row>
    <row r="685" ht="16.5" spans="1:5">
      <c r="A685" s="7">
        <v>3045084.549</v>
      </c>
      <c r="B685" s="7">
        <v>35401418.175</v>
      </c>
      <c r="C685" s="8">
        <v>907.26</v>
      </c>
      <c r="D685" s="11">
        <v>45183</v>
      </c>
      <c r="E685" s="21">
        <v>741.046</v>
      </c>
    </row>
    <row r="686" ht="16.5" spans="1:5">
      <c r="A686" s="7">
        <v>3045084.549</v>
      </c>
      <c r="B686" s="7">
        <v>35401418.175</v>
      </c>
      <c r="C686" s="8">
        <v>907.26</v>
      </c>
      <c r="D686" s="11">
        <v>45184</v>
      </c>
      <c r="E686" s="21">
        <v>740.857</v>
      </c>
    </row>
    <row r="687" ht="16.5" spans="1:5">
      <c r="A687" s="7">
        <v>3045084.549</v>
      </c>
      <c r="B687" s="7">
        <v>35401418.175</v>
      </c>
      <c r="C687" s="8">
        <v>907.26</v>
      </c>
      <c r="D687" s="11">
        <v>45185</v>
      </c>
      <c r="E687" s="21">
        <v>740.697</v>
      </c>
    </row>
    <row r="688" ht="16.5" spans="1:5">
      <c r="A688" s="7">
        <v>3045084.549</v>
      </c>
      <c r="B688" s="7">
        <v>35401418.175</v>
      </c>
      <c r="C688" s="8">
        <v>907.26</v>
      </c>
      <c r="D688" s="11">
        <v>45186</v>
      </c>
      <c r="E688" s="21">
        <v>740.527</v>
      </c>
    </row>
    <row r="689" ht="16.5" spans="1:5">
      <c r="A689" s="7">
        <v>3045084.549</v>
      </c>
      <c r="B689" s="7">
        <v>35401418.175</v>
      </c>
      <c r="C689" s="8">
        <v>907.26</v>
      </c>
      <c r="D689" s="11">
        <v>45187</v>
      </c>
      <c r="E689" s="21">
        <v>740.5</v>
      </c>
    </row>
    <row r="690" ht="16.5" spans="1:5">
      <c r="A690" s="7">
        <v>3045084.549</v>
      </c>
      <c r="B690" s="7">
        <v>35401418.175</v>
      </c>
      <c r="C690" s="8">
        <v>907.26</v>
      </c>
      <c r="D690" s="11">
        <v>45188</v>
      </c>
      <c r="E690" s="21">
        <v>740.21</v>
      </c>
    </row>
    <row r="691" ht="16.5" spans="1:5">
      <c r="A691" s="7">
        <v>3045084.549</v>
      </c>
      <c r="B691" s="7">
        <v>35401418.175</v>
      </c>
      <c r="C691" s="8">
        <v>907.26</v>
      </c>
      <c r="D691" s="11">
        <v>45189</v>
      </c>
      <c r="E691" s="21">
        <v>740.12</v>
      </c>
    </row>
    <row r="692" ht="16.5" spans="1:5">
      <c r="A692" s="7">
        <v>3045084.549</v>
      </c>
      <c r="B692" s="7">
        <v>35401418.175</v>
      </c>
      <c r="C692" s="8">
        <v>907.26</v>
      </c>
      <c r="D692" s="11">
        <v>45190</v>
      </c>
      <c r="E692" s="21">
        <v>740.16</v>
      </c>
    </row>
    <row r="693" ht="16.5" spans="1:5">
      <c r="A693" s="7">
        <v>3045084.549</v>
      </c>
      <c r="B693" s="7">
        <v>35401418.175</v>
      </c>
      <c r="C693" s="8">
        <v>907.26</v>
      </c>
      <c r="D693" s="11">
        <v>45191</v>
      </c>
      <c r="E693" s="21">
        <v>740.12</v>
      </c>
    </row>
    <row r="694" ht="16.5" spans="1:5">
      <c r="A694" s="7">
        <v>3045084.549</v>
      </c>
      <c r="B694" s="7">
        <v>35401418.175</v>
      </c>
      <c r="C694" s="8">
        <v>907.26</v>
      </c>
      <c r="D694" s="11">
        <v>45192</v>
      </c>
      <c r="E694" s="21">
        <v>739.99</v>
      </c>
    </row>
    <row r="695" ht="16.5" spans="1:5">
      <c r="A695" s="7">
        <v>3045084.549</v>
      </c>
      <c r="B695" s="7">
        <v>35401418.175</v>
      </c>
      <c r="C695" s="8">
        <v>907.26</v>
      </c>
      <c r="D695" s="11">
        <v>45193</v>
      </c>
      <c r="E695" s="21">
        <v>739.95</v>
      </c>
    </row>
    <row r="696" ht="16.5" spans="1:5">
      <c r="A696" s="7">
        <v>3045084.549</v>
      </c>
      <c r="B696" s="7">
        <v>35401418.175</v>
      </c>
      <c r="C696" s="8">
        <v>907.26</v>
      </c>
      <c r="D696" s="11">
        <v>45194</v>
      </c>
      <c r="E696" s="21">
        <v>740.002</v>
      </c>
    </row>
    <row r="697" ht="16.5" spans="1:5">
      <c r="A697" s="7">
        <v>3045084.549</v>
      </c>
      <c r="B697" s="7">
        <v>35401418.175</v>
      </c>
      <c r="C697" s="8">
        <v>907.26</v>
      </c>
      <c r="D697" s="11">
        <v>45195</v>
      </c>
      <c r="E697" s="21">
        <v>740.008</v>
      </c>
    </row>
    <row r="698" ht="16.5" spans="1:5">
      <c r="A698" s="7">
        <v>3045084.549</v>
      </c>
      <c r="B698" s="7">
        <v>35401418.175</v>
      </c>
      <c r="C698" s="8">
        <v>907.26</v>
      </c>
      <c r="D698" s="11">
        <v>45196</v>
      </c>
      <c r="E698" s="21">
        <v>739.991</v>
      </c>
    </row>
    <row r="699" ht="16.5" spans="1:5">
      <c r="A699" s="7">
        <v>3045084.549</v>
      </c>
      <c r="B699" s="7">
        <v>35401418.175</v>
      </c>
      <c r="C699" s="8">
        <v>907.26</v>
      </c>
      <c r="D699" s="11">
        <v>45197</v>
      </c>
      <c r="E699" s="21">
        <v>740.206</v>
      </c>
    </row>
    <row r="700" ht="16.5" spans="1:5">
      <c r="A700" s="7">
        <v>3045084.549</v>
      </c>
      <c r="B700" s="7">
        <v>35401418.175</v>
      </c>
      <c r="C700" s="8">
        <v>907.26</v>
      </c>
      <c r="D700" s="11">
        <v>45198</v>
      </c>
      <c r="E700" s="21">
        <v>740.336</v>
      </c>
    </row>
    <row r="701" ht="16.5" spans="1:5">
      <c r="A701" s="7">
        <v>3045084.549</v>
      </c>
      <c r="B701" s="7">
        <v>35401418.175</v>
      </c>
      <c r="C701" s="8">
        <v>907.26</v>
      </c>
      <c r="D701" s="11">
        <v>45199</v>
      </c>
      <c r="E701" s="21">
        <v>740.43</v>
      </c>
    </row>
    <row r="702" ht="16.5" spans="1:5">
      <c r="A702" s="7">
        <v>3045084.549</v>
      </c>
      <c r="B702" s="7">
        <v>35401418.175</v>
      </c>
      <c r="C702" s="8">
        <v>907.26</v>
      </c>
      <c r="D702" s="11">
        <v>45200</v>
      </c>
      <c r="E702" s="21">
        <v>740.617</v>
      </c>
    </row>
    <row r="703" ht="16.5" spans="1:5">
      <c r="A703" s="7">
        <v>3045084.549</v>
      </c>
      <c r="B703" s="7">
        <v>35401418.175</v>
      </c>
      <c r="C703" s="8">
        <v>907.26</v>
      </c>
      <c r="D703" s="11">
        <v>45201</v>
      </c>
      <c r="E703" s="21">
        <v>740.745</v>
      </c>
    </row>
    <row r="704" ht="16.5" spans="1:5">
      <c r="A704" s="7">
        <v>3045084.549</v>
      </c>
      <c r="B704" s="7">
        <v>35401418.175</v>
      </c>
      <c r="C704" s="8">
        <v>907.26</v>
      </c>
      <c r="D704" s="11">
        <v>45202</v>
      </c>
      <c r="E704" s="21">
        <v>740.783</v>
      </c>
    </row>
    <row r="705" ht="16.5" spans="1:5">
      <c r="A705" s="7">
        <v>3045084.549</v>
      </c>
      <c r="B705" s="7">
        <v>35401418.175</v>
      </c>
      <c r="C705" s="8">
        <v>907.26</v>
      </c>
      <c r="D705" s="11">
        <v>45203</v>
      </c>
      <c r="E705" s="21">
        <v>740.889</v>
      </c>
    </row>
    <row r="706" ht="16.5" spans="1:5">
      <c r="A706" s="7">
        <v>3045084.549</v>
      </c>
      <c r="B706" s="7">
        <v>35401418.175</v>
      </c>
      <c r="C706" s="8">
        <v>907.26</v>
      </c>
      <c r="D706" s="11">
        <v>45204</v>
      </c>
      <c r="E706" s="21">
        <v>740.907</v>
      </c>
    </row>
    <row r="707" ht="16.5" spans="1:5">
      <c r="A707" s="7">
        <v>3045084.549</v>
      </c>
      <c r="B707" s="7">
        <v>35401418.175</v>
      </c>
      <c r="C707" s="8">
        <v>907.26</v>
      </c>
      <c r="D707" s="11">
        <v>45205</v>
      </c>
      <c r="E707" s="21">
        <v>740.73</v>
      </c>
    </row>
    <row r="708" ht="16.5" spans="1:5">
      <c r="A708" s="7">
        <v>3045084.549</v>
      </c>
      <c r="B708" s="7">
        <v>35401418.175</v>
      </c>
      <c r="C708" s="8">
        <v>907.26</v>
      </c>
      <c r="D708" s="11">
        <v>45206</v>
      </c>
      <c r="E708" s="21">
        <v>740.416</v>
      </c>
    </row>
    <row r="709" ht="16.5" spans="1:5">
      <c r="A709" s="7">
        <v>3045084.549</v>
      </c>
      <c r="B709" s="7">
        <v>35401418.175</v>
      </c>
      <c r="C709" s="8">
        <v>907.26</v>
      </c>
      <c r="D709" s="11">
        <v>45207</v>
      </c>
      <c r="E709" s="21">
        <v>740.425</v>
      </c>
    </row>
    <row r="710" ht="16.5" spans="1:5">
      <c r="A710" s="7">
        <v>3045084.549</v>
      </c>
      <c r="B710" s="7">
        <v>35401418.175</v>
      </c>
      <c r="C710" s="8">
        <v>907.26</v>
      </c>
      <c r="D710" s="11">
        <v>45208</v>
      </c>
      <c r="E710" s="22"/>
    </row>
    <row r="711" ht="16.5" spans="1:5">
      <c r="A711" s="7">
        <v>3045084.549</v>
      </c>
      <c r="B711" s="7">
        <v>35401418.175</v>
      </c>
      <c r="C711" s="8">
        <v>907.26</v>
      </c>
      <c r="D711" s="11">
        <v>45209</v>
      </c>
      <c r="E711" s="21">
        <v>740.626</v>
      </c>
    </row>
    <row r="712" ht="16.5" spans="1:5">
      <c r="A712" s="7">
        <v>3045084.549</v>
      </c>
      <c r="B712" s="7">
        <v>35401418.175</v>
      </c>
      <c r="C712" s="8">
        <v>907.26</v>
      </c>
      <c r="D712" s="11">
        <v>45210</v>
      </c>
      <c r="E712" s="21">
        <v>740.61</v>
      </c>
    </row>
    <row r="713" ht="16.5" spans="1:5">
      <c r="A713" s="7">
        <v>3045084.549</v>
      </c>
      <c r="B713" s="7">
        <v>35401418.175</v>
      </c>
      <c r="C713" s="8">
        <v>907.26</v>
      </c>
      <c r="D713" s="11">
        <v>45211</v>
      </c>
      <c r="E713" s="21">
        <v>740.711</v>
      </c>
    </row>
    <row r="714" ht="16.5" spans="1:5">
      <c r="A714" s="7">
        <v>3045084.549</v>
      </c>
      <c r="B714" s="7">
        <v>35401418.175</v>
      </c>
      <c r="C714" s="8">
        <v>907.26</v>
      </c>
      <c r="D714" s="11">
        <v>45212</v>
      </c>
      <c r="E714" s="21">
        <v>740.776</v>
      </c>
    </row>
    <row r="715" ht="16.5" spans="1:5">
      <c r="A715" s="7">
        <v>3045084.549</v>
      </c>
      <c r="B715" s="7">
        <v>35401418.175</v>
      </c>
      <c r="C715" s="8">
        <v>907.26</v>
      </c>
      <c r="D715" s="11">
        <v>45213</v>
      </c>
      <c r="E715" s="25">
        <v>740.846</v>
      </c>
    </row>
    <row r="716" ht="16.5" spans="1:5">
      <c r="A716" s="7">
        <v>3045084.549</v>
      </c>
      <c r="B716" s="7">
        <v>35401418.175</v>
      </c>
      <c r="C716" s="8">
        <v>907.26</v>
      </c>
      <c r="D716" s="11">
        <v>45214</v>
      </c>
      <c r="E716" s="21">
        <v>740.932</v>
      </c>
    </row>
    <row r="717" ht="16.5" spans="1:5">
      <c r="A717" s="7">
        <v>3045084.549</v>
      </c>
      <c r="B717" s="7">
        <v>35401418.175</v>
      </c>
      <c r="C717" s="8">
        <v>907.26</v>
      </c>
      <c r="D717" s="11">
        <v>45215</v>
      </c>
      <c r="E717" s="21">
        <v>740.953</v>
      </c>
    </row>
    <row r="718" ht="16.5" spans="1:5">
      <c r="A718" s="7">
        <v>3045084.549</v>
      </c>
      <c r="B718" s="7">
        <v>35401418.175</v>
      </c>
      <c r="C718" s="8">
        <v>907.26</v>
      </c>
      <c r="D718" s="11">
        <v>45216</v>
      </c>
      <c r="E718" s="21">
        <v>741.039</v>
      </c>
    </row>
    <row r="719" ht="16.5" spans="1:5">
      <c r="A719" s="7">
        <v>3045084.549</v>
      </c>
      <c r="B719" s="7">
        <v>35401418.175</v>
      </c>
      <c r="C719" s="8">
        <v>907.26</v>
      </c>
      <c r="D719" s="11">
        <v>45217</v>
      </c>
      <c r="E719" s="21">
        <v>741.035</v>
      </c>
    </row>
    <row r="720" ht="16.5" spans="1:5">
      <c r="A720" s="7">
        <v>3045084.549</v>
      </c>
      <c r="B720" s="7">
        <v>35401418.175</v>
      </c>
      <c r="C720" s="8">
        <v>907.26</v>
      </c>
      <c r="D720" s="11">
        <v>45218</v>
      </c>
      <c r="E720" s="21">
        <v>740.976</v>
      </c>
    </row>
    <row r="721" ht="16.5" spans="1:5">
      <c r="A721" s="7">
        <v>3045084.549</v>
      </c>
      <c r="B721" s="7">
        <v>35401418.175</v>
      </c>
      <c r="C721" s="8">
        <v>907.26</v>
      </c>
      <c r="D721" s="11">
        <v>45219</v>
      </c>
      <c r="E721" s="21">
        <v>740.87</v>
      </c>
    </row>
    <row r="722" ht="16.5" spans="1:5">
      <c r="A722" s="7">
        <v>3045084.549</v>
      </c>
      <c r="B722" s="7">
        <v>35401418.175</v>
      </c>
      <c r="C722" s="8">
        <v>907.26</v>
      </c>
      <c r="D722" s="11">
        <v>45220</v>
      </c>
      <c r="E722" s="21">
        <v>740.862</v>
      </c>
    </row>
    <row r="723" ht="16.5" spans="1:5">
      <c r="A723" s="7">
        <v>3045084.549</v>
      </c>
      <c r="B723" s="7">
        <v>35401418.175</v>
      </c>
      <c r="C723" s="8">
        <v>907.26</v>
      </c>
      <c r="D723" s="11">
        <v>45221</v>
      </c>
      <c r="E723" s="21">
        <v>740.602</v>
      </c>
    </row>
    <row r="724" ht="16.5" spans="1:5">
      <c r="A724" s="7">
        <v>3045084.549</v>
      </c>
      <c r="B724" s="7">
        <v>35401418.175</v>
      </c>
      <c r="C724" s="8">
        <v>907.26</v>
      </c>
      <c r="D724" s="11">
        <v>45222</v>
      </c>
      <c r="E724" s="21">
        <v>740.364</v>
      </c>
    </row>
    <row r="725" ht="16.5" spans="1:5">
      <c r="A725" s="7">
        <v>3045084.549</v>
      </c>
      <c r="B725" s="7">
        <v>35401418.175</v>
      </c>
      <c r="C725" s="8">
        <v>907.26</v>
      </c>
      <c r="D725" s="11">
        <v>45223</v>
      </c>
      <c r="E725" s="21">
        <v>739.982</v>
      </c>
    </row>
    <row r="726" ht="16.5" spans="1:5">
      <c r="A726" s="7">
        <v>3045084.549</v>
      </c>
      <c r="B726" s="7">
        <v>35401418.175</v>
      </c>
      <c r="C726" s="8">
        <v>907.26</v>
      </c>
      <c r="D726" s="11">
        <v>45224</v>
      </c>
      <c r="E726" s="21">
        <v>739.697</v>
      </c>
    </row>
    <row r="727" ht="16.5" spans="1:5">
      <c r="A727" s="7">
        <v>3045084.549</v>
      </c>
      <c r="B727" s="7">
        <v>35401418.175</v>
      </c>
      <c r="C727" s="8">
        <v>907.26</v>
      </c>
      <c r="D727" s="11">
        <v>45225</v>
      </c>
      <c r="E727" s="21">
        <v>739.385</v>
      </c>
    </row>
    <row r="728" ht="16.5" spans="1:5">
      <c r="A728" s="7">
        <v>3045084.549</v>
      </c>
      <c r="B728" s="7">
        <v>35401418.175</v>
      </c>
      <c r="C728" s="8">
        <v>907.26</v>
      </c>
      <c r="D728" s="11">
        <v>45226</v>
      </c>
      <c r="E728" s="21">
        <v>739.324</v>
      </c>
    </row>
    <row r="729" ht="16.5" spans="1:5">
      <c r="A729" s="7">
        <v>3045084.549</v>
      </c>
      <c r="B729" s="7">
        <v>35401418.175</v>
      </c>
      <c r="C729" s="8">
        <v>907.26</v>
      </c>
      <c r="D729" s="11">
        <v>45227</v>
      </c>
      <c r="E729" s="21">
        <v>739.155</v>
      </c>
    </row>
    <row r="730" ht="16.5" spans="1:5">
      <c r="A730" s="7">
        <v>3045084.549</v>
      </c>
      <c r="B730" s="7">
        <v>35401418.175</v>
      </c>
      <c r="C730" s="8">
        <v>907.26</v>
      </c>
      <c r="D730" s="11">
        <v>45228</v>
      </c>
      <c r="E730" s="21">
        <v>738.967</v>
      </c>
    </row>
    <row r="731" ht="16.5" spans="1:5">
      <c r="A731" s="7">
        <v>3045084.549</v>
      </c>
      <c r="B731" s="7">
        <v>35401418.175</v>
      </c>
      <c r="C731" s="8">
        <v>907.26</v>
      </c>
      <c r="D731" s="11">
        <v>45229</v>
      </c>
      <c r="E731" s="22"/>
    </row>
    <row r="732" ht="16.5" spans="1:5">
      <c r="A732" s="7">
        <v>3045084.549</v>
      </c>
      <c r="B732" s="7">
        <v>35401418.175</v>
      </c>
      <c r="C732" s="8">
        <v>907.26</v>
      </c>
      <c r="D732" s="11">
        <v>45230</v>
      </c>
      <c r="E732" s="21">
        <v>738.772</v>
      </c>
    </row>
    <row r="733" ht="16.5" spans="1:5">
      <c r="A733" s="7">
        <v>3045084.549</v>
      </c>
      <c r="B733" s="7">
        <v>35401418.175</v>
      </c>
      <c r="C733" s="8">
        <v>907.26</v>
      </c>
      <c r="D733" s="11">
        <v>45231</v>
      </c>
      <c r="E733" s="21">
        <v>738.597</v>
      </c>
    </row>
    <row r="734" ht="16.5" spans="1:5">
      <c r="A734" s="7">
        <v>3045084.549</v>
      </c>
      <c r="B734" s="7">
        <v>35401418.175</v>
      </c>
      <c r="C734" s="8">
        <v>907.26</v>
      </c>
      <c r="D734" s="11">
        <v>45232</v>
      </c>
      <c r="E734" s="21">
        <v>738.243</v>
      </c>
    </row>
    <row r="735" ht="16.5" spans="1:5">
      <c r="A735" s="7">
        <v>3045084.549</v>
      </c>
      <c r="B735" s="7">
        <v>35401418.175</v>
      </c>
      <c r="C735" s="8">
        <v>907.26</v>
      </c>
      <c r="D735" s="11">
        <v>45233</v>
      </c>
      <c r="E735" s="21">
        <v>738.059</v>
      </c>
    </row>
    <row r="736" ht="16.5" spans="1:5">
      <c r="A736" s="7">
        <v>3045084.549</v>
      </c>
      <c r="B736" s="7">
        <v>35401418.175</v>
      </c>
      <c r="C736" s="8">
        <v>907.26</v>
      </c>
      <c r="D736" s="11">
        <v>45234</v>
      </c>
      <c r="E736" s="21"/>
    </row>
    <row r="737" ht="16.5" spans="1:5">
      <c r="A737" s="7">
        <v>3045084.549</v>
      </c>
      <c r="B737" s="7">
        <v>35401418.175</v>
      </c>
      <c r="C737" s="8">
        <v>907.26</v>
      </c>
      <c r="D737" s="11">
        <v>45235</v>
      </c>
      <c r="E737" s="21"/>
    </row>
    <row r="738" ht="16.5" spans="1:5">
      <c r="A738" s="7">
        <v>3045084.549</v>
      </c>
      <c r="B738" s="7">
        <v>35401418.175</v>
      </c>
      <c r="C738" s="8">
        <v>907.26</v>
      </c>
      <c r="D738" s="11">
        <v>45236</v>
      </c>
      <c r="E738" s="21"/>
    </row>
    <row r="739" ht="16.5" spans="1:5">
      <c r="A739" s="7">
        <v>3045084.549</v>
      </c>
      <c r="B739" s="7">
        <v>35401418.175</v>
      </c>
      <c r="C739" s="8">
        <v>907.26</v>
      </c>
      <c r="D739" s="11">
        <v>45237</v>
      </c>
      <c r="E739" s="21">
        <v>737.224</v>
      </c>
    </row>
    <row r="740" ht="16.5" spans="1:5">
      <c r="A740" s="7">
        <v>3045084.549</v>
      </c>
      <c r="B740" s="7">
        <v>35401418.175</v>
      </c>
      <c r="C740" s="8">
        <v>907.26</v>
      </c>
      <c r="D740" s="11">
        <v>45238</v>
      </c>
      <c r="E740" s="21">
        <v>736.981</v>
      </c>
    </row>
    <row r="741" ht="16.5" spans="1:5">
      <c r="A741" s="7">
        <v>3045084.549</v>
      </c>
      <c r="B741" s="7">
        <v>35401418.175</v>
      </c>
      <c r="C741" s="8">
        <v>907.26</v>
      </c>
      <c r="D741" s="11">
        <v>45239</v>
      </c>
      <c r="E741" s="21">
        <v>736.671</v>
      </c>
    </row>
    <row r="742" ht="16.5" spans="1:5">
      <c r="A742" s="7">
        <v>3045084.549</v>
      </c>
      <c r="B742" s="7">
        <v>35401418.175</v>
      </c>
      <c r="C742" s="8">
        <v>907.26</v>
      </c>
      <c r="D742" s="11">
        <v>45240</v>
      </c>
      <c r="E742" s="21">
        <v>736.382</v>
      </c>
    </row>
    <row r="743" ht="16.5" spans="1:5">
      <c r="A743" s="7">
        <v>3045084.549</v>
      </c>
      <c r="B743" s="7">
        <v>35401418.175</v>
      </c>
      <c r="C743" s="8">
        <v>907.26</v>
      </c>
      <c r="D743" s="11">
        <v>45241</v>
      </c>
      <c r="E743" s="21">
        <v>736.18</v>
      </c>
    </row>
    <row r="744" ht="16.5" spans="1:5">
      <c r="A744" s="7">
        <v>3045084.549</v>
      </c>
      <c r="B744" s="7">
        <v>35401418.175</v>
      </c>
      <c r="C744" s="8">
        <v>907.26</v>
      </c>
      <c r="D744" s="11">
        <v>45242</v>
      </c>
      <c r="E744" s="21"/>
    </row>
    <row r="745" ht="16.5" spans="1:5">
      <c r="A745" s="7">
        <v>3045084.549</v>
      </c>
      <c r="B745" s="7">
        <v>35401418.175</v>
      </c>
      <c r="C745" s="8">
        <v>907.26</v>
      </c>
      <c r="D745" s="11">
        <v>45243</v>
      </c>
      <c r="E745" s="21">
        <v>736.521</v>
      </c>
    </row>
    <row r="746" ht="16.5" spans="1:5">
      <c r="A746" s="7">
        <v>3045084.549</v>
      </c>
      <c r="B746" s="7">
        <v>35401418.175</v>
      </c>
      <c r="C746" s="8">
        <v>907.26</v>
      </c>
      <c r="D746" s="11">
        <v>45244</v>
      </c>
      <c r="E746" s="22"/>
    </row>
    <row r="747" ht="16.5" spans="1:5">
      <c r="A747" s="7">
        <v>3045084.549</v>
      </c>
      <c r="B747" s="7">
        <v>35401418.175</v>
      </c>
      <c r="C747" s="8">
        <v>907.26</v>
      </c>
      <c r="D747" s="11">
        <v>45245</v>
      </c>
      <c r="E747" s="22"/>
    </row>
    <row r="748" ht="16.5" spans="1:5">
      <c r="A748" s="7">
        <v>3045084.549</v>
      </c>
      <c r="B748" s="7">
        <v>35401418.175</v>
      </c>
      <c r="C748" s="8">
        <v>907.26</v>
      </c>
      <c r="D748" s="11">
        <v>45246</v>
      </c>
      <c r="E748" s="22"/>
    </row>
    <row r="749" ht="16.5" spans="1:5">
      <c r="A749" s="7">
        <v>3045084.549</v>
      </c>
      <c r="B749" s="7">
        <v>35401418.175</v>
      </c>
      <c r="C749" s="8">
        <v>907.26</v>
      </c>
      <c r="D749" s="11">
        <v>45247</v>
      </c>
      <c r="E749" s="22"/>
    </row>
    <row r="750" ht="16.5" spans="1:5">
      <c r="A750" s="7">
        <v>3045084.549</v>
      </c>
      <c r="B750" s="7">
        <v>35401418.175</v>
      </c>
      <c r="C750" s="8">
        <v>907.26</v>
      </c>
      <c r="D750" s="11">
        <v>45248</v>
      </c>
      <c r="E750" s="22"/>
    </row>
    <row r="751" ht="16.5" spans="1:5">
      <c r="A751" s="7">
        <v>3045084.549</v>
      </c>
      <c r="B751" s="7">
        <v>35401418.175</v>
      </c>
      <c r="C751" s="8">
        <v>907.26</v>
      </c>
      <c r="D751" s="11">
        <v>45249</v>
      </c>
      <c r="E751" s="21">
        <v>735.485</v>
      </c>
    </row>
    <row r="752" ht="16.5" spans="1:5">
      <c r="A752" s="7">
        <v>3045084.549</v>
      </c>
      <c r="B752" s="7">
        <v>35401418.175</v>
      </c>
      <c r="C752" s="8">
        <v>907.26</v>
      </c>
      <c r="D752" s="11">
        <v>45250</v>
      </c>
      <c r="E752" s="21">
        <v>735.314</v>
      </c>
    </row>
    <row r="753" ht="16.5" spans="1:5">
      <c r="A753" s="7">
        <v>3045084.549</v>
      </c>
      <c r="B753" s="7">
        <v>35401418.175</v>
      </c>
      <c r="C753" s="8">
        <v>907.26</v>
      </c>
      <c r="D753" s="11">
        <v>45251</v>
      </c>
      <c r="E753" s="21">
        <v>735.53</v>
      </c>
    </row>
    <row r="754" ht="16.5" spans="1:5">
      <c r="A754" s="7">
        <v>3045084.549</v>
      </c>
      <c r="B754" s="7">
        <v>35401418.175</v>
      </c>
      <c r="C754" s="8">
        <v>907.26</v>
      </c>
      <c r="D754" s="11">
        <v>45252</v>
      </c>
      <c r="E754" s="21">
        <v>735.432</v>
      </c>
    </row>
    <row r="755" ht="16.5" spans="1:5">
      <c r="A755" s="7">
        <v>3045084.549</v>
      </c>
      <c r="B755" s="7">
        <v>35401418.175</v>
      </c>
      <c r="C755" s="8">
        <v>907.26</v>
      </c>
      <c r="D755" s="11">
        <v>45253</v>
      </c>
      <c r="E755" s="21">
        <v>735.191</v>
      </c>
    </row>
    <row r="756" ht="16.5" spans="1:5">
      <c r="A756" s="7">
        <v>3045084.549</v>
      </c>
      <c r="B756" s="7">
        <v>35401418.175</v>
      </c>
      <c r="C756" s="8">
        <v>907.26</v>
      </c>
      <c r="D756" s="11">
        <v>45254</v>
      </c>
      <c r="E756" s="21">
        <v>735.264</v>
      </c>
    </row>
    <row r="757" ht="16.5" spans="1:5">
      <c r="A757" s="7">
        <v>3045084.549</v>
      </c>
      <c r="B757" s="7">
        <v>35401418.175</v>
      </c>
      <c r="C757" s="8">
        <v>907.26</v>
      </c>
      <c r="D757" s="11">
        <v>45255</v>
      </c>
      <c r="E757" s="21">
        <v>735.182</v>
      </c>
    </row>
    <row r="758" ht="16.5" spans="1:5">
      <c r="A758" s="7">
        <v>3045084.549</v>
      </c>
      <c r="B758" s="7">
        <v>35401418.175</v>
      </c>
      <c r="C758" s="8">
        <v>907.26</v>
      </c>
      <c r="D758" s="11">
        <v>45256</v>
      </c>
      <c r="E758" s="21">
        <v>735.218</v>
      </c>
    </row>
    <row r="759" ht="16.5" spans="1:5">
      <c r="A759" s="7">
        <v>3045084.549</v>
      </c>
      <c r="B759" s="7">
        <v>35401418.175</v>
      </c>
      <c r="C759" s="8">
        <v>907.26</v>
      </c>
      <c r="D759" s="11">
        <v>45257</v>
      </c>
      <c r="E759" s="21">
        <v>734.758</v>
      </c>
    </row>
    <row r="760" ht="16.5" spans="1:5">
      <c r="A760" s="7">
        <v>3045084.549</v>
      </c>
      <c r="B760" s="7">
        <v>35401418.175</v>
      </c>
      <c r="C760" s="8">
        <v>907.26</v>
      </c>
      <c r="D760" s="11">
        <v>45258</v>
      </c>
      <c r="E760" s="21">
        <v>734.51</v>
      </c>
    </row>
    <row r="761" ht="16.5" spans="1:5">
      <c r="A761" s="7">
        <v>3045084.549</v>
      </c>
      <c r="B761" s="7">
        <v>35401418.175</v>
      </c>
      <c r="C761" s="8">
        <v>907.26</v>
      </c>
      <c r="D761" s="11">
        <v>45259</v>
      </c>
      <c r="E761" s="21">
        <v>734.305</v>
      </c>
    </row>
    <row r="762" ht="16.5" spans="1:5">
      <c r="A762" s="7">
        <v>3045084.549</v>
      </c>
      <c r="B762" s="7">
        <v>35401418.175</v>
      </c>
      <c r="C762" s="8">
        <v>907.26</v>
      </c>
      <c r="D762" s="11">
        <v>45260</v>
      </c>
      <c r="E762" s="21">
        <v>733.958</v>
      </c>
    </row>
    <row r="763" ht="16.5" spans="1:5">
      <c r="A763" s="7">
        <v>3045084.549</v>
      </c>
      <c r="B763" s="7">
        <v>35401418.175</v>
      </c>
      <c r="C763" s="8">
        <v>907.26</v>
      </c>
      <c r="D763" s="11">
        <v>45261</v>
      </c>
      <c r="E763" s="21">
        <v>734.031</v>
      </c>
    </row>
    <row r="764" ht="16.5" spans="1:5">
      <c r="A764" s="7">
        <v>3045084.549</v>
      </c>
      <c r="B764" s="7">
        <v>35401418.175</v>
      </c>
      <c r="C764" s="8">
        <v>907.26</v>
      </c>
      <c r="D764" s="11">
        <v>45262</v>
      </c>
      <c r="E764" s="21">
        <v>733.864</v>
      </c>
    </row>
    <row r="765" ht="16.5" spans="1:5">
      <c r="A765" s="7">
        <v>3045084.549</v>
      </c>
      <c r="B765" s="7">
        <v>35401418.175</v>
      </c>
      <c r="C765" s="8">
        <v>907.26</v>
      </c>
      <c r="D765" s="11">
        <v>45263</v>
      </c>
      <c r="E765" s="21">
        <v>733.611</v>
      </c>
    </row>
    <row r="766" ht="16.5" spans="1:5">
      <c r="A766" s="7">
        <v>3045084.549</v>
      </c>
      <c r="B766" s="7">
        <v>35401418.175</v>
      </c>
      <c r="C766" s="8">
        <v>907.26</v>
      </c>
      <c r="D766" s="11">
        <v>45264</v>
      </c>
      <c r="E766" s="21">
        <v>733.176</v>
      </c>
    </row>
    <row r="767" ht="16.5" spans="1:5">
      <c r="A767" s="7">
        <v>3045084.549</v>
      </c>
      <c r="B767" s="7">
        <v>35401418.175</v>
      </c>
      <c r="C767" s="8">
        <v>907.26</v>
      </c>
      <c r="D767" s="11">
        <v>45265</v>
      </c>
      <c r="E767" s="21">
        <v>733.176</v>
      </c>
    </row>
    <row r="768" ht="16.5" spans="1:5">
      <c r="A768" s="7">
        <v>3045084.549</v>
      </c>
      <c r="B768" s="7">
        <v>35401418.175</v>
      </c>
      <c r="C768" s="8">
        <v>907.26</v>
      </c>
      <c r="D768" s="11">
        <v>45266</v>
      </c>
      <c r="E768" s="21">
        <v>732.691</v>
      </c>
    </row>
    <row r="769" ht="16.5" spans="1:5">
      <c r="A769" s="7">
        <v>3045084.549</v>
      </c>
      <c r="B769" s="7">
        <v>35401418.175</v>
      </c>
      <c r="C769" s="8">
        <v>907.26</v>
      </c>
      <c r="D769" s="11">
        <v>45267</v>
      </c>
      <c r="E769" s="21">
        <v>732.498</v>
      </c>
    </row>
    <row r="770" ht="16.5" spans="1:5">
      <c r="A770" s="7">
        <v>3045084.549</v>
      </c>
      <c r="B770" s="7">
        <v>35401418.175</v>
      </c>
      <c r="C770" s="8">
        <v>907.26</v>
      </c>
      <c r="D770" s="11">
        <v>45268</v>
      </c>
      <c r="E770" s="21">
        <v>732.763</v>
      </c>
    </row>
    <row r="771" ht="16.5" spans="1:5">
      <c r="A771" s="7">
        <v>3045084.549</v>
      </c>
      <c r="B771" s="7">
        <v>35401418.175</v>
      </c>
      <c r="C771" s="8">
        <v>907.26</v>
      </c>
      <c r="D771" s="11">
        <v>45269</v>
      </c>
      <c r="E771" s="21">
        <v>732.614</v>
      </c>
    </row>
    <row r="772" ht="16.5" spans="1:5">
      <c r="A772" s="7">
        <v>3045084.549</v>
      </c>
      <c r="B772" s="7">
        <v>35401418.175</v>
      </c>
      <c r="C772" s="8">
        <v>907.26</v>
      </c>
      <c r="D772" s="11">
        <v>45270</v>
      </c>
      <c r="E772" s="21">
        <v>732.401</v>
      </c>
    </row>
    <row r="773" ht="16.5" spans="1:5">
      <c r="A773" s="7">
        <v>3045084.549</v>
      </c>
      <c r="B773" s="7">
        <v>35401418.175</v>
      </c>
      <c r="C773" s="8">
        <v>907.26</v>
      </c>
      <c r="D773" s="11">
        <v>45271</v>
      </c>
      <c r="E773" s="21">
        <v>732.241</v>
      </c>
    </row>
    <row r="774" ht="16.5" spans="1:5">
      <c r="A774" s="7">
        <v>3045084.549</v>
      </c>
      <c r="B774" s="7">
        <v>35401418.175</v>
      </c>
      <c r="C774" s="8">
        <v>907.26</v>
      </c>
      <c r="D774" s="11">
        <v>45272</v>
      </c>
      <c r="E774" s="21">
        <v>732.074</v>
      </c>
    </row>
    <row r="775" ht="16.5" spans="1:5">
      <c r="A775" s="7">
        <v>3045084.549</v>
      </c>
      <c r="B775" s="7">
        <v>35401418.175</v>
      </c>
      <c r="C775" s="8">
        <v>907.26</v>
      </c>
      <c r="D775" s="11">
        <v>45273</v>
      </c>
      <c r="E775" s="21">
        <v>731.895</v>
      </c>
    </row>
    <row r="776" ht="16.5" spans="1:5">
      <c r="A776" s="7">
        <v>3045084.549</v>
      </c>
      <c r="B776" s="7">
        <v>35401418.175</v>
      </c>
      <c r="C776" s="8">
        <v>907.26</v>
      </c>
      <c r="D776" s="11">
        <v>45274</v>
      </c>
      <c r="E776" s="21">
        <v>731.73</v>
      </c>
    </row>
    <row r="777" ht="16.5" spans="1:5">
      <c r="A777" s="7">
        <v>3045084.549</v>
      </c>
      <c r="B777" s="7">
        <v>35401418.175</v>
      </c>
      <c r="C777" s="8">
        <v>907.26</v>
      </c>
      <c r="D777" s="11">
        <v>45275</v>
      </c>
      <c r="E777" s="21">
        <v>731.603</v>
      </c>
    </row>
    <row r="778" ht="16.5" spans="1:5">
      <c r="A778" s="7">
        <v>3045084.549</v>
      </c>
      <c r="B778" s="7">
        <v>35401418.175</v>
      </c>
      <c r="C778" s="8">
        <v>907.26</v>
      </c>
      <c r="D778" s="11">
        <v>45276</v>
      </c>
      <c r="E778" s="21">
        <v>731.524</v>
      </c>
    </row>
    <row r="779" ht="16.5" spans="1:5">
      <c r="A779" s="7">
        <v>3045084.549</v>
      </c>
      <c r="B779" s="7">
        <v>35401418.175</v>
      </c>
      <c r="C779" s="8">
        <v>907.26</v>
      </c>
      <c r="D779" s="11">
        <v>45277</v>
      </c>
      <c r="E779" s="21">
        <v>731.405</v>
      </c>
    </row>
    <row r="780" ht="16.5" spans="1:5">
      <c r="A780" s="7">
        <v>3045084.549</v>
      </c>
      <c r="B780" s="7">
        <v>35401418.175</v>
      </c>
      <c r="C780" s="8">
        <v>907.26</v>
      </c>
      <c r="D780" s="11">
        <v>45278</v>
      </c>
      <c r="E780" s="21"/>
    </row>
    <row r="781" ht="16.5" spans="1:5">
      <c r="A781" s="7">
        <v>3045084.549</v>
      </c>
      <c r="B781" s="7">
        <v>35401418.175</v>
      </c>
      <c r="C781" s="8">
        <v>907.26</v>
      </c>
      <c r="D781" s="11">
        <v>45279</v>
      </c>
      <c r="E781" s="21">
        <v>731.438</v>
      </c>
    </row>
    <row r="782" ht="16.5" spans="1:5">
      <c r="A782" s="7">
        <v>3045084.549</v>
      </c>
      <c r="B782" s="7">
        <v>35401418.175</v>
      </c>
      <c r="C782" s="8">
        <v>907.26</v>
      </c>
      <c r="D782" s="11">
        <v>45280</v>
      </c>
      <c r="E782" s="21">
        <v>731.415</v>
      </c>
    </row>
    <row r="783" ht="16.5" spans="1:5">
      <c r="A783" s="7">
        <v>3045084.549</v>
      </c>
      <c r="B783" s="7">
        <v>35401418.175</v>
      </c>
      <c r="C783" s="8">
        <v>907.26</v>
      </c>
      <c r="D783" s="11">
        <v>45281</v>
      </c>
      <c r="E783" s="21">
        <v>731.338</v>
      </c>
    </row>
    <row r="784" ht="16.5" spans="1:5">
      <c r="A784" s="7">
        <v>3045084.549</v>
      </c>
      <c r="B784" s="7">
        <v>35401418.175</v>
      </c>
      <c r="C784" s="8">
        <v>907.26</v>
      </c>
      <c r="D784" s="11">
        <v>45282</v>
      </c>
      <c r="E784" s="21">
        <v>731.27</v>
      </c>
    </row>
    <row r="785" ht="16.5" spans="1:5">
      <c r="A785" s="7">
        <v>3045084.549</v>
      </c>
      <c r="B785" s="7">
        <v>35401418.175</v>
      </c>
      <c r="C785" s="8">
        <v>907.26</v>
      </c>
      <c r="D785" s="11">
        <v>45283</v>
      </c>
      <c r="E785" s="21">
        <v>731.205</v>
      </c>
    </row>
    <row r="786" ht="16.5" spans="1:5">
      <c r="A786" s="7">
        <v>3045084.549</v>
      </c>
      <c r="B786" s="7">
        <v>35401418.175</v>
      </c>
      <c r="C786" s="8">
        <v>907.26</v>
      </c>
      <c r="D786" s="11">
        <v>45284</v>
      </c>
      <c r="E786" s="21">
        <v>731.36</v>
      </c>
    </row>
    <row r="787" ht="16.5" spans="1:5">
      <c r="A787" s="7">
        <v>3045084.549</v>
      </c>
      <c r="B787" s="7">
        <v>35401418.175</v>
      </c>
      <c r="C787" s="8">
        <v>907.26</v>
      </c>
      <c r="D787" s="11">
        <v>45285</v>
      </c>
      <c r="E787" s="21">
        <v>731.306</v>
      </c>
    </row>
    <row r="788" ht="16.5" spans="1:5">
      <c r="A788" s="7">
        <v>3045084.549</v>
      </c>
      <c r="B788" s="7">
        <v>35401418.175</v>
      </c>
      <c r="C788" s="8">
        <v>907.26</v>
      </c>
      <c r="D788" s="11">
        <v>45286</v>
      </c>
      <c r="E788" s="21">
        <v>731.12</v>
      </c>
    </row>
    <row r="789" ht="16.5" spans="1:5">
      <c r="A789" s="7">
        <v>3045084.549</v>
      </c>
      <c r="B789" s="7">
        <v>35401418.175</v>
      </c>
      <c r="C789" s="8">
        <v>907.26</v>
      </c>
      <c r="D789" s="11">
        <v>45287</v>
      </c>
      <c r="E789" s="21">
        <v>731.01</v>
      </c>
    </row>
    <row r="790" ht="16.5" spans="1:5">
      <c r="A790" s="7">
        <v>3045084.549</v>
      </c>
      <c r="B790" s="7">
        <v>35401418.175</v>
      </c>
      <c r="C790" s="8">
        <v>907.26</v>
      </c>
      <c r="D790" s="11">
        <v>45288</v>
      </c>
      <c r="E790" s="21">
        <v>730.99</v>
      </c>
    </row>
    <row r="791" ht="16.5" spans="1:5">
      <c r="A791" s="7">
        <v>3045084.549</v>
      </c>
      <c r="B791" s="7">
        <v>35401418.175</v>
      </c>
      <c r="C791" s="8">
        <v>907.26</v>
      </c>
      <c r="D791" s="11">
        <v>45289</v>
      </c>
      <c r="E791" s="21">
        <v>731.07</v>
      </c>
    </row>
    <row r="792" ht="16.5" spans="1:5">
      <c r="A792" s="7">
        <v>3045084.549</v>
      </c>
      <c r="B792" s="7">
        <v>35401418.175</v>
      </c>
      <c r="C792" s="8">
        <v>907.26</v>
      </c>
      <c r="D792" s="11">
        <v>45290</v>
      </c>
      <c r="E792" s="21">
        <v>731.1</v>
      </c>
    </row>
    <row r="793" ht="16.5" spans="1:5">
      <c r="A793" s="7">
        <v>3045084.549</v>
      </c>
      <c r="B793" s="7">
        <v>35401418.175</v>
      </c>
      <c r="C793" s="8">
        <v>907.26</v>
      </c>
      <c r="D793" s="11">
        <v>45291</v>
      </c>
      <c r="E793" s="21">
        <v>731.03</v>
      </c>
    </row>
    <row r="794" ht="16.5" spans="1:5">
      <c r="A794" s="7">
        <v>3045084.549</v>
      </c>
      <c r="B794" s="7">
        <v>35401418.175</v>
      </c>
      <c r="C794" s="8">
        <v>907.26</v>
      </c>
      <c r="D794" s="11">
        <v>45292</v>
      </c>
      <c r="E794" s="21">
        <v>730.364</v>
      </c>
    </row>
    <row r="795" ht="16.5" spans="1:5">
      <c r="A795" s="7">
        <v>3045084.549</v>
      </c>
      <c r="B795" s="7">
        <v>35401418.175</v>
      </c>
      <c r="C795" s="8">
        <v>907.26</v>
      </c>
      <c r="D795" s="11">
        <v>45293</v>
      </c>
      <c r="E795" s="21">
        <v>730.38</v>
      </c>
    </row>
    <row r="796" ht="16.5" spans="1:5">
      <c r="A796" s="7">
        <v>3045084.549</v>
      </c>
      <c r="B796" s="7">
        <v>35401418.175</v>
      </c>
      <c r="C796" s="8">
        <v>907.26</v>
      </c>
      <c r="D796" s="11">
        <v>45294</v>
      </c>
      <c r="E796" s="23">
        <v>730.393</v>
      </c>
    </row>
    <row r="797" ht="16.5" spans="1:5">
      <c r="A797" s="7">
        <v>3045084.549</v>
      </c>
      <c r="B797" s="7">
        <v>35401418.175</v>
      </c>
      <c r="C797" s="8">
        <v>907.26</v>
      </c>
      <c r="D797" s="11">
        <v>45295</v>
      </c>
      <c r="E797" s="26">
        <v>730.468</v>
      </c>
    </row>
    <row r="798" ht="16.5" spans="1:5">
      <c r="A798" s="7">
        <v>3045084.549</v>
      </c>
      <c r="B798" s="7">
        <v>35401418.175</v>
      </c>
      <c r="C798" s="8">
        <v>907.26</v>
      </c>
      <c r="D798" s="11">
        <v>45296</v>
      </c>
      <c r="E798" s="26">
        <v>730.393</v>
      </c>
    </row>
    <row r="799" ht="16.5" spans="1:5">
      <c r="A799" s="7">
        <v>3045084.549</v>
      </c>
      <c r="B799" s="7">
        <v>35401418.175</v>
      </c>
      <c r="C799" s="8">
        <v>907.26</v>
      </c>
      <c r="D799" s="11">
        <v>45297</v>
      </c>
      <c r="E799" s="26">
        <v>730.439</v>
      </c>
    </row>
    <row r="800" ht="16.5" spans="1:5">
      <c r="A800" s="7">
        <v>3045084.549</v>
      </c>
      <c r="B800" s="7">
        <v>35401418.175</v>
      </c>
      <c r="C800" s="8">
        <v>907.26</v>
      </c>
      <c r="D800" s="11">
        <v>45298</v>
      </c>
      <c r="E800" s="27">
        <v>730.476</v>
      </c>
    </row>
    <row r="801" ht="16.5" spans="1:5">
      <c r="A801" s="7">
        <v>3045084.549</v>
      </c>
      <c r="B801" s="7">
        <v>35401418.175</v>
      </c>
      <c r="C801" s="8">
        <v>907.26</v>
      </c>
      <c r="D801" s="11">
        <v>45299</v>
      </c>
      <c r="E801" s="27">
        <v>730.204</v>
      </c>
    </row>
    <row r="802" ht="16.5" spans="1:5">
      <c r="A802" s="7">
        <v>3045084.549</v>
      </c>
      <c r="B802" s="7">
        <v>35401418.175</v>
      </c>
      <c r="C802" s="8">
        <v>907.26</v>
      </c>
      <c r="D802" s="11">
        <v>45300</v>
      </c>
      <c r="E802" s="27">
        <v>730.102</v>
      </c>
    </row>
    <row r="803" ht="16.5" spans="1:5">
      <c r="A803" s="7">
        <v>3045084.549</v>
      </c>
      <c r="B803" s="7">
        <v>35401418.175</v>
      </c>
      <c r="C803" s="8">
        <v>907.26</v>
      </c>
      <c r="D803" s="11">
        <v>45301</v>
      </c>
      <c r="E803" s="26">
        <v>730.055</v>
      </c>
    </row>
    <row r="804" ht="16.5" spans="1:5">
      <c r="A804" s="7">
        <v>3045084.549</v>
      </c>
      <c r="B804" s="7">
        <v>35401418.175</v>
      </c>
      <c r="C804" s="8">
        <v>907.26</v>
      </c>
      <c r="D804" s="11">
        <v>45302</v>
      </c>
      <c r="E804" s="26">
        <v>730.087</v>
      </c>
    </row>
    <row r="805" ht="16.5" spans="1:5">
      <c r="A805" s="7">
        <v>3045084.549</v>
      </c>
      <c r="B805" s="7">
        <v>35401418.175</v>
      </c>
      <c r="C805" s="8">
        <v>907.26</v>
      </c>
      <c r="D805" s="11">
        <v>45303</v>
      </c>
      <c r="E805" s="26">
        <v>730.08</v>
      </c>
    </row>
    <row r="806" ht="16.5" spans="1:5">
      <c r="A806" s="7">
        <v>3045084.549</v>
      </c>
      <c r="B806" s="7">
        <v>35401418.175</v>
      </c>
      <c r="C806" s="8">
        <v>907.26</v>
      </c>
      <c r="D806" s="11">
        <v>45304</v>
      </c>
      <c r="E806" s="26">
        <v>730.014</v>
      </c>
    </row>
    <row r="807" ht="16.5" spans="1:5">
      <c r="A807" s="7">
        <v>3045084.549</v>
      </c>
      <c r="B807" s="7">
        <v>35401418.175</v>
      </c>
      <c r="C807" s="8">
        <v>907.26</v>
      </c>
      <c r="D807" s="11">
        <v>45305</v>
      </c>
      <c r="E807" s="26">
        <v>730.019</v>
      </c>
    </row>
    <row r="808" ht="16.5" spans="1:5">
      <c r="A808" s="7">
        <v>3045084.549</v>
      </c>
      <c r="B808" s="7">
        <v>35401418.175</v>
      </c>
      <c r="C808" s="8">
        <v>907.26</v>
      </c>
      <c r="D808" s="11">
        <v>45306</v>
      </c>
      <c r="E808" s="26">
        <v>730.096</v>
      </c>
    </row>
    <row r="809" ht="16.5" spans="1:5">
      <c r="A809" s="7">
        <v>3045084.549</v>
      </c>
      <c r="B809" s="7">
        <v>35401418.175</v>
      </c>
      <c r="C809" s="8">
        <v>907.26</v>
      </c>
      <c r="D809" s="11">
        <v>45307</v>
      </c>
      <c r="E809" s="26">
        <v>730.059</v>
      </c>
    </row>
    <row r="810" ht="16.5" spans="1:5">
      <c r="A810" s="7">
        <v>3045084.549</v>
      </c>
      <c r="B810" s="7">
        <v>35401418.175</v>
      </c>
      <c r="C810" s="8">
        <v>907.26</v>
      </c>
      <c r="D810" s="11">
        <v>45308</v>
      </c>
      <c r="E810" s="26">
        <v>729.974</v>
      </c>
    </row>
    <row r="811" ht="16.5" spans="1:5">
      <c r="A811" s="7">
        <v>3045084.549</v>
      </c>
      <c r="B811" s="7">
        <v>35401418.175</v>
      </c>
      <c r="C811" s="8">
        <v>907.26</v>
      </c>
      <c r="D811" s="11">
        <v>45309</v>
      </c>
      <c r="E811" s="26">
        <v>730.008</v>
      </c>
    </row>
    <row r="812" ht="16.5" spans="1:5">
      <c r="A812" s="7">
        <v>3045084.549</v>
      </c>
      <c r="B812" s="7">
        <v>35401418.175</v>
      </c>
      <c r="C812" s="8">
        <v>907.26</v>
      </c>
      <c r="D812" s="11">
        <v>45310</v>
      </c>
      <c r="E812" s="26">
        <v>729.961</v>
      </c>
    </row>
    <row r="813" ht="16.5" spans="1:5">
      <c r="A813" s="7">
        <v>3045084.549</v>
      </c>
      <c r="B813" s="7">
        <v>35401418.175</v>
      </c>
      <c r="C813" s="8">
        <v>907.26</v>
      </c>
      <c r="D813" s="11">
        <v>45311</v>
      </c>
      <c r="E813" s="26">
        <v>729.98</v>
      </c>
    </row>
    <row r="814" ht="16.5" spans="1:5">
      <c r="A814" s="7">
        <v>3045084.549</v>
      </c>
      <c r="B814" s="7">
        <v>35401418.175</v>
      </c>
      <c r="C814" s="8">
        <v>907.26</v>
      </c>
      <c r="D814" s="11">
        <v>45312</v>
      </c>
      <c r="E814" s="26">
        <v>729.961</v>
      </c>
    </row>
    <row r="815" ht="16.5" spans="1:5">
      <c r="A815" s="7">
        <v>3045084.549</v>
      </c>
      <c r="B815" s="7">
        <v>35401418.175</v>
      </c>
      <c r="C815" s="8">
        <v>907.26</v>
      </c>
      <c r="D815" s="11">
        <v>45313</v>
      </c>
      <c r="E815" s="26">
        <v>730.027</v>
      </c>
    </row>
    <row r="816" ht="16.5" spans="1:5">
      <c r="A816" s="7">
        <v>3045084.549</v>
      </c>
      <c r="B816" s="7">
        <v>35401418.175</v>
      </c>
      <c r="C816" s="8">
        <v>907.26</v>
      </c>
      <c r="D816" s="11">
        <v>45314</v>
      </c>
      <c r="E816" s="26">
        <v>730.058</v>
      </c>
    </row>
    <row r="817" ht="16.5" spans="1:5">
      <c r="A817" s="7">
        <v>3045084.549</v>
      </c>
      <c r="B817" s="7">
        <v>35401418.175</v>
      </c>
      <c r="C817" s="8">
        <v>907.26</v>
      </c>
      <c r="D817" s="11">
        <v>45315</v>
      </c>
      <c r="E817" s="26">
        <v>729.824</v>
      </c>
    </row>
    <row r="818" ht="16.5" spans="1:5">
      <c r="A818" s="7">
        <v>3045084.549</v>
      </c>
      <c r="B818" s="7">
        <v>35401418.175</v>
      </c>
      <c r="C818" s="8">
        <v>907.26</v>
      </c>
      <c r="D818" s="11">
        <v>45316</v>
      </c>
      <c r="E818" s="26">
        <v>729.74</v>
      </c>
    </row>
    <row r="819" ht="16.5" spans="1:5">
      <c r="A819" s="7">
        <v>3045084.549</v>
      </c>
      <c r="B819" s="7">
        <v>35401418.175</v>
      </c>
      <c r="C819" s="8">
        <v>907.26</v>
      </c>
      <c r="D819" s="11">
        <v>45317</v>
      </c>
      <c r="E819" s="26">
        <v>730.326</v>
      </c>
    </row>
    <row r="820" ht="16.5" spans="1:5">
      <c r="A820" s="7">
        <v>3045084.549</v>
      </c>
      <c r="B820" s="7">
        <v>35401418.175</v>
      </c>
      <c r="C820" s="8">
        <v>907.26</v>
      </c>
      <c r="D820" s="11">
        <v>45318</v>
      </c>
      <c r="E820" s="26">
        <v>730.044</v>
      </c>
    </row>
    <row r="821" ht="16.5" spans="1:5">
      <c r="A821" s="7">
        <v>3045084.549</v>
      </c>
      <c r="B821" s="7">
        <v>35401418.175</v>
      </c>
      <c r="C821" s="8">
        <v>907.26</v>
      </c>
      <c r="D821" s="11">
        <v>45319</v>
      </c>
      <c r="E821" s="26">
        <v>730.052</v>
      </c>
    </row>
    <row r="822" ht="16.5" spans="1:5">
      <c r="A822" s="7">
        <v>3045084.549</v>
      </c>
      <c r="B822" s="7">
        <v>35401418.175</v>
      </c>
      <c r="C822" s="8">
        <v>907.26</v>
      </c>
      <c r="D822" s="11">
        <v>45320</v>
      </c>
      <c r="E822" s="26">
        <v>729.94</v>
      </c>
    </row>
    <row r="823" ht="16.5" spans="1:5">
      <c r="A823" s="7">
        <v>3045084.549</v>
      </c>
      <c r="B823" s="7">
        <v>35401418.175</v>
      </c>
      <c r="C823" s="8">
        <v>907.26</v>
      </c>
      <c r="D823" s="11">
        <v>45321</v>
      </c>
      <c r="E823" s="26">
        <v>729.767</v>
      </c>
    </row>
    <row r="824" ht="16.5" spans="1:5">
      <c r="A824" s="7">
        <v>3045084.549</v>
      </c>
      <c r="B824" s="7">
        <v>35401418.175</v>
      </c>
      <c r="C824" s="8">
        <v>907.26</v>
      </c>
      <c r="D824" s="11">
        <v>45322</v>
      </c>
      <c r="E824" s="26">
        <v>729.61</v>
      </c>
    </row>
    <row r="825" ht="16.5" spans="1:5">
      <c r="A825" s="7">
        <v>3045084.549</v>
      </c>
      <c r="B825" s="7">
        <v>35401418.175</v>
      </c>
      <c r="C825" s="8">
        <v>907.26</v>
      </c>
      <c r="D825" s="11">
        <v>45323</v>
      </c>
      <c r="E825" s="26">
        <v>729.438</v>
      </c>
    </row>
    <row r="826" ht="16.5" spans="1:5">
      <c r="A826" s="7">
        <v>3045084.549</v>
      </c>
      <c r="B826" s="7">
        <v>35401418.175</v>
      </c>
      <c r="C826" s="8">
        <v>907.26</v>
      </c>
      <c r="D826" s="11">
        <v>45324</v>
      </c>
      <c r="E826" s="26">
        <v>729.367</v>
      </c>
    </row>
    <row r="827" ht="16.5" spans="1:5">
      <c r="A827" s="7">
        <v>3045084.549</v>
      </c>
      <c r="B827" s="7">
        <v>35401418.175</v>
      </c>
      <c r="C827" s="8">
        <v>907.26</v>
      </c>
      <c r="D827" s="11">
        <v>45325</v>
      </c>
      <c r="E827" s="26">
        <v>729.171</v>
      </c>
    </row>
    <row r="828" ht="16.5" spans="1:5">
      <c r="A828" s="7">
        <v>3045084.549</v>
      </c>
      <c r="B828" s="7">
        <v>35401418.175</v>
      </c>
      <c r="C828" s="8">
        <v>907.26</v>
      </c>
      <c r="D828" s="11">
        <v>45326</v>
      </c>
      <c r="E828" s="26">
        <v>729.035</v>
      </c>
    </row>
    <row r="829" ht="16.5" spans="1:5">
      <c r="A829" s="7">
        <v>3045084.549</v>
      </c>
      <c r="B829" s="7">
        <v>35401418.175</v>
      </c>
      <c r="C829" s="8">
        <v>907.26</v>
      </c>
      <c r="D829" s="11">
        <v>45327</v>
      </c>
      <c r="E829" s="26">
        <v>728.981</v>
      </c>
    </row>
    <row r="830" ht="16.5" spans="1:5">
      <c r="A830" s="7">
        <v>3045084.549</v>
      </c>
      <c r="B830" s="7">
        <v>35401418.175</v>
      </c>
      <c r="C830" s="8">
        <v>907.26</v>
      </c>
      <c r="D830" s="11">
        <v>45328</v>
      </c>
      <c r="E830" s="26">
        <v>728.86</v>
      </c>
    </row>
    <row r="831" ht="16.5" spans="1:5">
      <c r="A831" s="7">
        <v>3045084.549</v>
      </c>
      <c r="B831" s="7">
        <v>35401418.175</v>
      </c>
      <c r="C831" s="8">
        <v>907.26</v>
      </c>
      <c r="D831" s="11">
        <v>45329</v>
      </c>
      <c r="E831" s="26">
        <v>728.789</v>
      </c>
    </row>
    <row r="832" ht="16.5" spans="1:5">
      <c r="A832" s="7">
        <v>3045084.549</v>
      </c>
      <c r="B832" s="7">
        <v>35401418.175</v>
      </c>
      <c r="C832" s="8">
        <v>907.26</v>
      </c>
      <c r="D832" s="11">
        <v>45330</v>
      </c>
      <c r="E832" s="26">
        <v>728.69</v>
      </c>
    </row>
    <row r="833" ht="16.5" spans="1:5">
      <c r="A833" s="7">
        <v>3045084.549</v>
      </c>
      <c r="B833" s="7">
        <v>35401418.175</v>
      </c>
      <c r="C833" s="8">
        <v>907.26</v>
      </c>
      <c r="D833" s="11">
        <v>45331</v>
      </c>
      <c r="E833" s="26">
        <v>728.569</v>
      </c>
    </row>
    <row r="834" ht="16.5" spans="1:5">
      <c r="A834" s="7">
        <v>3045084.549</v>
      </c>
      <c r="B834" s="7">
        <v>35401418.175</v>
      </c>
      <c r="C834" s="8">
        <v>907.26</v>
      </c>
      <c r="D834" s="11">
        <v>45332</v>
      </c>
      <c r="E834" s="26">
        <v>728.551</v>
      </c>
    </row>
    <row r="835" ht="16.5" spans="1:5">
      <c r="A835" s="7">
        <v>3045084.549</v>
      </c>
      <c r="B835" s="7">
        <v>35401418.175</v>
      </c>
      <c r="C835" s="8">
        <v>907.26</v>
      </c>
      <c r="D835" s="11">
        <v>45333</v>
      </c>
      <c r="E835" s="26">
        <v>728.51</v>
      </c>
    </row>
    <row r="836" ht="16.5" spans="1:5">
      <c r="A836" s="7">
        <v>3045084.549</v>
      </c>
      <c r="B836" s="7">
        <v>35401418.175</v>
      </c>
      <c r="C836" s="8">
        <v>907.26</v>
      </c>
      <c r="D836" s="11">
        <v>45334</v>
      </c>
      <c r="E836" s="26">
        <v>728.379</v>
      </c>
    </row>
    <row r="837" ht="16.5" spans="1:5">
      <c r="A837" s="7">
        <v>3045084.549</v>
      </c>
      <c r="B837" s="7">
        <v>35401418.175</v>
      </c>
      <c r="C837" s="8">
        <v>907.26</v>
      </c>
      <c r="D837" s="11">
        <v>45335</v>
      </c>
      <c r="E837" s="26">
        <v>728.209</v>
      </c>
    </row>
    <row r="838" ht="16.5" spans="1:5">
      <c r="A838" s="7">
        <v>3045084.549</v>
      </c>
      <c r="B838" s="7">
        <v>35401418.175</v>
      </c>
      <c r="C838" s="8">
        <v>907.26</v>
      </c>
      <c r="D838" s="11">
        <v>45336</v>
      </c>
      <c r="E838" s="28">
        <v>728.033</v>
      </c>
    </row>
    <row r="839" ht="16.5" spans="1:5">
      <c r="A839" s="7">
        <v>3045084.549</v>
      </c>
      <c r="B839" s="7">
        <v>35401418.175</v>
      </c>
      <c r="C839" s="8">
        <v>907.26</v>
      </c>
      <c r="D839" s="11">
        <v>45337</v>
      </c>
      <c r="E839" s="22"/>
    </row>
    <row r="840" ht="16.5" spans="1:5">
      <c r="A840" s="7">
        <v>3045084.549</v>
      </c>
      <c r="B840" s="7">
        <v>35401418.175</v>
      </c>
      <c r="C840" s="8">
        <v>907.26</v>
      </c>
      <c r="D840" s="11">
        <v>45338</v>
      </c>
      <c r="E840" s="22"/>
    </row>
    <row r="841" ht="16.5" spans="1:5">
      <c r="A841" s="7">
        <v>3045084.549</v>
      </c>
      <c r="B841" s="7">
        <v>35401418.175</v>
      </c>
      <c r="C841" s="8">
        <v>907.26</v>
      </c>
      <c r="D841" s="11">
        <v>45339</v>
      </c>
      <c r="E841" s="22"/>
    </row>
    <row r="842" ht="16.5" spans="1:5">
      <c r="A842" s="7">
        <v>3045084.549</v>
      </c>
      <c r="B842" s="7">
        <v>35401418.175</v>
      </c>
      <c r="C842" s="8">
        <v>907.26</v>
      </c>
      <c r="D842" s="11">
        <v>45340</v>
      </c>
      <c r="E842" s="22"/>
    </row>
    <row r="843" ht="16.5" spans="1:5">
      <c r="A843" s="7">
        <v>3045084.549</v>
      </c>
      <c r="B843" s="7">
        <v>35401418.175</v>
      </c>
      <c r="C843" s="8">
        <v>907.26</v>
      </c>
      <c r="D843" s="11">
        <v>45341</v>
      </c>
      <c r="E843" s="26">
        <v>727.672</v>
      </c>
    </row>
    <row r="844" ht="16.5" spans="1:5">
      <c r="A844" s="7">
        <v>3045084.549</v>
      </c>
      <c r="B844" s="7">
        <v>35401418.175</v>
      </c>
      <c r="C844" s="8">
        <v>907.26</v>
      </c>
      <c r="D844" s="11">
        <v>45342</v>
      </c>
      <c r="E844" s="26">
        <v>727.453</v>
      </c>
    </row>
    <row r="845" ht="16.5" spans="1:5">
      <c r="A845" s="7">
        <v>3045084.549</v>
      </c>
      <c r="B845" s="7">
        <v>35401418.175</v>
      </c>
      <c r="C845" s="8">
        <v>907.26</v>
      </c>
      <c r="D845" s="11">
        <v>45343</v>
      </c>
      <c r="E845" s="26">
        <v>727.369</v>
      </c>
    </row>
    <row r="846" ht="16.5" spans="1:5">
      <c r="A846" s="7">
        <v>3045084.549</v>
      </c>
      <c r="B846" s="7">
        <v>35401418.175</v>
      </c>
      <c r="C846" s="8">
        <v>907.26</v>
      </c>
      <c r="D846" s="11">
        <v>45344</v>
      </c>
      <c r="E846" s="26">
        <v>727.229</v>
      </c>
    </row>
    <row r="847" ht="16.5" spans="1:5">
      <c r="A847" s="7">
        <v>3045084.549</v>
      </c>
      <c r="B847" s="7">
        <v>35401418.175</v>
      </c>
      <c r="C847" s="8">
        <v>907.26</v>
      </c>
      <c r="D847" s="11">
        <v>45345</v>
      </c>
      <c r="E847" s="26">
        <v>727.103</v>
      </c>
    </row>
    <row r="848" ht="16.5" spans="1:5">
      <c r="A848" s="7">
        <v>3045084.549</v>
      </c>
      <c r="B848" s="7">
        <v>35401418.175</v>
      </c>
      <c r="C848" s="8">
        <v>907.26</v>
      </c>
      <c r="D848" s="11">
        <v>45346</v>
      </c>
      <c r="E848" s="26">
        <v>727.09</v>
      </c>
    </row>
    <row r="849" ht="16.5" spans="1:5">
      <c r="A849" s="7">
        <v>3045084.549</v>
      </c>
      <c r="B849" s="7">
        <v>35401418.175</v>
      </c>
      <c r="C849" s="8">
        <v>907.26</v>
      </c>
      <c r="D849" s="11">
        <v>45347</v>
      </c>
      <c r="E849" s="26">
        <v>726.97</v>
      </c>
    </row>
    <row r="850" ht="16.5" spans="1:5">
      <c r="A850" s="7">
        <v>3045084.549</v>
      </c>
      <c r="B850" s="7">
        <v>35401418.175</v>
      </c>
      <c r="C850" s="8">
        <v>907.26</v>
      </c>
      <c r="D850" s="11">
        <v>45348</v>
      </c>
      <c r="E850" s="26">
        <v>726.886</v>
      </c>
    </row>
    <row r="851" ht="16.5" spans="1:5">
      <c r="A851" s="7">
        <v>3045084.549</v>
      </c>
      <c r="B851" s="7">
        <v>35401418.175</v>
      </c>
      <c r="C851" s="8">
        <v>907.26</v>
      </c>
      <c r="D851" s="11">
        <v>45349</v>
      </c>
      <c r="E851" s="26">
        <v>726.668</v>
      </c>
    </row>
    <row r="852" ht="16.5" spans="1:5">
      <c r="A852" s="7">
        <v>3045084.549</v>
      </c>
      <c r="B852" s="7">
        <v>35401418.175</v>
      </c>
      <c r="C852" s="8">
        <v>907.26</v>
      </c>
      <c r="D852" s="11">
        <v>45350</v>
      </c>
      <c r="E852" s="26">
        <v>726.579</v>
      </c>
    </row>
    <row r="853" ht="16.5" spans="1:5">
      <c r="A853" s="7">
        <v>3045084.549</v>
      </c>
      <c r="B853" s="7">
        <v>35401418.175</v>
      </c>
      <c r="C853" s="8">
        <v>907.26</v>
      </c>
      <c r="D853" s="11">
        <v>45351</v>
      </c>
      <c r="E853" s="26">
        <v>726.554</v>
      </c>
    </row>
    <row r="854" ht="16.5" spans="1:5">
      <c r="A854" s="7">
        <v>3045084.549</v>
      </c>
      <c r="B854" s="7">
        <v>35401418.175</v>
      </c>
      <c r="C854" s="8">
        <v>907.26</v>
      </c>
      <c r="D854" s="11">
        <v>45352</v>
      </c>
      <c r="E854" s="26">
        <v>726.569</v>
      </c>
    </row>
    <row r="855" ht="16.5" spans="1:5">
      <c r="A855" s="7">
        <v>3045084.549</v>
      </c>
      <c r="B855" s="7">
        <v>35401418.175</v>
      </c>
      <c r="C855" s="8">
        <v>907.26</v>
      </c>
      <c r="D855" s="11">
        <v>45353</v>
      </c>
      <c r="E855" s="26">
        <v>726.554</v>
      </c>
    </row>
    <row r="856" ht="16.5" spans="1:5">
      <c r="A856" s="7">
        <v>3045084.549</v>
      </c>
      <c r="B856" s="7">
        <v>35401418.175</v>
      </c>
      <c r="C856" s="8">
        <v>907.26</v>
      </c>
      <c r="D856" s="11">
        <v>45354</v>
      </c>
      <c r="E856" s="26">
        <v>726.569</v>
      </c>
    </row>
    <row r="857" ht="16.5" spans="1:5">
      <c r="A857" s="7">
        <v>3045084.549</v>
      </c>
      <c r="B857" s="7">
        <v>35401418.175</v>
      </c>
      <c r="C857" s="8">
        <v>907.26</v>
      </c>
      <c r="D857" s="11">
        <v>45355</v>
      </c>
      <c r="E857" s="26">
        <v>726.655</v>
      </c>
    </row>
    <row r="858" ht="16.5" spans="1:5">
      <c r="A858" s="7">
        <v>3045084.549</v>
      </c>
      <c r="B858" s="7">
        <v>35401418.175</v>
      </c>
      <c r="C858" s="8">
        <v>907.26</v>
      </c>
      <c r="D858" s="11">
        <v>45356</v>
      </c>
      <c r="E858" s="26">
        <v>726.383</v>
      </c>
    </row>
    <row r="859" ht="16.5" spans="1:5">
      <c r="A859" s="7">
        <v>3045084.549</v>
      </c>
      <c r="B859" s="7">
        <v>35401418.175</v>
      </c>
      <c r="C859" s="8">
        <v>907.26</v>
      </c>
      <c r="D859" s="11">
        <v>45357</v>
      </c>
      <c r="E859" s="26">
        <v>726.395</v>
      </c>
    </row>
    <row r="860" ht="16.5" spans="1:5">
      <c r="A860" s="7">
        <v>3045084.549</v>
      </c>
      <c r="B860" s="7">
        <v>35401418.175</v>
      </c>
      <c r="C860" s="8">
        <v>907.26</v>
      </c>
      <c r="D860" s="11">
        <v>45358</v>
      </c>
      <c r="E860" s="26">
        <v>726.337</v>
      </c>
    </row>
    <row r="861" ht="16.5" spans="1:5">
      <c r="A861" s="7">
        <v>3045084.549</v>
      </c>
      <c r="B861" s="7">
        <v>35401418.175</v>
      </c>
      <c r="C861" s="8">
        <v>907.26</v>
      </c>
      <c r="D861" s="11">
        <v>45359</v>
      </c>
      <c r="E861" s="26">
        <v>726.387</v>
      </c>
    </row>
    <row r="862" ht="16.5" spans="1:5">
      <c r="A862" s="7">
        <v>3045084.549</v>
      </c>
      <c r="B862" s="7">
        <v>35401418.175</v>
      </c>
      <c r="C862" s="8">
        <v>907.26</v>
      </c>
      <c r="D862" s="11">
        <v>45360</v>
      </c>
      <c r="E862" s="26">
        <v>726.319</v>
      </c>
    </row>
    <row r="863" ht="16.5" spans="1:5">
      <c r="A863" s="7">
        <v>3045084.549</v>
      </c>
      <c r="B863" s="7">
        <v>35401418.175</v>
      </c>
      <c r="C863" s="8">
        <v>907.26</v>
      </c>
      <c r="D863" s="11">
        <v>45361</v>
      </c>
      <c r="E863" s="26">
        <v>726.276</v>
      </c>
    </row>
    <row r="864" ht="16.5" spans="1:5">
      <c r="A864" s="7">
        <v>3045084.549</v>
      </c>
      <c r="B864" s="7">
        <v>35401418.175</v>
      </c>
      <c r="C864" s="8">
        <v>907.26</v>
      </c>
      <c r="D864" s="11">
        <v>45362</v>
      </c>
      <c r="E864" s="26">
        <v>726.179</v>
      </c>
    </row>
    <row r="865" ht="16.5" spans="1:5">
      <c r="A865" s="7">
        <v>3045084.549</v>
      </c>
      <c r="B865" s="7">
        <v>35401418.175</v>
      </c>
      <c r="C865" s="8">
        <v>907.26</v>
      </c>
      <c r="D865" s="11">
        <v>45363</v>
      </c>
      <c r="E865" s="26">
        <v>726.255</v>
      </c>
    </row>
    <row r="866" ht="16.5" spans="1:5">
      <c r="A866" s="7">
        <v>3045084.549</v>
      </c>
      <c r="B866" s="7">
        <v>35401418.175</v>
      </c>
      <c r="C866" s="8">
        <v>907.26</v>
      </c>
      <c r="D866" s="11">
        <v>45364</v>
      </c>
      <c r="E866" s="26">
        <v>726.157</v>
      </c>
    </row>
    <row r="867" ht="16.5" spans="1:5">
      <c r="A867" s="7">
        <v>3045084.549</v>
      </c>
      <c r="B867" s="7">
        <v>35401418.175</v>
      </c>
      <c r="C867" s="8">
        <v>907.26</v>
      </c>
      <c r="D867" s="11">
        <v>45365</v>
      </c>
      <c r="E867" s="26">
        <v>726.162</v>
      </c>
    </row>
    <row r="868" ht="16.5" spans="1:5">
      <c r="A868" s="7">
        <v>3045084.549</v>
      </c>
      <c r="B868" s="7">
        <v>35401418.175</v>
      </c>
      <c r="C868" s="8">
        <v>907.26</v>
      </c>
      <c r="D868" s="11">
        <v>45366</v>
      </c>
      <c r="E868" s="26">
        <v>726.13</v>
      </c>
    </row>
    <row r="869" ht="16.5" spans="1:5">
      <c r="A869" s="7">
        <v>3045084.549</v>
      </c>
      <c r="B869" s="7">
        <v>35401418.175</v>
      </c>
      <c r="C869" s="8">
        <v>907.26</v>
      </c>
      <c r="D869" s="11">
        <v>45367</v>
      </c>
      <c r="E869" s="26">
        <v>725.982</v>
      </c>
    </row>
    <row r="870" ht="16.5" spans="1:5">
      <c r="A870" s="7">
        <v>3045084.549</v>
      </c>
      <c r="B870" s="7">
        <v>35401418.175</v>
      </c>
      <c r="C870" s="8">
        <v>907.26</v>
      </c>
      <c r="D870" s="11">
        <v>45368</v>
      </c>
      <c r="E870" s="26">
        <v>725.928</v>
      </c>
    </row>
    <row r="871" ht="16.5" spans="1:5">
      <c r="A871" s="7">
        <v>3045084.549</v>
      </c>
      <c r="B871" s="7">
        <v>35401418.175</v>
      </c>
      <c r="C871" s="8">
        <v>907.26</v>
      </c>
      <c r="D871" s="11">
        <v>45369</v>
      </c>
      <c r="E871" s="26">
        <v>725.783</v>
      </c>
    </row>
    <row r="872" ht="16.5" spans="1:5">
      <c r="A872" s="7">
        <v>3045084.549</v>
      </c>
      <c r="B872" s="7">
        <v>35401418.175</v>
      </c>
      <c r="C872" s="8">
        <v>907.26</v>
      </c>
      <c r="D872" s="11">
        <v>45370</v>
      </c>
      <c r="E872" s="26">
        <v>725.757</v>
      </c>
    </row>
    <row r="873" ht="16.5" spans="1:5">
      <c r="A873" s="7">
        <v>3045084.549</v>
      </c>
      <c r="B873" s="7">
        <v>35401418.175</v>
      </c>
      <c r="C873" s="8">
        <v>907.26</v>
      </c>
      <c r="D873" s="11">
        <v>45371</v>
      </c>
      <c r="E873" s="26">
        <v>725.747</v>
      </c>
    </row>
    <row r="874" ht="16.5" spans="1:5">
      <c r="A874" s="7">
        <v>3045084.549</v>
      </c>
      <c r="B874" s="7">
        <v>35401418.175</v>
      </c>
      <c r="C874" s="8">
        <v>907.26</v>
      </c>
      <c r="D874" s="11">
        <v>45372</v>
      </c>
      <c r="E874" s="26">
        <v>725.868</v>
      </c>
    </row>
    <row r="875" ht="16.5" spans="1:5">
      <c r="A875" s="7">
        <v>3045084.549</v>
      </c>
      <c r="B875" s="7">
        <v>35401418.175</v>
      </c>
      <c r="C875" s="8">
        <v>907.26</v>
      </c>
      <c r="D875" s="11">
        <v>45373</v>
      </c>
      <c r="E875" s="26">
        <v>725.825</v>
      </c>
    </row>
    <row r="876" ht="16.5" spans="1:5">
      <c r="A876" s="7">
        <v>3045084.549</v>
      </c>
      <c r="B876" s="7">
        <v>35401418.175</v>
      </c>
      <c r="C876" s="8">
        <v>907.26</v>
      </c>
      <c r="D876" s="11">
        <v>45374</v>
      </c>
      <c r="E876" s="26">
        <v>725.596</v>
      </c>
    </row>
    <row r="877" ht="16.5" spans="1:5">
      <c r="A877" s="7">
        <v>3045084.549</v>
      </c>
      <c r="B877" s="7">
        <v>35401418.175</v>
      </c>
      <c r="C877" s="8">
        <v>907.26</v>
      </c>
      <c r="D877" s="11">
        <v>45375</v>
      </c>
      <c r="E877" s="26">
        <v>725.513</v>
      </c>
    </row>
    <row r="878" ht="16.5" spans="1:5">
      <c r="A878" s="7">
        <v>3045084.549</v>
      </c>
      <c r="B878" s="7">
        <v>35401418.175</v>
      </c>
      <c r="C878" s="8">
        <v>907.26</v>
      </c>
      <c r="D878" s="11">
        <v>45376</v>
      </c>
      <c r="E878" s="26">
        <v>725.278</v>
      </c>
    </row>
    <row r="879" ht="16.5" spans="1:5">
      <c r="A879" s="7">
        <v>3045084.549</v>
      </c>
      <c r="B879" s="7">
        <v>35401418.175</v>
      </c>
      <c r="C879" s="8">
        <v>907.26</v>
      </c>
      <c r="D879" s="11">
        <v>45377</v>
      </c>
      <c r="E879" s="26">
        <v>725.439</v>
      </c>
    </row>
    <row r="880" ht="16.5" spans="1:5">
      <c r="A880" s="7">
        <v>3045084.549</v>
      </c>
      <c r="B880" s="7">
        <v>35401418.175</v>
      </c>
      <c r="C880" s="8">
        <v>907.26</v>
      </c>
      <c r="D880" s="11">
        <v>45378</v>
      </c>
      <c r="E880" s="26">
        <v>725.584</v>
      </c>
    </row>
    <row r="881" ht="16.5" spans="1:5">
      <c r="A881" s="7">
        <v>3045084.549</v>
      </c>
      <c r="B881" s="7">
        <v>35401418.175</v>
      </c>
      <c r="C881" s="8">
        <v>907.26</v>
      </c>
      <c r="D881" s="11">
        <v>45379</v>
      </c>
      <c r="E881" s="26">
        <v>725.436</v>
      </c>
    </row>
    <row r="882" ht="16.5" spans="1:5">
      <c r="A882" s="7">
        <v>3045084.549</v>
      </c>
      <c r="B882" s="7">
        <v>35401418.175</v>
      </c>
      <c r="C882" s="8">
        <v>907.26</v>
      </c>
      <c r="D882" s="11">
        <v>45380</v>
      </c>
      <c r="E882" s="26">
        <v>725.451</v>
      </c>
    </row>
    <row r="883" ht="16.5" spans="1:5">
      <c r="A883" s="7">
        <v>3045084.549</v>
      </c>
      <c r="B883" s="7">
        <v>35401418.175</v>
      </c>
      <c r="C883" s="8">
        <v>907.26</v>
      </c>
      <c r="D883" s="11">
        <v>45381</v>
      </c>
      <c r="E883" s="26">
        <v>725.26</v>
      </c>
    </row>
    <row r="884" ht="16.5" spans="1:5">
      <c r="A884" s="7">
        <v>3045084.549</v>
      </c>
      <c r="B884" s="7">
        <v>35401418.175</v>
      </c>
      <c r="C884" s="8">
        <v>907.26</v>
      </c>
      <c r="D884" s="11">
        <v>45382</v>
      </c>
      <c r="E884" s="26">
        <v>725.101</v>
      </c>
    </row>
    <row r="885" ht="16.5" spans="1:5">
      <c r="A885" s="7">
        <v>3045084.549</v>
      </c>
      <c r="B885" s="7">
        <v>35401418.175</v>
      </c>
      <c r="C885" s="8">
        <v>907.26</v>
      </c>
      <c r="D885" s="11">
        <v>45383</v>
      </c>
      <c r="E885" s="26">
        <v>725.078</v>
      </c>
    </row>
    <row r="886" ht="16.5" spans="1:5">
      <c r="A886" s="7">
        <v>3045084.549</v>
      </c>
      <c r="B886" s="7">
        <v>35401418.175</v>
      </c>
      <c r="C886" s="8">
        <v>907.26</v>
      </c>
      <c r="D886" s="11">
        <v>45384</v>
      </c>
      <c r="E886" s="26">
        <v>724.922</v>
      </c>
    </row>
    <row r="887" ht="16.5" spans="1:5">
      <c r="A887" s="7">
        <v>3045084.549</v>
      </c>
      <c r="B887" s="7">
        <v>35401418.175</v>
      </c>
      <c r="C887" s="8">
        <v>907.26</v>
      </c>
      <c r="D887" s="11">
        <v>45385</v>
      </c>
      <c r="E887" s="26">
        <v>724.686</v>
      </c>
    </row>
    <row r="888" ht="16.5" spans="1:5">
      <c r="A888" s="7">
        <v>3045084.549</v>
      </c>
      <c r="B888" s="7">
        <v>35401418.175</v>
      </c>
      <c r="C888" s="8">
        <v>907.26</v>
      </c>
      <c r="D888" s="11">
        <v>45386</v>
      </c>
      <c r="E888" s="26">
        <v>724.477</v>
      </c>
    </row>
    <row r="889" ht="16.5" spans="1:5">
      <c r="A889" s="7">
        <v>3045084.549</v>
      </c>
      <c r="B889" s="7">
        <v>35401418.175</v>
      </c>
      <c r="C889" s="8">
        <v>907.26</v>
      </c>
      <c r="D889" s="11">
        <v>45387</v>
      </c>
      <c r="E889" s="26">
        <v>724.506</v>
      </c>
    </row>
    <row r="890" ht="16.5" spans="1:5">
      <c r="A890" s="7">
        <v>3045084.549</v>
      </c>
      <c r="B890" s="7">
        <v>35401418.175</v>
      </c>
      <c r="C890" s="8">
        <v>907.26</v>
      </c>
      <c r="D890" s="11">
        <v>45388</v>
      </c>
      <c r="E890" s="26">
        <v>724.333</v>
      </c>
    </row>
    <row r="891" ht="16.5" spans="1:5">
      <c r="A891" s="7">
        <v>3045084.549</v>
      </c>
      <c r="B891" s="7">
        <v>35401418.175</v>
      </c>
      <c r="C891" s="8">
        <v>907.26</v>
      </c>
      <c r="D891" s="11">
        <v>45389</v>
      </c>
      <c r="E891" s="26">
        <v>724.232</v>
      </c>
    </row>
    <row r="892" ht="16.5" spans="1:5">
      <c r="A892" s="7">
        <v>3045084.549</v>
      </c>
      <c r="B892" s="7">
        <v>35401418.175</v>
      </c>
      <c r="C892" s="8">
        <v>907.26</v>
      </c>
      <c r="D892" s="11">
        <v>45390</v>
      </c>
      <c r="E892" s="26">
        <v>724.101</v>
      </c>
    </row>
    <row r="893" ht="16.5" spans="1:5">
      <c r="A893" s="7">
        <v>3045084.549</v>
      </c>
      <c r="B893" s="7">
        <v>35401418.175</v>
      </c>
      <c r="C893" s="8">
        <v>907.26</v>
      </c>
      <c r="D893" s="11">
        <v>45391</v>
      </c>
      <c r="E893" s="26"/>
    </row>
    <row r="894" ht="16.5" spans="1:5">
      <c r="A894" s="7">
        <v>3045084.549</v>
      </c>
      <c r="B894" s="7">
        <v>35401418.175</v>
      </c>
      <c r="C894" s="8">
        <v>907.26</v>
      </c>
      <c r="D894" s="11">
        <v>45392</v>
      </c>
      <c r="E894" s="26"/>
    </row>
    <row r="895" ht="16.5" spans="1:5">
      <c r="A895" s="7">
        <v>3045084.549</v>
      </c>
      <c r="B895" s="7">
        <v>35401418.175</v>
      </c>
      <c r="C895" s="8">
        <v>907.26</v>
      </c>
      <c r="D895" s="11">
        <v>45393</v>
      </c>
      <c r="E895" s="26"/>
    </row>
    <row r="896" ht="16.5" spans="1:5">
      <c r="A896" s="7">
        <v>3045084.549</v>
      </c>
      <c r="B896" s="7">
        <v>35401418.175</v>
      </c>
      <c r="C896" s="8">
        <v>907.26</v>
      </c>
      <c r="D896" s="11">
        <v>45394</v>
      </c>
      <c r="E896" s="26"/>
    </row>
    <row r="897" ht="16.5" spans="1:5">
      <c r="A897" s="7">
        <v>3045084.549</v>
      </c>
      <c r="B897" s="7">
        <v>35401418.175</v>
      </c>
      <c r="C897" s="8">
        <v>907.26</v>
      </c>
      <c r="D897" s="11">
        <v>45395</v>
      </c>
      <c r="E897" s="26">
        <v>723.246</v>
      </c>
    </row>
    <row r="898" ht="16.5" spans="1:5">
      <c r="A898" s="7">
        <v>3045084.549</v>
      </c>
      <c r="B898" s="7">
        <v>35401418.175</v>
      </c>
      <c r="C898" s="8">
        <v>907.26</v>
      </c>
      <c r="D898" s="11">
        <v>45396</v>
      </c>
      <c r="E898" s="26">
        <v>723.262</v>
      </c>
    </row>
    <row r="899" ht="16.5" spans="1:5">
      <c r="A899" s="7">
        <v>3045084.549</v>
      </c>
      <c r="B899" s="7">
        <v>35401418.175</v>
      </c>
      <c r="C899" s="8">
        <v>907.26</v>
      </c>
      <c r="D899" s="11">
        <v>45397</v>
      </c>
      <c r="E899" s="26">
        <v>723.228</v>
      </c>
    </row>
    <row r="900" ht="16.5" spans="1:5">
      <c r="A900" s="7">
        <v>3045084.549</v>
      </c>
      <c r="B900" s="7">
        <v>35401418.175</v>
      </c>
      <c r="C900" s="8">
        <v>907.26</v>
      </c>
      <c r="D900" s="11">
        <v>45398</v>
      </c>
      <c r="E900" s="26">
        <v>723.03</v>
      </c>
    </row>
    <row r="901" ht="16.5" spans="1:5">
      <c r="A901" s="7">
        <v>3045084.549</v>
      </c>
      <c r="B901" s="7">
        <v>35401418.175</v>
      </c>
      <c r="C901" s="8">
        <v>907.26</v>
      </c>
      <c r="D901" s="11">
        <v>45399</v>
      </c>
      <c r="E901" s="26">
        <v>722.835</v>
      </c>
    </row>
    <row r="902" ht="16.5" spans="1:5">
      <c r="A902" s="7">
        <v>3045084.549</v>
      </c>
      <c r="B902" s="7">
        <v>35401418.175</v>
      </c>
      <c r="C902" s="8">
        <v>907.26</v>
      </c>
      <c r="D902" s="11">
        <v>45400</v>
      </c>
      <c r="E902" s="26">
        <v>723.035</v>
      </c>
    </row>
    <row r="903" ht="16.5" spans="1:5">
      <c r="A903" s="7">
        <v>3045084.549</v>
      </c>
      <c r="B903" s="7">
        <v>35401418.175</v>
      </c>
      <c r="C903" s="8">
        <v>907.26</v>
      </c>
      <c r="D903" s="11">
        <v>45401</v>
      </c>
      <c r="E903" s="26">
        <v>722.79</v>
      </c>
    </row>
    <row r="904" ht="16.5" spans="1:5">
      <c r="A904" s="7">
        <v>3045084.549</v>
      </c>
      <c r="B904" s="7">
        <v>35401418.175</v>
      </c>
      <c r="C904" s="8">
        <v>907.26</v>
      </c>
      <c r="D904" s="11">
        <v>45402</v>
      </c>
      <c r="E904" s="26">
        <v>722.672</v>
      </c>
    </row>
    <row r="905" ht="16.5" spans="1:5">
      <c r="A905" s="7">
        <v>3045084.549</v>
      </c>
      <c r="B905" s="7">
        <v>35401418.175</v>
      </c>
      <c r="C905" s="8">
        <v>907.26</v>
      </c>
      <c r="D905" s="11">
        <v>45403</v>
      </c>
      <c r="E905" s="26">
        <v>722.556</v>
      </c>
    </row>
    <row r="906" ht="16.5" spans="1:5">
      <c r="A906" s="7">
        <v>3045084.549</v>
      </c>
      <c r="B906" s="7">
        <v>35401418.175</v>
      </c>
      <c r="C906" s="8">
        <v>907.26</v>
      </c>
      <c r="D906" s="11">
        <v>45404</v>
      </c>
      <c r="E906" s="26">
        <v>722.5</v>
      </c>
    </row>
    <row r="907" ht="16.5" spans="1:5">
      <c r="A907" s="7">
        <v>3045084.549</v>
      </c>
      <c r="B907" s="7">
        <v>35401418.175</v>
      </c>
      <c r="C907" s="8">
        <v>907.26</v>
      </c>
      <c r="D907" s="11">
        <v>45405</v>
      </c>
      <c r="E907" s="26">
        <v>722.426</v>
      </c>
    </row>
    <row r="908" ht="16.5" spans="1:5">
      <c r="A908" s="7">
        <v>3045084.549</v>
      </c>
      <c r="B908" s="7">
        <v>35401418.175</v>
      </c>
      <c r="C908" s="8">
        <v>907.26</v>
      </c>
      <c r="D908" s="11">
        <v>45406</v>
      </c>
      <c r="E908" s="26">
        <v>722.474</v>
      </c>
    </row>
    <row r="909" ht="16.5" spans="1:5">
      <c r="A909" s="7">
        <v>3045084.549</v>
      </c>
      <c r="B909" s="7">
        <v>35401418.175</v>
      </c>
      <c r="C909" s="8">
        <v>907.26</v>
      </c>
      <c r="D909" s="11">
        <v>45407</v>
      </c>
      <c r="E909" s="26">
        <v>722.449</v>
      </c>
    </row>
    <row r="910" ht="16.5" spans="1:5">
      <c r="A910" s="7">
        <v>3045084.549</v>
      </c>
      <c r="B910" s="7">
        <v>35401418.175</v>
      </c>
      <c r="C910" s="8">
        <v>907.26</v>
      </c>
      <c r="D910" s="11">
        <v>45408</v>
      </c>
      <c r="E910" s="26">
        <v>722.489</v>
      </c>
    </row>
    <row r="911" ht="16.5" spans="1:5">
      <c r="A911" s="7">
        <v>3045084.549</v>
      </c>
      <c r="B911" s="7">
        <v>35401418.175</v>
      </c>
      <c r="C911" s="8">
        <v>907.26</v>
      </c>
      <c r="D911" s="11">
        <v>45409</v>
      </c>
      <c r="E911" s="26">
        <v>722.306</v>
      </c>
    </row>
    <row r="912" ht="16.5" spans="1:5">
      <c r="A912" s="7">
        <v>3045084.549</v>
      </c>
      <c r="B912" s="7">
        <v>35401418.175</v>
      </c>
      <c r="C912" s="8">
        <v>907.26</v>
      </c>
      <c r="D912" s="11">
        <v>45410</v>
      </c>
      <c r="E912" s="26">
        <v>722.197</v>
      </c>
    </row>
    <row r="913" ht="16.5" spans="1:5">
      <c r="A913" s="7">
        <v>3045084.549</v>
      </c>
      <c r="B913" s="7">
        <v>35401418.175</v>
      </c>
      <c r="C913" s="8">
        <v>907.26</v>
      </c>
      <c r="D913" s="11">
        <v>45411</v>
      </c>
      <c r="E913" s="26">
        <v>722.153</v>
      </c>
    </row>
    <row r="914" ht="16.5" spans="1:5">
      <c r="A914" s="7">
        <v>3045084.549</v>
      </c>
      <c r="B914" s="7">
        <v>35401418.175</v>
      </c>
      <c r="C914" s="8">
        <v>907.26</v>
      </c>
      <c r="D914" s="11">
        <v>45412</v>
      </c>
      <c r="E914" s="26">
        <v>722.006</v>
      </c>
    </row>
    <row r="915" ht="16.5" spans="1:5">
      <c r="A915" s="7">
        <v>3045084.549</v>
      </c>
      <c r="B915" s="7">
        <v>35401418.175</v>
      </c>
      <c r="C915" s="8">
        <v>907.26</v>
      </c>
      <c r="D915" s="11">
        <v>45413</v>
      </c>
      <c r="E915" s="26">
        <v>722.091</v>
      </c>
    </row>
    <row r="916" ht="16.5" spans="1:5">
      <c r="A916" s="7">
        <v>3045084.549</v>
      </c>
      <c r="B916" s="7">
        <v>35401418.175</v>
      </c>
      <c r="C916" s="8">
        <v>907.26</v>
      </c>
      <c r="D916" s="11">
        <v>45414</v>
      </c>
      <c r="E916" s="26">
        <v>722.119</v>
      </c>
    </row>
    <row r="917" ht="16.5" spans="1:5">
      <c r="A917" s="7">
        <v>3045084.549</v>
      </c>
      <c r="B917" s="7">
        <v>35401418.175</v>
      </c>
      <c r="C917" s="8">
        <v>907.26</v>
      </c>
      <c r="D917" s="11">
        <v>45415</v>
      </c>
      <c r="E917" s="26">
        <v>722.364</v>
      </c>
    </row>
    <row r="918" ht="16.5" spans="1:5">
      <c r="A918" s="7">
        <v>3045084.549</v>
      </c>
      <c r="B918" s="7">
        <v>35401418.175</v>
      </c>
      <c r="C918" s="8">
        <v>907.26</v>
      </c>
      <c r="D918" s="11">
        <v>45416</v>
      </c>
      <c r="E918" s="26">
        <v>722.12</v>
      </c>
    </row>
    <row r="919" ht="16.5" spans="1:5">
      <c r="A919" s="7">
        <v>3045084.549</v>
      </c>
      <c r="B919" s="7">
        <v>35401418.175</v>
      </c>
      <c r="C919" s="8">
        <v>907.26</v>
      </c>
      <c r="D919" s="11">
        <v>45417</v>
      </c>
      <c r="E919" s="26">
        <v>721.896</v>
      </c>
    </row>
    <row r="920" ht="16.5" spans="1:5">
      <c r="A920" s="7">
        <v>3045084.549</v>
      </c>
      <c r="B920" s="7">
        <v>35401418.175</v>
      </c>
      <c r="C920" s="8">
        <v>907.26</v>
      </c>
      <c r="D920" s="11">
        <v>45418</v>
      </c>
      <c r="E920" s="26">
        <v>721.761</v>
      </c>
    </row>
    <row r="921" ht="16.5" spans="1:5">
      <c r="A921" s="7">
        <v>3045084.549</v>
      </c>
      <c r="B921" s="7">
        <v>35401418.175</v>
      </c>
      <c r="C921" s="8">
        <v>907.26</v>
      </c>
      <c r="D921" s="11">
        <v>45419</v>
      </c>
      <c r="E921" s="26">
        <v>721.57</v>
      </c>
    </row>
    <row r="922" ht="16.5" spans="1:5">
      <c r="A922" s="7">
        <v>3045084.549</v>
      </c>
      <c r="B922" s="7">
        <v>35401418.175</v>
      </c>
      <c r="C922" s="8">
        <v>907.26</v>
      </c>
      <c r="D922" s="11">
        <v>45420</v>
      </c>
      <c r="E922" s="26">
        <v>721.346</v>
      </c>
    </row>
    <row r="923" ht="16.5" spans="1:5">
      <c r="A923" s="7">
        <v>3045084.549</v>
      </c>
      <c r="B923" s="7">
        <v>35401418.175</v>
      </c>
      <c r="C923" s="8">
        <v>907.26</v>
      </c>
      <c r="D923" s="11">
        <v>45421</v>
      </c>
      <c r="E923" s="26">
        <v>721.204</v>
      </c>
    </row>
    <row r="924" ht="16.5" spans="1:5">
      <c r="A924" s="7">
        <v>3045084.549</v>
      </c>
      <c r="B924" s="7">
        <v>35401418.175</v>
      </c>
      <c r="C924" s="8">
        <v>907.26</v>
      </c>
      <c r="D924" s="11">
        <v>45422</v>
      </c>
      <c r="E924" s="26">
        <v>721.108</v>
      </c>
    </row>
    <row r="925" ht="16.5" spans="1:5">
      <c r="A925" s="7">
        <v>3045084.549</v>
      </c>
      <c r="B925" s="7">
        <v>35401418.175</v>
      </c>
      <c r="C925" s="8">
        <v>907.26</v>
      </c>
      <c r="D925" s="11">
        <v>45423</v>
      </c>
      <c r="E925" s="26">
        <v>720.632</v>
      </c>
    </row>
  </sheetData>
  <mergeCells count="1">
    <mergeCell ref="A1:C1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5"/>
  <sheetViews>
    <sheetView topLeftCell="A84" workbookViewId="0">
      <selection activeCell="G6" sqref="G6"/>
    </sheetView>
  </sheetViews>
  <sheetFormatPr defaultColWidth="9" defaultRowHeight="14.25" outlineLevelCol="5"/>
  <cols>
    <col min="1" max="1" width="11.375" style="2" customWidth="1"/>
    <col min="2" max="2" width="12.375" style="2" customWidth="1"/>
    <col min="3" max="3" width="19.25" customWidth="1"/>
    <col min="4" max="4" width="17.25" customWidth="1"/>
    <col min="6" max="6" width="24.875" customWidth="1"/>
  </cols>
  <sheetData>
    <row r="1" s="1" customFormat="1" ht="15" spans="1:5">
      <c r="A1" s="3" t="s">
        <v>0</v>
      </c>
      <c r="B1" s="3"/>
      <c r="C1" s="3"/>
      <c r="D1" s="1" t="s">
        <v>1</v>
      </c>
      <c r="E1" s="4"/>
    </row>
    <row r="2" s="1" customFormat="1" ht="15" spans="1:5">
      <c r="A2" s="5" t="s">
        <v>492</v>
      </c>
      <c r="B2" s="6" t="s">
        <v>3</v>
      </c>
      <c r="C2" s="1" t="s">
        <v>4</v>
      </c>
      <c r="D2" s="1" t="s">
        <v>5</v>
      </c>
      <c r="E2" s="4" t="s">
        <v>6</v>
      </c>
    </row>
    <row r="3" ht="16.5" spans="1:6">
      <c r="A3" s="7">
        <v>3044799.788</v>
      </c>
      <c r="B3" s="7">
        <v>35400795.008</v>
      </c>
      <c r="C3" s="8">
        <v>904.286</v>
      </c>
      <c r="D3" s="9" t="s">
        <v>431</v>
      </c>
      <c r="E3" s="10"/>
      <c r="F3" t="s">
        <v>3070</v>
      </c>
    </row>
    <row r="4" ht="16.5" spans="1:5">
      <c r="A4" s="7">
        <v>3044799.788</v>
      </c>
      <c r="B4" s="7">
        <v>35400795.008</v>
      </c>
      <c r="C4" s="8">
        <v>904.286</v>
      </c>
      <c r="D4" s="9" t="s">
        <v>432</v>
      </c>
      <c r="E4" s="10"/>
    </row>
    <row r="5" ht="16.5" spans="1:5">
      <c r="A5" s="7">
        <v>3044799.788</v>
      </c>
      <c r="B5" s="7">
        <v>35400795.008</v>
      </c>
      <c r="C5" s="8">
        <v>904.286</v>
      </c>
      <c r="D5" s="9" t="s">
        <v>433</v>
      </c>
      <c r="E5" s="10"/>
    </row>
    <row r="6" ht="16.5" spans="1:5">
      <c r="A6" s="7">
        <v>3044799.788</v>
      </c>
      <c r="B6" s="7">
        <v>35400795.008</v>
      </c>
      <c r="C6" s="8">
        <v>904.286</v>
      </c>
      <c r="D6" s="9" t="s">
        <v>434</v>
      </c>
      <c r="E6" s="10"/>
    </row>
    <row r="7" ht="16.5" spans="1:5">
      <c r="A7" s="7">
        <v>3044799.788</v>
      </c>
      <c r="B7" s="7">
        <v>35400795.008</v>
      </c>
      <c r="C7" s="8">
        <v>904.286</v>
      </c>
      <c r="D7" s="9" t="s">
        <v>435</v>
      </c>
      <c r="E7" s="10"/>
    </row>
    <row r="8" ht="16.5" spans="1:5">
      <c r="A8" s="7">
        <v>3044799.788</v>
      </c>
      <c r="B8" s="7">
        <v>35400795.008</v>
      </c>
      <c r="C8" s="8">
        <v>904.286</v>
      </c>
      <c r="D8" s="9" t="s">
        <v>436</v>
      </c>
      <c r="E8" s="10"/>
    </row>
    <row r="9" ht="16.5" spans="1:5">
      <c r="A9" s="7">
        <v>3044799.788</v>
      </c>
      <c r="B9" s="7">
        <v>35400795.008</v>
      </c>
      <c r="C9" s="8">
        <v>904.286</v>
      </c>
      <c r="D9" s="9" t="s">
        <v>437</v>
      </c>
      <c r="E9" s="10">
        <v>832.886</v>
      </c>
    </row>
    <row r="10" ht="16.5" spans="1:5">
      <c r="A10" s="7">
        <v>3044799.788</v>
      </c>
      <c r="B10" s="7">
        <v>35400795.008</v>
      </c>
      <c r="C10" s="8">
        <v>904.286</v>
      </c>
      <c r="D10" s="9" t="s">
        <v>438</v>
      </c>
      <c r="E10" s="10"/>
    </row>
    <row r="11" ht="16.5" spans="1:5">
      <c r="A11" s="7">
        <v>3044799.788</v>
      </c>
      <c r="B11" s="7">
        <v>35400795.008</v>
      </c>
      <c r="C11" s="8">
        <v>904.286</v>
      </c>
      <c r="D11" s="9" t="s">
        <v>439</v>
      </c>
      <c r="E11" s="10"/>
    </row>
    <row r="12" ht="16.5" spans="1:5">
      <c r="A12" s="7">
        <v>3044799.788</v>
      </c>
      <c r="B12" s="7">
        <v>35400795.008</v>
      </c>
      <c r="C12" s="8">
        <v>904.286</v>
      </c>
      <c r="D12" s="9" t="s">
        <v>440</v>
      </c>
      <c r="E12" s="10"/>
    </row>
    <row r="13" ht="16.5" spans="1:5">
      <c r="A13" s="7">
        <v>3044799.788</v>
      </c>
      <c r="B13" s="7">
        <v>35400795.008</v>
      </c>
      <c r="C13" s="8">
        <v>904.286</v>
      </c>
      <c r="D13" s="9" t="s">
        <v>441</v>
      </c>
      <c r="E13" s="10"/>
    </row>
    <row r="14" ht="16.5" spans="1:5">
      <c r="A14" s="7">
        <v>3044799.788</v>
      </c>
      <c r="B14" s="7">
        <v>35400795.008</v>
      </c>
      <c r="C14" s="8">
        <v>904.286</v>
      </c>
      <c r="D14" s="9" t="s">
        <v>442</v>
      </c>
      <c r="E14" s="10"/>
    </row>
    <row r="15" ht="16.5" spans="1:5">
      <c r="A15" s="7">
        <v>3044799.788</v>
      </c>
      <c r="B15" s="7">
        <v>35400795.008</v>
      </c>
      <c r="C15" s="8">
        <v>904.286</v>
      </c>
      <c r="D15" s="9" t="s">
        <v>443</v>
      </c>
      <c r="E15" s="10"/>
    </row>
    <row r="16" ht="16.5" spans="1:5">
      <c r="A16" s="7">
        <v>3044799.788</v>
      </c>
      <c r="B16" s="7">
        <v>35400795.008</v>
      </c>
      <c r="C16" s="8">
        <v>904.286</v>
      </c>
      <c r="D16" s="9" t="s">
        <v>444</v>
      </c>
      <c r="E16" s="10"/>
    </row>
    <row r="17" ht="16.5" spans="1:5">
      <c r="A17" s="7">
        <v>3044799.788</v>
      </c>
      <c r="B17" s="7">
        <v>35400795.008</v>
      </c>
      <c r="C17" s="8">
        <v>904.286</v>
      </c>
      <c r="D17" s="9" t="s">
        <v>445</v>
      </c>
      <c r="E17" s="10"/>
    </row>
    <row r="18" ht="16.5" spans="1:5">
      <c r="A18" s="7">
        <v>3044799.788</v>
      </c>
      <c r="B18" s="7">
        <v>35400795.008</v>
      </c>
      <c r="C18" s="8">
        <v>904.286</v>
      </c>
      <c r="D18" s="9" t="s">
        <v>446</v>
      </c>
      <c r="E18" s="10"/>
    </row>
    <row r="19" ht="16.5" spans="1:5">
      <c r="A19" s="7">
        <v>3044799.788</v>
      </c>
      <c r="B19" s="7">
        <v>35400795.008</v>
      </c>
      <c r="C19" s="8">
        <v>904.286</v>
      </c>
      <c r="D19" s="9" t="s">
        <v>447</v>
      </c>
      <c r="E19" s="10">
        <v>830.486</v>
      </c>
    </row>
    <row r="20" ht="16.5" spans="1:5">
      <c r="A20" s="7">
        <v>3044799.788</v>
      </c>
      <c r="B20" s="7">
        <v>35400795.008</v>
      </c>
      <c r="C20" s="8">
        <v>904.286</v>
      </c>
      <c r="D20" s="9" t="s">
        <v>448</v>
      </c>
      <c r="E20" s="10"/>
    </row>
    <row r="21" ht="16.5" spans="1:5">
      <c r="A21" s="7">
        <v>3044799.788</v>
      </c>
      <c r="B21" s="7">
        <v>35400795.008</v>
      </c>
      <c r="C21" s="8">
        <v>904.286</v>
      </c>
      <c r="D21" s="9" t="s">
        <v>449</v>
      </c>
      <c r="E21" s="10"/>
    </row>
    <row r="22" ht="16.5" spans="1:5">
      <c r="A22" s="7">
        <v>3044799.788</v>
      </c>
      <c r="B22" s="7">
        <v>35400795.008</v>
      </c>
      <c r="C22" s="8">
        <v>904.286</v>
      </c>
      <c r="D22" s="9" t="s">
        <v>450</v>
      </c>
      <c r="E22" s="10"/>
    </row>
    <row r="23" ht="16.5" spans="1:5">
      <c r="A23" s="7">
        <v>3044799.788</v>
      </c>
      <c r="B23" s="7">
        <v>35400795.008</v>
      </c>
      <c r="C23" s="8">
        <v>904.286</v>
      </c>
      <c r="D23" s="9" t="s">
        <v>451</v>
      </c>
      <c r="E23" s="10"/>
    </row>
    <row r="24" ht="16.5" spans="1:5">
      <c r="A24" s="7">
        <v>3044799.788</v>
      </c>
      <c r="B24" s="7">
        <v>35400795.008</v>
      </c>
      <c r="C24" s="8">
        <v>904.286</v>
      </c>
      <c r="D24" s="9" t="s">
        <v>452</v>
      </c>
      <c r="E24" s="10">
        <v>825.6</v>
      </c>
    </row>
    <row r="25" ht="16.5" spans="1:5">
      <c r="A25" s="7">
        <v>3044799.788</v>
      </c>
      <c r="B25" s="7">
        <v>35400795.008</v>
      </c>
      <c r="C25" s="8">
        <v>904.286</v>
      </c>
      <c r="D25" s="9" t="s">
        <v>453</v>
      </c>
      <c r="E25" s="10"/>
    </row>
    <row r="26" ht="16.5" spans="1:5">
      <c r="A26" s="7">
        <v>3044799.788</v>
      </c>
      <c r="B26" s="7">
        <v>35400795.008</v>
      </c>
      <c r="C26" s="8">
        <v>904.286</v>
      </c>
      <c r="D26" s="9" t="s">
        <v>454</v>
      </c>
      <c r="E26" s="10"/>
    </row>
    <row r="27" ht="16.5" spans="1:5">
      <c r="A27" s="7">
        <v>3044799.788</v>
      </c>
      <c r="B27" s="7">
        <v>35400795.008</v>
      </c>
      <c r="C27" s="8">
        <v>904.286</v>
      </c>
      <c r="D27" s="9" t="s">
        <v>455</v>
      </c>
      <c r="E27" s="10"/>
    </row>
    <row r="28" ht="16.5" spans="1:5">
      <c r="A28" s="7">
        <v>3044799.788</v>
      </c>
      <c r="B28" s="7">
        <v>35400795.008</v>
      </c>
      <c r="C28" s="8">
        <v>904.286</v>
      </c>
      <c r="D28" s="9" t="s">
        <v>456</v>
      </c>
      <c r="E28" s="10"/>
    </row>
    <row r="29" ht="16.5" spans="1:5">
      <c r="A29" s="7">
        <v>3044799.788</v>
      </c>
      <c r="B29" s="7">
        <v>35400795.008</v>
      </c>
      <c r="C29" s="8">
        <v>904.286</v>
      </c>
      <c r="D29" s="9" t="s">
        <v>457</v>
      </c>
      <c r="E29" s="10"/>
    </row>
    <row r="30" ht="16.5" spans="1:5">
      <c r="A30" s="7">
        <v>3044799.788</v>
      </c>
      <c r="B30" s="7">
        <v>35400795.008</v>
      </c>
      <c r="C30" s="8">
        <v>904.286</v>
      </c>
      <c r="D30" s="9" t="s">
        <v>458</v>
      </c>
      <c r="E30" s="10"/>
    </row>
    <row r="31" ht="16.5" spans="1:5">
      <c r="A31" s="7">
        <v>3044799.788</v>
      </c>
      <c r="B31" s="7">
        <v>35400795.008</v>
      </c>
      <c r="C31" s="8">
        <v>904.286</v>
      </c>
      <c r="D31" s="9" t="s">
        <v>459</v>
      </c>
      <c r="E31" s="10">
        <v>829.266</v>
      </c>
    </row>
    <row r="32" ht="16.5" spans="1:5">
      <c r="A32" s="7">
        <v>3044799.788</v>
      </c>
      <c r="B32" s="7">
        <v>35400795.008</v>
      </c>
      <c r="C32" s="8">
        <v>904.286</v>
      </c>
      <c r="D32" s="9" t="s">
        <v>460</v>
      </c>
      <c r="E32" s="10"/>
    </row>
    <row r="33" ht="16.5" spans="1:5">
      <c r="A33" s="7">
        <v>3044799.788</v>
      </c>
      <c r="B33" s="7">
        <v>35400795.008</v>
      </c>
      <c r="C33" s="8">
        <v>904.286</v>
      </c>
      <c r="D33" s="9" t="s">
        <v>461</v>
      </c>
      <c r="E33" s="10"/>
    </row>
    <row r="34" ht="16.5" spans="1:5">
      <c r="A34" s="7">
        <v>3044799.788</v>
      </c>
      <c r="B34" s="7">
        <v>35400795.008</v>
      </c>
      <c r="C34" s="8">
        <v>904.286</v>
      </c>
      <c r="D34" s="9" t="s">
        <v>462</v>
      </c>
      <c r="E34" s="10"/>
    </row>
    <row r="35" ht="16.5" spans="1:5">
      <c r="A35" s="7">
        <v>3044799.788</v>
      </c>
      <c r="B35" s="7">
        <v>35400795.008</v>
      </c>
      <c r="C35" s="8">
        <v>904.286</v>
      </c>
      <c r="D35" s="9" t="s">
        <v>463</v>
      </c>
      <c r="E35" s="10">
        <v>829.966</v>
      </c>
    </row>
    <row r="36" ht="16.5" spans="1:5">
      <c r="A36" s="7">
        <v>3044799.788</v>
      </c>
      <c r="B36" s="7">
        <v>35400795.008</v>
      </c>
      <c r="C36" s="8">
        <v>904.286</v>
      </c>
      <c r="D36" s="9" t="s">
        <v>464</v>
      </c>
      <c r="E36" s="10">
        <v>830.066</v>
      </c>
    </row>
    <row r="37" ht="16.5" spans="1:5">
      <c r="A37" s="7">
        <v>3044799.788</v>
      </c>
      <c r="B37" s="7">
        <v>35400795.008</v>
      </c>
      <c r="C37" s="8">
        <v>904.286</v>
      </c>
      <c r="D37" s="9" t="s">
        <v>465</v>
      </c>
      <c r="E37" s="10"/>
    </row>
    <row r="38" ht="16.5" spans="1:5">
      <c r="A38" s="7">
        <v>3044799.788</v>
      </c>
      <c r="B38" s="7">
        <v>35400795.008</v>
      </c>
      <c r="C38" s="8">
        <v>904.286</v>
      </c>
      <c r="D38" s="9" t="s">
        <v>466</v>
      </c>
      <c r="E38" s="10">
        <v>829.846</v>
      </c>
    </row>
    <row r="39" ht="16.5" spans="1:5">
      <c r="A39" s="7">
        <v>3044799.788</v>
      </c>
      <c r="B39" s="7">
        <v>35400795.008</v>
      </c>
      <c r="C39" s="8">
        <v>904.286</v>
      </c>
      <c r="D39" s="9" t="s">
        <v>467</v>
      </c>
      <c r="E39" s="10"/>
    </row>
    <row r="40" ht="16.5" spans="1:5">
      <c r="A40" s="7">
        <v>3044799.788</v>
      </c>
      <c r="B40" s="7">
        <v>35400795.008</v>
      </c>
      <c r="C40" s="8">
        <v>904.286</v>
      </c>
      <c r="D40" s="9" t="s">
        <v>468</v>
      </c>
      <c r="E40" s="10">
        <v>830.176</v>
      </c>
    </row>
    <row r="41" ht="16.5" spans="1:5">
      <c r="A41" s="7">
        <v>3044799.788</v>
      </c>
      <c r="B41" s="7">
        <v>35400795.008</v>
      </c>
      <c r="C41" s="8">
        <v>904.286</v>
      </c>
      <c r="D41" s="9" t="s">
        <v>469</v>
      </c>
      <c r="E41" s="10">
        <v>829.916</v>
      </c>
    </row>
    <row r="42" ht="16.5" spans="1:5">
      <c r="A42" s="7">
        <v>3044799.788</v>
      </c>
      <c r="B42" s="7">
        <v>35400795.008</v>
      </c>
      <c r="C42" s="8">
        <v>904.286</v>
      </c>
      <c r="D42" s="9" t="s">
        <v>470</v>
      </c>
      <c r="E42" s="10">
        <v>829.096</v>
      </c>
    </row>
    <row r="43" ht="16.5" spans="1:5">
      <c r="A43" s="7">
        <v>3044799.788</v>
      </c>
      <c r="B43" s="7">
        <v>35400795.008</v>
      </c>
      <c r="C43" s="8">
        <v>904.286</v>
      </c>
      <c r="D43" s="9" t="s">
        <v>471</v>
      </c>
      <c r="E43" s="10">
        <v>829.266</v>
      </c>
    </row>
    <row r="44" ht="16.5" spans="1:5">
      <c r="A44" s="7">
        <v>3044799.788</v>
      </c>
      <c r="B44" s="7">
        <v>35400795.008</v>
      </c>
      <c r="C44" s="8">
        <v>904.286</v>
      </c>
      <c r="D44" s="9" t="s">
        <v>472</v>
      </c>
      <c r="E44" s="10">
        <v>830.556</v>
      </c>
    </row>
    <row r="45" ht="16.5" spans="1:5">
      <c r="A45" s="7">
        <v>3044799.788</v>
      </c>
      <c r="B45" s="7">
        <v>35400795.008</v>
      </c>
      <c r="C45" s="8">
        <v>904.286</v>
      </c>
      <c r="D45" s="9" t="s">
        <v>473</v>
      </c>
      <c r="E45" s="10">
        <v>830.506</v>
      </c>
    </row>
    <row r="46" ht="16.5" spans="1:5">
      <c r="A46" s="7">
        <v>3044799.788</v>
      </c>
      <c r="B46" s="7">
        <v>35400795.008</v>
      </c>
      <c r="C46" s="8">
        <v>904.286</v>
      </c>
      <c r="D46" s="9" t="s">
        <v>474</v>
      </c>
      <c r="E46" s="10">
        <v>831.026</v>
      </c>
    </row>
    <row r="47" ht="16.5" spans="1:5">
      <c r="A47" s="7">
        <v>3044799.788</v>
      </c>
      <c r="B47" s="7">
        <v>35400795.008</v>
      </c>
      <c r="C47" s="8">
        <v>904.286</v>
      </c>
      <c r="D47" s="9" t="s">
        <v>475</v>
      </c>
      <c r="E47" s="10">
        <v>831.396</v>
      </c>
    </row>
    <row r="48" ht="16.5" spans="1:5">
      <c r="A48" s="7">
        <v>3044799.788</v>
      </c>
      <c r="B48" s="7">
        <v>35400795.008</v>
      </c>
      <c r="C48" s="8">
        <v>904.286</v>
      </c>
      <c r="D48" s="9" t="s">
        <v>476</v>
      </c>
      <c r="E48" s="10">
        <v>830.816</v>
      </c>
    </row>
    <row r="49" ht="16.5" spans="1:5">
      <c r="A49" s="7">
        <v>3044799.788</v>
      </c>
      <c r="B49" s="7">
        <v>35400795.008</v>
      </c>
      <c r="C49" s="8">
        <v>904.286</v>
      </c>
      <c r="D49" s="9" t="s">
        <v>477</v>
      </c>
      <c r="E49" s="10">
        <v>830.816</v>
      </c>
    </row>
    <row r="50" ht="16.5" spans="1:5">
      <c r="A50" s="7">
        <v>3044799.788</v>
      </c>
      <c r="B50" s="7">
        <v>35400795.008</v>
      </c>
      <c r="C50" s="8">
        <v>904.286</v>
      </c>
      <c r="D50" s="9" t="s">
        <v>478</v>
      </c>
      <c r="E50" s="10">
        <v>830.666</v>
      </c>
    </row>
    <row r="51" ht="16.5" spans="1:5">
      <c r="A51" s="7">
        <v>3044799.788</v>
      </c>
      <c r="B51" s="7">
        <v>35400795.008</v>
      </c>
      <c r="C51" s="8">
        <v>904.286</v>
      </c>
      <c r="D51" s="9" t="s">
        <v>479</v>
      </c>
      <c r="E51" s="10">
        <v>830.806</v>
      </c>
    </row>
    <row r="52" ht="16.5" spans="1:5">
      <c r="A52" s="7">
        <v>3044799.788</v>
      </c>
      <c r="B52" s="7">
        <v>35400795.008</v>
      </c>
      <c r="C52" s="8">
        <v>904.286</v>
      </c>
      <c r="D52" s="9" t="s">
        <v>480</v>
      </c>
      <c r="E52" s="10">
        <v>830.766</v>
      </c>
    </row>
    <row r="53" ht="16.5" spans="1:5">
      <c r="A53" s="7">
        <v>3044799.788</v>
      </c>
      <c r="B53" s="7">
        <v>35400795.008</v>
      </c>
      <c r="C53" s="8">
        <v>904.286</v>
      </c>
      <c r="D53" s="9" t="s">
        <v>481</v>
      </c>
      <c r="E53" s="10">
        <v>830.536</v>
      </c>
    </row>
    <row r="54" ht="16.5" spans="1:5">
      <c r="A54" s="7">
        <v>3044799.788</v>
      </c>
      <c r="B54" s="7">
        <v>35400795.008</v>
      </c>
      <c r="C54" s="8">
        <v>904.286</v>
      </c>
      <c r="D54" s="9" t="s">
        <v>482</v>
      </c>
      <c r="E54" s="10">
        <v>830.416</v>
      </c>
    </row>
    <row r="55" ht="16.5" spans="1:5">
      <c r="A55" s="7">
        <v>3044799.788</v>
      </c>
      <c r="B55" s="7">
        <v>35400795.008</v>
      </c>
      <c r="C55" s="8">
        <v>904.286</v>
      </c>
      <c r="D55" s="9" t="s">
        <v>483</v>
      </c>
      <c r="E55" s="10">
        <v>830.676</v>
      </c>
    </row>
    <row r="56" ht="16.5" spans="1:5">
      <c r="A56" s="7">
        <v>3044799.788</v>
      </c>
      <c r="B56" s="7">
        <v>35400795.008</v>
      </c>
      <c r="C56" s="8">
        <v>904.286</v>
      </c>
      <c r="D56" s="9" t="s">
        <v>484</v>
      </c>
      <c r="E56" s="10">
        <v>830.536</v>
      </c>
    </row>
    <row r="57" ht="16.5" spans="1:5">
      <c r="A57" s="7">
        <v>3044799.788</v>
      </c>
      <c r="B57" s="7">
        <v>35400795.008</v>
      </c>
      <c r="C57" s="8">
        <v>904.286</v>
      </c>
      <c r="D57" s="9" t="s">
        <v>485</v>
      </c>
      <c r="E57" s="10">
        <v>830.656</v>
      </c>
    </row>
    <row r="58" ht="16.5" spans="1:5">
      <c r="A58" s="7">
        <v>3044799.788</v>
      </c>
      <c r="B58" s="7">
        <v>35400795.008</v>
      </c>
      <c r="C58" s="8">
        <v>904.286</v>
      </c>
      <c r="D58" s="9" t="s">
        <v>486</v>
      </c>
      <c r="E58" s="10">
        <v>830.616</v>
      </c>
    </row>
    <row r="59" ht="16.5" spans="1:5">
      <c r="A59" s="7">
        <v>3044799.788</v>
      </c>
      <c r="B59" s="7">
        <v>35400795.008</v>
      </c>
      <c r="C59" s="8">
        <v>904.286</v>
      </c>
      <c r="D59" s="9" t="s">
        <v>487</v>
      </c>
      <c r="E59" s="10">
        <v>830.666</v>
      </c>
    </row>
    <row r="60" ht="16.5" spans="1:5">
      <c r="A60" s="7">
        <v>3044799.788</v>
      </c>
      <c r="B60" s="7">
        <v>35400795.008</v>
      </c>
      <c r="C60" s="8">
        <v>904.286</v>
      </c>
      <c r="D60" s="9" t="s">
        <v>488</v>
      </c>
      <c r="E60" s="10">
        <v>830.406</v>
      </c>
    </row>
    <row r="61" ht="16.5" spans="1:5">
      <c r="A61" s="7">
        <v>3044799.788</v>
      </c>
      <c r="B61" s="7">
        <v>35400795.008</v>
      </c>
      <c r="C61" s="8">
        <v>904.286</v>
      </c>
      <c r="D61" s="9" t="s">
        <v>489</v>
      </c>
      <c r="E61" s="10">
        <v>830.496</v>
      </c>
    </row>
    <row r="62" ht="16.5" spans="1:5">
      <c r="A62" s="7">
        <v>3044799.788</v>
      </c>
      <c r="B62" s="7">
        <v>35400795.008</v>
      </c>
      <c r="C62" s="8">
        <v>904.286</v>
      </c>
      <c r="D62" s="9" t="s">
        <v>490</v>
      </c>
      <c r="E62" s="10">
        <v>830.026</v>
      </c>
    </row>
    <row r="63" ht="16.5" spans="1:5">
      <c r="A63" s="7">
        <v>3044799.788</v>
      </c>
      <c r="B63" s="7">
        <v>35400795.008</v>
      </c>
      <c r="C63" s="8">
        <v>904.286</v>
      </c>
      <c r="D63" s="9" t="s">
        <v>491</v>
      </c>
      <c r="E63" s="10">
        <v>830.366</v>
      </c>
    </row>
    <row r="64" ht="16.5" spans="1:5">
      <c r="A64" s="7">
        <v>3044799.788</v>
      </c>
      <c r="B64" s="7">
        <v>35400795.008</v>
      </c>
      <c r="C64" s="8">
        <v>904.286</v>
      </c>
      <c r="D64" s="11">
        <v>44682</v>
      </c>
      <c r="E64" s="10">
        <v>830.446</v>
      </c>
    </row>
    <row r="65" ht="16.5" spans="1:5">
      <c r="A65" s="7">
        <v>3044799.788</v>
      </c>
      <c r="B65" s="7">
        <v>35400795.008</v>
      </c>
      <c r="C65" s="8">
        <v>904.286</v>
      </c>
      <c r="D65" s="11">
        <v>44683</v>
      </c>
      <c r="E65" s="10"/>
    </row>
    <row r="66" ht="16.5" spans="1:5">
      <c r="A66" s="7">
        <v>3044799.788</v>
      </c>
      <c r="B66" s="7">
        <v>35400795.008</v>
      </c>
      <c r="C66" s="8">
        <v>904.286</v>
      </c>
      <c r="D66" s="11">
        <v>44684</v>
      </c>
      <c r="E66" s="10"/>
    </row>
    <row r="67" ht="16.5" spans="1:5">
      <c r="A67" s="7">
        <v>3044799.788</v>
      </c>
      <c r="B67" s="7">
        <v>35400795.008</v>
      </c>
      <c r="C67" s="8">
        <v>904.286</v>
      </c>
      <c r="D67" s="11">
        <v>44685</v>
      </c>
      <c r="E67" s="10">
        <v>830.076</v>
      </c>
    </row>
    <row r="68" ht="16.5" spans="1:5">
      <c r="A68" s="7">
        <v>3044799.788</v>
      </c>
      <c r="B68" s="7">
        <v>35400795.008</v>
      </c>
      <c r="C68" s="8">
        <v>904.286</v>
      </c>
      <c r="D68" s="11">
        <v>44686</v>
      </c>
      <c r="E68" s="10"/>
    </row>
    <row r="69" ht="16.5" spans="1:5">
      <c r="A69" s="7">
        <v>3044799.788</v>
      </c>
      <c r="B69" s="7">
        <v>35400795.008</v>
      </c>
      <c r="C69" s="8">
        <v>904.286</v>
      </c>
      <c r="D69" s="11">
        <v>44687</v>
      </c>
      <c r="E69" s="10"/>
    </row>
    <row r="70" ht="16.5" spans="1:5">
      <c r="A70" s="7">
        <v>3044799.788</v>
      </c>
      <c r="B70" s="7">
        <v>35400795.008</v>
      </c>
      <c r="C70" s="8">
        <v>904.286</v>
      </c>
      <c r="D70" s="11">
        <v>44688</v>
      </c>
      <c r="E70" s="10">
        <v>829.936</v>
      </c>
    </row>
    <row r="71" ht="16.5" spans="1:5">
      <c r="A71" s="7">
        <v>3044799.788</v>
      </c>
      <c r="B71" s="7">
        <v>35400795.008</v>
      </c>
      <c r="C71" s="8">
        <v>904.286</v>
      </c>
      <c r="D71" s="11">
        <v>44689</v>
      </c>
      <c r="E71" s="10"/>
    </row>
    <row r="72" ht="16.5" spans="1:5">
      <c r="A72" s="7">
        <v>3044799.788</v>
      </c>
      <c r="B72" s="7">
        <v>35400795.008</v>
      </c>
      <c r="C72" s="8">
        <v>904.286</v>
      </c>
      <c r="D72" s="11">
        <v>44690</v>
      </c>
      <c r="E72" s="10"/>
    </row>
    <row r="73" ht="16.5" spans="1:5">
      <c r="A73" s="7">
        <v>3044799.788</v>
      </c>
      <c r="B73" s="7">
        <v>35400795.008</v>
      </c>
      <c r="C73" s="8">
        <v>904.286</v>
      </c>
      <c r="D73" s="11">
        <v>44691</v>
      </c>
      <c r="E73" s="10">
        <v>829.406</v>
      </c>
    </row>
    <row r="74" ht="16.5" spans="1:5">
      <c r="A74" s="7">
        <v>3044799.788</v>
      </c>
      <c r="B74" s="7">
        <v>35400795.008</v>
      </c>
      <c r="C74" s="8">
        <v>904.286</v>
      </c>
      <c r="D74" s="11">
        <v>44692</v>
      </c>
      <c r="E74" s="10">
        <v>829.166</v>
      </c>
    </row>
    <row r="75" ht="16.5" spans="1:5">
      <c r="A75" s="7">
        <v>3044799.788</v>
      </c>
      <c r="B75" s="7">
        <v>35400795.008</v>
      </c>
      <c r="C75" s="8">
        <v>904.286</v>
      </c>
      <c r="D75" s="11">
        <v>44693</v>
      </c>
      <c r="E75" s="10">
        <v>828.986</v>
      </c>
    </row>
    <row r="76" ht="16.5" spans="1:5">
      <c r="A76" s="7">
        <v>3044799.788</v>
      </c>
      <c r="B76" s="7">
        <v>35400795.008</v>
      </c>
      <c r="C76" s="8">
        <v>904.286</v>
      </c>
      <c r="D76" s="11">
        <v>44694</v>
      </c>
      <c r="E76" s="10">
        <v>829.396</v>
      </c>
    </row>
    <row r="77" ht="16.5" spans="1:5">
      <c r="A77" s="7">
        <v>3044799.788</v>
      </c>
      <c r="B77" s="7">
        <v>35400795.008</v>
      </c>
      <c r="C77" s="8">
        <v>904.286</v>
      </c>
      <c r="D77" s="11">
        <v>44695</v>
      </c>
      <c r="E77" s="10">
        <v>829.986</v>
      </c>
    </row>
    <row r="78" ht="16.5" spans="1:5">
      <c r="A78" s="7">
        <v>3044799.788</v>
      </c>
      <c r="B78" s="7">
        <v>35400795.008</v>
      </c>
      <c r="C78" s="8">
        <v>904.286</v>
      </c>
      <c r="D78" s="11">
        <v>44696</v>
      </c>
      <c r="E78" s="10">
        <v>829.746</v>
      </c>
    </row>
    <row r="79" ht="16.5" spans="1:5">
      <c r="A79" s="7">
        <v>3044799.788</v>
      </c>
      <c r="B79" s="7">
        <v>35400795.008</v>
      </c>
      <c r="C79" s="8">
        <v>904.286</v>
      </c>
      <c r="D79" s="11">
        <v>44697</v>
      </c>
      <c r="E79" s="10">
        <v>829.626</v>
      </c>
    </row>
    <row r="80" ht="16.5" spans="1:5">
      <c r="A80" s="7">
        <v>3044799.788</v>
      </c>
      <c r="B80" s="7">
        <v>35400795.008</v>
      </c>
      <c r="C80" s="8">
        <v>904.286</v>
      </c>
      <c r="D80" s="11">
        <v>44698</v>
      </c>
      <c r="E80" s="10">
        <v>829.986</v>
      </c>
    </row>
    <row r="81" ht="16.5" spans="1:5">
      <c r="A81" s="7">
        <v>3044799.788</v>
      </c>
      <c r="B81" s="7">
        <v>35400795.008</v>
      </c>
      <c r="C81" s="8">
        <v>904.286</v>
      </c>
      <c r="D81" s="11">
        <v>44699</v>
      </c>
      <c r="E81" s="10">
        <v>829.756</v>
      </c>
    </row>
    <row r="82" ht="16.5" spans="1:5">
      <c r="A82" s="7">
        <v>3044799.788</v>
      </c>
      <c r="B82" s="7">
        <v>35400795.008</v>
      </c>
      <c r="C82" s="8">
        <v>904.286</v>
      </c>
      <c r="D82" s="11">
        <v>44700</v>
      </c>
      <c r="E82" s="10">
        <v>829.936</v>
      </c>
    </row>
    <row r="83" ht="16.5" spans="1:5">
      <c r="A83" s="7">
        <v>3044799.788</v>
      </c>
      <c r="B83" s="7">
        <v>35400795.008</v>
      </c>
      <c r="C83" s="8">
        <v>904.286</v>
      </c>
      <c r="D83" s="11">
        <v>44701</v>
      </c>
      <c r="E83" s="10">
        <v>829.886</v>
      </c>
    </row>
    <row r="84" ht="16.5" spans="1:5">
      <c r="A84" s="7">
        <v>3044799.788</v>
      </c>
      <c r="B84" s="7">
        <v>35400795.008</v>
      </c>
      <c r="C84" s="8">
        <v>904.286</v>
      </c>
      <c r="D84" s="11">
        <v>44702</v>
      </c>
      <c r="E84" s="10">
        <v>829.256</v>
      </c>
    </row>
    <row r="85" ht="16.5" spans="1:5">
      <c r="A85" s="7">
        <v>3044799.788</v>
      </c>
      <c r="B85" s="7">
        <v>35400795.008</v>
      </c>
      <c r="C85" s="8">
        <v>904.286</v>
      </c>
      <c r="D85" s="11">
        <v>44703</v>
      </c>
      <c r="E85" s="10">
        <v>829.666</v>
      </c>
    </row>
    <row r="86" ht="16.5" spans="1:5">
      <c r="A86" s="7">
        <v>3044799.788</v>
      </c>
      <c r="B86" s="7">
        <v>35400795.008</v>
      </c>
      <c r="C86" s="8">
        <v>904.286</v>
      </c>
      <c r="D86" s="11">
        <v>44704</v>
      </c>
      <c r="E86" s="10">
        <v>829.666</v>
      </c>
    </row>
    <row r="87" ht="16.5" spans="1:5">
      <c r="A87" s="7">
        <v>3044799.788</v>
      </c>
      <c r="B87" s="7">
        <v>35400795.008</v>
      </c>
      <c r="C87" s="8">
        <v>904.286</v>
      </c>
      <c r="D87" s="11">
        <v>44705</v>
      </c>
      <c r="E87" s="10"/>
    </row>
    <row r="88" ht="16.5" spans="1:5">
      <c r="A88" s="7">
        <v>3044799.788</v>
      </c>
      <c r="B88" s="7">
        <v>35400795.008</v>
      </c>
      <c r="C88" s="8">
        <v>904.286</v>
      </c>
      <c r="D88" s="11">
        <v>44706</v>
      </c>
      <c r="E88" s="10">
        <v>829.126</v>
      </c>
    </row>
    <row r="89" ht="16.5" spans="1:5">
      <c r="A89" s="7">
        <v>3044799.788</v>
      </c>
      <c r="B89" s="7">
        <v>35400795.008</v>
      </c>
      <c r="C89" s="8">
        <v>904.286</v>
      </c>
      <c r="D89" s="11">
        <v>44707</v>
      </c>
      <c r="E89" s="10">
        <v>829.256</v>
      </c>
    </row>
    <row r="90" ht="16.5" spans="1:5">
      <c r="A90" s="7">
        <v>3044799.788</v>
      </c>
      <c r="B90" s="7">
        <v>35400795.008</v>
      </c>
      <c r="C90" s="8">
        <v>904.286</v>
      </c>
      <c r="D90" s="11">
        <v>44708</v>
      </c>
      <c r="E90" s="10">
        <v>829.196</v>
      </c>
    </row>
    <row r="91" ht="16.5" spans="1:5">
      <c r="A91" s="7">
        <v>3044799.788</v>
      </c>
      <c r="B91" s="7">
        <v>35400795.008</v>
      </c>
      <c r="C91" s="8">
        <v>904.286</v>
      </c>
      <c r="D91" s="11">
        <v>44709</v>
      </c>
      <c r="E91" s="10">
        <v>829.256</v>
      </c>
    </row>
    <row r="92" ht="16.5" spans="1:5">
      <c r="A92" s="7">
        <v>3044799.788</v>
      </c>
      <c r="B92" s="7">
        <v>35400795.008</v>
      </c>
      <c r="C92" s="8">
        <v>904.286</v>
      </c>
      <c r="D92" s="11">
        <v>44710</v>
      </c>
      <c r="E92" s="10">
        <v>829.166</v>
      </c>
    </row>
    <row r="93" ht="16.5" spans="1:5">
      <c r="A93" s="7">
        <v>3044799.788</v>
      </c>
      <c r="B93" s="7">
        <v>35400795.008</v>
      </c>
      <c r="C93" s="8">
        <v>904.286</v>
      </c>
      <c r="D93" s="11">
        <v>44711</v>
      </c>
      <c r="E93" s="10">
        <v>828.936</v>
      </c>
    </row>
    <row r="94" ht="16.5" spans="1:5">
      <c r="A94" s="7">
        <v>3044799.788</v>
      </c>
      <c r="B94" s="7">
        <v>35400795.008</v>
      </c>
      <c r="C94" s="8">
        <v>904.286</v>
      </c>
      <c r="D94" s="11">
        <v>44712</v>
      </c>
      <c r="E94" s="10">
        <v>828.976</v>
      </c>
    </row>
    <row r="95" ht="16.5" spans="1:5">
      <c r="A95" s="7">
        <v>3044799.788</v>
      </c>
      <c r="B95" s="7">
        <v>35400795.008</v>
      </c>
      <c r="C95" s="8">
        <v>904.286</v>
      </c>
      <c r="D95" s="11">
        <v>44713</v>
      </c>
      <c r="E95" s="10"/>
    </row>
    <row r="96" ht="16.5" spans="1:5">
      <c r="A96" s="7">
        <v>3044799.788</v>
      </c>
      <c r="B96" s="7">
        <v>35400795.008</v>
      </c>
      <c r="C96" s="8">
        <v>904.286</v>
      </c>
      <c r="D96" s="11">
        <v>44714</v>
      </c>
      <c r="E96" s="10">
        <v>829.416</v>
      </c>
    </row>
    <row r="97" ht="16.5" spans="1:5">
      <c r="A97" s="7">
        <v>3044799.788</v>
      </c>
      <c r="B97" s="7">
        <v>35400795.008</v>
      </c>
      <c r="C97" s="8">
        <v>904.286</v>
      </c>
      <c r="D97" s="11">
        <v>44715</v>
      </c>
      <c r="E97" s="10">
        <v>829.546</v>
      </c>
    </row>
    <row r="98" ht="16.5" spans="1:5">
      <c r="A98" s="7">
        <v>3044799.788</v>
      </c>
      <c r="B98" s="7">
        <v>35400795.008</v>
      </c>
      <c r="C98" s="8">
        <v>904.286</v>
      </c>
      <c r="D98" s="11">
        <v>44716</v>
      </c>
      <c r="E98" s="10"/>
    </row>
    <row r="99" ht="16.5" spans="1:5">
      <c r="A99" s="7">
        <v>3044799.788</v>
      </c>
      <c r="B99" s="7">
        <v>35400795.008</v>
      </c>
      <c r="C99" s="8">
        <v>904.286</v>
      </c>
      <c r="D99" s="11">
        <v>44717</v>
      </c>
      <c r="E99" s="10">
        <v>829.476</v>
      </c>
    </row>
    <row r="100" ht="16.5" spans="1:5">
      <c r="A100" s="7">
        <v>3044799.788</v>
      </c>
      <c r="B100" s="7">
        <v>35400795.008</v>
      </c>
      <c r="C100" s="8">
        <v>904.286</v>
      </c>
      <c r="D100" s="11">
        <v>44718</v>
      </c>
      <c r="E100" s="10"/>
    </row>
    <row r="101" ht="16.5" spans="1:5">
      <c r="A101" s="7">
        <v>3044799.788</v>
      </c>
      <c r="B101" s="7">
        <v>35400795.008</v>
      </c>
      <c r="C101" s="8">
        <v>904.286</v>
      </c>
      <c r="D101" s="11">
        <v>44719</v>
      </c>
      <c r="E101" s="10">
        <v>829.506</v>
      </c>
    </row>
    <row r="102" ht="16.5" spans="1:5">
      <c r="A102" s="7">
        <v>3044799.788</v>
      </c>
      <c r="B102" s="7">
        <v>35400795.008</v>
      </c>
      <c r="C102" s="8">
        <v>904.286</v>
      </c>
      <c r="D102" s="11">
        <v>44720</v>
      </c>
      <c r="E102" s="10">
        <v>829.816</v>
      </c>
    </row>
    <row r="103" ht="16.5" spans="1:5">
      <c r="A103" s="7">
        <v>3044799.788</v>
      </c>
      <c r="B103" s="7">
        <v>35400795.008</v>
      </c>
      <c r="C103" s="8">
        <v>904.286</v>
      </c>
      <c r="D103" s="11">
        <v>44721</v>
      </c>
      <c r="E103" s="12"/>
    </row>
    <row r="104" ht="16.5" spans="1:5">
      <c r="A104" s="7">
        <v>3044799.788</v>
      </c>
      <c r="B104" s="7">
        <v>35400795.008</v>
      </c>
      <c r="C104" s="8">
        <v>904.286</v>
      </c>
      <c r="D104" s="11">
        <v>44722</v>
      </c>
      <c r="E104" s="12"/>
    </row>
    <row r="105" ht="16.5" spans="1:5">
      <c r="A105" s="7">
        <v>3044799.788</v>
      </c>
      <c r="B105" s="7">
        <v>35400795.008</v>
      </c>
      <c r="C105" s="8">
        <v>904.286</v>
      </c>
      <c r="D105" s="11">
        <v>44723</v>
      </c>
      <c r="E105" s="10">
        <v>829.986</v>
      </c>
    </row>
    <row r="106" ht="16.5" spans="1:5">
      <c r="A106" s="7">
        <v>3044799.788</v>
      </c>
      <c r="B106" s="7">
        <v>35400795.008</v>
      </c>
      <c r="C106" s="8">
        <v>904.286</v>
      </c>
      <c r="D106" s="11">
        <v>44724</v>
      </c>
      <c r="E106" s="10">
        <v>829.836</v>
      </c>
    </row>
    <row r="107" ht="16.5" spans="1:5">
      <c r="A107" s="7">
        <v>3044799.788</v>
      </c>
      <c r="B107" s="7">
        <v>35400795.008</v>
      </c>
      <c r="C107" s="8">
        <v>904.286</v>
      </c>
      <c r="D107" s="11">
        <v>44725</v>
      </c>
      <c r="E107" s="10"/>
    </row>
    <row r="108" ht="16.5" spans="1:5">
      <c r="A108" s="7">
        <v>3044799.788</v>
      </c>
      <c r="B108" s="7">
        <v>35400795.008</v>
      </c>
      <c r="C108" s="8">
        <v>904.286</v>
      </c>
      <c r="D108" s="11">
        <v>44726</v>
      </c>
      <c r="E108" s="10">
        <v>829.826</v>
      </c>
    </row>
    <row r="109" ht="16.5" spans="1:5">
      <c r="A109" s="7">
        <v>3044799.788</v>
      </c>
      <c r="B109" s="7">
        <v>35400795.008</v>
      </c>
      <c r="C109" s="8">
        <v>904.286</v>
      </c>
      <c r="D109" s="11">
        <v>44727</v>
      </c>
      <c r="E109" s="10"/>
    </row>
    <row r="110" ht="16.5" spans="1:5">
      <c r="A110" s="7">
        <v>3044799.788</v>
      </c>
      <c r="B110" s="7">
        <v>35400795.008</v>
      </c>
      <c r="C110" s="8">
        <v>904.286</v>
      </c>
      <c r="D110" s="11">
        <v>44728</v>
      </c>
      <c r="E110" s="10">
        <v>829.876</v>
      </c>
    </row>
    <row r="111" ht="16.5" spans="1:5">
      <c r="A111" s="7">
        <v>3044799.788</v>
      </c>
      <c r="B111" s="7">
        <v>35400795.008</v>
      </c>
      <c r="C111" s="8">
        <v>904.286</v>
      </c>
      <c r="D111" s="11">
        <v>44729</v>
      </c>
      <c r="E111" s="10"/>
    </row>
    <row r="112" ht="16.5" spans="1:5">
      <c r="A112" s="7">
        <v>3044799.788</v>
      </c>
      <c r="B112" s="7">
        <v>35400795.008</v>
      </c>
      <c r="C112" s="8">
        <v>904.286</v>
      </c>
      <c r="D112" s="11">
        <v>44730</v>
      </c>
      <c r="E112" s="10"/>
    </row>
    <row r="113" ht="16.5" spans="1:5">
      <c r="A113" s="7">
        <v>3044799.788</v>
      </c>
      <c r="B113" s="7">
        <v>35400795.008</v>
      </c>
      <c r="C113" s="8">
        <v>904.286</v>
      </c>
      <c r="D113" s="11">
        <v>44731</v>
      </c>
      <c r="E113" s="10"/>
    </row>
    <row r="114" ht="16.5" spans="1:5">
      <c r="A114" s="7">
        <v>3044799.788</v>
      </c>
      <c r="B114" s="7">
        <v>35400795.008</v>
      </c>
      <c r="C114" s="8">
        <v>904.286</v>
      </c>
      <c r="D114" s="13">
        <v>44732</v>
      </c>
      <c r="E114" s="10"/>
    </row>
    <row r="115" ht="16.5" spans="1:5">
      <c r="A115" s="7">
        <v>3044799.788</v>
      </c>
      <c r="B115" s="7">
        <v>35400795.008</v>
      </c>
      <c r="C115" s="8">
        <v>904.286</v>
      </c>
      <c r="D115" s="13">
        <v>44733</v>
      </c>
      <c r="E115" s="10"/>
    </row>
    <row r="116" ht="16.5" spans="1:5">
      <c r="A116" s="7">
        <v>3044799.788</v>
      </c>
      <c r="B116" s="7">
        <v>35400795.008</v>
      </c>
      <c r="C116" s="8">
        <v>904.286</v>
      </c>
      <c r="D116" s="13">
        <v>44734</v>
      </c>
      <c r="E116" s="10"/>
    </row>
    <row r="117" ht="16.5" spans="1:5">
      <c r="A117" s="7">
        <v>3044799.788</v>
      </c>
      <c r="B117" s="7">
        <v>35400795.008</v>
      </c>
      <c r="C117" s="8">
        <v>904.286</v>
      </c>
      <c r="D117" s="13">
        <v>44735</v>
      </c>
      <c r="E117" s="10"/>
    </row>
    <row r="118" ht="16.5" spans="1:5">
      <c r="A118" s="7">
        <v>3044799.788</v>
      </c>
      <c r="B118" s="7">
        <v>35400795.008</v>
      </c>
      <c r="C118" s="8">
        <v>904.286</v>
      </c>
      <c r="D118" s="13">
        <v>44736</v>
      </c>
      <c r="E118" s="10">
        <v>829.406</v>
      </c>
    </row>
    <row r="119" ht="16.5" spans="1:5">
      <c r="A119" s="7">
        <v>3044799.788</v>
      </c>
      <c r="B119" s="7">
        <v>35400795.008</v>
      </c>
      <c r="C119" s="8">
        <v>904.286</v>
      </c>
      <c r="D119" s="13">
        <v>44737</v>
      </c>
      <c r="E119" s="10"/>
    </row>
    <row r="120" ht="16.5" spans="1:5">
      <c r="A120" s="7">
        <v>3044799.788</v>
      </c>
      <c r="B120" s="7">
        <v>35400795.008</v>
      </c>
      <c r="C120" s="8">
        <v>904.286</v>
      </c>
      <c r="D120" s="13">
        <v>44738</v>
      </c>
      <c r="E120" s="10"/>
    </row>
    <row r="121" ht="16.5" spans="1:5">
      <c r="A121" s="7">
        <v>3044799.788</v>
      </c>
      <c r="B121" s="7">
        <v>35400795.008</v>
      </c>
      <c r="C121" s="8">
        <v>904.286</v>
      </c>
      <c r="D121" s="13">
        <v>44739</v>
      </c>
      <c r="E121" s="12"/>
    </row>
    <row r="122" ht="16.5" spans="1:5">
      <c r="A122" s="7">
        <v>3044799.788</v>
      </c>
      <c r="B122" s="7">
        <v>35400795.008</v>
      </c>
      <c r="C122" s="8">
        <v>904.286</v>
      </c>
      <c r="D122" s="13">
        <v>44740</v>
      </c>
      <c r="E122" s="12"/>
    </row>
    <row r="123" ht="16.5" spans="1:5">
      <c r="A123" s="7">
        <v>3044799.788</v>
      </c>
      <c r="B123" s="7">
        <v>35400795.008</v>
      </c>
      <c r="C123" s="8">
        <v>904.286</v>
      </c>
      <c r="D123" s="13">
        <v>44741</v>
      </c>
      <c r="E123" s="12"/>
    </row>
    <row r="124" ht="16.5" spans="1:5">
      <c r="A124" s="7">
        <v>3044799.788</v>
      </c>
      <c r="B124" s="7">
        <v>35400795.008</v>
      </c>
      <c r="C124" s="8">
        <v>904.286</v>
      </c>
      <c r="D124" s="13">
        <v>44742</v>
      </c>
      <c r="E124" s="12"/>
    </row>
    <row r="125" ht="16.5" spans="1:5">
      <c r="A125" s="7">
        <v>3044799.788</v>
      </c>
      <c r="B125" s="7">
        <v>35400795.008</v>
      </c>
      <c r="C125" s="8">
        <v>904.286</v>
      </c>
      <c r="D125" s="13">
        <v>44743</v>
      </c>
      <c r="E125" s="12"/>
    </row>
    <row r="126" ht="16.5" spans="1:5">
      <c r="A126" s="7">
        <v>3044799.788</v>
      </c>
      <c r="B126" s="7">
        <v>35400795.008</v>
      </c>
      <c r="C126" s="8">
        <v>904.286</v>
      </c>
      <c r="D126" s="13">
        <v>44744</v>
      </c>
      <c r="E126" s="12"/>
    </row>
    <row r="127" ht="16.5" spans="1:5">
      <c r="A127" s="7">
        <v>3044799.788</v>
      </c>
      <c r="B127" s="7">
        <v>35400795.008</v>
      </c>
      <c r="C127" s="8">
        <v>904.286</v>
      </c>
      <c r="D127" s="13">
        <v>44745</v>
      </c>
      <c r="E127" s="12"/>
    </row>
    <row r="128" ht="16.5" spans="1:5">
      <c r="A128" s="7">
        <v>3044799.788</v>
      </c>
      <c r="B128" s="7">
        <v>35400795.008</v>
      </c>
      <c r="C128" s="8">
        <v>904.286</v>
      </c>
      <c r="D128" s="13">
        <v>44746</v>
      </c>
      <c r="E128" s="10"/>
    </row>
    <row r="129" ht="16.5" spans="1:5">
      <c r="A129" s="7">
        <v>3044799.788</v>
      </c>
      <c r="B129" s="7">
        <v>35400795.008</v>
      </c>
      <c r="C129" s="8">
        <v>904.286</v>
      </c>
      <c r="D129" s="13">
        <v>44747</v>
      </c>
      <c r="E129" s="12"/>
    </row>
    <row r="130" ht="16.5" spans="1:5">
      <c r="A130" s="7">
        <v>3044799.788</v>
      </c>
      <c r="B130" s="7">
        <v>35400795.008</v>
      </c>
      <c r="C130" s="8">
        <v>904.286</v>
      </c>
      <c r="D130" s="13">
        <v>44748</v>
      </c>
      <c r="E130" s="10">
        <v>829.53</v>
      </c>
    </row>
    <row r="131" ht="16.5" spans="1:5">
      <c r="A131" s="7">
        <v>3044799.788</v>
      </c>
      <c r="B131" s="7">
        <v>35400795.008</v>
      </c>
      <c r="C131" s="8">
        <v>904.286</v>
      </c>
      <c r="D131" s="13">
        <v>44749</v>
      </c>
      <c r="E131" s="12"/>
    </row>
    <row r="132" ht="16.5" spans="1:5">
      <c r="A132" s="7">
        <v>3044799.788</v>
      </c>
      <c r="B132" s="7">
        <v>35400795.008</v>
      </c>
      <c r="C132" s="8">
        <v>904.286</v>
      </c>
      <c r="D132" s="13">
        <v>44750</v>
      </c>
      <c r="E132" s="12"/>
    </row>
    <row r="133" ht="16.5" spans="1:5">
      <c r="A133" s="7">
        <v>3044799.788</v>
      </c>
      <c r="B133" s="7">
        <v>35400795.008</v>
      </c>
      <c r="C133" s="8">
        <v>904.286</v>
      </c>
      <c r="D133" s="13">
        <v>44751</v>
      </c>
      <c r="E133" s="12"/>
    </row>
    <row r="134" ht="16.5" spans="1:5">
      <c r="A134" s="7">
        <v>3044799.788</v>
      </c>
      <c r="B134" s="7">
        <v>35400795.008</v>
      </c>
      <c r="C134" s="8">
        <v>904.286</v>
      </c>
      <c r="D134" s="13">
        <v>44752</v>
      </c>
      <c r="E134" s="12"/>
    </row>
    <row r="135" ht="16.5" spans="1:5">
      <c r="A135" s="7">
        <v>3044799.788</v>
      </c>
      <c r="B135" s="7">
        <v>35400795.008</v>
      </c>
      <c r="C135" s="8">
        <v>904.286</v>
      </c>
      <c r="D135" s="13">
        <v>44753</v>
      </c>
      <c r="E135" s="12"/>
    </row>
    <row r="136" ht="16.5" spans="1:5">
      <c r="A136" s="7">
        <v>3044799.788</v>
      </c>
      <c r="B136" s="7">
        <v>35400795.008</v>
      </c>
      <c r="C136" s="8">
        <v>904.286</v>
      </c>
      <c r="D136" s="13">
        <v>44754</v>
      </c>
      <c r="E136" s="12"/>
    </row>
    <row r="137" ht="16.5" spans="1:5">
      <c r="A137" s="7">
        <v>3044799.788</v>
      </c>
      <c r="B137" s="7">
        <v>35400795.008</v>
      </c>
      <c r="C137" s="8">
        <v>904.286</v>
      </c>
      <c r="D137" s="13">
        <v>44755</v>
      </c>
      <c r="E137" s="12"/>
    </row>
    <row r="138" ht="16.5" spans="1:5">
      <c r="A138" s="7">
        <v>3044799.788</v>
      </c>
      <c r="B138" s="7">
        <v>35400795.008</v>
      </c>
      <c r="C138" s="8">
        <v>904.286</v>
      </c>
      <c r="D138" s="13">
        <v>44756</v>
      </c>
      <c r="E138" s="12"/>
    </row>
    <row r="139" ht="16.5" spans="1:5">
      <c r="A139" s="7">
        <v>3044799.788</v>
      </c>
      <c r="B139" s="7">
        <v>35400795.008</v>
      </c>
      <c r="C139" s="8">
        <v>904.286</v>
      </c>
      <c r="D139" s="13">
        <v>44757</v>
      </c>
      <c r="E139" s="12"/>
    </row>
    <row r="140" ht="16.5" spans="1:5">
      <c r="A140" s="7">
        <v>3044799.788</v>
      </c>
      <c r="B140" s="7">
        <v>35400795.008</v>
      </c>
      <c r="C140" s="8">
        <v>904.286</v>
      </c>
      <c r="D140" s="13">
        <v>44758</v>
      </c>
      <c r="E140" s="12"/>
    </row>
    <row r="141" ht="16.5" spans="1:5">
      <c r="A141" s="7">
        <v>3044799.788</v>
      </c>
      <c r="B141" s="7">
        <v>35400795.008</v>
      </c>
      <c r="C141" s="8">
        <v>904.286</v>
      </c>
      <c r="D141" s="13">
        <v>44759</v>
      </c>
      <c r="E141" s="12"/>
    </row>
    <row r="142" ht="16.5" spans="1:5">
      <c r="A142" s="7">
        <v>3044799.788</v>
      </c>
      <c r="B142" s="7">
        <v>35400795.008</v>
      </c>
      <c r="C142" s="8">
        <v>904.286</v>
      </c>
      <c r="D142" s="13">
        <v>44760</v>
      </c>
      <c r="E142" s="12"/>
    </row>
    <row r="143" ht="16.5" spans="1:5">
      <c r="A143" s="7">
        <v>3044799.788</v>
      </c>
      <c r="B143" s="7">
        <v>35400795.008</v>
      </c>
      <c r="C143" s="8">
        <v>904.286</v>
      </c>
      <c r="D143" s="13">
        <v>44761</v>
      </c>
      <c r="E143" s="10">
        <v>829.906</v>
      </c>
    </row>
    <row r="144" ht="16.5" spans="1:5">
      <c r="A144" s="7">
        <v>3044799.788</v>
      </c>
      <c r="B144" s="7">
        <v>35400795.008</v>
      </c>
      <c r="C144" s="8">
        <v>904.286</v>
      </c>
      <c r="D144" s="13">
        <v>44762</v>
      </c>
      <c r="E144" s="12"/>
    </row>
    <row r="145" ht="16.5" spans="1:5">
      <c r="A145" s="7">
        <v>3044799.788</v>
      </c>
      <c r="B145" s="7">
        <v>35400795.008</v>
      </c>
      <c r="C145" s="8">
        <v>904.286</v>
      </c>
      <c r="D145" s="13">
        <v>44763</v>
      </c>
      <c r="E145" s="12"/>
    </row>
    <row r="146" ht="16.5" spans="1:5">
      <c r="A146" s="7">
        <v>3044799.788</v>
      </c>
      <c r="B146" s="7">
        <v>35400795.008</v>
      </c>
      <c r="C146" s="8">
        <v>904.286</v>
      </c>
      <c r="D146" s="13">
        <v>44764</v>
      </c>
      <c r="E146" s="10">
        <v>829.796</v>
      </c>
    </row>
    <row r="147" ht="16.5" spans="1:5">
      <c r="A147" s="7">
        <v>3044799.788</v>
      </c>
      <c r="B147" s="7">
        <v>35400795.008</v>
      </c>
      <c r="C147" s="8">
        <v>904.286</v>
      </c>
      <c r="D147" s="13">
        <v>44765</v>
      </c>
      <c r="E147" s="10">
        <v>829.866</v>
      </c>
    </row>
    <row r="148" ht="16.5" spans="1:5">
      <c r="A148" s="7">
        <v>3044799.788</v>
      </c>
      <c r="B148" s="7">
        <v>35400795.008</v>
      </c>
      <c r="C148" s="8">
        <v>904.286</v>
      </c>
      <c r="D148" s="13">
        <v>44766</v>
      </c>
      <c r="E148" s="10"/>
    </row>
    <row r="149" ht="16.5" spans="1:5">
      <c r="A149" s="7">
        <v>3044799.788</v>
      </c>
      <c r="B149" s="7">
        <v>35400795.008</v>
      </c>
      <c r="C149" s="8">
        <v>904.286</v>
      </c>
      <c r="D149" s="13">
        <v>44767</v>
      </c>
      <c r="E149" s="10">
        <v>830.466</v>
      </c>
    </row>
    <row r="150" ht="16.5" spans="1:5">
      <c r="A150" s="7">
        <v>3044799.788</v>
      </c>
      <c r="B150" s="7">
        <v>35400795.008</v>
      </c>
      <c r="C150" s="8">
        <v>904.286</v>
      </c>
      <c r="D150" s="13">
        <v>44768</v>
      </c>
      <c r="E150" s="10">
        <v>830.476</v>
      </c>
    </row>
    <row r="151" ht="16.5" spans="1:5">
      <c r="A151" s="7">
        <v>3044799.788</v>
      </c>
      <c r="B151" s="7">
        <v>35400795.008</v>
      </c>
      <c r="C151" s="8">
        <v>904.286</v>
      </c>
      <c r="D151" s="13">
        <v>44769</v>
      </c>
      <c r="E151" s="10">
        <v>830.466</v>
      </c>
    </row>
    <row r="152" ht="16.5" spans="1:5">
      <c r="A152" s="7">
        <v>3044799.788</v>
      </c>
      <c r="B152" s="7">
        <v>35400795.008</v>
      </c>
      <c r="C152" s="8">
        <v>904.286</v>
      </c>
      <c r="D152" s="13">
        <v>44770</v>
      </c>
      <c r="E152" s="10">
        <v>830.456</v>
      </c>
    </row>
    <row r="153" ht="16.5" spans="1:5">
      <c r="A153" s="7">
        <v>3044799.788</v>
      </c>
      <c r="B153" s="7">
        <v>35400795.008</v>
      </c>
      <c r="C153" s="8">
        <v>904.286</v>
      </c>
      <c r="D153" s="13">
        <v>44771</v>
      </c>
      <c r="E153" s="10">
        <v>830.476</v>
      </c>
    </row>
    <row r="154" ht="16.5" spans="1:5">
      <c r="A154" s="7">
        <v>3044799.788</v>
      </c>
      <c r="B154" s="7">
        <v>35400795.008</v>
      </c>
      <c r="C154" s="8">
        <v>904.286</v>
      </c>
      <c r="D154" s="13">
        <v>44772</v>
      </c>
      <c r="E154" s="10">
        <v>830.376</v>
      </c>
    </row>
    <row r="155" ht="16.5" spans="1:5">
      <c r="A155" s="7">
        <v>3044799.788</v>
      </c>
      <c r="B155" s="7">
        <v>35400795.008</v>
      </c>
      <c r="C155" s="8">
        <v>904.286</v>
      </c>
      <c r="D155" s="13">
        <v>44773</v>
      </c>
      <c r="E155" s="10">
        <v>830.206</v>
      </c>
    </row>
    <row r="156" ht="16.5" spans="1:5">
      <c r="A156" s="7">
        <v>3044799.788</v>
      </c>
      <c r="B156" s="7">
        <v>35400795.008</v>
      </c>
      <c r="C156" s="8">
        <v>904.286</v>
      </c>
      <c r="D156" s="13">
        <v>44774</v>
      </c>
      <c r="E156" s="10">
        <v>830.456</v>
      </c>
    </row>
    <row r="157" ht="16.5" spans="1:5">
      <c r="A157" s="7">
        <v>3044799.788</v>
      </c>
      <c r="B157" s="7">
        <v>35400795.008</v>
      </c>
      <c r="C157" s="8">
        <v>904.286</v>
      </c>
      <c r="D157" s="13">
        <v>44775</v>
      </c>
      <c r="E157" s="10">
        <v>830.446</v>
      </c>
    </row>
    <row r="158" ht="16.5" spans="1:5">
      <c r="A158" s="7">
        <v>3044799.788</v>
      </c>
      <c r="B158" s="7">
        <v>35400795.008</v>
      </c>
      <c r="C158" s="8">
        <v>904.286</v>
      </c>
      <c r="D158" s="13">
        <v>44776</v>
      </c>
      <c r="E158" s="10">
        <v>830.456</v>
      </c>
    </row>
    <row r="159" ht="16.5" spans="1:5">
      <c r="A159" s="7">
        <v>3044799.788</v>
      </c>
      <c r="B159" s="7">
        <v>35400795.008</v>
      </c>
      <c r="C159" s="8">
        <v>904.286</v>
      </c>
      <c r="D159" s="13">
        <v>44777</v>
      </c>
      <c r="E159" s="10">
        <v>830.666</v>
      </c>
    </row>
    <row r="160" ht="16.5" spans="1:5">
      <c r="A160" s="7">
        <v>3044799.788</v>
      </c>
      <c r="B160" s="7">
        <v>35400795.008</v>
      </c>
      <c r="C160" s="8">
        <v>904.286</v>
      </c>
      <c r="D160" s="13">
        <v>44778</v>
      </c>
      <c r="E160" s="10">
        <v>830.466</v>
      </c>
    </row>
    <row r="161" ht="16.5" spans="1:5">
      <c r="A161" s="7">
        <v>3044799.788</v>
      </c>
      <c r="B161" s="7">
        <v>35400795.008</v>
      </c>
      <c r="C161" s="8">
        <v>904.286</v>
      </c>
      <c r="D161" s="13">
        <v>44779</v>
      </c>
      <c r="E161" s="10">
        <v>830.476</v>
      </c>
    </row>
    <row r="162" ht="16.5" spans="1:5">
      <c r="A162" s="7">
        <v>3044799.788</v>
      </c>
      <c r="B162" s="7">
        <v>35400795.008</v>
      </c>
      <c r="C162" s="8">
        <v>904.286</v>
      </c>
      <c r="D162" s="13">
        <v>44780</v>
      </c>
      <c r="E162" s="10">
        <v>830.456</v>
      </c>
    </row>
    <row r="163" ht="16.5" spans="1:5">
      <c r="A163" s="7">
        <v>3044799.788</v>
      </c>
      <c r="B163" s="7">
        <v>35400795.008</v>
      </c>
      <c r="C163" s="8">
        <v>904.286</v>
      </c>
      <c r="D163" s="13">
        <v>44781</v>
      </c>
      <c r="E163" s="10">
        <v>830.456</v>
      </c>
    </row>
    <row r="164" ht="16.5" spans="1:5">
      <c r="A164" s="7">
        <v>3044799.788</v>
      </c>
      <c r="B164" s="7">
        <v>35400795.008</v>
      </c>
      <c r="C164" s="8">
        <v>904.286</v>
      </c>
      <c r="D164" s="13">
        <v>44782</v>
      </c>
      <c r="E164" s="12"/>
    </row>
    <row r="165" ht="16.5" spans="1:5">
      <c r="A165" s="7">
        <v>3044799.788</v>
      </c>
      <c r="B165" s="7">
        <v>35400795.008</v>
      </c>
      <c r="C165" s="8">
        <v>904.286</v>
      </c>
      <c r="D165" s="13">
        <v>44783</v>
      </c>
      <c r="E165" s="10">
        <v>830.466</v>
      </c>
    </row>
    <row r="166" ht="16.5" spans="1:5">
      <c r="A166" s="7">
        <v>3044799.788</v>
      </c>
      <c r="B166" s="7">
        <v>35400795.008</v>
      </c>
      <c r="C166" s="8">
        <v>904.286</v>
      </c>
      <c r="D166" s="13">
        <v>44784</v>
      </c>
      <c r="E166" s="10">
        <v>830.476</v>
      </c>
    </row>
    <row r="167" ht="16.5" spans="1:5">
      <c r="A167" s="7">
        <v>3044799.788</v>
      </c>
      <c r="B167" s="7">
        <v>35400795.008</v>
      </c>
      <c r="C167" s="8">
        <v>904.286</v>
      </c>
      <c r="D167" s="13">
        <v>44785</v>
      </c>
      <c r="E167" s="10">
        <v>830.466</v>
      </c>
    </row>
    <row r="168" ht="16.5" spans="1:5">
      <c r="A168" s="7">
        <v>3044799.788</v>
      </c>
      <c r="B168" s="7">
        <v>35400795.008</v>
      </c>
      <c r="C168" s="8">
        <v>904.286</v>
      </c>
      <c r="D168" s="13">
        <v>44786</v>
      </c>
      <c r="E168" s="10">
        <v>830.456</v>
      </c>
    </row>
    <row r="169" ht="16.5" spans="1:5">
      <c r="A169" s="7">
        <v>3044799.788</v>
      </c>
      <c r="B169" s="7">
        <v>35400795.008</v>
      </c>
      <c r="C169" s="8">
        <v>904.286</v>
      </c>
      <c r="D169" s="13">
        <v>44787</v>
      </c>
      <c r="E169" s="10">
        <v>830.456</v>
      </c>
    </row>
    <row r="170" ht="16.5" spans="1:5">
      <c r="A170" s="7">
        <v>3044799.788</v>
      </c>
      <c r="B170" s="7">
        <v>35400795.008</v>
      </c>
      <c r="C170" s="8">
        <v>904.286</v>
      </c>
      <c r="D170" s="13">
        <v>44788</v>
      </c>
      <c r="E170" s="10">
        <v>830.456</v>
      </c>
    </row>
    <row r="171" ht="16.5" spans="1:5">
      <c r="A171" s="7">
        <v>3044799.788</v>
      </c>
      <c r="B171" s="7">
        <v>35400795.008</v>
      </c>
      <c r="C171" s="8">
        <v>904.286</v>
      </c>
      <c r="D171" s="13">
        <v>44789</v>
      </c>
      <c r="E171" s="10">
        <v>830.456</v>
      </c>
    </row>
    <row r="172" ht="16.5" spans="1:5">
      <c r="A172" s="7">
        <v>3044799.788</v>
      </c>
      <c r="B172" s="7">
        <v>35400795.008</v>
      </c>
      <c r="C172" s="8">
        <v>904.286</v>
      </c>
      <c r="D172" s="13">
        <v>44790</v>
      </c>
      <c r="E172" s="10">
        <v>830.496</v>
      </c>
    </row>
    <row r="173" ht="16.5" spans="1:5">
      <c r="A173" s="7">
        <v>3044799.788</v>
      </c>
      <c r="B173" s="7">
        <v>35400795.008</v>
      </c>
      <c r="C173" s="8">
        <v>904.286</v>
      </c>
      <c r="D173" s="13">
        <v>44791</v>
      </c>
      <c r="E173" s="10"/>
    </row>
    <row r="174" ht="16.5" spans="1:5">
      <c r="A174" s="7">
        <v>3044799.788</v>
      </c>
      <c r="B174" s="7">
        <v>35400795.008</v>
      </c>
      <c r="C174" s="8">
        <v>904.286</v>
      </c>
      <c r="D174" s="13">
        <v>44792</v>
      </c>
      <c r="E174" s="10">
        <v>830.476</v>
      </c>
    </row>
    <row r="175" ht="16.5" spans="1:5">
      <c r="A175" s="7">
        <v>3044799.788</v>
      </c>
      <c r="B175" s="7">
        <v>35400795.008</v>
      </c>
      <c r="C175" s="8">
        <v>904.286</v>
      </c>
      <c r="D175" s="13">
        <v>44793</v>
      </c>
      <c r="E175" s="10">
        <v>830.446</v>
      </c>
    </row>
    <row r="176" ht="16.5" spans="1:5">
      <c r="A176" s="7">
        <v>3044799.788</v>
      </c>
      <c r="B176" s="7">
        <v>35400795.008</v>
      </c>
      <c r="C176" s="8">
        <v>904.286</v>
      </c>
      <c r="D176" s="13">
        <v>44794</v>
      </c>
      <c r="E176" s="10"/>
    </row>
    <row r="177" ht="16.5" spans="1:5">
      <c r="A177" s="7">
        <v>3044799.788</v>
      </c>
      <c r="B177" s="7">
        <v>35400795.008</v>
      </c>
      <c r="C177" s="8">
        <v>904.286</v>
      </c>
      <c r="D177" s="13">
        <v>44795</v>
      </c>
      <c r="E177" s="10">
        <v>830.456</v>
      </c>
    </row>
    <row r="178" ht="16.5" spans="1:5">
      <c r="A178" s="7">
        <v>3044799.788</v>
      </c>
      <c r="B178" s="7">
        <v>35400795.008</v>
      </c>
      <c r="C178" s="8">
        <v>904.286</v>
      </c>
      <c r="D178" s="13">
        <v>44796</v>
      </c>
      <c r="E178" s="10">
        <v>830.996</v>
      </c>
    </row>
    <row r="179" ht="16.5" spans="1:5">
      <c r="A179" s="7">
        <v>3044799.788</v>
      </c>
      <c r="B179" s="7">
        <v>35400795.008</v>
      </c>
      <c r="C179" s="8">
        <v>904.286</v>
      </c>
      <c r="D179" s="13">
        <v>44797</v>
      </c>
      <c r="E179" s="10">
        <v>830.916</v>
      </c>
    </row>
    <row r="180" ht="16.5" spans="1:5">
      <c r="A180" s="7">
        <v>3044799.788</v>
      </c>
      <c r="B180" s="7">
        <v>35400795.008</v>
      </c>
      <c r="C180" s="8">
        <v>904.286</v>
      </c>
      <c r="D180" s="13">
        <v>44798</v>
      </c>
      <c r="E180" s="10">
        <v>830.936</v>
      </c>
    </row>
    <row r="181" ht="16.5" spans="1:5">
      <c r="A181" s="7">
        <v>3044799.788</v>
      </c>
      <c r="B181" s="7">
        <v>35400795.008</v>
      </c>
      <c r="C181" s="8">
        <v>904.286</v>
      </c>
      <c r="D181" s="13">
        <v>44799</v>
      </c>
      <c r="E181" s="10">
        <v>830.866</v>
      </c>
    </row>
    <row r="182" ht="16.5" spans="1:5">
      <c r="A182" s="7">
        <v>3044799.788</v>
      </c>
      <c r="B182" s="7">
        <v>35400795.008</v>
      </c>
      <c r="C182" s="8">
        <v>904.286</v>
      </c>
      <c r="D182" s="13">
        <v>44800</v>
      </c>
      <c r="E182" s="10">
        <v>830.866</v>
      </c>
    </row>
    <row r="183" ht="16.5" spans="1:5">
      <c r="A183" s="7">
        <v>3044799.788</v>
      </c>
      <c r="B183" s="7">
        <v>35400795.008</v>
      </c>
      <c r="C183" s="8">
        <v>904.286</v>
      </c>
      <c r="D183" s="13">
        <v>44801</v>
      </c>
      <c r="E183" s="10">
        <v>830.906</v>
      </c>
    </row>
    <row r="184" ht="16.5" spans="1:5">
      <c r="A184" s="7">
        <v>3044799.788</v>
      </c>
      <c r="B184" s="7">
        <v>35400795.008</v>
      </c>
      <c r="C184" s="8">
        <v>904.286</v>
      </c>
      <c r="D184" s="13">
        <v>44802</v>
      </c>
      <c r="E184" s="10">
        <v>830.776</v>
      </c>
    </row>
    <row r="185" ht="16.5" spans="1:5">
      <c r="A185" s="7">
        <v>3044799.788</v>
      </c>
      <c r="B185" s="7">
        <v>35400795.008</v>
      </c>
      <c r="C185" s="8">
        <v>904.286</v>
      </c>
      <c r="D185" s="13">
        <v>44803</v>
      </c>
      <c r="E185" s="10">
        <v>830.566</v>
      </c>
    </row>
    <row r="186" ht="16.5" spans="1:5">
      <c r="A186" s="7">
        <v>3044799.788</v>
      </c>
      <c r="B186" s="7">
        <v>35400795.008</v>
      </c>
      <c r="C186" s="8">
        <v>904.286</v>
      </c>
      <c r="D186" s="13">
        <v>44804</v>
      </c>
      <c r="E186" s="10">
        <v>830.596</v>
      </c>
    </row>
    <row r="187" ht="16.5" spans="1:5">
      <c r="A187" s="7">
        <v>3044799.788</v>
      </c>
      <c r="B187" s="7">
        <v>35400795.008</v>
      </c>
      <c r="C187" s="8">
        <v>904.286</v>
      </c>
      <c r="D187" s="13">
        <v>44805</v>
      </c>
      <c r="E187" s="10">
        <v>830.586</v>
      </c>
    </row>
    <row r="188" ht="16.5" spans="1:5">
      <c r="A188" s="7">
        <v>3044799.788</v>
      </c>
      <c r="B188" s="7">
        <v>35400795.008</v>
      </c>
      <c r="C188" s="8">
        <v>904.286</v>
      </c>
      <c r="D188" s="13">
        <v>44806</v>
      </c>
      <c r="E188" s="10">
        <v>830.556</v>
      </c>
    </row>
    <row r="189" ht="16.5" spans="1:5">
      <c r="A189" s="7">
        <v>3044799.788</v>
      </c>
      <c r="B189" s="7">
        <v>35400795.008</v>
      </c>
      <c r="C189" s="8">
        <v>904.286</v>
      </c>
      <c r="D189" s="13">
        <v>44807</v>
      </c>
      <c r="E189" s="10">
        <v>830.606</v>
      </c>
    </row>
    <row r="190" ht="16.5" spans="1:5">
      <c r="A190" s="7">
        <v>3044799.788</v>
      </c>
      <c r="B190" s="7">
        <v>35400795.008</v>
      </c>
      <c r="C190" s="8">
        <v>904.286</v>
      </c>
      <c r="D190" s="13">
        <v>44808</v>
      </c>
      <c r="E190" s="10">
        <v>830.756</v>
      </c>
    </row>
    <row r="191" ht="16.5" spans="1:5">
      <c r="A191" s="7">
        <v>3044799.788</v>
      </c>
      <c r="B191" s="7">
        <v>35400795.008</v>
      </c>
      <c r="C191" s="8">
        <v>904.286</v>
      </c>
      <c r="D191" s="13">
        <v>44809</v>
      </c>
      <c r="E191" s="10">
        <v>830.526</v>
      </c>
    </row>
    <row r="192" ht="16.5" spans="1:5">
      <c r="A192" s="7">
        <v>3044799.788</v>
      </c>
      <c r="B192" s="7">
        <v>35400795.008</v>
      </c>
      <c r="C192" s="8">
        <v>904.286</v>
      </c>
      <c r="D192" s="13">
        <v>44810</v>
      </c>
      <c r="E192" s="10">
        <v>830.556</v>
      </c>
    </row>
    <row r="193" ht="16.5" spans="1:5">
      <c r="A193" s="7">
        <v>3044799.788</v>
      </c>
      <c r="B193" s="7">
        <v>35400795.008</v>
      </c>
      <c r="C193" s="8">
        <v>904.286</v>
      </c>
      <c r="D193" s="13">
        <v>44811</v>
      </c>
      <c r="E193" s="10">
        <v>830.456</v>
      </c>
    </row>
    <row r="194" ht="16.5" spans="1:5">
      <c r="A194" s="7">
        <v>3044799.788</v>
      </c>
      <c r="B194" s="7">
        <v>35400795.008</v>
      </c>
      <c r="C194" s="8">
        <v>904.286</v>
      </c>
      <c r="D194" s="13">
        <v>44812</v>
      </c>
      <c r="E194" s="10">
        <v>830.426</v>
      </c>
    </row>
    <row r="195" ht="16.5" spans="1:5">
      <c r="A195" s="7">
        <v>3044799.788</v>
      </c>
      <c r="B195" s="7">
        <v>35400795.008</v>
      </c>
      <c r="C195" s="8">
        <v>904.286</v>
      </c>
      <c r="D195" s="13">
        <v>44813</v>
      </c>
      <c r="E195" s="10">
        <v>830.476</v>
      </c>
    </row>
    <row r="196" ht="16.5" spans="1:5">
      <c r="A196" s="7">
        <v>3044799.788</v>
      </c>
      <c r="B196" s="7">
        <v>35400795.008</v>
      </c>
      <c r="C196" s="8">
        <v>904.286</v>
      </c>
      <c r="D196" s="13">
        <v>44814</v>
      </c>
      <c r="E196" s="10">
        <v>830.696</v>
      </c>
    </row>
    <row r="197" ht="16.5" spans="1:5">
      <c r="A197" s="7">
        <v>3044799.788</v>
      </c>
      <c r="B197" s="7">
        <v>35400795.008</v>
      </c>
      <c r="C197" s="8">
        <v>904.286</v>
      </c>
      <c r="D197" s="13">
        <v>44815</v>
      </c>
      <c r="E197" s="10">
        <v>830.686</v>
      </c>
    </row>
    <row r="198" ht="16.5" spans="1:5">
      <c r="A198" s="7">
        <v>3044799.788</v>
      </c>
      <c r="B198" s="7">
        <v>35400795.008</v>
      </c>
      <c r="C198" s="8">
        <v>904.286</v>
      </c>
      <c r="D198" s="13">
        <v>44816</v>
      </c>
      <c r="E198" s="10">
        <v>830.556</v>
      </c>
    </row>
    <row r="199" ht="16.5" spans="1:5">
      <c r="A199" s="7">
        <v>3044799.788</v>
      </c>
      <c r="B199" s="7">
        <v>35400795.008</v>
      </c>
      <c r="C199" s="8">
        <v>904.286</v>
      </c>
      <c r="D199" s="13">
        <v>44817</v>
      </c>
      <c r="E199" s="10">
        <v>830.586</v>
      </c>
    </row>
    <row r="200" ht="16.5" spans="1:5">
      <c r="A200" s="7">
        <v>3044799.788</v>
      </c>
      <c r="B200" s="7">
        <v>35400795.008</v>
      </c>
      <c r="C200" s="8">
        <v>904.286</v>
      </c>
      <c r="D200" s="13">
        <v>44818</v>
      </c>
      <c r="E200" s="10">
        <v>830.476</v>
      </c>
    </row>
    <row r="201" ht="16.5" spans="1:5">
      <c r="A201" s="7">
        <v>3044799.788</v>
      </c>
      <c r="B201" s="7">
        <v>35400795.008</v>
      </c>
      <c r="C201" s="8">
        <v>904.286</v>
      </c>
      <c r="D201" s="11">
        <v>44819</v>
      </c>
      <c r="E201" s="10">
        <v>830.606</v>
      </c>
    </row>
    <row r="202" ht="16.5" spans="1:5">
      <c r="A202" s="7">
        <v>3044799.788</v>
      </c>
      <c r="B202" s="7">
        <v>35400795.008</v>
      </c>
      <c r="C202" s="8">
        <v>904.286</v>
      </c>
      <c r="D202" s="11">
        <v>44820</v>
      </c>
      <c r="E202" s="10">
        <v>830.566</v>
      </c>
    </row>
    <row r="203" ht="16.5" spans="1:5">
      <c r="A203" s="7">
        <v>3044799.788</v>
      </c>
      <c r="B203" s="7">
        <v>35400795.008</v>
      </c>
      <c r="C203" s="8">
        <v>904.286</v>
      </c>
      <c r="D203" s="11">
        <v>44821</v>
      </c>
      <c r="E203" s="10">
        <v>830.556</v>
      </c>
    </row>
    <row r="204" ht="16.5" spans="1:5">
      <c r="A204" s="7">
        <v>3044799.788</v>
      </c>
      <c r="B204" s="7">
        <v>35400795.008</v>
      </c>
      <c r="C204" s="8">
        <v>904.286</v>
      </c>
      <c r="D204" s="11">
        <v>44822</v>
      </c>
      <c r="E204" s="10">
        <v>830.476</v>
      </c>
    </row>
    <row r="205" ht="16.5" spans="1:5">
      <c r="A205" s="7">
        <v>3044799.788</v>
      </c>
      <c r="B205" s="7">
        <v>35400795.008</v>
      </c>
      <c r="C205" s="8">
        <v>904.286</v>
      </c>
      <c r="D205" s="11">
        <v>44823</v>
      </c>
      <c r="E205" s="10">
        <v>830.396</v>
      </c>
    </row>
    <row r="206" ht="16.5" spans="1:5">
      <c r="A206" s="7">
        <v>3044799.788</v>
      </c>
      <c r="B206" s="7">
        <v>35400795.008</v>
      </c>
      <c r="C206" s="8">
        <v>904.286</v>
      </c>
      <c r="D206" s="11">
        <v>44824</v>
      </c>
      <c r="E206" s="10">
        <v>830.416</v>
      </c>
    </row>
    <row r="207" ht="16.5" spans="1:5">
      <c r="A207" s="7">
        <v>3044799.788</v>
      </c>
      <c r="B207" s="7">
        <v>35400795.008</v>
      </c>
      <c r="C207" s="8">
        <v>904.286</v>
      </c>
      <c r="D207" s="11">
        <v>44825</v>
      </c>
      <c r="E207" s="10">
        <v>830.456</v>
      </c>
    </row>
    <row r="208" ht="16.5" spans="1:5">
      <c r="A208" s="7">
        <v>3044799.788</v>
      </c>
      <c r="B208" s="7">
        <v>35400795.008</v>
      </c>
      <c r="C208" s="8">
        <v>904.286</v>
      </c>
      <c r="D208" s="11">
        <v>44826</v>
      </c>
      <c r="E208" s="10">
        <v>830.486</v>
      </c>
    </row>
    <row r="209" ht="16.5" spans="1:5">
      <c r="A209" s="7">
        <v>3044799.788</v>
      </c>
      <c r="B209" s="7">
        <v>35400795.008</v>
      </c>
      <c r="C209" s="8">
        <v>904.286</v>
      </c>
      <c r="D209" s="11">
        <v>44827</v>
      </c>
      <c r="E209" s="10">
        <v>830.446</v>
      </c>
    </row>
    <row r="210" ht="16.5" spans="1:5">
      <c r="A210" s="7">
        <v>3044799.788</v>
      </c>
      <c r="B210" s="7">
        <v>35400795.008</v>
      </c>
      <c r="C210" s="8">
        <v>904.286</v>
      </c>
      <c r="D210" s="11">
        <v>44828</v>
      </c>
      <c r="E210" s="10">
        <v>830.456</v>
      </c>
    </row>
    <row r="211" ht="16.5" spans="1:5">
      <c r="A211" s="7">
        <v>3044799.788</v>
      </c>
      <c r="B211" s="7">
        <v>35400795.008</v>
      </c>
      <c r="C211" s="8">
        <v>904.286</v>
      </c>
      <c r="D211" s="11">
        <v>44829</v>
      </c>
      <c r="E211" s="10"/>
    </row>
    <row r="212" ht="16.5" spans="1:5">
      <c r="A212" s="7">
        <v>3044799.788</v>
      </c>
      <c r="B212" s="7">
        <v>35400795.008</v>
      </c>
      <c r="C212" s="8">
        <v>904.286</v>
      </c>
      <c r="D212" s="11">
        <v>44830</v>
      </c>
      <c r="E212" s="10"/>
    </row>
    <row r="213" ht="16.5" spans="1:5">
      <c r="A213" s="7">
        <v>3044799.788</v>
      </c>
      <c r="B213" s="7">
        <v>35400795.008</v>
      </c>
      <c r="C213" s="8">
        <v>904.286</v>
      </c>
      <c r="D213" s="11">
        <v>44831</v>
      </c>
      <c r="E213" s="10">
        <v>830.366</v>
      </c>
    </row>
    <row r="214" ht="16.5" spans="1:5">
      <c r="A214" s="7">
        <v>3044799.788</v>
      </c>
      <c r="B214" s="7">
        <v>35400795.008</v>
      </c>
      <c r="C214" s="8">
        <v>904.286</v>
      </c>
      <c r="D214" s="11">
        <v>44832</v>
      </c>
      <c r="E214" s="10">
        <v>830.396</v>
      </c>
    </row>
    <row r="215" ht="16.5" spans="1:5">
      <c r="A215" s="7">
        <v>3044799.788</v>
      </c>
      <c r="B215" s="7">
        <v>35400795.008</v>
      </c>
      <c r="C215" s="8">
        <v>904.286</v>
      </c>
      <c r="D215" s="11">
        <v>44833</v>
      </c>
      <c r="E215" s="10">
        <v>830.536</v>
      </c>
    </row>
    <row r="216" ht="16.5" spans="1:5">
      <c r="A216" s="7">
        <v>3044799.788</v>
      </c>
      <c r="B216" s="7">
        <v>35400795.008</v>
      </c>
      <c r="C216" s="8">
        <v>904.286</v>
      </c>
      <c r="D216" s="11">
        <v>44834</v>
      </c>
      <c r="E216" s="10">
        <v>830.436</v>
      </c>
    </row>
    <row r="217" ht="16.5" spans="1:5">
      <c r="A217" s="7">
        <v>3044799.788</v>
      </c>
      <c r="B217" s="7">
        <v>35400795.008</v>
      </c>
      <c r="C217" s="8">
        <v>904.286</v>
      </c>
      <c r="D217" s="11">
        <v>44835</v>
      </c>
      <c r="E217" s="10">
        <v>830.456</v>
      </c>
    </row>
    <row r="218" ht="16.5" spans="1:5">
      <c r="A218" s="7">
        <v>3044799.788</v>
      </c>
      <c r="B218" s="7">
        <v>35400795.008</v>
      </c>
      <c r="C218" s="8">
        <v>904.286</v>
      </c>
      <c r="D218" s="11">
        <v>44836</v>
      </c>
      <c r="E218" s="10">
        <v>830.396</v>
      </c>
    </row>
    <row r="219" ht="16.5" spans="1:5">
      <c r="A219" s="7">
        <v>3044799.788</v>
      </c>
      <c r="B219" s="7">
        <v>35400795.008</v>
      </c>
      <c r="C219" s="8">
        <v>904.286</v>
      </c>
      <c r="D219" s="11">
        <v>44837</v>
      </c>
      <c r="E219" s="10"/>
    </row>
    <row r="220" ht="16.5" spans="1:5">
      <c r="A220" s="7">
        <v>3044799.788</v>
      </c>
      <c r="B220" s="7">
        <v>35400795.008</v>
      </c>
      <c r="C220" s="8">
        <v>904.286</v>
      </c>
      <c r="D220" s="11">
        <v>44838</v>
      </c>
      <c r="E220" s="10">
        <v>830.456</v>
      </c>
    </row>
    <row r="221" ht="16.5" spans="1:5">
      <c r="A221" s="7">
        <v>3044799.788</v>
      </c>
      <c r="B221" s="7">
        <v>35400795.008</v>
      </c>
      <c r="C221" s="8">
        <v>904.286</v>
      </c>
      <c r="D221" s="11">
        <v>44839</v>
      </c>
      <c r="E221" s="10">
        <v>830.266</v>
      </c>
    </row>
    <row r="222" ht="16.5" spans="1:5">
      <c r="A222" s="7">
        <v>3044799.788</v>
      </c>
      <c r="B222" s="7">
        <v>35400795.008</v>
      </c>
      <c r="C222" s="8">
        <v>904.286</v>
      </c>
      <c r="D222" s="11">
        <v>44840</v>
      </c>
      <c r="E222" s="10">
        <v>830.566</v>
      </c>
    </row>
    <row r="223" ht="16.5" spans="1:5">
      <c r="A223" s="7">
        <v>3044799.788</v>
      </c>
      <c r="B223" s="7">
        <v>35400795.008</v>
      </c>
      <c r="C223" s="8">
        <v>904.286</v>
      </c>
      <c r="D223" s="11">
        <v>44841</v>
      </c>
      <c r="E223" s="10">
        <v>830.556</v>
      </c>
    </row>
    <row r="224" ht="16.5" spans="1:5">
      <c r="A224" s="7">
        <v>3044799.788</v>
      </c>
      <c r="B224" s="7">
        <v>35400795.008</v>
      </c>
      <c r="C224" s="8">
        <v>904.286</v>
      </c>
      <c r="D224" s="11">
        <v>44842</v>
      </c>
      <c r="E224" s="10">
        <v>830.486</v>
      </c>
    </row>
    <row r="225" ht="16.5" spans="1:5">
      <c r="A225" s="7">
        <v>3044799.788</v>
      </c>
      <c r="B225" s="7">
        <v>35400795.008</v>
      </c>
      <c r="C225" s="8">
        <v>904.286</v>
      </c>
      <c r="D225" s="11">
        <v>44843</v>
      </c>
      <c r="E225" s="10">
        <v>830.496</v>
      </c>
    </row>
    <row r="226" ht="16.5" spans="1:5">
      <c r="A226" s="7">
        <v>3044799.788</v>
      </c>
      <c r="B226" s="7">
        <v>35400795.008</v>
      </c>
      <c r="C226" s="8">
        <v>904.286</v>
      </c>
      <c r="D226" s="11">
        <v>44844</v>
      </c>
      <c r="E226" s="10"/>
    </row>
    <row r="227" ht="16.5" spans="1:5">
      <c r="A227" s="7">
        <v>3044799.788</v>
      </c>
      <c r="B227" s="7">
        <v>35400795.008</v>
      </c>
      <c r="C227" s="8">
        <v>904.286</v>
      </c>
      <c r="D227" s="11">
        <v>44845</v>
      </c>
      <c r="E227" s="10"/>
    </row>
    <row r="228" ht="16.5" spans="1:5">
      <c r="A228" s="7">
        <v>3044799.788</v>
      </c>
      <c r="B228" s="7">
        <v>35400795.008</v>
      </c>
      <c r="C228" s="8">
        <v>904.286</v>
      </c>
      <c r="D228" s="11">
        <v>44846</v>
      </c>
      <c r="E228" s="10">
        <v>833.066</v>
      </c>
    </row>
    <row r="229" ht="16.5" spans="1:5">
      <c r="A229" s="7">
        <v>3044799.788</v>
      </c>
      <c r="B229" s="7">
        <v>35400795.008</v>
      </c>
      <c r="C229" s="8">
        <v>904.286</v>
      </c>
      <c r="D229" s="11">
        <v>44847</v>
      </c>
      <c r="E229" s="10">
        <v>833.116</v>
      </c>
    </row>
    <row r="230" ht="16.5" spans="1:5">
      <c r="A230" s="7">
        <v>3044799.788</v>
      </c>
      <c r="B230" s="7">
        <v>35400795.008</v>
      </c>
      <c r="C230" s="8">
        <v>904.286</v>
      </c>
      <c r="D230" s="11">
        <v>44848</v>
      </c>
      <c r="E230" s="10">
        <v>833.176</v>
      </c>
    </row>
    <row r="231" ht="16.5" spans="1:5">
      <c r="A231" s="7">
        <v>3044799.788</v>
      </c>
      <c r="B231" s="7">
        <v>35400795.008</v>
      </c>
      <c r="C231" s="8">
        <v>904.286</v>
      </c>
      <c r="D231" s="11">
        <v>44849</v>
      </c>
      <c r="E231" s="10">
        <v>833.276</v>
      </c>
    </row>
    <row r="232" ht="16.5" spans="1:5">
      <c r="A232" s="7">
        <v>3044799.788</v>
      </c>
      <c r="B232" s="7">
        <v>35400795.008</v>
      </c>
      <c r="C232" s="8">
        <v>904.286</v>
      </c>
      <c r="D232" s="11">
        <v>44850</v>
      </c>
      <c r="E232" s="10">
        <v>833.326</v>
      </c>
    </row>
    <row r="233" ht="16.5" spans="1:5">
      <c r="A233" s="7">
        <v>3044799.788</v>
      </c>
      <c r="B233" s="7">
        <v>35400795.008</v>
      </c>
      <c r="C233" s="8">
        <v>904.286</v>
      </c>
      <c r="D233" s="11">
        <v>44851</v>
      </c>
      <c r="E233" s="10">
        <v>833.406</v>
      </c>
    </row>
    <row r="234" ht="16.5" spans="1:5">
      <c r="A234" s="7">
        <v>3044799.788</v>
      </c>
      <c r="B234" s="7">
        <v>35400795.008</v>
      </c>
      <c r="C234" s="8">
        <v>904.286</v>
      </c>
      <c r="D234" s="11">
        <v>44852</v>
      </c>
      <c r="E234" s="10">
        <v>833.466</v>
      </c>
    </row>
    <row r="235" ht="16.5" spans="1:5">
      <c r="A235" s="7">
        <v>3044799.788</v>
      </c>
      <c r="B235" s="7">
        <v>35400795.008</v>
      </c>
      <c r="C235" s="8">
        <v>904.286</v>
      </c>
      <c r="D235" s="11">
        <v>44853</v>
      </c>
      <c r="E235" s="10">
        <v>833.496</v>
      </c>
    </row>
    <row r="236" ht="16.5" spans="1:5">
      <c r="A236" s="7">
        <v>3044799.788</v>
      </c>
      <c r="B236" s="7">
        <v>35400795.008</v>
      </c>
      <c r="C236" s="8">
        <v>904.286</v>
      </c>
      <c r="D236" s="11">
        <v>44854</v>
      </c>
      <c r="E236" s="10">
        <v>833.506</v>
      </c>
    </row>
    <row r="237" ht="16.5" spans="1:5">
      <c r="A237" s="7">
        <v>3044799.788</v>
      </c>
      <c r="B237" s="7">
        <v>35400795.008</v>
      </c>
      <c r="C237" s="8">
        <v>904.286</v>
      </c>
      <c r="D237" s="11">
        <v>44855</v>
      </c>
      <c r="E237" s="10">
        <v>833.406</v>
      </c>
    </row>
    <row r="238" ht="16.5" spans="1:5">
      <c r="A238" s="7">
        <v>3044799.788</v>
      </c>
      <c r="B238" s="7">
        <v>35400795.008</v>
      </c>
      <c r="C238" s="8">
        <v>904.286</v>
      </c>
      <c r="D238" s="11">
        <v>44856</v>
      </c>
      <c r="E238" s="10">
        <v>833.716</v>
      </c>
    </row>
    <row r="239" ht="16.5" spans="1:5">
      <c r="A239" s="7">
        <v>3044799.788</v>
      </c>
      <c r="B239" s="7">
        <v>35400795.008</v>
      </c>
      <c r="C239" s="8">
        <v>904.286</v>
      </c>
      <c r="D239" s="11">
        <v>44857</v>
      </c>
      <c r="E239" s="10">
        <v>833.806</v>
      </c>
    </row>
    <row r="240" ht="16.5" spans="1:5">
      <c r="A240" s="7">
        <v>3044799.788</v>
      </c>
      <c r="B240" s="7">
        <v>35400795.008</v>
      </c>
      <c r="C240" s="8">
        <v>904.286</v>
      </c>
      <c r="D240" s="11">
        <v>44858</v>
      </c>
      <c r="E240" s="10">
        <v>833.786</v>
      </c>
    </row>
    <row r="241" ht="16.5" spans="1:5">
      <c r="A241" s="7">
        <v>3044799.788</v>
      </c>
      <c r="B241" s="7">
        <v>35400795.008</v>
      </c>
      <c r="C241" s="8">
        <v>904.286</v>
      </c>
      <c r="D241" s="11">
        <v>44859</v>
      </c>
      <c r="E241" s="10">
        <v>833.846</v>
      </c>
    </row>
    <row r="242" ht="16.5" spans="1:5">
      <c r="A242" s="7">
        <v>3044799.788</v>
      </c>
      <c r="B242" s="7">
        <v>35400795.008</v>
      </c>
      <c r="C242" s="8">
        <v>904.286</v>
      </c>
      <c r="D242" s="11">
        <v>44860</v>
      </c>
      <c r="E242" s="10">
        <v>833.716</v>
      </c>
    </row>
    <row r="243" ht="16.5" spans="1:5">
      <c r="A243" s="7">
        <v>3044799.788</v>
      </c>
      <c r="B243" s="7">
        <v>35400795.008</v>
      </c>
      <c r="C243" s="8">
        <v>904.286</v>
      </c>
      <c r="D243" s="11">
        <v>44861</v>
      </c>
      <c r="E243" s="10">
        <v>833.496</v>
      </c>
    </row>
    <row r="244" ht="16.5" spans="1:5">
      <c r="A244" s="7">
        <v>3044799.788</v>
      </c>
      <c r="B244" s="7">
        <v>35400795.008</v>
      </c>
      <c r="C244" s="8">
        <v>904.286</v>
      </c>
      <c r="D244" s="11">
        <v>44862</v>
      </c>
      <c r="E244" s="10">
        <v>833.446</v>
      </c>
    </row>
    <row r="245" ht="16.5" spans="1:5">
      <c r="A245" s="7">
        <v>3044799.788</v>
      </c>
      <c r="B245" s="7">
        <v>35400795.008</v>
      </c>
      <c r="C245" s="8">
        <v>904.286</v>
      </c>
      <c r="D245" s="11">
        <v>44863</v>
      </c>
      <c r="E245" s="10">
        <v>833.536</v>
      </c>
    </row>
    <row r="246" ht="16.5" spans="1:5">
      <c r="A246" s="7">
        <v>3044799.788</v>
      </c>
      <c r="B246" s="7">
        <v>35400795.008</v>
      </c>
      <c r="C246" s="8">
        <v>904.286</v>
      </c>
      <c r="D246" s="11">
        <v>44864</v>
      </c>
      <c r="E246" s="10">
        <v>833.676</v>
      </c>
    </row>
    <row r="247" ht="16.5" spans="1:5">
      <c r="A247" s="7">
        <v>3044799.788</v>
      </c>
      <c r="B247" s="7">
        <v>35400795.008</v>
      </c>
      <c r="C247" s="8">
        <v>904.286</v>
      </c>
      <c r="D247" s="11">
        <v>44865</v>
      </c>
      <c r="E247" s="10">
        <v>833.696</v>
      </c>
    </row>
    <row r="248" ht="16.5" spans="1:5">
      <c r="A248" s="7">
        <v>3044799.788</v>
      </c>
      <c r="B248" s="7">
        <v>35400795.008</v>
      </c>
      <c r="C248" s="8">
        <v>904.286</v>
      </c>
      <c r="D248" s="11">
        <v>44866</v>
      </c>
      <c r="E248" s="10">
        <v>833.696</v>
      </c>
    </row>
    <row r="249" ht="16.5" spans="1:5">
      <c r="A249" s="7">
        <v>3044799.788</v>
      </c>
      <c r="B249" s="7">
        <v>35400795.008</v>
      </c>
      <c r="C249" s="8">
        <v>904.286</v>
      </c>
      <c r="D249" s="11">
        <v>44867</v>
      </c>
      <c r="E249" s="10">
        <v>833.636</v>
      </c>
    </row>
    <row r="250" ht="16.5" spans="1:5">
      <c r="A250" s="7">
        <v>3044799.788</v>
      </c>
      <c r="B250" s="7">
        <v>35400795.008</v>
      </c>
      <c r="C250" s="8">
        <v>904.286</v>
      </c>
      <c r="D250" s="11">
        <v>44868</v>
      </c>
      <c r="E250" s="12">
        <v>833.486</v>
      </c>
    </row>
    <row r="251" ht="16.5" spans="1:5">
      <c r="A251" s="7">
        <v>3044799.788</v>
      </c>
      <c r="B251" s="7">
        <v>35400795.008</v>
      </c>
      <c r="C251" s="8">
        <v>904.286</v>
      </c>
      <c r="D251" s="11">
        <v>44869</v>
      </c>
      <c r="E251" s="10">
        <v>833.346</v>
      </c>
    </row>
    <row r="252" ht="16.5" spans="1:5">
      <c r="A252" s="7">
        <v>3044799.788</v>
      </c>
      <c r="B252" s="7">
        <v>35400795.008</v>
      </c>
      <c r="C252" s="8">
        <v>904.286</v>
      </c>
      <c r="D252" s="11">
        <v>44870</v>
      </c>
      <c r="E252" s="10">
        <v>833.376</v>
      </c>
    </row>
    <row r="253" ht="16.5" spans="1:5">
      <c r="A253" s="7">
        <v>3044799.788</v>
      </c>
      <c r="B253" s="7">
        <v>35400795.008</v>
      </c>
      <c r="C253" s="8">
        <v>904.286</v>
      </c>
      <c r="D253" s="11">
        <v>44871</v>
      </c>
      <c r="E253" s="10">
        <v>833.376</v>
      </c>
    </row>
    <row r="254" ht="16.5" spans="1:5">
      <c r="A254" s="7">
        <v>3044799.788</v>
      </c>
      <c r="B254" s="7">
        <v>35400795.008</v>
      </c>
      <c r="C254" s="8">
        <v>904.286</v>
      </c>
      <c r="D254" s="11">
        <v>44872</v>
      </c>
      <c r="E254" s="10">
        <v>833.226</v>
      </c>
    </row>
    <row r="255" ht="16.5" spans="1:5">
      <c r="A255" s="7">
        <v>3044799.788</v>
      </c>
      <c r="B255" s="7">
        <v>35400795.008</v>
      </c>
      <c r="C255" s="8">
        <v>904.286</v>
      </c>
      <c r="D255" s="11">
        <v>44873</v>
      </c>
      <c r="E255" s="10">
        <v>833.196</v>
      </c>
    </row>
    <row r="256" ht="16.5" spans="1:5">
      <c r="A256" s="7">
        <v>3044799.788</v>
      </c>
      <c r="B256" s="7">
        <v>35400795.008</v>
      </c>
      <c r="C256" s="8">
        <v>904.286</v>
      </c>
      <c r="D256" s="11">
        <v>44874</v>
      </c>
      <c r="E256" s="10">
        <v>832.426</v>
      </c>
    </row>
    <row r="257" ht="16.5" spans="1:5">
      <c r="A257" s="7">
        <v>3044799.788</v>
      </c>
      <c r="B257" s="7">
        <v>35400795.008</v>
      </c>
      <c r="C257" s="8">
        <v>904.286</v>
      </c>
      <c r="D257" s="11">
        <v>44875</v>
      </c>
      <c r="E257" s="10">
        <v>832.246</v>
      </c>
    </row>
    <row r="258" ht="16.5" spans="1:5">
      <c r="A258" s="7">
        <v>3044799.788</v>
      </c>
      <c r="B258" s="7">
        <v>35400795.008</v>
      </c>
      <c r="C258" s="8">
        <v>904.286</v>
      </c>
      <c r="D258" s="11">
        <v>44876</v>
      </c>
      <c r="E258" s="10">
        <v>832.206</v>
      </c>
    </row>
    <row r="259" ht="16.5" spans="1:5">
      <c r="A259" s="7">
        <v>3044799.788</v>
      </c>
      <c r="B259" s="7">
        <v>35400795.008</v>
      </c>
      <c r="C259" s="8">
        <v>904.286</v>
      </c>
      <c r="D259" s="11">
        <v>44877</v>
      </c>
      <c r="E259" s="10">
        <v>832.376</v>
      </c>
    </row>
    <row r="260" ht="16.5" spans="1:5">
      <c r="A260" s="7">
        <v>3044799.788</v>
      </c>
      <c r="B260" s="7">
        <v>35400795.008</v>
      </c>
      <c r="C260" s="8">
        <v>904.286</v>
      </c>
      <c r="D260" s="11">
        <v>44878</v>
      </c>
      <c r="E260" s="10">
        <v>832.446</v>
      </c>
    </row>
    <row r="261" ht="16.5" spans="1:5">
      <c r="A261" s="7">
        <v>3044799.788</v>
      </c>
      <c r="B261" s="7">
        <v>35400795.008</v>
      </c>
      <c r="C261" s="8">
        <v>904.286</v>
      </c>
      <c r="D261" s="11">
        <v>44879</v>
      </c>
      <c r="E261" s="10">
        <v>832.506</v>
      </c>
    </row>
    <row r="262" ht="16.5" spans="1:5">
      <c r="A262" s="7">
        <v>3044799.788</v>
      </c>
      <c r="B262" s="7">
        <v>35400795.008</v>
      </c>
      <c r="C262" s="8">
        <v>904.286</v>
      </c>
      <c r="D262" s="11">
        <v>44880</v>
      </c>
      <c r="E262" s="10">
        <v>832.616</v>
      </c>
    </row>
    <row r="263" ht="16.5" spans="1:5">
      <c r="A263" s="7">
        <v>3044799.788</v>
      </c>
      <c r="B263" s="7">
        <v>35400795.008</v>
      </c>
      <c r="C263" s="8">
        <v>904.286</v>
      </c>
      <c r="D263" s="11">
        <v>44881</v>
      </c>
      <c r="E263" s="10">
        <v>832.656</v>
      </c>
    </row>
    <row r="264" ht="16.5" spans="1:5">
      <c r="A264" s="7">
        <v>3044799.788</v>
      </c>
      <c r="B264" s="7">
        <v>35400795.008</v>
      </c>
      <c r="C264" s="8">
        <v>904.286</v>
      </c>
      <c r="D264" s="11">
        <v>44882</v>
      </c>
      <c r="E264" s="10">
        <v>832.696</v>
      </c>
    </row>
    <row r="265" ht="16.5" spans="1:5">
      <c r="A265" s="7">
        <v>3044799.788</v>
      </c>
      <c r="B265" s="7">
        <v>35400795.008</v>
      </c>
      <c r="C265" s="8">
        <v>904.286</v>
      </c>
      <c r="D265" s="11">
        <v>44883</v>
      </c>
      <c r="E265" s="10">
        <v>832.646</v>
      </c>
    </row>
    <row r="266" ht="16.5" spans="1:5">
      <c r="A266" s="7">
        <v>3044799.788</v>
      </c>
      <c r="B266" s="7">
        <v>35400795.008</v>
      </c>
      <c r="C266" s="8">
        <v>904.286</v>
      </c>
      <c r="D266" s="11">
        <v>44884</v>
      </c>
      <c r="E266" s="10">
        <v>832.726</v>
      </c>
    </row>
    <row r="267" ht="16.5" spans="1:5">
      <c r="A267" s="7">
        <v>3044799.788</v>
      </c>
      <c r="B267" s="7">
        <v>35400795.008</v>
      </c>
      <c r="C267" s="8">
        <v>904.286</v>
      </c>
      <c r="D267" s="11">
        <v>44885</v>
      </c>
      <c r="E267" s="10">
        <v>832.666</v>
      </c>
    </row>
    <row r="268" ht="16.5" spans="1:5">
      <c r="A268" s="7">
        <v>3044799.788</v>
      </c>
      <c r="B268" s="7">
        <v>35400795.008</v>
      </c>
      <c r="C268" s="8">
        <v>904.286</v>
      </c>
      <c r="D268" s="11">
        <v>44886</v>
      </c>
      <c r="E268" s="10">
        <v>832.666</v>
      </c>
    </row>
    <row r="269" ht="16.5" spans="1:5">
      <c r="A269" s="7">
        <v>3044799.788</v>
      </c>
      <c r="B269" s="7">
        <v>35400795.008</v>
      </c>
      <c r="C269" s="8">
        <v>904.286</v>
      </c>
      <c r="D269" s="11">
        <v>44887</v>
      </c>
      <c r="E269" s="14">
        <v>832.656</v>
      </c>
    </row>
    <row r="270" ht="16.5" spans="1:5">
      <c r="A270" s="7">
        <v>3044799.788</v>
      </c>
      <c r="B270" s="7">
        <v>35400795.008</v>
      </c>
      <c r="C270" s="8">
        <v>904.286</v>
      </c>
      <c r="D270" s="11">
        <v>44888</v>
      </c>
      <c r="E270" s="10">
        <v>832.726</v>
      </c>
    </row>
    <row r="271" ht="16.5" spans="1:5">
      <c r="A271" s="7">
        <v>3044799.788</v>
      </c>
      <c r="B271" s="7">
        <v>35400795.008</v>
      </c>
      <c r="C271" s="8">
        <v>904.286</v>
      </c>
      <c r="D271" s="11">
        <v>44889</v>
      </c>
      <c r="E271" s="10">
        <v>832.716</v>
      </c>
    </row>
    <row r="272" ht="16.5" spans="1:5">
      <c r="A272" s="7">
        <v>3044799.788</v>
      </c>
      <c r="B272" s="7">
        <v>35400795.008</v>
      </c>
      <c r="C272" s="8">
        <v>904.286</v>
      </c>
      <c r="D272" s="11">
        <v>44890</v>
      </c>
      <c r="E272" s="10">
        <v>832.696</v>
      </c>
    </row>
    <row r="273" ht="16.5" spans="1:5">
      <c r="A273" s="7">
        <v>3044799.788</v>
      </c>
      <c r="B273" s="7">
        <v>35400795.008</v>
      </c>
      <c r="C273" s="8">
        <v>904.286</v>
      </c>
      <c r="D273" s="11">
        <v>44891</v>
      </c>
      <c r="E273" s="10">
        <v>832.666</v>
      </c>
    </row>
    <row r="274" ht="16.5" spans="1:5">
      <c r="A274" s="7">
        <v>3044799.788</v>
      </c>
      <c r="B274" s="7">
        <v>35400795.008</v>
      </c>
      <c r="C274" s="8">
        <v>904.286</v>
      </c>
      <c r="D274" s="11">
        <v>44892</v>
      </c>
      <c r="E274" s="10">
        <v>832.776</v>
      </c>
    </row>
    <row r="275" ht="16.5" spans="1:5">
      <c r="A275" s="7">
        <v>3044799.788</v>
      </c>
      <c r="B275" s="7">
        <v>35400795.008</v>
      </c>
      <c r="C275" s="8">
        <v>904.286</v>
      </c>
      <c r="D275" s="11">
        <v>44893</v>
      </c>
      <c r="E275" s="10">
        <v>832.446</v>
      </c>
    </row>
    <row r="276" ht="16.5" spans="1:5">
      <c r="A276" s="7">
        <v>3044799.788</v>
      </c>
      <c r="B276" s="7">
        <v>35400795.008</v>
      </c>
      <c r="C276" s="8">
        <v>904.286</v>
      </c>
      <c r="D276" s="11">
        <v>44894</v>
      </c>
      <c r="E276" s="10">
        <v>832.416</v>
      </c>
    </row>
    <row r="277" ht="16.5" spans="1:5">
      <c r="A277" s="7">
        <v>3044799.788</v>
      </c>
      <c r="B277" s="7">
        <v>35400795.008</v>
      </c>
      <c r="C277" s="8">
        <v>904.286</v>
      </c>
      <c r="D277" s="11">
        <v>44895</v>
      </c>
      <c r="E277" s="12"/>
    </row>
    <row r="278" ht="16.5" spans="1:5">
      <c r="A278" s="7">
        <v>3044799.788</v>
      </c>
      <c r="B278" s="7">
        <v>35400795.008</v>
      </c>
      <c r="C278" s="8">
        <v>904.286</v>
      </c>
      <c r="D278" s="11">
        <v>44896</v>
      </c>
      <c r="E278" s="12"/>
    </row>
    <row r="279" ht="16.5" spans="1:5">
      <c r="A279" s="7">
        <v>3044799.788</v>
      </c>
      <c r="B279" s="7">
        <v>35400795.008</v>
      </c>
      <c r="C279" s="8">
        <v>904.286</v>
      </c>
      <c r="D279" s="11">
        <v>44897</v>
      </c>
      <c r="E279" s="12"/>
    </row>
    <row r="280" ht="16.5" spans="1:5">
      <c r="A280" s="7">
        <v>3044799.788</v>
      </c>
      <c r="B280" s="7">
        <v>35400795.008</v>
      </c>
      <c r="C280" s="8">
        <v>904.286</v>
      </c>
      <c r="D280" s="11">
        <v>44898</v>
      </c>
      <c r="E280" s="12"/>
    </row>
    <row r="281" ht="16.5" spans="1:5">
      <c r="A281" s="7">
        <v>3044799.788</v>
      </c>
      <c r="B281" s="7">
        <v>35400795.008</v>
      </c>
      <c r="C281" s="8">
        <v>904.286</v>
      </c>
      <c r="D281" s="11">
        <v>44899</v>
      </c>
      <c r="E281" s="12"/>
    </row>
    <row r="282" ht="16.5" spans="1:5">
      <c r="A282" s="7">
        <v>3044799.788</v>
      </c>
      <c r="B282" s="7">
        <v>35400795.008</v>
      </c>
      <c r="C282" s="8">
        <v>904.286</v>
      </c>
      <c r="D282" s="11">
        <v>44900</v>
      </c>
      <c r="E282" s="12"/>
    </row>
    <row r="283" ht="16.5" spans="1:5">
      <c r="A283" s="7">
        <v>3044799.788</v>
      </c>
      <c r="B283" s="7">
        <v>35400795.008</v>
      </c>
      <c r="C283" s="8">
        <v>904.286</v>
      </c>
      <c r="D283" s="11">
        <v>44901</v>
      </c>
      <c r="E283" s="12"/>
    </row>
    <row r="284" ht="16.5" spans="1:5">
      <c r="A284" s="7">
        <v>3044799.788</v>
      </c>
      <c r="B284" s="7">
        <v>35400795.008</v>
      </c>
      <c r="C284" s="8">
        <v>904.286</v>
      </c>
      <c r="D284" s="11">
        <v>44902</v>
      </c>
      <c r="E284" s="12"/>
    </row>
    <row r="285" ht="16.5" spans="1:5">
      <c r="A285" s="7">
        <v>3044799.788</v>
      </c>
      <c r="B285" s="7">
        <v>35400795.008</v>
      </c>
      <c r="C285" s="8">
        <v>904.286</v>
      </c>
      <c r="D285" s="11">
        <v>44903</v>
      </c>
      <c r="E285" s="12"/>
    </row>
    <row r="286" ht="16.5" spans="1:5">
      <c r="A286" s="7">
        <v>3044799.788</v>
      </c>
      <c r="B286" s="7">
        <v>35400795.008</v>
      </c>
      <c r="C286" s="8">
        <v>904.286</v>
      </c>
      <c r="D286" s="11">
        <v>44904</v>
      </c>
      <c r="E286" s="12"/>
    </row>
    <row r="287" ht="16.5" spans="1:5">
      <c r="A287" s="7">
        <v>3044799.788</v>
      </c>
      <c r="B287" s="7">
        <v>35400795.008</v>
      </c>
      <c r="C287" s="8">
        <v>904.286</v>
      </c>
      <c r="D287" s="11">
        <v>44905</v>
      </c>
      <c r="E287" s="12"/>
    </row>
    <row r="288" ht="16.5" spans="1:5">
      <c r="A288" s="7">
        <v>3044799.788</v>
      </c>
      <c r="B288" s="7">
        <v>35400795.008</v>
      </c>
      <c r="C288" s="8">
        <v>904.286</v>
      </c>
      <c r="D288" s="11">
        <v>44906</v>
      </c>
      <c r="E288" s="12"/>
    </row>
    <row r="289" ht="16.5" spans="1:5">
      <c r="A289" s="7">
        <v>3044799.788</v>
      </c>
      <c r="B289" s="7">
        <v>35400795.008</v>
      </c>
      <c r="C289" s="8">
        <v>904.286</v>
      </c>
      <c r="D289" s="11">
        <v>44907</v>
      </c>
      <c r="E289" s="12"/>
    </row>
    <row r="290" ht="16.5" spans="1:5">
      <c r="A290" s="7">
        <v>3044799.788</v>
      </c>
      <c r="B290" s="7">
        <v>35400795.008</v>
      </c>
      <c r="C290" s="8">
        <v>904.286</v>
      </c>
      <c r="D290" s="11">
        <v>44908</v>
      </c>
      <c r="E290" s="12"/>
    </row>
    <row r="291" ht="16.5" spans="1:5">
      <c r="A291" s="7">
        <v>3044799.788</v>
      </c>
      <c r="B291" s="7">
        <v>35400795.008</v>
      </c>
      <c r="C291" s="8">
        <v>904.286</v>
      </c>
      <c r="D291" s="11">
        <v>44909</v>
      </c>
      <c r="E291" s="12"/>
    </row>
    <row r="292" ht="16.5" spans="1:5">
      <c r="A292" s="7">
        <v>3044799.788</v>
      </c>
      <c r="B292" s="7">
        <v>35400795.008</v>
      </c>
      <c r="C292" s="8">
        <v>904.286</v>
      </c>
      <c r="D292" s="11">
        <v>44910</v>
      </c>
      <c r="E292" s="12"/>
    </row>
    <row r="293" ht="16.5" spans="1:5">
      <c r="A293" s="7">
        <v>3044799.788</v>
      </c>
      <c r="B293" s="7">
        <v>35400795.008</v>
      </c>
      <c r="C293" s="8">
        <v>904.286</v>
      </c>
      <c r="D293" s="11">
        <v>44911</v>
      </c>
      <c r="E293" s="12"/>
    </row>
    <row r="294" ht="16.5" spans="1:5">
      <c r="A294" s="7">
        <v>3044799.788</v>
      </c>
      <c r="B294" s="7">
        <v>35400795.008</v>
      </c>
      <c r="C294" s="8">
        <v>904.286</v>
      </c>
      <c r="D294" s="11">
        <v>44912</v>
      </c>
      <c r="E294" s="12"/>
    </row>
    <row r="295" ht="16.5" spans="1:5">
      <c r="A295" s="7">
        <v>3044799.788</v>
      </c>
      <c r="B295" s="7">
        <v>35400795.008</v>
      </c>
      <c r="C295" s="8">
        <v>904.286</v>
      </c>
      <c r="D295" s="11">
        <v>44913</v>
      </c>
      <c r="E295" s="12"/>
    </row>
    <row r="296" ht="16.5" spans="1:5">
      <c r="A296" s="7">
        <v>3044799.788</v>
      </c>
      <c r="B296" s="7">
        <v>35400795.008</v>
      </c>
      <c r="C296" s="8">
        <v>904.286</v>
      </c>
      <c r="D296" s="11">
        <v>44914</v>
      </c>
      <c r="E296" s="12"/>
    </row>
    <row r="297" ht="16.5" spans="1:5">
      <c r="A297" s="7">
        <v>3044799.788</v>
      </c>
      <c r="B297" s="7">
        <v>35400795.008</v>
      </c>
      <c r="C297" s="8">
        <v>904.286</v>
      </c>
      <c r="D297" s="11">
        <v>44915</v>
      </c>
      <c r="E297" s="12"/>
    </row>
    <row r="298" ht="16.5" spans="1:5">
      <c r="A298" s="7">
        <v>3044799.788</v>
      </c>
      <c r="B298" s="7">
        <v>35400795.008</v>
      </c>
      <c r="C298" s="8">
        <v>904.286</v>
      </c>
      <c r="D298" s="11">
        <v>44916</v>
      </c>
      <c r="E298" s="12"/>
    </row>
    <row r="299" ht="16.5" spans="1:5">
      <c r="A299" s="7">
        <v>3044799.788</v>
      </c>
      <c r="B299" s="7">
        <v>35400795.008</v>
      </c>
      <c r="C299" s="8">
        <v>904.286</v>
      </c>
      <c r="D299" s="11">
        <v>44917</v>
      </c>
      <c r="E299" s="12"/>
    </row>
    <row r="300" ht="16.5" spans="1:5">
      <c r="A300" s="7">
        <v>3044799.788</v>
      </c>
      <c r="B300" s="7">
        <v>35400795.008</v>
      </c>
      <c r="C300" s="8">
        <v>904.286</v>
      </c>
      <c r="D300" s="11">
        <v>44918</v>
      </c>
      <c r="E300" s="12"/>
    </row>
    <row r="301" ht="16.5" spans="1:5">
      <c r="A301" s="7">
        <v>3044799.788</v>
      </c>
      <c r="B301" s="7">
        <v>35400795.008</v>
      </c>
      <c r="C301" s="8">
        <v>904.286</v>
      </c>
      <c r="D301" s="11">
        <v>44919</v>
      </c>
      <c r="E301" s="12"/>
    </row>
    <row r="302" ht="16.5" spans="1:5">
      <c r="A302" s="7">
        <v>3044799.788</v>
      </c>
      <c r="B302" s="7">
        <v>35400795.008</v>
      </c>
      <c r="C302" s="8">
        <v>904.286</v>
      </c>
      <c r="D302" s="11">
        <v>44920</v>
      </c>
      <c r="E302" s="12"/>
    </row>
    <row r="303" ht="16.5" spans="1:5">
      <c r="A303" s="7">
        <v>3044799.788</v>
      </c>
      <c r="B303" s="7">
        <v>35400795.008</v>
      </c>
      <c r="C303" s="8">
        <v>904.286</v>
      </c>
      <c r="D303" s="11">
        <v>44921</v>
      </c>
      <c r="E303" s="12"/>
    </row>
    <row r="304" ht="16.5" spans="1:5">
      <c r="A304" s="7">
        <v>3044799.788</v>
      </c>
      <c r="B304" s="7">
        <v>35400795.008</v>
      </c>
      <c r="C304" s="8">
        <v>904.286</v>
      </c>
      <c r="D304" s="11">
        <v>44922</v>
      </c>
      <c r="E304" s="12"/>
    </row>
    <row r="305" ht="16.5" spans="1:5">
      <c r="A305" s="7">
        <v>3044799.788</v>
      </c>
      <c r="B305" s="7">
        <v>35400795.008</v>
      </c>
      <c r="C305" s="8">
        <v>904.286</v>
      </c>
      <c r="D305" s="11">
        <v>44923</v>
      </c>
      <c r="E305" s="12"/>
    </row>
    <row r="306" ht="16.5" spans="1:5">
      <c r="A306" s="7">
        <v>3044799.788</v>
      </c>
      <c r="B306" s="7">
        <v>35400795.008</v>
      </c>
      <c r="C306" s="8">
        <v>904.286</v>
      </c>
      <c r="D306" s="11">
        <v>44924</v>
      </c>
      <c r="E306" s="12"/>
    </row>
    <row r="307" ht="16.5" spans="1:5">
      <c r="A307" s="7">
        <v>3044799.788</v>
      </c>
      <c r="B307" s="7">
        <v>35400795.008</v>
      </c>
      <c r="C307" s="8">
        <v>904.286</v>
      </c>
      <c r="D307" s="11">
        <v>44925</v>
      </c>
      <c r="E307" s="12"/>
    </row>
    <row r="308" ht="16.5" spans="1:5">
      <c r="A308" s="7">
        <v>3044799.788</v>
      </c>
      <c r="B308" s="7">
        <v>35400795.008</v>
      </c>
      <c r="C308" s="8">
        <v>904.286</v>
      </c>
      <c r="D308" s="11">
        <v>44926</v>
      </c>
      <c r="E308" s="12"/>
    </row>
    <row r="309" ht="16.5" spans="1:5">
      <c r="A309" s="7">
        <v>3044799.788</v>
      </c>
      <c r="B309" s="7">
        <v>35400795.008</v>
      </c>
      <c r="C309" s="8">
        <v>904.286</v>
      </c>
      <c r="D309" s="11">
        <v>44927</v>
      </c>
      <c r="E309" s="12"/>
    </row>
    <row r="310" ht="16.5" spans="1:5">
      <c r="A310" s="7">
        <v>3044799.788</v>
      </c>
      <c r="B310" s="7">
        <v>35400795.008</v>
      </c>
      <c r="C310" s="8">
        <v>904.286</v>
      </c>
      <c r="D310" s="11">
        <v>44928</v>
      </c>
      <c r="E310" s="12"/>
    </row>
    <row r="311" ht="16.5" spans="1:5">
      <c r="A311" s="7">
        <v>3044799.788</v>
      </c>
      <c r="B311" s="7">
        <v>35400795.008</v>
      </c>
      <c r="C311" s="8">
        <v>904.286</v>
      </c>
      <c r="D311" s="11">
        <v>44929</v>
      </c>
      <c r="E311" s="12"/>
    </row>
    <row r="312" ht="16.5" spans="1:5">
      <c r="A312" s="7">
        <v>3044799.788</v>
      </c>
      <c r="B312" s="7">
        <v>35400795.008</v>
      </c>
      <c r="C312" s="8">
        <v>904.286</v>
      </c>
      <c r="D312" s="11">
        <v>44930</v>
      </c>
      <c r="E312" s="12"/>
    </row>
    <row r="313" ht="16.5" spans="1:5">
      <c r="A313" s="7">
        <v>3044799.788</v>
      </c>
      <c r="B313" s="7">
        <v>35400795.008</v>
      </c>
      <c r="C313" s="8">
        <v>904.286</v>
      </c>
      <c r="D313" s="11">
        <v>44931</v>
      </c>
      <c r="E313" s="15"/>
    </row>
    <row r="314" ht="16.5" spans="1:5">
      <c r="A314" s="7">
        <v>3044799.788</v>
      </c>
      <c r="B314" s="7">
        <v>35400795.008</v>
      </c>
      <c r="C314" s="8">
        <v>904.286</v>
      </c>
      <c r="D314" s="11">
        <v>44932</v>
      </c>
      <c r="E314" s="10"/>
    </row>
    <row r="315" ht="16.5" spans="1:5">
      <c r="A315" s="7">
        <v>3044799.788</v>
      </c>
      <c r="B315" s="7">
        <v>35400795.008</v>
      </c>
      <c r="C315" s="8">
        <v>904.286</v>
      </c>
      <c r="D315" s="11">
        <v>44933</v>
      </c>
      <c r="E315" s="10"/>
    </row>
    <row r="316" ht="16.5" spans="1:5">
      <c r="A316" s="7">
        <v>3044799.788</v>
      </c>
      <c r="B316" s="7">
        <v>35400795.008</v>
      </c>
      <c r="C316" s="8">
        <v>904.286</v>
      </c>
      <c r="D316" s="11">
        <v>44934</v>
      </c>
      <c r="E316" s="10"/>
    </row>
    <row r="317" ht="16.5" spans="1:5">
      <c r="A317" s="7">
        <v>3044799.788</v>
      </c>
      <c r="B317" s="7">
        <v>35400795.008</v>
      </c>
      <c r="C317" s="8">
        <v>904.286</v>
      </c>
      <c r="D317" s="11">
        <v>44935</v>
      </c>
      <c r="E317" s="10"/>
    </row>
    <row r="318" ht="16.5" spans="1:5">
      <c r="A318" s="7">
        <v>3044799.788</v>
      </c>
      <c r="B318" s="7">
        <v>35400795.008</v>
      </c>
      <c r="C318" s="8">
        <v>904.286</v>
      </c>
      <c r="D318" s="11">
        <v>44936</v>
      </c>
      <c r="E318" s="10"/>
    </row>
    <row r="319" ht="16.5" spans="1:5">
      <c r="A319" s="7">
        <v>3044799.788</v>
      </c>
      <c r="B319" s="7">
        <v>35400795.008</v>
      </c>
      <c r="C319" s="8">
        <v>904.286</v>
      </c>
      <c r="D319" s="11">
        <v>44937</v>
      </c>
      <c r="E319" s="10"/>
    </row>
    <row r="320" ht="16.5" spans="1:5">
      <c r="A320" s="7">
        <v>3044799.788</v>
      </c>
      <c r="B320" s="7">
        <v>35400795.008</v>
      </c>
      <c r="C320" s="8">
        <v>904.286</v>
      </c>
      <c r="D320" s="11">
        <v>44938</v>
      </c>
      <c r="E320" s="12"/>
    </row>
    <row r="321" ht="16.5" spans="1:5">
      <c r="A321" s="7">
        <v>3044799.788</v>
      </c>
      <c r="B321" s="7">
        <v>35400795.008</v>
      </c>
      <c r="C321" s="8">
        <v>904.286</v>
      </c>
      <c r="D321" s="11">
        <v>44939</v>
      </c>
      <c r="E321" s="12"/>
    </row>
    <row r="322" ht="16.5" spans="1:5">
      <c r="A322" s="7">
        <v>3044799.788</v>
      </c>
      <c r="B322" s="7">
        <v>35400795.008</v>
      </c>
      <c r="C322" s="8">
        <v>904.286</v>
      </c>
      <c r="D322" s="11">
        <v>44940</v>
      </c>
      <c r="E322" s="12"/>
    </row>
    <row r="323" ht="16.5" spans="1:5">
      <c r="A323" s="7">
        <v>3044799.788</v>
      </c>
      <c r="B323" s="7">
        <v>35400795.008</v>
      </c>
      <c r="C323" s="8">
        <v>904.286</v>
      </c>
      <c r="D323" s="11">
        <v>44941</v>
      </c>
      <c r="E323" s="12"/>
    </row>
    <row r="324" ht="16.5" spans="1:5">
      <c r="A324" s="7">
        <v>3044799.788</v>
      </c>
      <c r="B324" s="7">
        <v>35400795.008</v>
      </c>
      <c r="C324" s="8">
        <v>904.286</v>
      </c>
      <c r="D324" s="11">
        <v>44942</v>
      </c>
      <c r="E324" s="12"/>
    </row>
    <row r="325" ht="16.5" spans="1:5">
      <c r="A325" s="7">
        <v>3044799.788</v>
      </c>
      <c r="B325" s="7">
        <v>35400795.008</v>
      </c>
      <c r="C325" s="8">
        <v>904.286</v>
      </c>
      <c r="D325" s="11">
        <v>44943</v>
      </c>
      <c r="E325" s="12"/>
    </row>
    <row r="326" ht="16.5" spans="1:5">
      <c r="A326" s="7">
        <v>3044799.788</v>
      </c>
      <c r="B326" s="7">
        <v>35400795.008</v>
      </c>
      <c r="C326" s="8">
        <v>904.286</v>
      </c>
      <c r="D326" s="11">
        <v>44944</v>
      </c>
      <c r="E326" s="12"/>
    </row>
    <row r="327" ht="16.5" spans="1:5">
      <c r="A327" s="7">
        <v>3044799.788</v>
      </c>
      <c r="B327" s="7">
        <v>35400795.008</v>
      </c>
      <c r="C327" s="8">
        <v>904.286</v>
      </c>
      <c r="D327" s="11">
        <v>44945</v>
      </c>
      <c r="E327" s="12"/>
    </row>
    <row r="328" ht="16.5" spans="1:5">
      <c r="A328" s="7">
        <v>3044799.788</v>
      </c>
      <c r="B328" s="7">
        <v>35400795.008</v>
      </c>
      <c r="C328" s="8">
        <v>904.286</v>
      </c>
      <c r="D328" s="11">
        <v>44946</v>
      </c>
      <c r="E328" s="12"/>
    </row>
    <row r="329" ht="16.5" spans="1:5">
      <c r="A329" s="7">
        <v>3044799.788</v>
      </c>
      <c r="B329" s="7">
        <v>35400795.008</v>
      </c>
      <c r="C329" s="8">
        <v>904.286</v>
      </c>
      <c r="D329" s="11">
        <v>44947</v>
      </c>
      <c r="E329" s="12"/>
    </row>
    <row r="330" ht="16.5" spans="1:5">
      <c r="A330" s="7">
        <v>3044799.788</v>
      </c>
      <c r="B330" s="7">
        <v>35400795.008</v>
      </c>
      <c r="C330" s="8">
        <v>904.286</v>
      </c>
      <c r="D330" s="11">
        <v>44948</v>
      </c>
      <c r="E330" s="12"/>
    </row>
    <row r="331" ht="16.5" spans="1:5">
      <c r="A331" s="7">
        <v>3044799.788</v>
      </c>
      <c r="B331" s="7">
        <v>35400795.008</v>
      </c>
      <c r="C331" s="8">
        <v>904.286</v>
      </c>
      <c r="D331" s="11">
        <v>44949</v>
      </c>
      <c r="E331" s="12"/>
    </row>
    <row r="332" ht="16.5" spans="1:5">
      <c r="A332" s="7">
        <v>3044799.788</v>
      </c>
      <c r="B332" s="7">
        <v>35400795.008</v>
      </c>
      <c r="C332" s="8">
        <v>904.286</v>
      </c>
      <c r="D332" s="11">
        <v>44950</v>
      </c>
      <c r="E332" s="12"/>
    </row>
    <row r="333" ht="16.5" spans="1:5">
      <c r="A333" s="7">
        <v>3044799.788</v>
      </c>
      <c r="B333" s="7">
        <v>35400795.008</v>
      </c>
      <c r="C333" s="8">
        <v>904.286</v>
      </c>
      <c r="D333" s="11">
        <v>44951</v>
      </c>
      <c r="E333" s="12"/>
    </row>
    <row r="334" ht="16.5" spans="1:5">
      <c r="A334" s="7">
        <v>3044799.788</v>
      </c>
      <c r="B334" s="7">
        <v>35400795.008</v>
      </c>
      <c r="C334" s="8">
        <v>904.286</v>
      </c>
      <c r="D334" s="11">
        <v>44952</v>
      </c>
      <c r="E334" s="12"/>
    </row>
    <row r="335" ht="16.5" spans="1:5">
      <c r="A335" s="7">
        <v>3044799.788</v>
      </c>
      <c r="B335" s="7">
        <v>35400795.008</v>
      </c>
      <c r="C335" s="8">
        <v>904.286</v>
      </c>
      <c r="D335" s="11">
        <v>44953</v>
      </c>
      <c r="E335" s="12"/>
    </row>
    <row r="336" ht="16.5" spans="1:5">
      <c r="A336" s="7">
        <v>3044799.788</v>
      </c>
      <c r="B336" s="7">
        <v>35400795.008</v>
      </c>
      <c r="C336" s="8">
        <v>904.286</v>
      </c>
      <c r="D336" s="11">
        <v>44954</v>
      </c>
      <c r="E336" s="12"/>
    </row>
    <row r="337" ht="16.5" spans="1:5">
      <c r="A337" s="7">
        <v>3044799.788</v>
      </c>
      <c r="B337" s="7">
        <v>35400795.008</v>
      </c>
      <c r="C337" s="8">
        <v>904.286</v>
      </c>
      <c r="D337" s="11">
        <v>44955</v>
      </c>
      <c r="E337" s="12"/>
    </row>
    <row r="338" ht="16.5" spans="1:5">
      <c r="A338" s="7">
        <v>3044799.788</v>
      </c>
      <c r="B338" s="7">
        <v>35400795.008</v>
      </c>
      <c r="C338" s="8">
        <v>904.286</v>
      </c>
      <c r="D338" s="11">
        <v>44956</v>
      </c>
      <c r="E338" s="12"/>
    </row>
    <row r="339" ht="16.5" spans="1:5">
      <c r="A339" s="7">
        <v>3044799.788</v>
      </c>
      <c r="B339" s="7">
        <v>35400795.008</v>
      </c>
      <c r="C339" s="8">
        <v>904.286</v>
      </c>
      <c r="D339" s="11">
        <v>44957</v>
      </c>
      <c r="E339" s="12"/>
    </row>
    <row r="340" ht="16.5" spans="1:5">
      <c r="A340" s="7">
        <v>3044799.788</v>
      </c>
      <c r="B340" s="7">
        <v>35400795.008</v>
      </c>
      <c r="C340" s="8">
        <v>904.286</v>
      </c>
      <c r="D340" s="11">
        <v>44958</v>
      </c>
      <c r="E340" s="12"/>
    </row>
    <row r="341" ht="16.5" spans="1:5">
      <c r="A341" s="7">
        <v>3044799.788</v>
      </c>
      <c r="B341" s="7">
        <v>35400795.008</v>
      </c>
      <c r="C341" s="8">
        <v>904.286</v>
      </c>
      <c r="D341" s="11">
        <v>44959</v>
      </c>
      <c r="E341" s="15"/>
    </row>
    <row r="342" ht="16.5" spans="1:5">
      <c r="A342" s="7">
        <v>3044799.788</v>
      </c>
      <c r="B342" s="7">
        <v>35400795.008</v>
      </c>
      <c r="C342" s="8">
        <v>904.286</v>
      </c>
      <c r="D342" s="11">
        <v>44960</v>
      </c>
      <c r="E342" s="12"/>
    </row>
    <row r="343" ht="16.5" spans="1:5">
      <c r="A343" s="7">
        <v>3044799.788</v>
      </c>
      <c r="B343" s="7">
        <v>35400795.008</v>
      </c>
      <c r="C343" s="8">
        <v>904.286</v>
      </c>
      <c r="D343" s="11">
        <v>44961</v>
      </c>
      <c r="E343" s="12"/>
    </row>
    <row r="344" ht="16.5" spans="1:5">
      <c r="A344" s="7">
        <v>3044799.788</v>
      </c>
      <c r="B344" s="7">
        <v>35400795.008</v>
      </c>
      <c r="C344" s="8">
        <v>904.286</v>
      </c>
      <c r="D344" s="11">
        <v>44962</v>
      </c>
      <c r="E344" s="12"/>
    </row>
    <row r="345" ht="16.5" spans="1:5">
      <c r="A345" s="7">
        <v>3044799.788</v>
      </c>
      <c r="B345" s="7">
        <v>35400795.008</v>
      </c>
      <c r="C345" s="8">
        <v>904.286</v>
      </c>
      <c r="D345" s="11">
        <v>44963</v>
      </c>
      <c r="E345" s="12"/>
    </row>
    <row r="346" ht="16.5" spans="1:5">
      <c r="A346" s="7">
        <v>3044799.788</v>
      </c>
      <c r="B346" s="7">
        <v>35400795.008</v>
      </c>
      <c r="C346" s="8">
        <v>904.286</v>
      </c>
      <c r="D346" s="11">
        <v>44964</v>
      </c>
      <c r="E346" s="12"/>
    </row>
    <row r="347" ht="16.5" spans="1:5">
      <c r="A347" s="7">
        <v>3044799.788</v>
      </c>
      <c r="B347" s="7">
        <v>35400795.008</v>
      </c>
      <c r="C347" s="8">
        <v>904.286</v>
      </c>
      <c r="D347" s="11">
        <v>44965</v>
      </c>
      <c r="E347" s="12"/>
    </row>
    <row r="348" ht="16.5" spans="1:5">
      <c r="A348" s="7">
        <v>3044799.788</v>
      </c>
      <c r="B348" s="7">
        <v>35400795.008</v>
      </c>
      <c r="C348" s="8">
        <v>904.286</v>
      </c>
      <c r="D348" s="11">
        <v>44966</v>
      </c>
      <c r="E348" s="10">
        <v>781.016</v>
      </c>
    </row>
    <row r="349" ht="16.5" spans="1:5">
      <c r="A349" s="7">
        <v>3044799.788</v>
      </c>
      <c r="B349" s="7">
        <v>35400795.008</v>
      </c>
      <c r="C349" s="8">
        <v>904.286</v>
      </c>
      <c r="D349" s="11">
        <v>44967</v>
      </c>
      <c r="E349" s="10">
        <v>781.076</v>
      </c>
    </row>
    <row r="350" ht="16.5" spans="1:5">
      <c r="A350" s="7">
        <v>3044799.788</v>
      </c>
      <c r="B350" s="7">
        <v>35400795.008</v>
      </c>
      <c r="C350" s="8">
        <v>904.286</v>
      </c>
      <c r="D350" s="11">
        <v>44968</v>
      </c>
      <c r="E350" s="10">
        <v>780.536</v>
      </c>
    </row>
    <row r="351" ht="16.5" spans="1:5">
      <c r="A351" s="7">
        <v>3044799.788</v>
      </c>
      <c r="B351" s="7">
        <v>35400795.008</v>
      </c>
      <c r="C351" s="8">
        <v>904.286</v>
      </c>
      <c r="D351" s="11">
        <v>44969</v>
      </c>
      <c r="E351" s="10">
        <v>780.246</v>
      </c>
    </row>
    <row r="352" ht="16.5" spans="1:5">
      <c r="A352" s="7">
        <v>3044799.788</v>
      </c>
      <c r="B352" s="7">
        <v>35400795.008</v>
      </c>
      <c r="C352" s="8">
        <v>904.286</v>
      </c>
      <c r="D352" s="11">
        <v>44970</v>
      </c>
      <c r="E352" s="14">
        <v>779.996</v>
      </c>
    </row>
    <row r="353" ht="16.5" spans="1:5">
      <c r="A353" s="7">
        <v>3044799.788</v>
      </c>
      <c r="B353" s="7">
        <v>35400795.008</v>
      </c>
      <c r="C353" s="8">
        <v>904.286</v>
      </c>
      <c r="D353" s="11">
        <v>44971</v>
      </c>
      <c r="E353" s="10">
        <v>780.006</v>
      </c>
    </row>
    <row r="354" ht="16.5" spans="1:5">
      <c r="A354" s="7">
        <v>3044799.788</v>
      </c>
      <c r="B354" s="7">
        <v>35400795.008</v>
      </c>
      <c r="C354" s="8">
        <v>904.286</v>
      </c>
      <c r="D354" s="11">
        <v>44972</v>
      </c>
      <c r="E354" s="10">
        <v>779.686</v>
      </c>
    </row>
    <row r="355" ht="16.5" spans="1:5">
      <c r="A355" s="7">
        <v>3044799.788</v>
      </c>
      <c r="B355" s="7">
        <v>35400795.008</v>
      </c>
      <c r="C355" s="8">
        <v>904.286</v>
      </c>
      <c r="D355" s="11">
        <v>44973</v>
      </c>
      <c r="E355" s="10">
        <v>779.586</v>
      </c>
    </row>
    <row r="356" ht="16.5" spans="1:5">
      <c r="A356" s="7">
        <v>3044799.788</v>
      </c>
      <c r="B356" s="7">
        <v>35400795.008</v>
      </c>
      <c r="C356" s="8">
        <v>904.286</v>
      </c>
      <c r="D356" s="11">
        <v>44974</v>
      </c>
      <c r="E356" s="10">
        <v>779.686</v>
      </c>
    </row>
    <row r="357" ht="16.5" spans="1:5">
      <c r="A357" s="7">
        <v>3044799.788</v>
      </c>
      <c r="B357" s="7">
        <v>35400795.008</v>
      </c>
      <c r="C357" s="8">
        <v>904.286</v>
      </c>
      <c r="D357" s="11">
        <v>44975</v>
      </c>
      <c r="E357" s="10">
        <v>779.486</v>
      </c>
    </row>
    <row r="358" ht="16.5" spans="1:5">
      <c r="A358" s="7">
        <v>3044799.788</v>
      </c>
      <c r="B358" s="7">
        <v>35400795.008</v>
      </c>
      <c r="C358" s="8">
        <v>904.286</v>
      </c>
      <c r="D358" s="11">
        <v>44976</v>
      </c>
      <c r="E358" s="10">
        <v>779.286</v>
      </c>
    </row>
    <row r="359" ht="16.5" spans="1:5">
      <c r="A359" s="7">
        <v>3044799.788</v>
      </c>
      <c r="B359" s="7">
        <v>35400795.008</v>
      </c>
      <c r="C359" s="8">
        <v>904.286</v>
      </c>
      <c r="D359" s="11">
        <v>44977</v>
      </c>
      <c r="E359" s="10">
        <v>779.086</v>
      </c>
    </row>
    <row r="360" ht="16.5" spans="1:5">
      <c r="A360" s="7">
        <v>3044799.788</v>
      </c>
      <c r="B360" s="7">
        <v>35400795.008</v>
      </c>
      <c r="C360" s="8">
        <v>904.286</v>
      </c>
      <c r="D360" s="11">
        <v>44978</v>
      </c>
      <c r="E360" s="10">
        <v>778.886</v>
      </c>
    </row>
    <row r="361" ht="16.5" spans="1:5">
      <c r="A361" s="7">
        <v>3044799.788</v>
      </c>
      <c r="B361" s="7">
        <v>35400795.008</v>
      </c>
      <c r="C361" s="8">
        <v>904.286</v>
      </c>
      <c r="D361" s="11">
        <v>44979</v>
      </c>
      <c r="E361" s="10">
        <v>778.486</v>
      </c>
    </row>
    <row r="362" ht="16.5" spans="1:5">
      <c r="A362" s="7">
        <v>3044799.788</v>
      </c>
      <c r="B362" s="7">
        <v>35400795.008</v>
      </c>
      <c r="C362" s="8">
        <v>904.286</v>
      </c>
      <c r="D362" s="11">
        <v>44980</v>
      </c>
      <c r="E362" s="10">
        <v>778.486</v>
      </c>
    </row>
    <row r="363" ht="16.5" spans="1:5">
      <c r="A363" s="7">
        <v>3044799.788</v>
      </c>
      <c r="B363" s="7">
        <v>35400795.008</v>
      </c>
      <c r="C363" s="8">
        <v>904.286</v>
      </c>
      <c r="D363" s="11">
        <v>44981</v>
      </c>
      <c r="E363" s="10">
        <v>778.026</v>
      </c>
    </row>
    <row r="364" ht="16.5" spans="1:5">
      <c r="A364" s="7">
        <v>3044799.788</v>
      </c>
      <c r="B364" s="7">
        <v>35400795.008</v>
      </c>
      <c r="C364" s="8">
        <v>904.286</v>
      </c>
      <c r="D364" s="11">
        <v>44982</v>
      </c>
      <c r="E364" s="10">
        <v>778.096</v>
      </c>
    </row>
    <row r="365" ht="16.5" spans="1:5">
      <c r="A365" s="7">
        <v>3044799.788</v>
      </c>
      <c r="B365" s="7">
        <v>35400795.008</v>
      </c>
      <c r="C365" s="8">
        <v>904.286</v>
      </c>
      <c r="D365" s="11">
        <v>44983</v>
      </c>
      <c r="E365" s="10">
        <v>777.876</v>
      </c>
    </row>
    <row r="366" ht="16.5" spans="1:5">
      <c r="A366" s="7">
        <v>3044799.788</v>
      </c>
      <c r="B366" s="7">
        <v>35400795.008</v>
      </c>
      <c r="C366" s="8">
        <v>904.286</v>
      </c>
      <c r="D366" s="11">
        <v>44984</v>
      </c>
      <c r="E366" s="10">
        <v>777.316</v>
      </c>
    </row>
    <row r="367" ht="16.5" spans="1:5">
      <c r="A367" s="7">
        <v>3044799.788</v>
      </c>
      <c r="B367" s="7">
        <v>35400795.008</v>
      </c>
      <c r="C367" s="8">
        <v>904.286</v>
      </c>
      <c r="D367" s="11">
        <v>44985</v>
      </c>
      <c r="E367" s="10">
        <v>778.106</v>
      </c>
    </row>
    <row r="368" ht="16.5" spans="1:5">
      <c r="A368" s="7">
        <v>3044799.788</v>
      </c>
      <c r="B368" s="7">
        <v>35400795.008</v>
      </c>
      <c r="C368" s="8">
        <v>904.286</v>
      </c>
      <c r="D368" s="11">
        <v>44986</v>
      </c>
      <c r="E368" s="10">
        <v>777.716</v>
      </c>
    </row>
    <row r="369" ht="16.5" spans="1:5">
      <c r="A369" s="7">
        <v>3044799.788</v>
      </c>
      <c r="B369" s="7">
        <v>35400795.008</v>
      </c>
      <c r="C369" s="8">
        <v>904.286</v>
      </c>
      <c r="D369" s="11">
        <v>44987</v>
      </c>
      <c r="E369" s="10">
        <v>777.606</v>
      </c>
    </row>
    <row r="370" ht="16.5" spans="1:5">
      <c r="A370" s="7">
        <v>3044799.788</v>
      </c>
      <c r="B370" s="7">
        <v>35400795.008</v>
      </c>
      <c r="C370" s="8">
        <v>904.286</v>
      </c>
      <c r="D370" s="11">
        <v>44988</v>
      </c>
      <c r="E370" s="10">
        <v>777.446</v>
      </c>
    </row>
    <row r="371" ht="16.5" spans="1:5">
      <c r="A371" s="7">
        <v>3044799.788</v>
      </c>
      <c r="B371" s="7">
        <v>35400795.008</v>
      </c>
      <c r="C371" s="8">
        <v>904.286</v>
      </c>
      <c r="D371" s="11">
        <v>44989</v>
      </c>
      <c r="E371" s="10">
        <v>777.266</v>
      </c>
    </row>
    <row r="372" ht="16.5" spans="1:5">
      <c r="A372" s="7">
        <v>3044799.788</v>
      </c>
      <c r="B372" s="7">
        <v>35400795.008</v>
      </c>
      <c r="C372" s="8">
        <v>904.286</v>
      </c>
      <c r="D372" s="11">
        <v>44990</v>
      </c>
      <c r="E372" s="10">
        <v>777.206</v>
      </c>
    </row>
    <row r="373" ht="16.5" spans="1:5">
      <c r="A373" s="7">
        <v>3044799.788</v>
      </c>
      <c r="B373" s="7">
        <v>35400795.008</v>
      </c>
      <c r="C373" s="8">
        <v>904.286</v>
      </c>
      <c r="D373" s="11">
        <v>44991</v>
      </c>
      <c r="E373" s="10">
        <v>777.256</v>
      </c>
    </row>
    <row r="374" ht="16.5" spans="1:5">
      <c r="A374" s="7">
        <v>3044799.788</v>
      </c>
      <c r="B374" s="7">
        <v>35400795.008</v>
      </c>
      <c r="C374" s="8">
        <v>904.286</v>
      </c>
      <c r="D374" s="11">
        <v>44992</v>
      </c>
      <c r="E374" s="10">
        <v>777.096</v>
      </c>
    </row>
    <row r="375" ht="16.5" spans="1:5">
      <c r="A375" s="7">
        <v>3044799.788</v>
      </c>
      <c r="B375" s="7">
        <v>35400795.008</v>
      </c>
      <c r="C375" s="8">
        <v>904.286</v>
      </c>
      <c r="D375" s="11">
        <v>44993</v>
      </c>
      <c r="E375" s="10">
        <v>776.936</v>
      </c>
    </row>
    <row r="376" ht="16.5" spans="1:5">
      <c r="A376" s="7">
        <v>3044799.788</v>
      </c>
      <c r="B376" s="7">
        <v>35400795.008</v>
      </c>
      <c r="C376" s="8">
        <v>904.286</v>
      </c>
      <c r="D376" s="11">
        <v>44994</v>
      </c>
      <c r="E376" s="10">
        <v>776.876</v>
      </c>
    </row>
    <row r="377" ht="16.5" spans="1:5">
      <c r="A377" s="7">
        <v>3044799.788</v>
      </c>
      <c r="B377" s="7">
        <v>35400795.008</v>
      </c>
      <c r="C377" s="8">
        <v>904.286</v>
      </c>
      <c r="D377" s="11">
        <v>44995</v>
      </c>
      <c r="E377" s="10">
        <v>777.166</v>
      </c>
    </row>
    <row r="378" ht="16.5" spans="1:5">
      <c r="A378" s="7">
        <v>3044799.788</v>
      </c>
      <c r="B378" s="7">
        <v>35400795.008</v>
      </c>
      <c r="C378" s="8">
        <v>904.286</v>
      </c>
      <c r="D378" s="11">
        <v>44996</v>
      </c>
      <c r="E378" s="10">
        <v>776.876</v>
      </c>
    </row>
    <row r="379" ht="16.5" spans="1:5">
      <c r="A379" s="7">
        <v>3044799.788</v>
      </c>
      <c r="B379" s="7">
        <v>35400795.008</v>
      </c>
      <c r="C379" s="8">
        <v>904.286</v>
      </c>
      <c r="D379" s="11">
        <v>44997</v>
      </c>
      <c r="E379" s="10">
        <v>776.076</v>
      </c>
    </row>
    <row r="380" ht="16.5" spans="1:5">
      <c r="A380" s="7">
        <v>3044799.788</v>
      </c>
      <c r="B380" s="7">
        <v>35400795.008</v>
      </c>
      <c r="C380" s="8">
        <v>904.286</v>
      </c>
      <c r="D380" s="11">
        <v>44998</v>
      </c>
      <c r="E380" s="10">
        <v>776.516</v>
      </c>
    </row>
    <row r="381" ht="16.5" spans="1:5">
      <c r="A381" s="7">
        <v>3044799.788</v>
      </c>
      <c r="B381" s="7">
        <v>35400795.008</v>
      </c>
      <c r="C381" s="8">
        <v>904.286</v>
      </c>
      <c r="D381" s="11">
        <v>44999</v>
      </c>
      <c r="E381" s="10">
        <v>776.626</v>
      </c>
    </row>
    <row r="382" ht="16.5" spans="1:5">
      <c r="A382" s="7">
        <v>3044799.788</v>
      </c>
      <c r="B382" s="7">
        <v>35400795.008</v>
      </c>
      <c r="C382" s="8">
        <v>904.286</v>
      </c>
      <c r="D382" s="11">
        <v>45000</v>
      </c>
      <c r="E382" s="10">
        <v>776.266</v>
      </c>
    </row>
    <row r="383" ht="16.5" spans="1:5">
      <c r="A383" s="7">
        <v>3044799.788</v>
      </c>
      <c r="B383" s="7">
        <v>35400795.008</v>
      </c>
      <c r="C383" s="8">
        <v>904.286</v>
      </c>
      <c r="D383" s="11">
        <v>45001</v>
      </c>
      <c r="E383" s="10">
        <v>776.136</v>
      </c>
    </row>
    <row r="384" ht="16.5" spans="1:5">
      <c r="A384" s="7">
        <v>3044799.788</v>
      </c>
      <c r="B384" s="7">
        <v>35400795.008</v>
      </c>
      <c r="C384" s="8">
        <v>904.286</v>
      </c>
      <c r="D384" s="11">
        <v>45002</v>
      </c>
      <c r="E384" s="16"/>
    </row>
    <row r="385" ht="16.5" spans="1:5">
      <c r="A385" s="7">
        <v>3044799.788</v>
      </c>
      <c r="B385" s="7">
        <v>35400795.008</v>
      </c>
      <c r="C385" s="8">
        <v>904.286</v>
      </c>
      <c r="D385" s="11">
        <v>45003</v>
      </c>
      <c r="E385" s="10"/>
    </row>
    <row r="386" ht="16.5" spans="1:5">
      <c r="A386" s="7">
        <v>3044799.788</v>
      </c>
      <c r="B386" s="7">
        <v>35400795.008</v>
      </c>
      <c r="C386" s="8">
        <v>904.286</v>
      </c>
      <c r="D386" s="11">
        <v>45004</v>
      </c>
      <c r="E386" s="10"/>
    </row>
    <row r="387" ht="16.5" spans="1:5">
      <c r="A387" s="7">
        <v>3044799.788</v>
      </c>
      <c r="B387" s="7">
        <v>35400795.008</v>
      </c>
      <c r="C387" s="8">
        <v>904.286</v>
      </c>
      <c r="D387" s="11">
        <v>45005</v>
      </c>
      <c r="E387" s="10"/>
    </row>
    <row r="388" ht="16.5" spans="1:5">
      <c r="A388" s="7">
        <v>3044799.788</v>
      </c>
      <c r="B388" s="7">
        <v>35400795.008</v>
      </c>
      <c r="C388" s="8">
        <v>904.286</v>
      </c>
      <c r="D388" s="11">
        <v>45006</v>
      </c>
      <c r="E388" s="10"/>
    </row>
    <row r="389" ht="16.5" spans="1:5">
      <c r="A389" s="7">
        <v>3044799.788</v>
      </c>
      <c r="B389" s="7">
        <v>35400795.008</v>
      </c>
      <c r="C389" s="8">
        <v>904.286</v>
      </c>
      <c r="D389" s="11">
        <v>45007</v>
      </c>
      <c r="E389" s="10"/>
    </row>
    <row r="390" ht="16.5" spans="1:5">
      <c r="A390" s="7">
        <v>3044799.788</v>
      </c>
      <c r="B390" s="7">
        <v>35400795.008</v>
      </c>
      <c r="C390" s="8">
        <v>904.286</v>
      </c>
      <c r="D390" s="11">
        <v>45008</v>
      </c>
      <c r="E390" s="10">
        <v>775.716</v>
      </c>
    </row>
    <row r="391" ht="16.5" spans="1:5">
      <c r="A391" s="7">
        <v>3044799.788</v>
      </c>
      <c r="B391" s="7">
        <v>35400795.008</v>
      </c>
      <c r="C391" s="8">
        <v>904.286</v>
      </c>
      <c r="D391" s="11">
        <v>45009</v>
      </c>
      <c r="E391" s="12"/>
    </row>
    <row r="392" ht="16.5" spans="1:5">
      <c r="A392" s="7">
        <v>3044799.788</v>
      </c>
      <c r="B392" s="7">
        <v>35400795.008</v>
      </c>
      <c r="C392" s="8">
        <v>904.286</v>
      </c>
      <c r="D392" s="11">
        <v>45010</v>
      </c>
      <c r="E392" s="12"/>
    </row>
    <row r="393" ht="16.5" spans="1:5">
      <c r="A393" s="7">
        <v>3044799.788</v>
      </c>
      <c r="B393" s="7">
        <v>35400795.008</v>
      </c>
      <c r="C393" s="8">
        <v>904.286</v>
      </c>
      <c r="D393" s="11">
        <v>45011</v>
      </c>
      <c r="E393" s="12"/>
    </row>
    <row r="394" ht="16.5" spans="1:5">
      <c r="A394" s="7">
        <v>3044799.788</v>
      </c>
      <c r="B394" s="7">
        <v>35400795.008</v>
      </c>
      <c r="C394" s="8">
        <v>904.286</v>
      </c>
      <c r="D394" s="11">
        <v>45012</v>
      </c>
      <c r="E394" s="12"/>
    </row>
    <row r="395" ht="16.5" spans="1:5">
      <c r="A395" s="7">
        <v>3044799.788</v>
      </c>
      <c r="B395" s="7">
        <v>35400795.008</v>
      </c>
      <c r="C395" s="8">
        <v>904.286</v>
      </c>
      <c r="D395" s="11">
        <v>45013</v>
      </c>
      <c r="E395" s="12"/>
    </row>
    <row r="396" ht="16.5" spans="1:5">
      <c r="A396" s="7">
        <v>3044799.788</v>
      </c>
      <c r="B396" s="7">
        <v>35400795.008</v>
      </c>
      <c r="C396" s="8">
        <v>904.286</v>
      </c>
      <c r="D396" s="11">
        <v>45014</v>
      </c>
      <c r="E396" s="12"/>
    </row>
    <row r="397" ht="16.5" spans="1:5">
      <c r="A397" s="7">
        <v>3044799.788</v>
      </c>
      <c r="B397" s="7">
        <v>35400795.008</v>
      </c>
      <c r="C397" s="8">
        <v>904.286</v>
      </c>
      <c r="D397" s="11">
        <v>45015</v>
      </c>
      <c r="E397" s="17">
        <v>775.4</v>
      </c>
    </row>
    <row r="398" ht="16.5" spans="1:5">
      <c r="A398" s="7">
        <v>3044799.788</v>
      </c>
      <c r="B398" s="7">
        <v>35400795.008</v>
      </c>
      <c r="C398" s="8">
        <v>904.286</v>
      </c>
      <c r="D398" s="11">
        <v>45016</v>
      </c>
      <c r="E398" s="12"/>
    </row>
    <row r="399" ht="16.5" spans="1:5">
      <c r="A399" s="7">
        <v>3044799.788</v>
      </c>
      <c r="B399" s="7">
        <v>35400795.008</v>
      </c>
      <c r="C399" s="8">
        <v>904.286</v>
      </c>
      <c r="D399" s="11">
        <v>45017</v>
      </c>
      <c r="E399" s="10">
        <v>774.38</v>
      </c>
    </row>
    <row r="400" ht="16.5" spans="1:5">
      <c r="A400" s="7">
        <v>3044799.788</v>
      </c>
      <c r="B400" s="7">
        <v>35400795.008</v>
      </c>
      <c r="C400" s="8">
        <v>904.286</v>
      </c>
      <c r="D400" s="11">
        <v>45018</v>
      </c>
      <c r="E400" s="10">
        <v>775.58</v>
      </c>
    </row>
    <row r="401" ht="16.5" spans="1:5">
      <c r="A401" s="7">
        <v>3044799.788</v>
      </c>
      <c r="B401" s="7">
        <v>35400795.008</v>
      </c>
      <c r="C401" s="8">
        <v>904.286</v>
      </c>
      <c r="D401" s="11">
        <v>45019</v>
      </c>
      <c r="E401" s="10">
        <v>774.63</v>
      </c>
    </row>
    <row r="402" ht="16.5" spans="1:5">
      <c r="A402" s="7">
        <v>3044799.788</v>
      </c>
      <c r="B402" s="7">
        <v>35400795.008</v>
      </c>
      <c r="C402" s="8">
        <v>904.286</v>
      </c>
      <c r="D402" s="11">
        <v>45020</v>
      </c>
      <c r="E402" s="10">
        <v>774.33</v>
      </c>
    </row>
    <row r="403" ht="16.5" spans="1:5">
      <c r="A403" s="7">
        <v>3044799.788</v>
      </c>
      <c r="B403" s="7">
        <v>35400795.008</v>
      </c>
      <c r="C403" s="8">
        <v>904.286</v>
      </c>
      <c r="D403" s="11">
        <v>45021</v>
      </c>
      <c r="E403" s="10">
        <v>774.11</v>
      </c>
    </row>
    <row r="404" ht="16.5" spans="1:5">
      <c r="A404" s="7">
        <v>3044799.788</v>
      </c>
      <c r="B404" s="7">
        <v>35400795.008</v>
      </c>
      <c r="C404" s="8">
        <v>904.286</v>
      </c>
      <c r="D404" s="11">
        <v>45022</v>
      </c>
      <c r="E404" s="10">
        <v>773.44</v>
      </c>
    </row>
    <row r="405" ht="16.5" spans="1:5">
      <c r="A405" s="7">
        <v>3044799.788</v>
      </c>
      <c r="B405" s="7">
        <v>35400795.008</v>
      </c>
      <c r="C405" s="8">
        <v>904.286</v>
      </c>
      <c r="D405" s="11">
        <v>45023</v>
      </c>
      <c r="E405" s="10">
        <v>773.55</v>
      </c>
    </row>
    <row r="406" ht="16.5" spans="1:5">
      <c r="A406" s="7">
        <v>3044799.788</v>
      </c>
      <c r="B406" s="7">
        <v>35400795.008</v>
      </c>
      <c r="C406" s="8">
        <v>904.286</v>
      </c>
      <c r="D406" s="11">
        <v>45024</v>
      </c>
      <c r="E406" s="10">
        <v>773.55</v>
      </c>
    </row>
    <row r="407" ht="16.5" spans="1:5">
      <c r="A407" s="7">
        <v>3044799.788</v>
      </c>
      <c r="B407" s="7">
        <v>35400795.008</v>
      </c>
      <c r="C407" s="8">
        <v>904.286</v>
      </c>
      <c r="D407" s="11">
        <v>45025</v>
      </c>
      <c r="E407" s="10">
        <v>773.45</v>
      </c>
    </row>
    <row r="408" ht="16.5" spans="1:5">
      <c r="A408" s="7">
        <v>3044799.788</v>
      </c>
      <c r="B408" s="7">
        <v>35400795.008</v>
      </c>
      <c r="C408" s="8">
        <v>904.286</v>
      </c>
      <c r="D408" s="11">
        <v>45026</v>
      </c>
      <c r="E408" s="10">
        <v>773.35</v>
      </c>
    </row>
    <row r="409" ht="16.5" spans="1:5">
      <c r="A409" s="7">
        <v>3044799.788</v>
      </c>
      <c r="B409" s="7">
        <v>35400795.008</v>
      </c>
      <c r="C409" s="8">
        <v>904.286</v>
      </c>
      <c r="D409" s="11">
        <v>45027</v>
      </c>
      <c r="E409" s="16"/>
    </row>
    <row r="410" ht="16.5" spans="1:5">
      <c r="A410" s="7">
        <v>3044799.788</v>
      </c>
      <c r="B410" s="7">
        <v>35400795.008</v>
      </c>
      <c r="C410" s="8">
        <v>904.286</v>
      </c>
      <c r="D410" s="11">
        <v>45028</v>
      </c>
      <c r="E410" s="10"/>
    </row>
    <row r="411" ht="16.5" spans="1:5">
      <c r="A411" s="7">
        <v>3044799.788</v>
      </c>
      <c r="B411" s="7">
        <v>35400795.008</v>
      </c>
      <c r="C411" s="8">
        <v>904.286</v>
      </c>
      <c r="D411" s="11">
        <v>45029</v>
      </c>
      <c r="E411" s="10">
        <v>773.74</v>
      </c>
    </row>
    <row r="412" ht="16.5" spans="1:5">
      <c r="A412" s="7">
        <v>3044799.788</v>
      </c>
      <c r="B412" s="7">
        <v>35400795.008</v>
      </c>
      <c r="C412" s="8">
        <v>904.286</v>
      </c>
      <c r="D412" s="11">
        <v>45030</v>
      </c>
      <c r="E412" s="10"/>
    </row>
    <row r="413" ht="16.5" spans="1:5">
      <c r="A413" s="7">
        <v>3044799.788</v>
      </c>
      <c r="B413" s="7">
        <v>35400795.008</v>
      </c>
      <c r="C413" s="8">
        <v>904.286</v>
      </c>
      <c r="D413" s="11">
        <v>45031</v>
      </c>
      <c r="E413" s="10">
        <v>773.84</v>
      </c>
    </row>
    <row r="414" ht="16.5" spans="1:5">
      <c r="A414" s="7">
        <v>3044799.788</v>
      </c>
      <c r="B414" s="7">
        <v>35400795.008</v>
      </c>
      <c r="C414" s="8">
        <v>904.286</v>
      </c>
      <c r="D414" s="11">
        <v>45032</v>
      </c>
      <c r="E414" s="10">
        <v>773.95</v>
      </c>
    </row>
    <row r="415" ht="16.5" spans="1:5">
      <c r="A415" s="7">
        <v>3044799.788</v>
      </c>
      <c r="B415" s="7">
        <v>35400795.008</v>
      </c>
      <c r="C415" s="8">
        <v>904.286</v>
      </c>
      <c r="D415" s="11">
        <v>45033</v>
      </c>
      <c r="E415" s="10">
        <v>774.2</v>
      </c>
    </row>
    <row r="416" ht="16.5" spans="1:5">
      <c r="A416" s="7">
        <v>3044799.788</v>
      </c>
      <c r="B416" s="7">
        <v>35400795.008</v>
      </c>
      <c r="C416" s="8">
        <v>904.286</v>
      </c>
      <c r="D416" s="11">
        <v>45034</v>
      </c>
      <c r="E416" s="10">
        <v>773.98</v>
      </c>
    </row>
    <row r="417" ht="16.5" spans="1:5">
      <c r="A417" s="7">
        <v>3044799.788</v>
      </c>
      <c r="B417" s="7">
        <v>35400795.008</v>
      </c>
      <c r="C417" s="8">
        <v>904.286</v>
      </c>
      <c r="D417" s="11">
        <v>45035</v>
      </c>
      <c r="E417" s="10">
        <v>774.06</v>
      </c>
    </row>
    <row r="418" ht="16.5" spans="1:5">
      <c r="A418" s="7">
        <v>3044799.788</v>
      </c>
      <c r="B418" s="7">
        <v>35400795.008</v>
      </c>
      <c r="C418" s="8">
        <v>904.286</v>
      </c>
      <c r="D418" s="11">
        <v>45036</v>
      </c>
      <c r="E418" s="10"/>
    </row>
    <row r="419" ht="16.5" spans="1:5">
      <c r="A419" s="7">
        <v>3044799.788</v>
      </c>
      <c r="B419" s="7">
        <v>35400795.008</v>
      </c>
      <c r="C419" s="8">
        <v>904.286</v>
      </c>
      <c r="D419" s="11">
        <v>45037</v>
      </c>
      <c r="E419" s="12"/>
    </row>
    <row r="420" ht="16.5" spans="1:5">
      <c r="A420" s="7">
        <v>3044799.788</v>
      </c>
      <c r="B420" s="7">
        <v>35400795.008</v>
      </c>
      <c r="C420" s="8">
        <v>904.286</v>
      </c>
      <c r="D420" s="11">
        <v>45038</v>
      </c>
      <c r="E420" s="12"/>
    </row>
    <row r="421" ht="16.5" spans="1:5">
      <c r="A421" s="7">
        <v>3044799.788</v>
      </c>
      <c r="B421" s="7">
        <v>35400795.008</v>
      </c>
      <c r="C421" s="8">
        <v>904.286</v>
      </c>
      <c r="D421" s="11">
        <v>45039</v>
      </c>
      <c r="E421" s="12"/>
    </row>
    <row r="422" ht="16.5" spans="1:5">
      <c r="A422" s="7">
        <v>3044799.788</v>
      </c>
      <c r="B422" s="7">
        <v>35400795.008</v>
      </c>
      <c r="C422" s="8">
        <v>904.286</v>
      </c>
      <c r="D422" s="11">
        <v>45040</v>
      </c>
      <c r="E422" s="12"/>
    </row>
    <row r="423" ht="16.5" spans="1:5">
      <c r="A423" s="7">
        <v>3044799.788</v>
      </c>
      <c r="B423" s="7">
        <v>35400795.008</v>
      </c>
      <c r="C423" s="8">
        <v>904.286</v>
      </c>
      <c r="D423" s="11">
        <v>45041</v>
      </c>
      <c r="E423" s="12"/>
    </row>
    <row r="424" ht="16.5" spans="1:5">
      <c r="A424" s="7">
        <v>3044799.788</v>
      </c>
      <c r="B424" s="7">
        <v>35400795.008</v>
      </c>
      <c r="C424" s="8">
        <v>904.286</v>
      </c>
      <c r="D424" s="11">
        <v>45042</v>
      </c>
      <c r="E424" s="12"/>
    </row>
    <row r="425" ht="16.5" spans="1:5">
      <c r="A425" s="7">
        <v>3044799.788</v>
      </c>
      <c r="B425" s="7">
        <v>35400795.008</v>
      </c>
      <c r="C425" s="8">
        <v>904.286</v>
      </c>
      <c r="D425" s="11">
        <v>45043</v>
      </c>
      <c r="E425" s="10"/>
    </row>
    <row r="426" ht="16.5" spans="1:5">
      <c r="A426" s="7">
        <v>3044799.788</v>
      </c>
      <c r="B426" s="7">
        <v>35400795.008</v>
      </c>
      <c r="C426" s="8">
        <v>904.286</v>
      </c>
      <c r="D426" s="11">
        <v>45044</v>
      </c>
      <c r="E426" s="12"/>
    </row>
    <row r="427" ht="16.5" spans="1:5">
      <c r="A427" s="7">
        <v>3044799.788</v>
      </c>
      <c r="B427" s="7">
        <v>35400795.008</v>
      </c>
      <c r="C427" s="8">
        <v>904.286</v>
      </c>
      <c r="D427" s="11">
        <v>45045</v>
      </c>
      <c r="E427" s="12"/>
    </row>
    <row r="428" ht="16.5" spans="1:5">
      <c r="A428" s="7">
        <v>3044799.788</v>
      </c>
      <c r="B428" s="7">
        <v>35400795.008</v>
      </c>
      <c r="C428" s="8">
        <v>904.286</v>
      </c>
      <c r="D428" s="11">
        <v>45046</v>
      </c>
      <c r="E428" s="12"/>
    </row>
    <row r="429" ht="16.5" spans="1:5">
      <c r="A429" s="7">
        <v>3044799.788</v>
      </c>
      <c r="B429" s="7">
        <v>35400795.008</v>
      </c>
      <c r="C429" s="8">
        <v>904.286</v>
      </c>
      <c r="D429" s="11">
        <v>45047</v>
      </c>
      <c r="E429" s="12"/>
    </row>
    <row r="430" ht="16.5" spans="1:5">
      <c r="A430" s="7">
        <v>3044799.788</v>
      </c>
      <c r="B430" s="7">
        <v>35400795.008</v>
      </c>
      <c r="C430" s="8">
        <v>904.286</v>
      </c>
      <c r="D430" s="11">
        <v>45048</v>
      </c>
      <c r="E430" s="12"/>
    </row>
    <row r="431" ht="16.5" spans="1:5">
      <c r="A431" s="7">
        <v>3044799.788</v>
      </c>
      <c r="B431" s="7">
        <v>35400795.008</v>
      </c>
      <c r="C431" s="8">
        <v>904.286</v>
      </c>
      <c r="D431" s="11">
        <v>45049</v>
      </c>
      <c r="E431" s="12"/>
    </row>
    <row r="432" ht="16.5" spans="1:5">
      <c r="A432" s="7">
        <v>3044799.788</v>
      </c>
      <c r="B432" s="7">
        <v>35400795.008</v>
      </c>
      <c r="C432" s="8">
        <v>904.286</v>
      </c>
      <c r="D432" s="11">
        <v>45050</v>
      </c>
      <c r="E432" s="12"/>
    </row>
    <row r="433" ht="16.5" spans="1:5">
      <c r="A433" s="7">
        <v>3044799.788</v>
      </c>
      <c r="B433" s="7">
        <v>35400795.008</v>
      </c>
      <c r="C433" s="8">
        <v>904.286</v>
      </c>
      <c r="D433" s="11">
        <v>45051</v>
      </c>
      <c r="E433" s="12"/>
    </row>
    <row r="434" ht="16.5" spans="1:5">
      <c r="A434" s="7">
        <v>3044799.788</v>
      </c>
      <c r="B434" s="7">
        <v>35400795.008</v>
      </c>
      <c r="C434" s="8">
        <v>904.286</v>
      </c>
      <c r="D434" s="11">
        <v>45052</v>
      </c>
      <c r="E434" s="12"/>
    </row>
    <row r="435" ht="16.5" spans="1:5">
      <c r="A435" s="7">
        <v>3044799.788</v>
      </c>
      <c r="B435" s="7">
        <v>35400795.008</v>
      </c>
      <c r="C435" s="8">
        <v>904.286</v>
      </c>
      <c r="D435" s="11">
        <v>45053</v>
      </c>
      <c r="E435" s="12"/>
    </row>
    <row r="436" ht="16.5" spans="1:5">
      <c r="A436" s="7">
        <v>3044799.788</v>
      </c>
      <c r="B436" s="7">
        <v>35400795.008</v>
      </c>
      <c r="C436" s="8">
        <v>904.286</v>
      </c>
      <c r="D436" s="11">
        <v>45054</v>
      </c>
      <c r="E436" s="12"/>
    </row>
    <row r="437" ht="16.5" spans="1:5">
      <c r="A437" s="7">
        <v>3044799.788</v>
      </c>
      <c r="B437" s="7">
        <v>35400795.008</v>
      </c>
      <c r="C437" s="8">
        <v>904.286</v>
      </c>
      <c r="D437" s="11">
        <v>45055</v>
      </c>
      <c r="E437" s="12"/>
    </row>
    <row r="438" ht="16.5" spans="1:5">
      <c r="A438" s="7">
        <v>3044799.788</v>
      </c>
      <c r="B438" s="7">
        <v>35400795.008</v>
      </c>
      <c r="C438" s="8">
        <v>904.286</v>
      </c>
      <c r="D438" s="11">
        <v>45056</v>
      </c>
      <c r="E438" s="12"/>
    </row>
    <row r="439" ht="16.5" spans="1:5">
      <c r="A439" s="7">
        <v>3044799.788</v>
      </c>
      <c r="B439" s="7">
        <v>35400795.008</v>
      </c>
      <c r="C439" s="8">
        <v>904.286</v>
      </c>
      <c r="D439" s="11">
        <v>45057</v>
      </c>
      <c r="E439" s="12"/>
    </row>
    <row r="440" ht="16.5" spans="1:5">
      <c r="A440" s="7">
        <v>3044799.788</v>
      </c>
      <c r="B440" s="7">
        <v>35400795.008</v>
      </c>
      <c r="C440" s="8">
        <v>904.286</v>
      </c>
      <c r="D440" s="11">
        <v>45058</v>
      </c>
      <c r="E440" s="12"/>
    </row>
    <row r="441" ht="16.5" spans="1:5">
      <c r="A441" s="7">
        <v>3044799.788</v>
      </c>
      <c r="B441" s="7">
        <v>35400795.008</v>
      </c>
      <c r="C441" s="8">
        <v>904.286</v>
      </c>
      <c r="D441" s="11">
        <v>45059</v>
      </c>
      <c r="E441" s="12"/>
    </row>
    <row r="442" ht="16.5" spans="1:5">
      <c r="A442" s="7">
        <v>3044799.788</v>
      </c>
      <c r="B442" s="7">
        <v>35400795.008</v>
      </c>
      <c r="C442" s="8">
        <v>904.286</v>
      </c>
      <c r="D442" s="11">
        <v>45060</v>
      </c>
      <c r="E442" s="12"/>
    </row>
    <row r="443" ht="16.5" spans="1:5">
      <c r="A443" s="7">
        <v>3044799.788</v>
      </c>
      <c r="B443" s="7">
        <v>35400795.008</v>
      </c>
      <c r="C443" s="8">
        <v>904.286</v>
      </c>
      <c r="D443" s="11">
        <v>45061</v>
      </c>
      <c r="E443" s="12"/>
    </row>
    <row r="444" ht="16.5" spans="1:5">
      <c r="A444" s="7">
        <v>3044799.788</v>
      </c>
      <c r="B444" s="7">
        <v>35400795.008</v>
      </c>
      <c r="C444" s="8">
        <v>904.286</v>
      </c>
      <c r="D444" s="11">
        <v>45062</v>
      </c>
      <c r="E444" s="12"/>
    </row>
    <row r="445" ht="16.5" spans="1:5">
      <c r="A445" s="7">
        <v>3044799.788</v>
      </c>
      <c r="B445" s="7">
        <v>35400795.008</v>
      </c>
      <c r="C445" s="8">
        <v>904.286</v>
      </c>
      <c r="D445" s="11">
        <v>45063</v>
      </c>
      <c r="E445" s="12"/>
    </row>
    <row r="446" ht="16.5" spans="1:5">
      <c r="A446" s="7">
        <v>3044799.788</v>
      </c>
      <c r="B446" s="7">
        <v>35400795.008</v>
      </c>
      <c r="C446" s="8">
        <v>904.286</v>
      </c>
      <c r="D446" s="11">
        <v>45064</v>
      </c>
      <c r="E446" s="12"/>
    </row>
    <row r="447" ht="16.5" spans="1:5">
      <c r="A447" s="7">
        <v>3044799.788</v>
      </c>
      <c r="B447" s="7">
        <v>35400795.008</v>
      </c>
      <c r="C447" s="8">
        <v>904.286</v>
      </c>
      <c r="D447" s="11">
        <v>45065</v>
      </c>
      <c r="E447" s="12"/>
    </row>
    <row r="448" ht="16.5" spans="1:5">
      <c r="A448" s="7">
        <v>3044799.788</v>
      </c>
      <c r="B448" s="7">
        <v>35400795.008</v>
      </c>
      <c r="C448" s="8">
        <v>904.286</v>
      </c>
      <c r="D448" s="11">
        <v>45066</v>
      </c>
      <c r="E448" s="12"/>
    </row>
    <row r="449" ht="16.5" spans="1:5">
      <c r="A449" s="7">
        <v>3044799.788</v>
      </c>
      <c r="B449" s="7">
        <v>35400795.008</v>
      </c>
      <c r="C449" s="8">
        <v>904.286</v>
      </c>
      <c r="D449" s="11">
        <v>45067</v>
      </c>
      <c r="E449" s="12"/>
    </row>
    <row r="450" ht="16.5" spans="1:5">
      <c r="A450" s="7">
        <v>3044799.788</v>
      </c>
      <c r="B450" s="7">
        <v>35400795.008</v>
      </c>
      <c r="C450" s="8">
        <v>904.286</v>
      </c>
      <c r="D450" s="11">
        <v>45068</v>
      </c>
      <c r="E450" s="12"/>
    </row>
    <row r="451" ht="16.5" spans="1:5">
      <c r="A451" s="7">
        <v>3044799.788</v>
      </c>
      <c r="B451" s="7">
        <v>35400795.008</v>
      </c>
      <c r="C451" s="8">
        <v>904.286</v>
      </c>
      <c r="D451" s="11">
        <v>45069</v>
      </c>
      <c r="E451" s="12"/>
    </row>
    <row r="452" ht="16.5" spans="1:5">
      <c r="A452" s="7">
        <v>3044799.788</v>
      </c>
      <c r="B452" s="7">
        <v>35400795.008</v>
      </c>
      <c r="C452" s="8">
        <v>904.286</v>
      </c>
      <c r="D452" s="11">
        <v>45070</v>
      </c>
      <c r="E452" s="12"/>
    </row>
    <row r="453" ht="16.5" spans="1:5">
      <c r="A453" s="7">
        <v>3044799.788</v>
      </c>
      <c r="B453" s="7">
        <v>35400795.008</v>
      </c>
      <c r="C453" s="8">
        <v>904.286</v>
      </c>
      <c r="D453" s="11">
        <v>45071</v>
      </c>
      <c r="E453" s="12"/>
    </row>
    <row r="454" ht="16.5" spans="1:5">
      <c r="A454" s="7">
        <v>3044799.788</v>
      </c>
      <c r="B454" s="7">
        <v>35400795.008</v>
      </c>
      <c r="C454" s="8">
        <v>904.286</v>
      </c>
      <c r="D454" s="11">
        <v>45072</v>
      </c>
      <c r="E454" s="10"/>
    </row>
    <row r="455" ht="16.5" spans="1:5">
      <c r="A455" s="7">
        <v>3044799.788</v>
      </c>
      <c r="B455" s="7">
        <v>35400795.008</v>
      </c>
      <c r="C455" s="8">
        <v>904.286</v>
      </c>
      <c r="D455" s="11">
        <v>45073</v>
      </c>
      <c r="E455" s="10"/>
    </row>
    <row r="456" ht="16.5" spans="1:5">
      <c r="A456" s="7">
        <v>3044799.788</v>
      </c>
      <c r="B456" s="7">
        <v>35400795.008</v>
      </c>
      <c r="C456" s="8">
        <v>904.286</v>
      </c>
      <c r="D456" s="11">
        <v>45074</v>
      </c>
      <c r="E456" s="10"/>
    </row>
    <row r="457" ht="16.5" spans="1:5">
      <c r="A457" s="7">
        <v>3044799.788</v>
      </c>
      <c r="B457" s="7">
        <v>35400795.008</v>
      </c>
      <c r="C457" s="8">
        <v>904.286</v>
      </c>
      <c r="D457" s="11">
        <v>45075</v>
      </c>
      <c r="E457" s="10"/>
    </row>
    <row r="458" ht="16.5" spans="1:5">
      <c r="A458" s="7">
        <v>3044799.788</v>
      </c>
      <c r="B458" s="7">
        <v>35400795.008</v>
      </c>
      <c r="C458" s="8">
        <v>904.286</v>
      </c>
      <c r="D458" s="11">
        <v>45076</v>
      </c>
      <c r="E458" s="10"/>
    </row>
    <row r="459" ht="16.5" spans="1:5">
      <c r="A459" s="7">
        <v>3044799.788</v>
      </c>
      <c r="B459" s="7">
        <v>35400795.008</v>
      </c>
      <c r="C459" s="8">
        <v>904.286</v>
      </c>
      <c r="D459" s="11">
        <v>45077</v>
      </c>
      <c r="E459" s="10"/>
    </row>
    <row r="460" ht="16.5" spans="1:5">
      <c r="A460" s="7">
        <v>3044799.788</v>
      </c>
      <c r="B460" s="7">
        <v>35400795.008</v>
      </c>
      <c r="C460" s="8">
        <v>904.286</v>
      </c>
      <c r="D460" s="11">
        <v>45078</v>
      </c>
      <c r="E460" s="10">
        <v>772</v>
      </c>
    </row>
    <row r="461" ht="16.5" spans="1:5">
      <c r="A461" s="7">
        <v>3044799.788</v>
      </c>
      <c r="B461" s="7">
        <v>35400795.008</v>
      </c>
      <c r="C461" s="8">
        <v>904.286</v>
      </c>
      <c r="D461" s="11">
        <v>45079</v>
      </c>
      <c r="E461" s="10">
        <v>772.08</v>
      </c>
    </row>
    <row r="462" ht="16.5" spans="1:5">
      <c r="A462" s="7">
        <v>3044799.788</v>
      </c>
      <c r="B462" s="7">
        <v>35400795.008</v>
      </c>
      <c r="C462" s="8">
        <v>904.286</v>
      </c>
      <c r="D462" s="11">
        <v>45080</v>
      </c>
      <c r="E462" s="10">
        <v>772.04</v>
      </c>
    </row>
    <row r="463" ht="16.5" spans="1:5">
      <c r="A463" s="7">
        <v>3044799.788</v>
      </c>
      <c r="B463" s="7">
        <v>35400795.008</v>
      </c>
      <c r="C463" s="8">
        <v>904.286</v>
      </c>
      <c r="D463" s="11">
        <v>45081</v>
      </c>
      <c r="E463" s="10">
        <v>771.86</v>
      </c>
    </row>
    <row r="464" ht="16.5" spans="1:5">
      <c r="A464" s="7">
        <v>3044799.788</v>
      </c>
      <c r="B464" s="7">
        <v>35400795.008</v>
      </c>
      <c r="C464" s="8">
        <v>904.286</v>
      </c>
      <c r="D464" s="11">
        <v>45082</v>
      </c>
      <c r="E464" s="10">
        <v>771.59</v>
      </c>
    </row>
    <row r="465" ht="16.5" spans="1:5">
      <c r="A465" s="7">
        <v>3044799.788</v>
      </c>
      <c r="B465" s="7">
        <v>35400795.008</v>
      </c>
      <c r="C465" s="8">
        <v>904.286</v>
      </c>
      <c r="D465" s="11">
        <v>45083</v>
      </c>
      <c r="E465" s="10">
        <v>771.57</v>
      </c>
    </row>
    <row r="466" ht="16.5" spans="1:5">
      <c r="A466" s="7">
        <v>3044799.788</v>
      </c>
      <c r="B466" s="7">
        <v>35400795.008</v>
      </c>
      <c r="C466" s="8">
        <v>904.286</v>
      </c>
      <c r="D466" s="11">
        <v>45084</v>
      </c>
      <c r="E466" s="10">
        <v>771.45</v>
      </c>
    </row>
    <row r="467" ht="16.5" spans="1:5">
      <c r="A467" s="7">
        <v>3044799.788</v>
      </c>
      <c r="B467" s="7">
        <v>35400795.008</v>
      </c>
      <c r="C467" s="8">
        <v>904.286</v>
      </c>
      <c r="D467" s="11">
        <v>45085</v>
      </c>
      <c r="E467" s="10">
        <v>771.32</v>
      </c>
    </row>
    <row r="468" ht="16.5" spans="1:5">
      <c r="A468" s="7">
        <v>3044799.788</v>
      </c>
      <c r="B468" s="7">
        <v>35400795.008</v>
      </c>
      <c r="C468" s="8">
        <v>904.286</v>
      </c>
      <c r="D468" s="11">
        <v>45086</v>
      </c>
      <c r="E468" s="10">
        <v>771.13</v>
      </c>
    </row>
    <row r="469" ht="16.5" spans="1:5">
      <c r="A469" s="7">
        <v>3044799.788</v>
      </c>
      <c r="B469" s="7">
        <v>35400795.008</v>
      </c>
      <c r="C469" s="8">
        <v>904.286</v>
      </c>
      <c r="D469" s="11">
        <v>45087</v>
      </c>
      <c r="E469" s="10">
        <v>770.22</v>
      </c>
    </row>
    <row r="470" ht="16.5" spans="1:5">
      <c r="A470" s="7">
        <v>3044799.788</v>
      </c>
      <c r="B470" s="7">
        <v>35400795.008</v>
      </c>
      <c r="C470" s="8">
        <v>904.286</v>
      </c>
      <c r="D470" s="11">
        <v>45088</v>
      </c>
      <c r="E470" s="10">
        <v>770.07</v>
      </c>
    </row>
    <row r="471" ht="16.5" spans="1:5">
      <c r="A471" s="7">
        <v>3044799.788</v>
      </c>
      <c r="B471" s="7">
        <v>35400795.008</v>
      </c>
      <c r="C471" s="8">
        <v>904.286</v>
      </c>
      <c r="D471" s="11">
        <v>45089</v>
      </c>
      <c r="E471" s="10">
        <v>769.8</v>
      </c>
    </row>
    <row r="472" ht="16.5" spans="1:5">
      <c r="A472" s="7">
        <v>3044799.788</v>
      </c>
      <c r="B472" s="7">
        <v>35400795.008</v>
      </c>
      <c r="C472" s="8">
        <v>904.286</v>
      </c>
      <c r="D472" s="11">
        <v>45090</v>
      </c>
      <c r="E472" s="10">
        <v>769.67</v>
      </c>
    </row>
    <row r="473" ht="16.5" spans="1:5">
      <c r="A473" s="7">
        <v>3044799.788</v>
      </c>
      <c r="B473" s="7">
        <v>35400795.008</v>
      </c>
      <c r="C473" s="8">
        <v>904.286</v>
      </c>
      <c r="D473" s="11">
        <v>45091</v>
      </c>
      <c r="E473" s="10">
        <v>769.52</v>
      </c>
    </row>
    <row r="474" ht="16.5" spans="1:5">
      <c r="A474" s="7">
        <v>3044799.788</v>
      </c>
      <c r="B474" s="7">
        <v>35400795.008</v>
      </c>
      <c r="C474" s="8">
        <v>904.286</v>
      </c>
      <c r="D474" s="11">
        <v>45092</v>
      </c>
      <c r="E474" s="10">
        <v>769.44</v>
      </c>
    </row>
    <row r="475" ht="16.5" spans="1:5">
      <c r="A475" s="7">
        <v>3044799.788</v>
      </c>
      <c r="B475" s="7">
        <v>35400795.008</v>
      </c>
      <c r="C475" s="8">
        <v>904.286</v>
      </c>
      <c r="D475" s="11">
        <v>45093</v>
      </c>
      <c r="E475" s="10">
        <v>769.5</v>
      </c>
    </row>
    <row r="476" ht="16.5" spans="1:5">
      <c r="A476" s="7">
        <v>3044799.788</v>
      </c>
      <c r="B476" s="7">
        <v>35400795.008</v>
      </c>
      <c r="C476" s="8">
        <v>904.286</v>
      </c>
      <c r="D476" s="11">
        <v>45094</v>
      </c>
      <c r="E476" s="10">
        <v>769.32</v>
      </c>
    </row>
    <row r="477" ht="16.5" spans="1:5">
      <c r="A477" s="7">
        <v>3044799.788</v>
      </c>
      <c r="B477" s="7">
        <v>35400795.008</v>
      </c>
      <c r="C477" s="8">
        <v>904.286</v>
      </c>
      <c r="D477" s="11">
        <v>45095</v>
      </c>
      <c r="E477" s="10">
        <v>769.19</v>
      </c>
    </row>
    <row r="478" ht="16.5" spans="1:5">
      <c r="A478" s="7">
        <v>3044799.788</v>
      </c>
      <c r="B478" s="7">
        <v>35400795.008</v>
      </c>
      <c r="C478" s="8">
        <v>904.286</v>
      </c>
      <c r="D478" s="11">
        <v>45096</v>
      </c>
      <c r="E478" s="10">
        <v>769.06</v>
      </c>
    </row>
    <row r="479" ht="16.5" spans="1:5">
      <c r="A479" s="7">
        <v>3044799.788</v>
      </c>
      <c r="B479" s="7">
        <v>35400795.008</v>
      </c>
      <c r="C479" s="8">
        <v>904.286</v>
      </c>
      <c r="D479" s="11">
        <v>45097</v>
      </c>
      <c r="E479" s="10">
        <v>768.75</v>
      </c>
    </row>
    <row r="480" ht="16.5" spans="1:5">
      <c r="A480" s="7">
        <v>3044799.788</v>
      </c>
      <c r="B480" s="7">
        <v>35400795.008</v>
      </c>
      <c r="C480" s="8">
        <v>904.286</v>
      </c>
      <c r="D480" s="11">
        <v>45098</v>
      </c>
      <c r="E480" s="10">
        <v>768.96</v>
      </c>
    </row>
    <row r="481" ht="16.5" spans="1:5">
      <c r="A481" s="7">
        <v>3044799.788</v>
      </c>
      <c r="B481" s="7">
        <v>35400795.008</v>
      </c>
      <c r="C481" s="8">
        <v>904.286</v>
      </c>
      <c r="D481" s="11">
        <v>45099</v>
      </c>
      <c r="E481" s="10">
        <v>768.93</v>
      </c>
    </row>
    <row r="482" ht="16.5" spans="1:5">
      <c r="A482" s="7">
        <v>3044799.788</v>
      </c>
      <c r="B482" s="7">
        <v>35400795.008</v>
      </c>
      <c r="C482" s="8">
        <v>904.286</v>
      </c>
      <c r="D482" s="11">
        <v>45100</v>
      </c>
      <c r="E482" s="10">
        <v>768.71</v>
      </c>
    </row>
    <row r="483" ht="16.5" spans="1:5">
      <c r="A483" s="7">
        <v>3044799.788</v>
      </c>
      <c r="B483" s="7">
        <v>35400795.008</v>
      </c>
      <c r="C483" s="8">
        <v>904.286</v>
      </c>
      <c r="D483" s="11">
        <v>45101</v>
      </c>
      <c r="E483" s="10">
        <v>769.72</v>
      </c>
    </row>
    <row r="484" ht="16.5" spans="1:5">
      <c r="A484" s="7">
        <v>3044799.788</v>
      </c>
      <c r="B484" s="7">
        <v>35400795.008</v>
      </c>
      <c r="C484" s="8">
        <v>904.286</v>
      </c>
      <c r="D484" s="11">
        <v>45102</v>
      </c>
      <c r="E484" s="10">
        <v>769.74</v>
      </c>
    </row>
    <row r="485" ht="16.5" spans="1:5">
      <c r="A485" s="7">
        <v>3044799.788</v>
      </c>
      <c r="B485" s="7">
        <v>35400795.008</v>
      </c>
      <c r="C485" s="8">
        <v>904.286</v>
      </c>
      <c r="D485" s="11">
        <v>45103</v>
      </c>
      <c r="E485" s="10">
        <v>769.36</v>
      </c>
    </row>
    <row r="486" ht="16.5" spans="1:5">
      <c r="A486" s="7">
        <v>3044799.788</v>
      </c>
      <c r="B486" s="7">
        <v>35400795.008</v>
      </c>
      <c r="C486" s="8">
        <v>904.286</v>
      </c>
      <c r="D486" s="11">
        <v>45104</v>
      </c>
      <c r="E486" s="10">
        <v>769.08</v>
      </c>
    </row>
    <row r="487" ht="16.5" spans="1:5">
      <c r="A487" s="7">
        <v>3044799.788</v>
      </c>
      <c r="B487" s="7">
        <v>35400795.008</v>
      </c>
      <c r="C487" s="8">
        <v>904.286</v>
      </c>
      <c r="D487" s="11">
        <v>45105</v>
      </c>
      <c r="E487" s="10">
        <v>769.58</v>
      </c>
    </row>
    <row r="488" ht="16.5" spans="1:5">
      <c r="A488" s="7">
        <v>3044799.788</v>
      </c>
      <c r="B488" s="7">
        <v>35400795.008</v>
      </c>
      <c r="C488" s="8">
        <v>904.286</v>
      </c>
      <c r="D488" s="11">
        <v>45106</v>
      </c>
      <c r="E488" s="10">
        <v>769.52</v>
      </c>
    </row>
    <row r="489" ht="16.5" spans="1:5">
      <c r="A489" s="7">
        <v>3044799.788</v>
      </c>
      <c r="B489" s="7">
        <v>35400795.008</v>
      </c>
      <c r="C489" s="8">
        <v>904.286</v>
      </c>
      <c r="D489" s="11">
        <v>45107</v>
      </c>
      <c r="E489" s="10">
        <v>769.7</v>
      </c>
    </row>
    <row r="490" ht="16.5" spans="1:5">
      <c r="A490" s="7">
        <v>3044799.788</v>
      </c>
      <c r="B490" s="7">
        <v>35400795.008</v>
      </c>
      <c r="C490" s="8">
        <v>904.286</v>
      </c>
      <c r="D490" s="11">
        <v>45108</v>
      </c>
      <c r="E490" s="10">
        <v>769.64</v>
      </c>
    </row>
    <row r="491" ht="16.5" spans="1:5">
      <c r="A491" s="7">
        <v>3044799.788</v>
      </c>
      <c r="B491" s="7">
        <v>35400795.008</v>
      </c>
      <c r="C491" s="8">
        <v>904.286</v>
      </c>
      <c r="D491" s="11">
        <v>45109</v>
      </c>
      <c r="E491" s="10">
        <v>769.76</v>
      </c>
    </row>
    <row r="492" ht="16.5" spans="1:5">
      <c r="A492" s="7">
        <v>3044799.788</v>
      </c>
      <c r="B492" s="7">
        <v>35400795.008</v>
      </c>
      <c r="C492" s="8">
        <v>904.286</v>
      </c>
      <c r="D492" s="11">
        <v>45110</v>
      </c>
      <c r="E492" s="10">
        <v>769.53</v>
      </c>
    </row>
    <row r="493" ht="16.5" spans="1:5">
      <c r="A493" s="7">
        <v>3044799.788</v>
      </c>
      <c r="B493" s="7">
        <v>35400795.008</v>
      </c>
      <c r="C493" s="8">
        <v>904.286</v>
      </c>
      <c r="D493" s="11">
        <v>45111</v>
      </c>
      <c r="E493" s="10">
        <v>769.37</v>
      </c>
    </row>
    <row r="494" ht="16.5" spans="1:5">
      <c r="A494" s="7">
        <v>3044799.788</v>
      </c>
      <c r="B494" s="7">
        <v>35400795.008</v>
      </c>
      <c r="C494" s="8">
        <v>904.286</v>
      </c>
      <c r="D494" s="11">
        <v>45112</v>
      </c>
      <c r="E494" s="10">
        <v>769.6</v>
      </c>
    </row>
    <row r="495" ht="16.5" spans="1:5">
      <c r="A495" s="7">
        <v>3044799.788</v>
      </c>
      <c r="B495" s="7">
        <v>35400795.008</v>
      </c>
      <c r="C495" s="8">
        <v>904.286</v>
      </c>
      <c r="D495" s="11">
        <v>45113</v>
      </c>
      <c r="E495" s="10">
        <v>769.66</v>
      </c>
    </row>
    <row r="496" ht="16.5" spans="1:5">
      <c r="A496" s="7">
        <v>3044799.788</v>
      </c>
      <c r="B496" s="7">
        <v>35400795.008</v>
      </c>
      <c r="C496" s="8">
        <v>904.286</v>
      </c>
      <c r="D496" s="11">
        <v>45114</v>
      </c>
      <c r="E496" s="10">
        <v>769.68</v>
      </c>
    </row>
    <row r="497" ht="16.5" spans="1:5">
      <c r="A497" s="7">
        <v>3044799.788</v>
      </c>
      <c r="B497" s="7">
        <v>35400795.008</v>
      </c>
      <c r="C497" s="8">
        <v>904.286</v>
      </c>
      <c r="D497" s="11">
        <v>45115</v>
      </c>
      <c r="E497" s="10">
        <v>769.21</v>
      </c>
    </row>
    <row r="498" ht="16.5" spans="1:5">
      <c r="A498" s="7">
        <v>3044799.788</v>
      </c>
      <c r="B498" s="7">
        <v>35400795.008</v>
      </c>
      <c r="C498" s="8">
        <v>904.286</v>
      </c>
      <c r="D498" s="11">
        <v>45116</v>
      </c>
      <c r="E498" s="10">
        <v>768.78</v>
      </c>
    </row>
    <row r="499" ht="16.5" spans="1:5">
      <c r="A499" s="7">
        <v>3044799.788</v>
      </c>
      <c r="B499" s="7">
        <v>35400795.008</v>
      </c>
      <c r="C499" s="8">
        <v>904.286</v>
      </c>
      <c r="D499" s="11">
        <v>45117</v>
      </c>
      <c r="E499" s="10">
        <v>768.9</v>
      </c>
    </row>
    <row r="500" ht="16.5" spans="1:5">
      <c r="A500" s="7">
        <v>3044799.788</v>
      </c>
      <c r="B500" s="7">
        <v>35400795.008</v>
      </c>
      <c r="C500" s="8">
        <v>904.286</v>
      </c>
      <c r="D500" s="11">
        <v>45118</v>
      </c>
      <c r="E500" s="10">
        <v>768.97</v>
      </c>
    </row>
    <row r="501" ht="16.5" spans="1:5">
      <c r="A501" s="7">
        <v>3044799.788</v>
      </c>
      <c r="B501" s="7">
        <v>35400795.008</v>
      </c>
      <c r="C501" s="8">
        <v>904.286</v>
      </c>
      <c r="D501" s="11">
        <v>45119</v>
      </c>
      <c r="E501" s="10">
        <v>768.77</v>
      </c>
    </row>
    <row r="502" ht="16.5" spans="1:5">
      <c r="A502" s="7">
        <v>3044799.788</v>
      </c>
      <c r="B502" s="7">
        <v>35400795.008</v>
      </c>
      <c r="C502" s="8">
        <v>904.286</v>
      </c>
      <c r="D502" s="11">
        <v>45120</v>
      </c>
      <c r="E502" s="10">
        <v>768.638</v>
      </c>
    </row>
    <row r="503" ht="16.5" spans="1:5">
      <c r="A503" s="7">
        <v>3044799.788</v>
      </c>
      <c r="B503" s="7">
        <v>35400795.008</v>
      </c>
      <c r="C503" s="8">
        <v>904.286</v>
      </c>
      <c r="D503" s="11">
        <v>45121</v>
      </c>
      <c r="E503" s="10">
        <v>768.646</v>
      </c>
    </row>
    <row r="504" ht="16.5" spans="1:5">
      <c r="A504" s="7">
        <v>3044799.788</v>
      </c>
      <c r="B504" s="7">
        <v>35400795.008</v>
      </c>
      <c r="C504" s="8">
        <v>904.286</v>
      </c>
      <c r="D504" s="11">
        <v>45122</v>
      </c>
      <c r="E504" s="10">
        <v>768.577</v>
      </c>
    </row>
    <row r="505" ht="16.5" spans="1:5">
      <c r="A505" s="7">
        <v>3044799.788</v>
      </c>
      <c r="B505" s="7">
        <v>35400795.008</v>
      </c>
      <c r="C505" s="8">
        <v>904.286</v>
      </c>
      <c r="D505" s="11">
        <v>45123</v>
      </c>
      <c r="E505" s="10">
        <v>768.72</v>
      </c>
    </row>
    <row r="506" ht="16.5" spans="1:5">
      <c r="A506" s="7">
        <v>3044799.788</v>
      </c>
      <c r="B506" s="7">
        <v>35400795.008</v>
      </c>
      <c r="C506" s="8">
        <v>904.286</v>
      </c>
      <c r="D506" s="11">
        <v>45124</v>
      </c>
      <c r="E506" s="10">
        <v>768.585</v>
      </c>
    </row>
    <row r="507" ht="16.5" spans="1:5">
      <c r="A507" s="7">
        <v>3044799.788</v>
      </c>
      <c r="B507" s="7">
        <v>35400795.008</v>
      </c>
      <c r="C507" s="8">
        <v>904.286</v>
      </c>
      <c r="D507" s="11">
        <v>45125</v>
      </c>
      <c r="E507" s="10">
        <v>768.649</v>
      </c>
    </row>
    <row r="508" ht="16.5" spans="1:5">
      <c r="A508" s="7">
        <v>3044799.788</v>
      </c>
      <c r="B508" s="7">
        <v>35400795.008</v>
      </c>
      <c r="C508" s="8">
        <v>904.286</v>
      </c>
      <c r="D508" s="11">
        <v>45126</v>
      </c>
      <c r="E508" s="10">
        <v>768.7</v>
      </c>
    </row>
    <row r="509" ht="16.5" spans="1:5">
      <c r="A509" s="7">
        <v>3044799.788</v>
      </c>
      <c r="B509" s="7">
        <v>35400795.008</v>
      </c>
      <c r="C509" s="8">
        <v>904.286</v>
      </c>
      <c r="D509" s="11">
        <v>45127</v>
      </c>
      <c r="E509" s="10">
        <v>768.66</v>
      </c>
    </row>
    <row r="510" ht="16.5" spans="1:5">
      <c r="A510" s="7">
        <v>3044799.788</v>
      </c>
      <c r="B510" s="7">
        <v>35400795.008</v>
      </c>
      <c r="C510" s="8">
        <v>904.286</v>
      </c>
      <c r="D510" s="11">
        <v>45128</v>
      </c>
      <c r="E510" s="10">
        <v>768.58</v>
      </c>
    </row>
    <row r="511" ht="16.5" spans="1:5">
      <c r="A511" s="7">
        <v>3044799.788</v>
      </c>
      <c r="B511" s="7">
        <v>35400795.008</v>
      </c>
      <c r="C511" s="8">
        <v>904.286</v>
      </c>
      <c r="D511" s="11">
        <v>45129</v>
      </c>
      <c r="E511" s="10">
        <v>768.63</v>
      </c>
    </row>
    <row r="512" ht="16.5" spans="1:5">
      <c r="A512" s="7">
        <v>3044799.788</v>
      </c>
      <c r="B512" s="7">
        <v>35400795.008</v>
      </c>
      <c r="C512" s="8">
        <v>904.286</v>
      </c>
      <c r="D512" s="11">
        <v>45130</v>
      </c>
      <c r="E512" s="10">
        <v>768.31</v>
      </c>
    </row>
    <row r="513" ht="16.5" spans="1:5">
      <c r="A513" s="7">
        <v>3044799.788</v>
      </c>
      <c r="B513" s="7">
        <v>35400795.008</v>
      </c>
      <c r="C513" s="8">
        <v>904.286</v>
      </c>
      <c r="D513" s="11">
        <v>45131</v>
      </c>
      <c r="E513" s="10">
        <v>768.34</v>
      </c>
    </row>
    <row r="514" ht="16.5" spans="1:5">
      <c r="A514" s="7">
        <v>3044799.788</v>
      </c>
      <c r="B514" s="7">
        <v>35400795.008</v>
      </c>
      <c r="C514" s="8">
        <v>904.286</v>
      </c>
      <c r="D514" s="11">
        <v>45132</v>
      </c>
      <c r="E514" s="10">
        <v>768.17</v>
      </c>
    </row>
    <row r="515" ht="16.5" spans="1:5">
      <c r="A515" s="7">
        <v>3044799.788</v>
      </c>
      <c r="B515" s="7">
        <v>35400795.008</v>
      </c>
      <c r="C515" s="8">
        <v>904.286</v>
      </c>
      <c r="D515" s="11">
        <v>45133</v>
      </c>
      <c r="E515" s="10">
        <v>768.16</v>
      </c>
    </row>
    <row r="516" ht="16.5" spans="1:5">
      <c r="A516" s="7">
        <v>3044799.788</v>
      </c>
      <c r="B516" s="7">
        <v>35400795.008</v>
      </c>
      <c r="C516" s="8">
        <v>904.286</v>
      </c>
      <c r="D516" s="11">
        <v>45134</v>
      </c>
      <c r="E516" s="10">
        <v>768.727</v>
      </c>
    </row>
    <row r="517" ht="16.5" spans="1:5">
      <c r="A517" s="7">
        <v>3044799.788</v>
      </c>
      <c r="B517" s="7">
        <v>35400795.008</v>
      </c>
      <c r="C517" s="8">
        <v>904.286</v>
      </c>
      <c r="D517" s="11">
        <v>45135</v>
      </c>
      <c r="E517" s="10">
        <v>768.72</v>
      </c>
    </row>
    <row r="518" ht="16.5" spans="1:5">
      <c r="A518" s="7">
        <v>3044799.788</v>
      </c>
      <c r="B518" s="7">
        <v>35400795.008</v>
      </c>
      <c r="C518" s="8">
        <v>904.286</v>
      </c>
      <c r="D518" s="11">
        <v>45136</v>
      </c>
      <c r="E518" s="10">
        <v>768.8</v>
      </c>
    </row>
    <row r="519" ht="16.5" spans="1:5">
      <c r="A519" s="7">
        <v>3044799.788</v>
      </c>
      <c r="B519" s="7">
        <v>35400795.008</v>
      </c>
      <c r="C519" s="8">
        <v>904.286</v>
      </c>
      <c r="D519" s="11">
        <v>45137</v>
      </c>
      <c r="E519" s="10">
        <v>768.762</v>
      </c>
    </row>
    <row r="520" ht="16.5" spans="1:5">
      <c r="A520" s="7">
        <v>3044799.788</v>
      </c>
      <c r="B520" s="7">
        <v>35400795.008</v>
      </c>
      <c r="C520" s="8">
        <v>904.286</v>
      </c>
      <c r="D520" s="11">
        <v>45138</v>
      </c>
      <c r="E520" s="10">
        <v>768.899</v>
      </c>
    </row>
    <row r="521" ht="16.5" spans="1:5">
      <c r="A521" s="7">
        <v>3044799.788</v>
      </c>
      <c r="B521" s="7">
        <v>35400795.008</v>
      </c>
      <c r="C521" s="8">
        <v>904.286</v>
      </c>
      <c r="D521" s="11">
        <v>45139</v>
      </c>
      <c r="E521" s="10">
        <v>768.841</v>
      </c>
    </row>
    <row r="522" ht="16.5" spans="1:5">
      <c r="A522" s="7">
        <v>3044799.788</v>
      </c>
      <c r="B522" s="7">
        <v>35400795.008</v>
      </c>
      <c r="C522" s="8">
        <v>904.286</v>
      </c>
      <c r="D522" s="11">
        <v>45140</v>
      </c>
      <c r="E522" s="10">
        <v>768.907</v>
      </c>
    </row>
    <row r="523" ht="16.5" spans="1:5">
      <c r="A523" s="7">
        <v>3044799.788</v>
      </c>
      <c r="B523" s="7">
        <v>35400795.008</v>
      </c>
      <c r="C523" s="8">
        <v>904.286</v>
      </c>
      <c r="D523" s="11">
        <v>45141</v>
      </c>
      <c r="E523" s="14">
        <v>769.196</v>
      </c>
    </row>
    <row r="524" ht="16.5" spans="1:5">
      <c r="A524" s="7">
        <v>3044799.788</v>
      </c>
      <c r="B524" s="7">
        <v>35400795.008</v>
      </c>
      <c r="C524" s="8">
        <v>904.286</v>
      </c>
      <c r="D524" s="11">
        <v>45142</v>
      </c>
      <c r="E524" s="10">
        <v>769.411</v>
      </c>
    </row>
    <row r="525" ht="16.5" spans="1:5">
      <c r="A525" s="7">
        <v>3044799.788</v>
      </c>
      <c r="B525" s="7">
        <v>35400795.008</v>
      </c>
      <c r="C525" s="8">
        <v>904.286</v>
      </c>
      <c r="D525" s="11">
        <v>45143</v>
      </c>
      <c r="E525" s="10">
        <v>768.733</v>
      </c>
    </row>
    <row r="526" ht="16.5" spans="1:5">
      <c r="A526" s="7">
        <v>3044799.788</v>
      </c>
      <c r="B526" s="7">
        <v>35400795.008</v>
      </c>
      <c r="C526" s="8">
        <v>904.286</v>
      </c>
      <c r="D526" s="11">
        <v>45144</v>
      </c>
      <c r="E526" s="10">
        <v>769.604</v>
      </c>
    </row>
    <row r="527" ht="16.5" spans="1:5">
      <c r="A527" s="7">
        <v>3044799.788</v>
      </c>
      <c r="B527" s="7">
        <v>35400795.008</v>
      </c>
      <c r="C527" s="8">
        <v>904.286</v>
      </c>
      <c r="D527" s="11">
        <v>45145</v>
      </c>
      <c r="E527" s="10">
        <v>769.755</v>
      </c>
    </row>
    <row r="528" ht="16.5" spans="1:5">
      <c r="A528" s="7">
        <v>3044799.788</v>
      </c>
      <c r="B528" s="7">
        <v>35400795.008</v>
      </c>
      <c r="C528" s="8">
        <v>904.286</v>
      </c>
      <c r="D528" s="11">
        <v>45146</v>
      </c>
      <c r="E528" s="10">
        <v>769.985</v>
      </c>
    </row>
    <row r="529" ht="16.5" spans="1:5">
      <c r="A529" s="7">
        <v>3044799.788</v>
      </c>
      <c r="B529" s="7">
        <v>35400795.008</v>
      </c>
      <c r="C529" s="8">
        <v>904.286</v>
      </c>
      <c r="D529" s="11">
        <v>45147</v>
      </c>
      <c r="E529" s="10">
        <v>769.971</v>
      </c>
    </row>
    <row r="530" ht="16.5" spans="1:5">
      <c r="A530" s="7">
        <v>3044799.788</v>
      </c>
      <c r="B530" s="7">
        <v>35400795.008</v>
      </c>
      <c r="C530" s="8">
        <v>904.286</v>
      </c>
      <c r="D530" s="11">
        <v>45148</v>
      </c>
      <c r="E530" s="12"/>
    </row>
    <row r="531" ht="16.5" spans="1:5">
      <c r="A531" s="7">
        <v>3044799.788</v>
      </c>
      <c r="B531" s="7">
        <v>35400795.008</v>
      </c>
      <c r="C531" s="8">
        <v>904.286</v>
      </c>
      <c r="D531" s="11">
        <v>45149</v>
      </c>
      <c r="E531" s="10">
        <v>770.296</v>
      </c>
    </row>
    <row r="532" ht="16.5" spans="1:5">
      <c r="A532" s="7">
        <v>3044799.788</v>
      </c>
      <c r="B532" s="7">
        <v>35400795.008</v>
      </c>
      <c r="C532" s="8">
        <v>904.286</v>
      </c>
      <c r="D532" s="11">
        <v>45150</v>
      </c>
      <c r="E532" s="10">
        <v>770.431</v>
      </c>
    </row>
    <row r="533" ht="16.5" spans="1:5">
      <c r="A533" s="7">
        <v>3044799.788</v>
      </c>
      <c r="B533" s="7">
        <v>35400795.008</v>
      </c>
      <c r="C533" s="8">
        <v>904.286</v>
      </c>
      <c r="D533" s="11">
        <v>45151</v>
      </c>
      <c r="E533" s="10">
        <v>770.425</v>
      </c>
    </row>
    <row r="534" ht="16.5" spans="1:5">
      <c r="A534" s="7">
        <v>3044799.788</v>
      </c>
      <c r="B534" s="7">
        <v>35400795.008</v>
      </c>
      <c r="C534" s="8">
        <v>904.286</v>
      </c>
      <c r="D534" s="11">
        <v>45152</v>
      </c>
      <c r="E534" s="10">
        <v>770.456</v>
      </c>
    </row>
    <row r="535" ht="16.5" spans="1:5">
      <c r="A535" s="7">
        <v>3044799.788</v>
      </c>
      <c r="B535" s="7">
        <v>35400795.008</v>
      </c>
      <c r="C535" s="8">
        <v>904.286</v>
      </c>
      <c r="D535" s="11">
        <v>45153</v>
      </c>
      <c r="E535" s="17">
        <v>770.498</v>
      </c>
    </row>
    <row r="536" ht="16.5" spans="1:5">
      <c r="A536" s="7">
        <v>3044799.788</v>
      </c>
      <c r="B536" s="7">
        <v>35400795.008</v>
      </c>
      <c r="C536" s="8">
        <v>904.286</v>
      </c>
      <c r="D536" s="11">
        <v>45154</v>
      </c>
      <c r="E536" s="10">
        <v>770.583</v>
      </c>
    </row>
    <row r="537" ht="16.5" spans="1:5">
      <c r="A537" s="7">
        <v>3044799.788</v>
      </c>
      <c r="B537" s="7">
        <v>35400795.008</v>
      </c>
      <c r="C537" s="8">
        <v>904.286</v>
      </c>
      <c r="D537" s="11">
        <v>45155</v>
      </c>
      <c r="E537" s="10">
        <v>770.674</v>
      </c>
    </row>
    <row r="538" ht="16.5" spans="1:5">
      <c r="A538" s="7">
        <v>3044799.788</v>
      </c>
      <c r="B538" s="7">
        <v>35400795.008</v>
      </c>
      <c r="C538" s="8">
        <v>904.286</v>
      </c>
      <c r="D538" s="11">
        <v>45156</v>
      </c>
      <c r="E538" s="10">
        <v>770.788</v>
      </c>
    </row>
    <row r="539" ht="16.5" spans="1:5">
      <c r="A539" s="7">
        <v>3044799.788</v>
      </c>
      <c r="B539" s="7">
        <v>35400795.008</v>
      </c>
      <c r="C539" s="8">
        <v>904.286</v>
      </c>
      <c r="D539" s="11">
        <v>45157</v>
      </c>
      <c r="E539" s="10">
        <v>770.813</v>
      </c>
    </row>
    <row r="540" ht="16.5" spans="1:5">
      <c r="A540" s="7">
        <v>3044799.788</v>
      </c>
      <c r="B540" s="7">
        <v>35400795.008</v>
      </c>
      <c r="C540" s="8">
        <v>904.286</v>
      </c>
      <c r="D540" s="11">
        <v>45158</v>
      </c>
      <c r="E540" s="10">
        <v>770.858</v>
      </c>
    </row>
    <row r="541" ht="16.5" spans="1:5">
      <c r="A541" s="7">
        <v>3044799.788</v>
      </c>
      <c r="B541" s="7">
        <v>35400795.008</v>
      </c>
      <c r="C541" s="8">
        <v>904.286</v>
      </c>
      <c r="D541" s="11">
        <v>45159</v>
      </c>
      <c r="E541" s="10">
        <v>770.907</v>
      </c>
    </row>
    <row r="542" ht="16.5" spans="1:5">
      <c r="A542" s="7">
        <v>3044799.788</v>
      </c>
      <c r="B542" s="7">
        <v>35400795.008</v>
      </c>
      <c r="C542" s="8">
        <v>904.286</v>
      </c>
      <c r="D542" s="11">
        <v>45160</v>
      </c>
      <c r="E542" s="10">
        <v>771.029</v>
      </c>
    </row>
    <row r="543" ht="16.5" spans="1:5">
      <c r="A543" s="7">
        <v>3044799.788</v>
      </c>
      <c r="B543" s="7">
        <v>35400795.008</v>
      </c>
      <c r="C543" s="8">
        <v>904.286</v>
      </c>
      <c r="D543" s="11">
        <v>45161</v>
      </c>
      <c r="E543" s="10">
        <v>771.142</v>
      </c>
    </row>
    <row r="544" ht="16.5" spans="1:5">
      <c r="A544" s="7">
        <v>3044799.788</v>
      </c>
      <c r="B544" s="7">
        <v>35400795.008</v>
      </c>
      <c r="C544" s="8">
        <v>904.286</v>
      </c>
      <c r="D544" s="11">
        <v>45162</v>
      </c>
      <c r="E544" s="10">
        <v>771.084</v>
      </c>
    </row>
    <row r="545" ht="16.5" spans="1:5">
      <c r="A545" s="7">
        <v>3044799.788</v>
      </c>
      <c r="B545" s="7">
        <v>35400795.008</v>
      </c>
      <c r="C545" s="8">
        <v>904.286</v>
      </c>
      <c r="D545" s="11">
        <v>45163</v>
      </c>
      <c r="E545" s="10">
        <v>771.023</v>
      </c>
    </row>
    <row r="546" ht="16.5" spans="1:5">
      <c r="A546" s="7">
        <v>3044799.788</v>
      </c>
      <c r="B546" s="7">
        <v>35400795.008</v>
      </c>
      <c r="C546" s="8">
        <v>904.286</v>
      </c>
      <c r="D546" s="11">
        <v>45164</v>
      </c>
      <c r="E546" s="10">
        <v>771.208</v>
      </c>
    </row>
    <row r="547" ht="16.5" spans="1:5">
      <c r="A547" s="7">
        <v>3044799.788</v>
      </c>
      <c r="B547" s="7">
        <v>35400795.008</v>
      </c>
      <c r="C547" s="8">
        <v>904.286</v>
      </c>
      <c r="D547" s="11">
        <v>45165</v>
      </c>
      <c r="E547" s="10">
        <v>771.244</v>
      </c>
    </row>
    <row r="548" ht="16.5" spans="1:5">
      <c r="A548" s="7">
        <v>3044799.788</v>
      </c>
      <c r="B548" s="7">
        <v>35400795.008</v>
      </c>
      <c r="C548" s="8">
        <v>904.286</v>
      </c>
      <c r="D548" s="11">
        <v>45166</v>
      </c>
      <c r="E548" s="10">
        <v>771.005</v>
      </c>
    </row>
    <row r="549" ht="16.5" spans="1:5">
      <c r="A549" s="7">
        <v>3044799.788</v>
      </c>
      <c r="B549" s="7">
        <v>35400795.008</v>
      </c>
      <c r="C549" s="8">
        <v>904.286</v>
      </c>
      <c r="D549" s="11">
        <v>45167</v>
      </c>
      <c r="E549" s="10">
        <v>770.974</v>
      </c>
    </row>
    <row r="550" ht="16.5" spans="1:5">
      <c r="A550" s="7">
        <v>3044799.788</v>
      </c>
      <c r="B550" s="7">
        <v>35400795.008</v>
      </c>
      <c r="C550" s="8">
        <v>904.286</v>
      </c>
      <c r="D550" s="11">
        <v>45168</v>
      </c>
      <c r="E550" s="10">
        <v>771.115</v>
      </c>
    </row>
    <row r="551" ht="16.5" spans="1:5">
      <c r="A551" s="7">
        <v>3044799.788</v>
      </c>
      <c r="B551" s="7">
        <v>35400795.008</v>
      </c>
      <c r="C551" s="8">
        <v>904.286</v>
      </c>
      <c r="D551" s="11">
        <v>45169</v>
      </c>
      <c r="E551" s="10"/>
    </row>
    <row r="552" ht="16.5" spans="1:5">
      <c r="A552" s="7">
        <v>3044799.788</v>
      </c>
      <c r="B552" s="7">
        <v>35400795.008</v>
      </c>
      <c r="C552" s="8">
        <v>904.286</v>
      </c>
      <c r="D552" s="11">
        <v>45170</v>
      </c>
      <c r="E552" s="10">
        <v>771.292</v>
      </c>
    </row>
    <row r="553" ht="16.5" spans="1:5">
      <c r="A553" s="7">
        <v>3044799.788</v>
      </c>
      <c r="B553" s="7">
        <v>35400795.008</v>
      </c>
      <c r="C553" s="8">
        <v>904.286</v>
      </c>
      <c r="D553" s="11">
        <v>45171</v>
      </c>
      <c r="E553" s="10">
        <v>771.303</v>
      </c>
    </row>
    <row r="554" ht="16.5" spans="1:5">
      <c r="A554" s="7">
        <v>3044799.788</v>
      </c>
      <c r="B554" s="7">
        <v>35400795.008</v>
      </c>
      <c r="C554" s="8">
        <v>904.286</v>
      </c>
      <c r="D554" s="11">
        <v>45172</v>
      </c>
      <c r="E554" s="10">
        <v>771.319</v>
      </c>
    </row>
    <row r="555" ht="16.5" spans="1:5">
      <c r="A555" s="7">
        <v>3044799.788</v>
      </c>
      <c r="B555" s="7">
        <v>35400795.008</v>
      </c>
      <c r="C555" s="8">
        <v>904.286</v>
      </c>
      <c r="D555" s="11">
        <v>45173</v>
      </c>
      <c r="E555" s="10">
        <v>771.457</v>
      </c>
    </row>
    <row r="556" ht="16.5" spans="1:5">
      <c r="A556" s="7">
        <v>3044799.788</v>
      </c>
      <c r="B556" s="7">
        <v>35400795.008</v>
      </c>
      <c r="C556" s="8">
        <v>904.286</v>
      </c>
      <c r="D556" s="11">
        <v>45174</v>
      </c>
      <c r="E556" s="10">
        <v>771.627</v>
      </c>
    </row>
    <row r="557" ht="16.5" spans="1:5">
      <c r="A557" s="7">
        <v>3044799.788</v>
      </c>
      <c r="B557" s="7">
        <v>35400795.008</v>
      </c>
      <c r="C557" s="8">
        <v>904.286</v>
      </c>
      <c r="D557" s="11">
        <v>45175</v>
      </c>
      <c r="E557" s="10">
        <v>771.425</v>
      </c>
    </row>
    <row r="558" ht="16.5" spans="1:5">
      <c r="A558" s="7">
        <v>3044799.788</v>
      </c>
      <c r="B558" s="7">
        <v>35400795.008</v>
      </c>
      <c r="C558" s="8">
        <v>904.286</v>
      </c>
      <c r="D558" s="11">
        <v>45176</v>
      </c>
      <c r="E558" s="10">
        <v>771.43</v>
      </c>
    </row>
    <row r="559" ht="16.5" spans="1:5">
      <c r="A559" s="7">
        <v>3044799.788</v>
      </c>
      <c r="B559" s="7">
        <v>35400795.008</v>
      </c>
      <c r="C559" s="8">
        <v>904.286</v>
      </c>
      <c r="D559" s="11">
        <v>45177</v>
      </c>
      <c r="E559" s="10">
        <v>771.341</v>
      </c>
    </row>
    <row r="560" ht="16.5" spans="1:5">
      <c r="A560" s="7">
        <v>3044799.788</v>
      </c>
      <c r="B560" s="7">
        <v>35400795.008</v>
      </c>
      <c r="C560" s="8">
        <v>904.286</v>
      </c>
      <c r="D560" s="11">
        <v>45178</v>
      </c>
      <c r="E560" s="10">
        <v>771.27</v>
      </c>
    </row>
    <row r="561" ht="16.5" spans="1:5">
      <c r="A561" s="7">
        <v>3044799.788</v>
      </c>
      <c r="B561" s="7">
        <v>35400795.008</v>
      </c>
      <c r="C561" s="8">
        <v>904.286</v>
      </c>
      <c r="D561" s="11">
        <v>45179</v>
      </c>
      <c r="E561" s="10">
        <v>771.197</v>
      </c>
    </row>
    <row r="562" ht="16.5" spans="1:5">
      <c r="A562" s="7">
        <v>3044799.788</v>
      </c>
      <c r="B562" s="7">
        <v>35400795.008</v>
      </c>
      <c r="C562" s="8">
        <v>904.286</v>
      </c>
      <c r="D562" s="11">
        <v>45180</v>
      </c>
      <c r="E562" s="10">
        <v>771.457</v>
      </c>
    </row>
    <row r="563" ht="16.5" spans="1:5">
      <c r="A563" s="7">
        <v>3044799.788</v>
      </c>
      <c r="B563" s="7">
        <v>35400795.008</v>
      </c>
      <c r="C563" s="8">
        <v>904.286</v>
      </c>
      <c r="D563" s="11">
        <v>45181</v>
      </c>
      <c r="E563" s="10">
        <v>771.456</v>
      </c>
    </row>
    <row r="564" ht="16.5" spans="1:5">
      <c r="A564" s="7">
        <v>3044799.788</v>
      </c>
      <c r="B564" s="7">
        <v>35400795.008</v>
      </c>
      <c r="C564" s="8">
        <v>904.286</v>
      </c>
      <c r="D564" s="11">
        <v>45182</v>
      </c>
      <c r="E564" s="10"/>
    </row>
    <row r="565" ht="16.5" spans="1:5">
      <c r="A565" s="7">
        <v>3044799.788</v>
      </c>
      <c r="B565" s="7">
        <v>35400795.008</v>
      </c>
      <c r="C565" s="8">
        <v>904.286</v>
      </c>
      <c r="D565" s="11">
        <v>45183</v>
      </c>
      <c r="E565" s="10">
        <v>771.629</v>
      </c>
    </row>
    <row r="566" ht="16.5" spans="1:5">
      <c r="A566" s="7">
        <v>3044799.788</v>
      </c>
      <c r="B566" s="7">
        <v>35400795.008</v>
      </c>
      <c r="C566" s="8">
        <v>904.286</v>
      </c>
      <c r="D566" s="11">
        <v>45184</v>
      </c>
      <c r="E566" s="12"/>
    </row>
    <row r="567" ht="16.5" spans="1:5">
      <c r="A567" s="7">
        <v>3044799.788</v>
      </c>
      <c r="B567" s="7">
        <v>35400795.008</v>
      </c>
      <c r="C567" s="8">
        <v>904.286</v>
      </c>
      <c r="D567" s="11">
        <v>45185</v>
      </c>
      <c r="E567" s="12"/>
    </row>
    <row r="568" ht="16.5" spans="1:5">
      <c r="A568" s="7">
        <v>3044799.788</v>
      </c>
      <c r="B568" s="7">
        <v>35400795.008</v>
      </c>
      <c r="C568" s="8">
        <v>904.286</v>
      </c>
      <c r="D568" s="11">
        <v>45186</v>
      </c>
      <c r="E568" s="12"/>
    </row>
    <row r="569" ht="16.5" spans="1:5">
      <c r="A569" s="7">
        <v>3044799.788</v>
      </c>
      <c r="B569" s="7">
        <v>35400795.008</v>
      </c>
      <c r="C569" s="8">
        <v>904.286</v>
      </c>
      <c r="D569" s="11">
        <v>45187</v>
      </c>
      <c r="E569" s="12"/>
    </row>
    <row r="570" ht="16.5" spans="1:5">
      <c r="A570" s="7">
        <v>3044799.788</v>
      </c>
      <c r="B570" s="7">
        <v>35400795.008</v>
      </c>
      <c r="C570" s="8">
        <v>904.286</v>
      </c>
      <c r="D570" s="11">
        <v>45188</v>
      </c>
      <c r="E570" s="12"/>
    </row>
    <row r="571" ht="16.5" spans="1:5">
      <c r="A571" s="7">
        <v>3044799.788</v>
      </c>
      <c r="B571" s="7">
        <v>35400795.008</v>
      </c>
      <c r="C571" s="8">
        <v>904.286</v>
      </c>
      <c r="D571" s="11">
        <v>45189</v>
      </c>
      <c r="E571" s="10">
        <v>770.044</v>
      </c>
    </row>
    <row r="572" ht="16.5" spans="1:5">
      <c r="A572" s="7">
        <v>3044799.788</v>
      </c>
      <c r="B572" s="7">
        <v>35400795.008</v>
      </c>
      <c r="C572" s="8">
        <v>904.286</v>
      </c>
      <c r="D572" s="11">
        <v>45190</v>
      </c>
      <c r="E572" s="10">
        <v>769.878</v>
      </c>
    </row>
    <row r="573" ht="16.5" spans="1:5">
      <c r="A573" s="7">
        <v>3044799.788</v>
      </c>
      <c r="B573" s="7">
        <v>35400795.008</v>
      </c>
      <c r="C573" s="8">
        <v>904.286</v>
      </c>
      <c r="D573" s="11">
        <v>45191</v>
      </c>
      <c r="E573" s="10">
        <v>769.901</v>
      </c>
    </row>
    <row r="574" ht="16.5" spans="1:5">
      <c r="A574" s="7">
        <v>3044799.788</v>
      </c>
      <c r="B574" s="7">
        <v>35400795.008</v>
      </c>
      <c r="C574" s="8">
        <v>904.286</v>
      </c>
      <c r="D574" s="11">
        <v>45192</v>
      </c>
      <c r="E574" s="10">
        <v>771.489</v>
      </c>
    </row>
    <row r="575" ht="16.5" spans="1:5">
      <c r="A575" s="7">
        <v>3044799.788</v>
      </c>
      <c r="B575" s="7">
        <v>35400795.008</v>
      </c>
      <c r="C575" s="8">
        <v>904.286</v>
      </c>
      <c r="D575" s="11">
        <v>45193</v>
      </c>
      <c r="E575" s="10">
        <v>771.46</v>
      </c>
    </row>
    <row r="576" ht="16.5" spans="1:5">
      <c r="A576" s="7">
        <v>3044799.788</v>
      </c>
      <c r="B576" s="7">
        <v>35400795.008</v>
      </c>
      <c r="C576" s="8">
        <v>904.286</v>
      </c>
      <c r="D576" s="11">
        <v>45194</v>
      </c>
      <c r="E576" s="10">
        <v>771.384</v>
      </c>
    </row>
    <row r="577" ht="16.5" spans="1:5">
      <c r="A577" s="7">
        <v>3044799.788</v>
      </c>
      <c r="B577" s="7">
        <v>35400795.008</v>
      </c>
      <c r="C577" s="8">
        <v>904.286</v>
      </c>
      <c r="D577" s="11">
        <v>45195</v>
      </c>
      <c r="E577" s="10">
        <v>771.081</v>
      </c>
    </row>
    <row r="578" ht="16.5" spans="1:5">
      <c r="A578" s="7">
        <v>3044799.788</v>
      </c>
      <c r="B578" s="7">
        <v>35400795.008</v>
      </c>
      <c r="C578" s="8">
        <v>904.286</v>
      </c>
      <c r="D578" s="11">
        <v>45196</v>
      </c>
      <c r="E578" s="10">
        <v>770.37</v>
      </c>
    </row>
    <row r="579" ht="16.5" spans="1:5">
      <c r="A579" s="7">
        <v>3044799.788</v>
      </c>
      <c r="B579" s="7">
        <v>35400795.008</v>
      </c>
      <c r="C579" s="8">
        <v>904.286</v>
      </c>
      <c r="D579" s="11">
        <v>45197</v>
      </c>
      <c r="E579" s="10">
        <v>771.041</v>
      </c>
    </row>
    <row r="580" ht="16.5" spans="1:5">
      <c r="A580" s="7">
        <v>3044799.788</v>
      </c>
      <c r="B580" s="7">
        <v>35400795.008</v>
      </c>
      <c r="C580" s="8">
        <v>904.286</v>
      </c>
      <c r="D580" s="11">
        <v>45198</v>
      </c>
      <c r="E580" s="10">
        <v>771.076</v>
      </c>
    </row>
    <row r="581" ht="16.5" spans="1:5">
      <c r="A581" s="7">
        <v>3044799.788</v>
      </c>
      <c r="B581" s="7">
        <v>35400795.008</v>
      </c>
      <c r="C581" s="8">
        <v>904.286</v>
      </c>
      <c r="D581" s="11">
        <v>45199</v>
      </c>
      <c r="E581" s="10">
        <v>770.962</v>
      </c>
    </row>
    <row r="582" ht="16.5" spans="1:5">
      <c r="A582" s="7">
        <v>3044799.788</v>
      </c>
      <c r="B582" s="7">
        <v>35400795.008</v>
      </c>
      <c r="C582" s="8">
        <v>904.286</v>
      </c>
      <c r="D582" s="11">
        <v>45200</v>
      </c>
      <c r="E582" s="10">
        <v>770.776</v>
      </c>
    </row>
    <row r="583" ht="16.5" spans="1:5">
      <c r="A583" s="7">
        <v>3044799.788</v>
      </c>
      <c r="B583" s="7">
        <v>35400795.008</v>
      </c>
      <c r="C583" s="8">
        <v>904.286</v>
      </c>
      <c r="D583" s="11">
        <v>45201</v>
      </c>
      <c r="E583" s="10">
        <v>770.366</v>
      </c>
    </row>
    <row r="584" ht="16.5" spans="1:5">
      <c r="A584" s="7">
        <v>3044799.788</v>
      </c>
      <c r="B584" s="7">
        <v>35400795.008</v>
      </c>
      <c r="C584" s="8">
        <v>904.286</v>
      </c>
      <c r="D584" s="11">
        <v>45202</v>
      </c>
      <c r="E584" s="10">
        <v>770.654</v>
      </c>
    </row>
    <row r="585" ht="16.5" spans="1:5">
      <c r="A585" s="7">
        <v>3044799.788</v>
      </c>
      <c r="B585" s="7">
        <v>35400795.008</v>
      </c>
      <c r="C585" s="8">
        <v>904.286</v>
      </c>
      <c r="D585" s="11">
        <v>45203</v>
      </c>
      <c r="E585" s="10">
        <v>770.717</v>
      </c>
    </row>
    <row r="586" ht="16.5" spans="1:5">
      <c r="A586" s="7">
        <v>3044799.788</v>
      </c>
      <c r="B586" s="7">
        <v>35400795.008</v>
      </c>
      <c r="C586" s="8">
        <v>904.286</v>
      </c>
      <c r="D586" s="11">
        <v>45204</v>
      </c>
      <c r="E586" s="10">
        <v>770.41</v>
      </c>
    </row>
    <row r="587" ht="16.5" spans="1:5">
      <c r="A587" s="7">
        <v>3044799.788</v>
      </c>
      <c r="B587" s="7">
        <v>35400795.008</v>
      </c>
      <c r="C587" s="8">
        <v>904.286</v>
      </c>
      <c r="D587" s="11">
        <v>45205</v>
      </c>
      <c r="E587" s="10">
        <v>770.41</v>
      </c>
    </row>
    <row r="588" ht="16.5" spans="1:5">
      <c r="A588" s="7">
        <v>3044799.788</v>
      </c>
      <c r="B588" s="7">
        <v>35400795.008</v>
      </c>
      <c r="C588" s="8">
        <v>904.286</v>
      </c>
      <c r="D588" s="11">
        <v>45206</v>
      </c>
      <c r="E588" s="10">
        <v>770.137</v>
      </c>
    </row>
    <row r="589" ht="16.5" spans="1:5">
      <c r="A589" s="7">
        <v>3044799.788</v>
      </c>
      <c r="B589" s="7">
        <v>35400795.008</v>
      </c>
      <c r="C589" s="8">
        <v>904.286</v>
      </c>
      <c r="D589" s="11">
        <v>45207</v>
      </c>
      <c r="E589" s="10">
        <v>770.05</v>
      </c>
    </row>
    <row r="590" ht="16.5" spans="1:5">
      <c r="A590" s="7">
        <v>3044799.788</v>
      </c>
      <c r="B590" s="7">
        <v>35400795.008</v>
      </c>
      <c r="C590" s="8">
        <v>904.286</v>
      </c>
      <c r="D590" s="11">
        <v>45208</v>
      </c>
      <c r="E590" s="10">
        <v>770.172</v>
      </c>
    </row>
    <row r="591" ht="16.5" spans="1:5">
      <c r="A591" s="7">
        <v>3044799.788</v>
      </c>
      <c r="B591" s="7">
        <v>35400795.008</v>
      </c>
      <c r="C591" s="8">
        <v>904.286</v>
      </c>
      <c r="D591" s="11">
        <v>45209</v>
      </c>
      <c r="E591" s="10">
        <v>769.989</v>
      </c>
    </row>
    <row r="592" ht="16.5" spans="1:5">
      <c r="A592" s="7">
        <v>3044799.788</v>
      </c>
      <c r="B592" s="7">
        <v>35400795.008</v>
      </c>
      <c r="C592" s="8">
        <v>904.286</v>
      </c>
      <c r="D592" s="11">
        <v>45210</v>
      </c>
      <c r="E592" s="10">
        <v>769.877</v>
      </c>
    </row>
    <row r="593" ht="16.5" spans="1:5">
      <c r="A593" s="7">
        <v>3044799.788</v>
      </c>
      <c r="B593" s="7">
        <v>35400795.008</v>
      </c>
      <c r="C593" s="8">
        <v>904.286</v>
      </c>
      <c r="D593" s="11">
        <v>45211</v>
      </c>
      <c r="E593" s="10">
        <v>769.493</v>
      </c>
    </row>
    <row r="594" ht="16.5" spans="1:5">
      <c r="A594" s="7">
        <v>3044799.788</v>
      </c>
      <c r="B594" s="7">
        <v>35400795.008</v>
      </c>
      <c r="C594" s="8">
        <v>904.286</v>
      </c>
      <c r="D594" s="11">
        <v>45212</v>
      </c>
      <c r="E594" s="10">
        <v>769.252</v>
      </c>
    </row>
    <row r="595" ht="16.5" spans="1:5">
      <c r="A595" s="7">
        <v>3044799.788</v>
      </c>
      <c r="B595" s="7">
        <v>35400795.008</v>
      </c>
      <c r="C595" s="8">
        <v>904.286</v>
      </c>
      <c r="D595" s="11">
        <v>45213</v>
      </c>
      <c r="E595" s="10">
        <v>767.816</v>
      </c>
    </row>
    <row r="596" ht="16.5" spans="1:5">
      <c r="A596" s="7">
        <v>3044799.788</v>
      </c>
      <c r="B596" s="7">
        <v>35400795.008</v>
      </c>
      <c r="C596" s="8">
        <v>904.286</v>
      </c>
      <c r="D596" s="11">
        <v>45214</v>
      </c>
      <c r="E596" s="10">
        <v>769.479</v>
      </c>
    </row>
    <row r="597" ht="16.5" spans="1:5">
      <c r="A597" s="7">
        <v>3044799.788</v>
      </c>
      <c r="B597" s="7">
        <v>35400795.008</v>
      </c>
      <c r="C597" s="8">
        <v>904.286</v>
      </c>
      <c r="D597" s="11">
        <v>45215</v>
      </c>
      <c r="E597" s="10">
        <v>769.478</v>
      </c>
    </row>
    <row r="598" ht="16.5" spans="1:5">
      <c r="A598" s="7">
        <v>3044799.788</v>
      </c>
      <c r="B598" s="7">
        <v>35400795.008</v>
      </c>
      <c r="C598" s="8">
        <v>904.286</v>
      </c>
      <c r="D598" s="11">
        <v>45216</v>
      </c>
      <c r="E598" s="10">
        <v>769.398</v>
      </c>
    </row>
    <row r="599" ht="16.5" spans="1:5">
      <c r="A599" s="7">
        <v>3044799.788</v>
      </c>
      <c r="B599" s="7">
        <v>35400795.008</v>
      </c>
      <c r="C599" s="8">
        <v>904.286</v>
      </c>
      <c r="D599" s="11">
        <v>45217</v>
      </c>
      <c r="E599" s="10">
        <v>769.307</v>
      </c>
    </row>
    <row r="600" ht="16.5" spans="1:5">
      <c r="A600" s="7">
        <v>3044799.788</v>
      </c>
      <c r="B600" s="7">
        <v>35400795.008</v>
      </c>
      <c r="C600" s="8">
        <v>904.286</v>
      </c>
      <c r="D600" s="11">
        <v>45218</v>
      </c>
      <c r="E600" s="10"/>
    </row>
    <row r="601" ht="16.5" spans="1:5">
      <c r="A601" s="7">
        <v>3044799.788</v>
      </c>
      <c r="B601" s="7">
        <v>35400795.008</v>
      </c>
      <c r="C601" s="8">
        <v>904.286</v>
      </c>
      <c r="D601" s="11">
        <v>45219</v>
      </c>
      <c r="E601" s="10">
        <v>768.888</v>
      </c>
    </row>
    <row r="602" ht="16.5" spans="1:5">
      <c r="A602" s="7">
        <v>3044799.788</v>
      </c>
      <c r="B602" s="7">
        <v>35400795.008</v>
      </c>
      <c r="C602" s="8">
        <v>904.286</v>
      </c>
      <c r="D602" s="11">
        <v>45220</v>
      </c>
      <c r="E602" s="10">
        <v>768.979</v>
      </c>
    </row>
    <row r="603" ht="16.5" spans="1:5">
      <c r="A603" s="7">
        <v>3044799.788</v>
      </c>
      <c r="B603" s="7">
        <v>35400795.008</v>
      </c>
      <c r="C603" s="8">
        <v>904.286</v>
      </c>
      <c r="D603" s="11">
        <v>45221</v>
      </c>
      <c r="E603" s="10">
        <v>768.877</v>
      </c>
    </row>
    <row r="604" ht="16.5" spans="1:5">
      <c r="A604" s="7">
        <v>3044799.788</v>
      </c>
      <c r="B604" s="7">
        <v>35400795.008</v>
      </c>
      <c r="C604" s="8">
        <v>904.286</v>
      </c>
      <c r="D604" s="11">
        <v>45222</v>
      </c>
      <c r="E604" s="10">
        <v>768.835</v>
      </c>
    </row>
    <row r="605" ht="16.5" spans="1:5">
      <c r="A605" s="7">
        <v>3044799.788</v>
      </c>
      <c r="B605" s="7">
        <v>35400795.008</v>
      </c>
      <c r="C605" s="8">
        <v>904.286</v>
      </c>
      <c r="D605" s="11">
        <v>45223</v>
      </c>
      <c r="E605" s="10">
        <v>768.794</v>
      </c>
    </row>
    <row r="606" ht="16.5" spans="1:5">
      <c r="A606" s="7">
        <v>3044799.788</v>
      </c>
      <c r="B606" s="7">
        <v>35400795.008</v>
      </c>
      <c r="C606" s="8">
        <v>904.286</v>
      </c>
      <c r="D606" s="11">
        <v>45224</v>
      </c>
      <c r="E606" s="10">
        <v>768.751</v>
      </c>
    </row>
    <row r="607" ht="16.5" spans="1:5">
      <c r="A607" s="7">
        <v>3044799.788</v>
      </c>
      <c r="B607" s="7">
        <v>35400795.008</v>
      </c>
      <c r="C607" s="8">
        <v>904.286</v>
      </c>
      <c r="D607" s="11">
        <v>45225</v>
      </c>
      <c r="E607" s="10">
        <v>767.047</v>
      </c>
    </row>
    <row r="608" ht="16.5" spans="1:5">
      <c r="A608" s="7">
        <v>3044799.788</v>
      </c>
      <c r="B608" s="7">
        <v>35400795.008</v>
      </c>
      <c r="C608" s="8">
        <v>904.286</v>
      </c>
      <c r="D608" s="11">
        <v>45226</v>
      </c>
      <c r="E608" s="10">
        <v>767.07</v>
      </c>
    </row>
    <row r="609" ht="16.5" spans="1:5">
      <c r="A609" s="7">
        <v>3044799.788</v>
      </c>
      <c r="B609" s="7">
        <v>35400795.008</v>
      </c>
      <c r="C609" s="8">
        <v>904.286</v>
      </c>
      <c r="D609" s="11">
        <v>45227</v>
      </c>
      <c r="E609" s="10">
        <v>766.51</v>
      </c>
    </row>
    <row r="610" ht="16.5" spans="1:5">
      <c r="A610" s="7">
        <v>3044799.788</v>
      </c>
      <c r="B610" s="7">
        <v>35400795.008</v>
      </c>
      <c r="C610" s="8">
        <v>904.286</v>
      </c>
      <c r="D610" s="11">
        <v>45228</v>
      </c>
      <c r="E610" s="10">
        <v>766.74</v>
      </c>
    </row>
    <row r="611" ht="16.5" spans="1:5">
      <c r="A611" s="7">
        <v>3044799.788</v>
      </c>
      <c r="B611" s="7">
        <v>35400795.008</v>
      </c>
      <c r="C611" s="8">
        <v>904.286</v>
      </c>
      <c r="D611" s="11">
        <v>45229</v>
      </c>
      <c r="E611" s="10">
        <v>767.46</v>
      </c>
    </row>
    <row r="612" ht="16.5" spans="1:5">
      <c r="A612" s="7">
        <v>3044799.788</v>
      </c>
      <c r="B612" s="7">
        <v>35400795.008</v>
      </c>
      <c r="C612" s="8">
        <v>904.286</v>
      </c>
      <c r="D612" s="11">
        <v>45230</v>
      </c>
      <c r="E612" s="10">
        <v>767.41</v>
      </c>
    </row>
    <row r="613" ht="16.5" spans="1:5">
      <c r="A613" s="7">
        <v>3044799.788</v>
      </c>
      <c r="B613" s="7">
        <v>35400795.008</v>
      </c>
      <c r="C613" s="8">
        <v>904.286</v>
      </c>
      <c r="D613" s="11">
        <v>45231</v>
      </c>
      <c r="E613" s="10">
        <v>767.4</v>
      </c>
    </row>
    <row r="614" ht="16.5" spans="1:5">
      <c r="A614" s="7">
        <v>3044799.788</v>
      </c>
      <c r="B614" s="7">
        <v>35400795.008</v>
      </c>
      <c r="C614" s="8">
        <v>904.286</v>
      </c>
      <c r="D614" s="11">
        <v>45232</v>
      </c>
      <c r="E614" s="10">
        <v>767.962</v>
      </c>
    </row>
    <row r="615" ht="16.5" spans="1:5">
      <c r="A615" s="7">
        <v>3044799.788</v>
      </c>
      <c r="B615" s="7">
        <v>35400795.008</v>
      </c>
      <c r="C615" s="8">
        <v>904.286</v>
      </c>
      <c r="D615" s="11">
        <v>45233</v>
      </c>
      <c r="E615" s="10">
        <v>768.02</v>
      </c>
    </row>
    <row r="616" ht="16.5" spans="1:5">
      <c r="A616" s="7">
        <v>3044799.788</v>
      </c>
      <c r="B616" s="7">
        <v>35400795.008</v>
      </c>
      <c r="C616" s="8">
        <v>904.286</v>
      </c>
      <c r="D616" s="11">
        <v>45234</v>
      </c>
      <c r="E616" s="10">
        <v>767.98</v>
      </c>
    </row>
    <row r="617" ht="16.5" spans="1:5">
      <c r="A617" s="7">
        <v>3044799.788</v>
      </c>
      <c r="B617" s="7">
        <v>35400795.008</v>
      </c>
      <c r="C617" s="8">
        <v>904.286</v>
      </c>
      <c r="D617" s="11">
        <v>45235</v>
      </c>
      <c r="E617" s="10">
        <v>767.88</v>
      </c>
    </row>
    <row r="618" ht="16.5" spans="1:5">
      <c r="A618" s="7">
        <v>3044799.788</v>
      </c>
      <c r="B618" s="7">
        <v>35400795.008</v>
      </c>
      <c r="C618" s="8">
        <v>904.286</v>
      </c>
      <c r="D618" s="11">
        <v>45236</v>
      </c>
      <c r="E618" s="10">
        <v>767.85</v>
      </c>
    </row>
    <row r="619" ht="16.5" spans="1:5">
      <c r="A619" s="7">
        <v>3044799.788</v>
      </c>
      <c r="B619" s="7">
        <v>35400795.008</v>
      </c>
      <c r="C619" s="8">
        <v>904.286</v>
      </c>
      <c r="D619" s="11">
        <v>45237</v>
      </c>
      <c r="E619" s="10">
        <v>767.82</v>
      </c>
    </row>
    <row r="620" ht="16.5" spans="1:5">
      <c r="A620" s="7">
        <v>3044799.788</v>
      </c>
      <c r="B620" s="7">
        <v>35400795.008</v>
      </c>
      <c r="C620" s="8">
        <v>904.286</v>
      </c>
      <c r="D620" s="11">
        <v>45238</v>
      </c>
      <c r="E620" s="10">
        <v>767.71</v>
      </c>
    </row>
    <row r="621" ht="16.5" spans="1:5">
      <c r="A621" s="7">
        <v>3044799.788</v>
      </c>
      <c r="B621" s="7">
        <v>35400795.008</v>
      </c>
      <c r="C621" s="8">
        <v>904.286</v>
      </c>
      <c r="D621" s="11">
        <v>45239</v>
      </c>
      <c r="E621" s="10">
        <v>767.61</v>
      </c>
    </row>
    <row r="622" ht="16.5" spans="1:5">
      <c r="A622" s="7">
        <v>3044799.788</v>
      </c>
      <c r="B622" s="7">
        <v>35400795.008</v>
      </c>
      <c r="C622" s="8">
        <v>904.286</v>
      </c>
      <c r="D622" s="11">
        <v>45240</v>
      </c>
      <c r="E622" s="10">
        <v>767.573</v>
      </c>
    </row>
    <row r="623" ht="16.5" spans="1:5">
      <c r="A623" s="7">
        <v>3044799.788</v>
      </c>
      <c r="B623" s="7">
        <v>35400795.008</v>
      </c>
      <c r="C623" s="8">
        <v>904.286</v>
      </c>
      <c r="D623" s="11">
        <v>45241</v>
      </c>
      <c r="E623" s="10">
        <v>767.41</v>
      </c>
    </row>
    <row r="624" ht="16.5" spans="1:5">
      <c r="A624" s="7">
        <v>3044799.788</v>
      </c>
      <c r="B624" s="7">
        <v>35400795.008</v>
      </c>
      <c r="C624" s="8">
        <v>904.286</v>
      </c>
      <c r="D624" s="11">
        <v>45242</v>
      </c>
      <c r="E624" s="10">
        <v>767.3</v>
      </c>
    </row>
    <row r="625" ht="16.5" spans="1:5">
      <c r="A625" s="7">
        <v>3044799.788</v>
      </c>
      <c r="B625" s="7">
        <v>35400795.008</v>
      </c>
      <c r="C625" s="8">
        <v>904.286</v>
      </c>
      <c r="D625" s="11">
        <v>45243</v>
      </c>
      <c r="E625" s="10">
        <v>767.27</v>
      </c>
    </row>
    <row r="626" ht="16.5" spans="1:5">
      <c r="A626" s="7">
        <v>3044799.788</v>
      </c>
      <c r="B626" s="7">
        <v>35400795.008</v>
      </c>
      <c r="C626" s="8">
        <v>904.286</v>
      </c>
      <c r="D626" s="11">
        <v>45244</v>
      </c>
      <c r="E626" s="10">
        <v>767.21</v>
      </c>
    </row>
    <row r="627" ht="16.5" spans="1:5">
      <c r="A627" s="7">
        <v>3044799.788</v>
      </c>
      <c r="B627" s="7">
        <v>35400795.008</v>
      </c>
      <c r="C627" s="8">
        <v>904.286</v>
      </c>
      <c r="D627" s="11">
        <v>45245</v>
      </c>
      <c r="E627" s="10">
        <v>767.13</v>
      </c>
    </row>
    <row r="628" ht="16.5" spans="1:5">
      <c r="A628" s="7">
        <v>3044799.788</v>
      </c>
      <c r="B628" s="7">
        <v>35400795.008</v>
      </c>
      <c r="C628" s="8">
        <v>904.286</v>
      </c>
      <c r="D628" s="11">
        <v>45246</v>
      </c>
      <c r="E628" s="10">
        <v>766.96</v>
      </c>
    </row>
    <row r="629" ht="16.5" spans="1:5">
      <c r="A629" s="7">
        <v>3044799.788</v>
      </c>
      <c r="B629" s="7">
        <v>35400795.008</v>
      </c>
      <c r="C629" s="8">
        <v>904.286</v>
      </c>
      <c r="D629" s="11">
        <v>45247</v>
      </c>
      <c r="E629" s="10">
        <v>767.01</v>
      </c>
    </row>
    <row r="630" ht="16.5" spans="1:5">
      <c r="A630" s="7">
        <v>3044799.788</v>
      </c>
      <c r="B630" s="7">
        <v>35400795.008</v>
      </c>
      <c r="C630" s="8">
        <v>904.286</v>
      </c>
      <c r="D630" s="11">
        <v>45248</v>
      </c>
      <c r="E630" s="10">
        <v>766.96</v>
      </c>
    </row>
    <row r="631" ht="16.5" spans="1:5">
      <c r="A631" s="7">
        <v>3044799.788</v>
      </c>
      <c r="B631" s="7">
        <v>35400795.008</v>
      </c>
      <c r="C631" s="8">
        <v>904.286</v>
      </c>
      <c r="D631" s="11">
        <v>45249</v>
      </c>
      <c r="E631" s="10">
        <v>766.94</v>
      </c>
    </row>
    <row r="632" ht="16.5" spans="1:5">
      <c r="A632" s="7">
        <v>3044799.788</v>
      </c>
      <c r="B632" s="7">
        <v>35400795.008</v>
      </c>
      <c r="C632" s="8">
        <v>904.286</v>
      </c>
      <c r="D632" s="11">
        <v>45250</v>
      </c>
      <c r="E632" s="10">
        <v>767.01</v>
      </c>
    </row>
    <row r="633" ht="16.5" spans="1:5">
      <c r="A633" s="7">
        <v>3044799.788</v>
      </c>
      <c r="B633" s="7">
        <v>35400795.008</v>
      </c>
      <c r="C633" s="8">
        <v>904.286</v>
      </c>
      <c r="D633" s="11">
        <v>45251</v>
      </c>
      <c r="E633" s="10">
        <v>767.14</v>
      </c>
    </row>
    <row r="634" ht="16.5" spans="1:5">
      <c r="A634" s="7">
        <v>3044799.788</v>
      </c>
      <c r="B634" s="7">
        <v>35400795.008</v>
      </c>
      <c r="C634" s="8">
        <v>904.286</v>
      </c>
      <c r="D634" s="11">
        <v>45252</v>
      </c>
      <c r="E634" s="10">
        <v>766.99</v>
      </c>
    </row>
    <row r="635" ht="16.5" spans="1:5">
      <c r="A635" s="7">
        <v>3044799.788</v>
      </c>
      <c r="B635" s="7">
        <v>35400795.008</v>
      </c>
      <c r="C635" s="8">
        <v>904.286</v>
      </c>
      <c r="D635" s="11">
        <v>45253</v>
      </c>
      <c r="E635" s="10">
        <v>766.82</v>
      </c>
    </row>
    <row r="636" ht="16.5" spans="1:5">
      <c r="A636" s="7">
        <v>3044799.788</v>
      </c>
      <c r="B636" s="7">
        <v>35400795.008</v>
      </c>
      <c r="C636" s="8">
        <v>904.286</v>
      </c>
      <c r="D636" s="11">
        <v>45254</v>
      </c>
      <c r="E636" s="10">
        <v>766.78</v>
      </c>
    </row>
    <row r="637" ht="16.5" spans="1:5">
      <c r="A637" s="7">
        <v>3044799.788</v>
      </c>
      <c r="B637" s="7">
        <v>35400795.008</v>
      </c>
      <c r="C637" s="8">
        <v>904.286</v>
      </c>
      <c r="D637" s="11">
        <v>45255</v>
      </c>
      <c r="E637" s="10"/>
    </row>
    <row r="638" ht="16.5" spans="1:5">
      <c r="A638" s="7">
        <v>3044799.788</v>
      </c>
      <c r="B638" s="7">
        <v>35400795.008</v>
      </c>
      <c r="C638" s="8">
        <v>904.286</v>
      </c>
      <c r="D638" s="11">
        <v>45256</v>
      </c>
      <c r="E638" s="10"/>
    </row>
    <row r="639" ht="16.5" spans="1:5">
      <c r="A639" s="7">
        <v>3044799.788</v>
      </c>
      <c r="B639" s="7">
        <v>35400795.008</v>
      </c>
      <c r="C639" s="8">
        <v>904.286</v>
      </c>
      <c r="D639" s="11">
        <v>45257</v>
      </c>
      <c r="E639" s="10"/>
    </row>
    <row r="640" ht="16.5" spans="1:5">
      <c r="A640" s="7">
        <v>3044799.788</v>
      </c>
      <c r="B640" s="7">
        <v>35400795.008</v>
      </c>
      <c r="C640" s="8">
        <v>904.286</v>
      </c>
      <c r="D640" s="11">
        <v>45258</v>
      </c>
      <c r="E640" s="10">
        <v>766.63</v>
      </c>
    </row>
    <row r="641" ht="16.5" spans="1:5">
      <c r="A641" s="7">
        <v>3044799.788</v>
      </c>
      <c r="B641" s="7">
        <v>35400795.008</v>
      </c>
      <c r="C641" s="8">
        <v>904.286</v>
      </c>
      <c r="D641" s="11">
        <v>45259</v>
      </c>
      <c r="E641" s="10">
        <v>766.58</v>
      </c>
    </row>
    <row r="642" ht="16.5" spans="1:5">
      <c r="A642" s="7">
        <v>3044799.788</v>
      </c>
      <c r="B642" s="7">
        <v>35400795.008</v>
      </c>
      <c r="C642" s="8">
        <v>904.286</v>
      </c>
      <c r="D642" s="11">
        <v>45260</v>
      </c>
      <c r="E642" s="10">
        <v>766.5</v>
      </c>
    </row>
    <row r="643" ht="16.5" spans="1:5">
      <c r="A643" s="7">
        <v>3044799.788</v>
      </c>
      <c r="B643" s="7">
        <v>35400795.008</v>
      </c>
      <c r="C643" s="8">
        <v>904.286</v>
      </c>
      <c r="D643" s="11">
        <v>45261</v>
      </c>
      <c r="E643" s="10">
        <v>766.54</v>
      </c>
    </row>
    <row r="644" ht="16.5" spans="1:5">
      <c r="A644" s="7">
        <v>3044799.788</v>
      </c>
      <c r="B644" s="7">
        <v>35400795.008</v>
      </c>
      <c r="C644" s="8">
        <v>904.286</v>
      </c>
      <c r="D644" s="11">
        <v>45262</v>
      </c>
      <c r="E644" s="10">
        <v>766.32</v>
      </c>
    </row>
    <row r="645" ht="16.5" spans="1:5">
      <c r="A645" s="7">
        <v>3044799.788</v>
      </c>
      <c r="B645" s="7">
        <v>35400795.008</v>
      </c>
      <c r="C645" s="8">
        <v>904.286</v>
      </c>
      <c r="D645" s="11">
        <v>45263</v>
      </c>
      <c r="E645" s="10">
        <v>766.32</v>
      </c>
    </row>
    <row r="646" ht="16.5" spans="1:5">
      <c r="A646" s="7">
        <v>3044799.788</v>
      </c>
      <c r="B646" s="7">
        <v>35400795.008</v>
      </c>
      <c r="C646" s="8">
        <v>904.286</v>
      </c>
      <c r="D646" s="11">
        <v>45264</v>
      </c>
      <c r="E646" s="10">
        <v>766.21</v>
      </c>
    </row>
    <row r="647" ht="16.5" spans="1:5">
      <c r="A647" s="7">
        <v>3044799.788</v>
      </c>
      <c r="B647" s="7">
        <v>35400795.008</v>
      </c>
      <c r="C647" s="8">
        <v>904.286</v>
      </c>
      <c r="D647" s="11">
        <v>45265</v>
      </c>
      <c r="E647" s="10">
        <v>766.17</v>
      </c>
    </row>
    <row r="648" ht="16.5" spans="1:5">
      <c r="A648" s="7">
        <v>3044799.788</v>
      </c>
      <c r="B648" s="7">
        <v>35400795.008</v>
      </c>
      <c r="C648" s="8">
        <v>904.286</v>
      </c>
      <c r="D648" s="11">
        <v>45266</v>
      </c>
      <c r="E648" s="10">
        <v>766.18</v>
      </c>
    </row>
    <row r="649" ht="16.5" spans="1:5">
      <c r="A649" s="7">
        <v>3044799.788</v>
      </c>
      <c r="B649" s="7">
        <v>35400795.008</v>
      </c>
      <c r="C649" s="8">
        <v>904.286</v>
      </c>
      <c r="D649" s="11">
        <v>45267</v>
      </c>
      <c r="E649" s="10">
        <v>766.16</v>
      </c>
    </row>
    <row r="650" ht="16.5" spans="1:5">
      <c r="A650" s="7">
        <v>3044799.788</v>
      </c>
      <c r="B650" s="7">
        <v>35400795.008</v>
      </c>
      <c r="C650" s="8">
        <v>904.286</v>
      </c>
      <c r="D650" s="11">
        <v>45268</v>
      </c>
      <c r="E650" s="10">
        <v>766.346</v>
      </c>
    </row>
    <row r="651" ht="16.5" spans="1:5">
      <c r="A651" s="7">
        <v>3044799.788</v>
      </c>
      <c r="B651" s="7">
        <v>35400795.008</v>
      </c>
      <c r="C651" s="8">
        <v>904.286</v>
      </c>
      <c r="D651" s="11">
        <v>45269</v>
      </c>
      <c r="E651" s="10">
        <v>767.005</v>
      </c>
    </row>
    <row r="652" ht="16.5" spans="1:5">
      <c r="A652" s="7">
        <v>3044799.788</v>
      </c>
      <c r="B652" s="7">
        <v>35400795.008</v>
      </c>
      <c r="C652" s="8">
        <v>904.286</v>
      </c>
      <c r="D652" s="11">
        <v>45270</v>
      </c>
      <c r="E652" s="10">
        <v>767.029</v>
      </c>
    </row>
    <row r="653" ht="16.5" spans="1:5">
      <c r="A653" s="7">
        <v>3044799.788</v>
      </c>
      <c r="B653" s="7">
        <v>35400795.008</v>
      </c>
      <c r="C653" s="8">
        <v>904.286</v>
      </c>
      <c r="D653" s="11">
        <v>45271</v>
      </c>
      <c r="E653" s="10">
        <v>766.656</v>
      </c>
    </row>
    <row r="654" ht="16.5" spans="1:5">
      <c r="A654" s="7">
        <v>3044799.788</v>
      </c>
      <c r="B654" s="7">
        <v>35400795.008</v>
      </c>
      <c r="C654" s="8">
        <v>904.286</v>
      </c>
      <c r="D654" s="11">
        <v>45272</v>
      </c>
      <c r="E654" s="10">
        <v>766.495</v>
      </c>
    </row>
    <row r="655" ht="16.5" spans="1:5">
      <c r="A655" s="7">
        <v>3044799.788</v>
      </c>
      <c r="B655" s="7">
        <v>35400795.008</v>
      </c>
      <c r="C655" s="8">
        <v>904.286</v>
      </c>
      <c r="D655" s="11">
        <v>45273</v>
      </c>
      <c r="E655" s="10">
        <v>766.62</v>
      </c>
    </row>
    <row r="656" ht="16.5" spans="1:5">
      <c r="A656" s="7">
        <v>3044799.788</v>
      </c>
      <c r="B656" s="7">
        <v>35400795.008</v>
      </c>
      <c r="C656" s="8">
        <v>904.286</v>
      </c>
      <c r="D656" s="11">
        <v>45274</v>
      </c>
      <c r="E656" s="10">
        <v>766.523</v>
      </c>
    </row>
    <row r="657" ht="16.5" spans="1:5">
      <c r="A657" s="7">
        <v>3044799.788</v>
      </c>
      <c r="B657" s="7">
        <v>35400795.008</v>
      </c>
      <c r="C657" s="8">
        <v>904.286</v>
      </c>
      <c r="D657" s="11">
        <v>45275</v>
      </c>
      <c r="E657" s="10">
        <v>764.802</v>
      </c>
    </row>
    <row r="658" ht="16.5" spans="1:5">
      <c r="A658" s="7">
        <v>3044799.788</v>
      </c>
      <c r="B658" s="7">
        <v>35400795.008</v>
      </c>
      <c r="C658" s="8">
        <v>904.286</v>
      </c>
      <c r="D658" s="11">
        <v>45276</v>
      </c>
      <c r="E658" s="10">
        <v>764.577</v>
      </c>
    </row>
    <row r="659" ht="16.5" spans="1:5">
      <c r="A659" s="7">
        <v>3044799.788</v>
      </c>
      <c r="B659" s="7">
        <v>35400795.008</v>
      </c>
      <c r="C659" s="8">
        <v>904.286</v>
      </c>
      <c r="D659" s="11">
        <v>45277</v>
      </c>
      <c r="E659" s="10">
        <v>764.599</v>
      </c>
    </row>
    <row r="660" ht="16.5" spans="1:5">
      <c r="A660" s="7">
        <v>3044799.788</v>
      </c>
      <c r="B660" s="7">
        <v>35400795.008</v>
      </c>
      <c r="C660" s="8">
        <v>904.286</v>
      </c>
      <c r="D660" s="11">
        <v>45278</v>
      </c>
      <c r="E660" s="10">
        <v>764.541</v>
      </c>
    </row>
    <row r="661" ht="16.5" spans="1:5">
      <c r="A661" s="7">
        <v>3044799.788</v>
      </c>
      <c r="B661" s="7">
        <v>35400795.008</v>
      </c>
      <c r="C661" s="8">
        <v>904.286</v>
      </c>
      <c r="D661" s="11">
        <v>45279</v>
      </c>
      <c r="E661" s="10">
        <v>764.378</v>
      </c>
    </row>
    <row r="662" ht="16.5" spans="1:5">
      <c r="A662" s="7">
        <v>3044799.788</v>
      </c>
      <c r="B662" s="7">
        <v>35400795.008</v>
      </c>
      <c r="C662" s="8">
        <v>904.286</v>
      </c>
      <c r="D662" s="11">
        <v>45280</v>
      </c>
      <c r="E662" s="10">
        <v>764.365</v>
      </c>
    </row>
    <row r="663" ht="16.5" spans="1:5">
      <c r="A663" s="7">
        <v>3044799.788</v>
      </c>
      <c r="B663" s="7">
        <v>35400795.008</v>
      </c>
      <c r="C663" s="8">
        <v>904.286</v>
      </c>
      <c r="D663" s="11">
        <v>45281</v>
      </c>
      <c r="E663" s="10">
        <v>764.265</v>
      </c>
    </row>
    <row r="664" ht="16.5" spans="1:5">
      <c r="A664" s="7">
        <v>3044799.788</v>
      </c>
      <c r="B664" s="7">
        <v>35400795.008</v>
      </c>
      <c r="C664" s="8">
        <v>904.286</v>
      </c>
      <c r="D664" s="11">
        <v>45282</v>
      </c>
      <c r="E664" s="10">
        <v>764.2</v>
      </c>
    </row>
    <row r="665" ht="16.5" spans="1:5">
      <c r="A665" s="7">
        <v>3044799.788</v>
      </c>
      <c r="B665" s="7">
        <v>35400795.008</v>
      </c>
      <c r="C665" s="8">
        <v>904.286</v>
      </c>
      <c r="D665" s="11">
        <v>45283</v>
      </c>
      <c r="E665" s="10">
        <v>765.553</v>
      </c>
    </row>
    <row r="666" ht="16.5" spans="1:5">
      <c r="A666" s="7">
        <v>3044799.788</v>
      </c>
      <c r="B666" s="7">
        <v>35400795.008</v>
      </c>
      <c r="C666" s="8">
        <v>904.286</v>
      </c>
      <c r="D666" s="11">
        <v>45284</v>
      </c>
      <c r="E666" s="10">
        <v>766.039</v>
      </c>
    </row>
    <row r="667" ht="16.5" spans="1:5">
      <c r="A667" s="7">
        <v>3044799.788</v>
      </c>
      <c r="B667" s="7">
        <v>35400795.008</v>
      </c>
      <c r="C667" s="8">
        <v>904.286</v>
      </c>
      <c r="D667" s="11">
        <v>45285</v>
      </c>
      <c r="E667" s="10">
        <v>766.149</v>
      </c>
    </row>
    <row r="668" ht="16.5" spans="1:5">
      <c r="A668" s="7">
        <v>3044799.788</v>
      </c>
      <c r="B668" s="7">
        <v>35400795.008</v>
      </c>
      <c r="C668" s="8">
        <v>904.286</v>
      </c>
      <c r="D668" s="11">
        <v>45286</v>
      </c>
      <c r="E668" s="10">
        <v>763.988</v>
      </c>
    </row>
    <row r="669" ht="16.5" spans="1:5">
      <c r="A669" s="7">
        <v>3044799.788</v>
      </c>
      <c r="B669" s="7">
        <v>35400795.008</v>
      </c>
      <c r="C669" s="8">
        <v>904.286</v>
      </c>
      <c r="D669" s="11">
        <v>45287</v>
      </c>
      <c r="E669" s="10">
        <v>763.9</v>
      </c>
    </row>
    <row r="670" ht="16.5" spans="1:5">
      <c r="A670" s="7">
        <v>3044799.788</v>
      </c>
      <c r="B670" s="7">
        <v>35400795.008</v>
      </c>
      <c r="C670" s="8">
        <v>904.286</v>
      </c>
      <c r="D670" s="11">
        <v>45288</v>
      </c>
      <c r="E670" s="10">
        <v>765.12</v>
      </c>
    </row>
    <row r="671" ht="16.5" spans="1:5">
      <c r="A671" s="7">
        <v>3044799.788</v>
      </c>
      <c r="B671" s="7">
        <v>35400795.008</v>
      </c>
      <c r="C671" s="8">
        <v>904.286</v>
      </c>
      <c r="D671" s="11">
        <v>45289</v>
      </c>
      <c r="E671" s="10">
        <v>765.64</v>
      </c>
    </row>
    <row r="672" ht="16.5" spans="1:5">
      <c r="A672" s="7">
        <v>3044799.788</v>
      </c>
      <c r="B672" s="7">
        <v>35400795.008</v>
      </c>
      <c r="C672" s="8">
        <v>904.286</v>
      </c>
      <c r="D672" s="11">
        <v>45290</v>
      </c>
      <c r="E672" s="10">
        <v>765.913</v>
      </c>
    </row>
    <row r="673" ht="16.5" spans="1:5">
      <c r="A673" s="7">
        <v>3044799.788</v>
      </c>
      <c r="B673" s="7">
        <v>35400795.008</v>
      </c>
      <c r="C673" s="8">
        <v>904.286</v>
      </c>
      <c r="D673" s="11">
        <v>45291</v>
      </c>
      <c r="E673" s="10">
        <v>765.869</v>
      </c>
    </row>
    <row r="674" ht="16.5" spans="1:5">
      <c r="A674" s="7">
        <v>3044799.788</v>
      </c>
      <c r="B674" s="7">
        <v>35400795.008</v>
      </c>
      <c r="C674" s="8">
        <v>904.286</v>
      </c>
      <c r="D674" s="11">
        <v>45292</v>
      </c>
      <c r="E674" s="10">
        <v>765.849</v>
      </c>
    </row>
    <row r="675" ht="16.5" spans="1:5">
      <c r="A675" s="7">
        <v>3044799.788</v>
      </c>
      <c r="B675" s="7">
        <v>35400795.008</v>
      </c>
      <c r="C675" s="8">
        <v>904.286</v>
      </c>
      <c r="D675" s="11">
        <v>45293</v>
      </c>
      <c r="E675" s="10">
        <v>765.819</v>
      </c>
    </row>
    <row r="676" ht="16.5" spans="1:5">
      <c r="A676" s="7">
        <v>3044799.788</v>
      </c>
      <c r="B676" s="7">
        <v>35400795.008</v>
      </c>
      <c r="C676" s="8">
        <v>904.286</v>
      </c>
      <c r="D676" s="11">
        <v>45294</v>
      </c>
      <c r="E676" s="10">
        <v>765.767</v>
      </c>
    </row>
    <row r="677" ht="16.5" spans="1:5">
      <c r="A677" s="7">
        <v>3044799.788</v>
      </c>
      <c r="B677" s="7">
        <v>35400795.008</v>
      </c>
      <c r="C677" s="8">
        <v>904.286</v>
      </c>
      <c r="D677" s="11">
        <v>45295</v>
      </c>
      <c r="E677" s="18">
        <v>764.154</v>
      </c>
    </row>
    <row r="678" ht="16.5" spans="1:5">
      <c r="A678" s="7">
        <v>3044799.788</v>
      </c>
      <c r="B678" s="7">
        <v>35400795.008</v>
      </c>
      <c r="C678" s="8">
        <v>904.286</v>
      </c>
      <c r="D678" s="11">
        <v>45296</v>
      </c>
      <c r="E678" s="18">
        <v>765.693</v>
      </c>
    </row>
    <row r="679" ht="16.5" spans="1:5">
      <c r="A679" s="7">
        <v>3044799.788</v>
      </c>
      <c r="B679" s="7">
        <v>35400795.008</v>
      </c>
      <c r="C679" s="8">
        <v>904.286</v>
      </c>
      <c r="D679" s="11">
        <v>45297</v>
      </c>
      <c r="E679" s="19">
        <v>765.671</v>
      </c>
    </row>
    <row r="680" ht="16.5" spans="1:5">
      <c r="A680" s="7">
        <v>3044799.788</v>
      </c>
      <c r="B680" s="7">
        <v>35400795.008</v>
      </c>
      <c r="C680" s="8">
        <v>904.286</v>
      </c>
      <c r="D680" s="11">
        <v>45298</v>
      </c>
      <c r="E680" s="19">
        <v>764.03</v>
      </c>
    </row>
    <row r="681" ht="16.5" spans="1:5">
      <c r="A681" s="7">
        <v>3044799.788</v>
      </c>
      <c r="B681" s="7">
        <v>35400795.008</v>
      </c>
      <c r="C681" s="8">
        <v>904.286</v>
      </c>
      <c r="D681" s="11">
        <v>45299</v>
      </c>
      <c r="E681" s="19">
        <v>762.835</v>
      </c>
    </row>
    <row r="682" ht="16.5" spans="1:5">
      <c r="A682" s="7">
        <v>3044799.788</v>
      </c>
      <c r="B682" s="7">
        <v>35400795.008</v>
      </c>
      <c r="C682" s="8">
        <v>904.286</v>
      </c>
      <c r="D682" s="11">
        <v>45300</v>
      </c>
      <c r="E682" s="18">
        <v>762.769</v>
      </c>
    </row>
    <row r="683" ht="16.5" spans="1:5">
      <c r="A683" s="7">
        <v>3044799.788</v>
      </c>
      <c r="B683" s="7">
        <v>35400795.008</v>
      </c>
      <c r="C683" s="8">
        <v>904.286</v>
      </c>
      <c r="D683" s="11">
        <v>45301</v>
      </c>
      <c r="E683" s="18">
        <v>762.638</v>
      </c>
    </row>
    <row r="684" ht="16.5" spans="1:5">
      <c r="A684" s="7">
        <v>3044799.788</v>
      </c>
      <c r="B684" s="7">
        <v>35400795.008</v>
      </c>
      <c r="C684" s="8">
        <v>904.286</v>
      </c>
      <c r="D684" s="11">
        <v>45302</v>
      </c>
      <c r="E684" s="18">
        <v>762.623</v>
      </c>
    </row>
    <row r="685" ht="16.5" spans="1:5">
      <c r="A685" s="7">
        <v>3044799.788</v>
      </c>
      <c r="B685" s="7">
        <v>35400795.008</v>
      </c>
      <c r="C685" s="8">
        <v>904.286</v>
      </c>
      <c r="D685" s="11">
        <v>45303</v>
      </c>
      <c r="E685" s="18">
        <v>762.48</v>
      </c>
    </row>
    <row r="686" ht="16.5" spans="1:5">
      <c r="A686" s="7">
        <v>3044799.788</v>
      </c>
      <c r="B686" s="7">
        <v>35400795.008</v>
      </c>
      <c r="C686" s="8">
        <v>904.286</v>
      </c>
      <c r="D686" s="11">
        <v>45304</v>
      </c>
      <c r="E686" s="18">
        <v>762.281</v>
      </c>
    </row>
    <row r="687" ht="16.5" spans="1:5">
      <c r="A687" s="7">
        <v>3044799.788</v>
      </c>
      <c r="B687" s="7">
        <v>35400795.008</v>
      </c>
      <c r="C687" s="8">
        <v>904.286</v>
      </c>
      <c r="D687" s="11">
        <v>45305</v>
      </c>
      <c r="E687" s="18">
        <v>762.184</v>
      </c>
    </row>
    <row r="688" ht="16.5" spans="1:5">
      <c r="A688" s="7">
        <v>3044799.788</v>
      </c>
      <c r="B688" s="7">
        <v>35400795.008</v>
      </c>
      <c r="C688" s="8">
        <v>904.286</v>
      </c>
      <c r="D688" s="11">
        <v>45306</v>
      </c>
      <c r="E688" s="18">
        <v>762.197</v>
      </c>
    </row>
    <row r="689" ht="16.5" spans="1:5">
      <c r="A689" s="7">
        <v>3044799.788</v>
      </c>
      <c r="B689" s="7">
        <v>35400795.008</v>
      </c>
      <c r="C689" s="8">
        <v>904.286</v>
      </c>
      <c r="D689" s="11">
        <v>45307</v>
      </c>
      <c r="E689" s="18">
        <v>762.184</v>
      </c>
    </row>
    <row r="690" ht="16.5" spans="1:5">
      <c r="A690" s="7">
        <v>3044799.788</v>
      </c>
      <c r="B690" s="7">
        <v>35400795.008</v>
      </c>
      <c r="C690" s="8">
        <v>904.286</v>
      </c>
      <c r="D690" s="11">
        <v>45308</v>
      </c>
      <c r="E690" s="18">
        <v>762.007</v>
      </c>
    </row>
    <row r="691" ht="16.5" spans="1:5">
      <c r="A691" s="7">
        <v>3044799.788</v>
      </c>
      <c r="B691" s="7">
        <v>35400795.008</v>
      </c>
      <c r="C691" s="8">
        <v>904.286</v>
      </c>
      <c r="D691" s="11">
        <v>45309</v>
      </c>
      <c r="E691" s="18">
        <v>761.966</v>
      </c>
    </row>
    <row r="692" ht="16.5" spans="1:5">
      <c r="A692" s="7">
        <v>3044799.788</v>
      </c>
      <c r="B692" s="7">
        <v>35400795.008</v>
      </c>
      <c r="C692" s="8">
        <v>904.286</v>
      </c>
      <c r="D692" s="11">
        <v>45310</v>
      </c>
      <c r="E692" s="18">
        <v>762.03</v>
      </c>
    </row>
    <row r="693" ht="16.5" spans="1:5">
      <c r="A693" s="7">
        <v>3044799.788</v>
      </c>
      <c r="B693" s="7">
        <v>35400795.008</v>
      </c>
      <c r="C693" s="8">
        <v>904.286</v>
      </c>
      <c r="D693" s="11">
        <v>45311</v>
      </c>
      <c r="E693" s="18">
        <v>761.947</v>
      </c>
    </row>
    <row r="694" ht="16.5" spans="1:5">
      <c r="A694" s="7">
        <v>3044799.788</v>
      </c>
      <c r="B694" s="7">
        <v>35400795.008</v>
      </c>
      <c r="C694" s="8">
        <v>904.286</v>
      </c>
      <c r="D694" s="11">
        <v>45312</v>
      </c>
      <c r="E694" s="18">
        <v>761.844</v>
      </c>
    </row>
    <row r="695" ht="16.5" spans="1:5">
      <c r="A695" s="7">
        <v>3044799.788</v>
      </c>
      <c r="B695" s="7">
        <v>35400795.008</v>
      </c>
      <c r="C695" s="8">
        <v>904.286</v>
      </c>
      <c r="D695" s="11">
        <v>45313</v>
      </c>
      <c r="E695" s="18">
        <v>761.709</v>
      </c>
    </row>
    <row r="696" ht="16.5" spans="1:5">
      <c r="A696" s="7">
        <v>3044799.788</v>
      </c>
      <c r="B696" s="7">
        <v>35400795.008</v>
      </c>
      <c r="C696" s="8">
        <v>904.286</v>
      </c>
      <c r="D696" s="11">
        <v>45314</v>
      </c>
      <c r="E696" s="18">
        <v>761.734</v>
      </c>
    </row>
    <row r="697" ht="16.5" spans="1:5">
      <c r="A697" s="7">
        <v>3044799.788</v>
      </c>
      <c r="B697" s="7">
        <v>35400795.008</v>
      </c>
      <c r="C697" s="8">
        <v>904.286</v>
      </c>
      <c r="D697" s="11">
        <v>45315</v>
      </c>
      <c r="E697" s="18">
        <v>761.616</v>
      </c>
    </row>
    <row r="698" ht="16.5" spans="1:5">
      <c r="A698" s="7">
        <v>3044799.788</v>
      </c>
      <c r="B698" s="7">
        <v>35400795.008</v>
      </c>
      <c r="C698" s="8">
        <v>904.286</v>
      </c>
      <c r="D698" s="11">
        <v>45316</v>
      </c>
      <c r="E698" s="18">
        <v>761.594</v>
      </c>
    </row>
    <row r="699" ht="16.5" spans="1:5">
      <c r="A699" s="7">
        <v>3044799.788</v>
      </c>
      <c r="B699" s="7">
        <v>35400795.008</v>
      </c>
      <c r="C699" s="8">
        <v>904.286</v>
      </c>
      <c r="D699" s="11">
        <v>45317</v>
      </c>
      <c r="E699" s="18">
        <v>762.293</v>
      </c>
    </row>
    <row r="700" ht="16.5" spans="1:5">
      <c r="A700" s="7">
        <v>3044799.788</v>
      </c>
      <c r="B700" s="7">
        <v>35400795.008</v>
      </c>
      <c r="C700" s="8">
        <v>904.286</v>
      </c>
      <c r="D700" s="11">
        <v>45318</v>
      </c>
      <c r="E700" s="18">
        <v>762.668</v>
      </c>
    </row>
    <row r="701" ht="16.5" spans="1:5">
      <c r="A701" s="7">
        <v>3044799.788</v>
      </c>
      <c r="B701" s="7">
        <v>35400795.008</v>
      </c>
      <c r="C701" s="8">
        <v>904.286</v>
      </c>
      <c r="D701" s="11">
        <v>45319</v>
      </c>
      <c r="E701" s="18">
        <v>763.687</v>
      </c>
    </row>
    <row r="702" ht="16.5" spans="1:5">
      <c r="A702" s="7">
        <v>3044799.788</v>
      </c>
      <c r="B702" s="7">
        <v>35400795.008</v>
      </c>
      <c r="C702" s="8">
        <v>904.286</v>
      </c>
      <c r="D702" s="11">
        <v>45320</v>
      </c>
      <c r="E702" s="18">
        <v>763.572</v>
      </c>
    </row>
    <row r="703" ht="16.5" spans="1:5">
      <c r="A703" s="7">
        <v>3044799.788</v>
      </c>
      <c r="B703" s="7">
        <v>35400795.008</v>
      </c>
      <c r="C703" s="8">
        <v>904.286</v>
      </c>
      <c r="D703" s="11">
        <v>45321</v>
      </c>
      <c r="E703" s="18">
        <v>763.768</v>
      </c>
    </row>
    <row r="704" ht="16.5" spans="1:5">
      <c r="A704" s="7">
        <v>3044799.788</v>
      </c>
      <c r="B704" s="7">
        <v>35400795.008</v>
      </c>
      <c r="C704" s="8">
        <v>904.286</v>
      </c>
      <c r="D704" s="11">
        <v>45322</v>
      </c>
      <c r="E704" s="18">
        <v>763.471</v>
      </c>
    </row>
    <row r="705" ht="16.5" spans="1:5">
      <c r="A705" s="7">
        <v>3044799.788</v>
      </c>
      <c r="B705" s="7">
        <v>35400795.008</v>
      </c>
      <c r="C705" s="8">
        <v>904.286</v>
      </c>
      <c r="D705" s="11">
        <v>45323</v>
      </c>
      <c r="E705" s="18">
        <v>763.391</v>
      </c>
    </row>
    <row r="706" ht="16.5" spans="1:5">
      <c r="A706" s="7">
        <v>3044799.788</v>
      </c>
      <c r="B706" s="7">
        <v>35400795.008</v>
      </c>
      <c r="C706" s="8">
        <v>904.286</v>
      </c>
      <c r="D706" s="11">
        <v>45324</v>
      </c>
      <c r="E706" s="18">
        <v>762.034</v>
      </c>
    </row>
    <row r="707" ht="16.5" spans="1:5">
      <c r="A707" s="7">
        <v>3044799.788</v>
      </c>
      <c r="B707" s="7">
        <v>35400795.008</v>
      </c>
      <c r="C707" s="8">
        <v>904.286</v>
      </c>
      <c r="D707" s="11">
        <v>45325</v>
      </c>
      <c r="E707" s="18">
        <v>762.971</v>
      </c>
    </row>
    <row r="708" ht="16.5" spans="1:5">
      <c r="A708" s="7">
        <v>3044799.788</v>
      </c>
      <c r="B708" s="7">
        <v>35400795.008</v>
      </c>
      <c r="C708" s="8">
        <v>904.286</v>
      </c>
      <c r="D708" s="11">
        <v>45326</v>
      </c>
      <c r="E708" s="18">
        <v>762.847</v>
      </c>
    </row>
    <row r="709" ht="16.5" spans="1:5">
      <c r="A709" s="7">
        <v>3044799.788</v>
      </c>
      <c r="B709" s="7">
        <v>35400795.008</v>
      </c>
      <c r="C709" s="8">
        <v>904.286</v>
      </c>
      <c r="D709" s="11">
        <v>45327</v>
      </c>
      <c r="E709" s="18">
        <v>762.91</v>
      </c>
    </row>
    <row r="710" ht="16.5" spans="1:5">
      <c r="A710" s="7">
        <v>3044799.788</v>
      </c>
      <c r="B710" s="7">
        <v>35400795.008</v>
      </c>
      <c r="C710" s="8">
        <v>904.286</v>
      </c>
      <c r="D710" s="11">
        <v>45328</v>
      </c>
      <c r="E710" s="18">
        <v>762.79</v>
      </c>
    </row>
    <row r="711" ht="16.5" spans="1:5">
      <c r="A711" s="7">
        <v>3044799.788</v>
      </c>
      <c r="B711" s="7">
        <v>35400795.008</v>
      </c>
      <c r="C711" s="8">
        <v>904.286</v>
      </c>
      <c r="D711" s="11">
        <v>45329</v>
      </c>
      <c r="E711" s="18">
        <v>762.811</v>
      </c>
    </row>
    <row r="712" ht="16.5" spans="1:5">
      <c r="A712" s="7">
        <v>3044799.788</v>
      </c>
      <c r="B712" s="7">
        <v>35400795.008</v>
      </c>
      <c r="C712" s="8">
        <v>904.286</v>
      </c>
      <c r="D712" s="11">
        <v>45330</v>
      </c>
      <c r="E712" s="18">
        <v>762.671</v>
      </c>
    </row>
    <row r="713" ht="16.5" spans="1:5">
      <c r="A713" s="7">
        <v>3044799.788</v>
      </c>
      <c r="B713" s="7">
        <v>35400795.008</v>
      </c>
      <c r="C713" s="8">
        <v>904.286</v>
      </c>
      <c r="D713" s="11">
        <v>45331</v>
      </c>
      <c r="E713" s="18">
        <v>762.541</v>
      </c>
    </row>
    <row r="714" ht="16.5" spans="1:5">
      <c r="A714" s="7">
        <v>3044799.788</v>
      </c>
      <c r="B714" s="7">
        <v>35400795.008</v>
      </c>
      <c r="C714" s="8">
        <v>904.286</v>
      </c>
      <c r="D714" s="11">
        <v>45332</v>
      </c>
      <c r="E714" s="18">
        <v>762.597</v>
      </c>
    </row>
    <row r="715" ht="16.5" spans="1:5">
      <c r="A715" s="7">
        <v>3044799.788</v>
      </c>
      <c r="B715" s="7">
        <v>35400795.008</v>
      </c>
      <c r="C715" s="8">
        <v>904.286</v>
      </c>
      <c r="D715" s="11">
        <v>45333</v>
      </c>
      <c r="E715" s="18">
        <v>762.604</v>
      </c>
    </row>
    <row r="716" ht="16.5" spans="1:5">
      <c r="A716" s="7">
        <v>3044799.788</v>
      </c>
      <c r="B716" s="7">
        <v>35400795.008</v>
      </c>
      <c r="C716" s="8">
        <v>904.286</v>
      </c>
      <c r="D716" s="11">
        <v>45334</v>
      </c>
      <c r="E716" s="18">
        <v>762.585</v>
      </c>
    </row>
    <row r="717" ht="16.5" spans="1:5">
      <c r="A717" s="7">
        <v>3044799.788</v>
      </c>
      <c r="B717" s="7">
        <v>35400795.008</v>
      </c>
      <c r="C717" s="8">
        <v>904.286</v>
      </c>
      <c r="D717" s="11">
        <v>45335</v>
      </c>
      <c r="E717" s="18">
        <v>762.351</v>
      </c>
    </row>
    <row r="718" ht="16.5" spans="1:5">
      <c r="A718" s="7">
        <v>3044799.788</v>
      </c>
      <c r="B718" s="7">
        <v>35400795.008</v>
      </c>
      <c r="C718" s="8">
        <v>904.286</v>
      </c>
      <c r="D718" s="11">
        <v>45336</v>
      </c>
      <c r="E718" s="20">
        <v>762.316</v>
      </c>
    </row>
    <row r="719" ht="16.5" spans="1:5">
      <c r="A719" s="7">
        <v>3044799.788</v>
      </c>
      <c r="B719" s="7">
        <v>35400795.008</v>
      </c>
      <c r="C719" s="8">
        <v>904.286</v>
      </c>
      <c r="D719" s="11">
        <v>45337</v>
      </c>
      <c r="E719" s="12"/>
    </row>
    <row r="720" ht="16.5" spans="1:5">
      <c r="A720" s="7">
        <v>3044799.788</v>
      </c>
      <c r="B720" s="7">
        <v>35400795.008</v>
      </c>
      <c r="C720" s="8">
        <v>904.286</v>
      </c>
      <c r="D720" s="11">
        <v>45338</v>
      </c>
      <c r="E720" s="12"/>
    </row>
    <row r="721" ht="16.5" spans="1:5">
      <c r="A721" s="7">
        <v>3044799.788</v>
      </c>
      <c r="B721" s="7">
        <v>35400795.008</v>
      </c>
      <c r="C721" s="8">
        <v>904.286</v>
      </c>
      <c r="D721" s="11">
        <v>45339</v>
      </c>
      <c r="E721" s="12"/>
    </row>
    <row r="722" ht="16.5" spans="1:5">
      <c r="A722" s="7">
        <v>3044799.788</v>
      </c>
      <c r="B722" s="7">
        <v>35400795.008</v>
      </c>
      <c r="C722" s="8">
        <v>904.286</v>
      </c>
      <c r="D722" s="11">
        <v>45340</v>
      </c>
      <c r="E722" s="12"/>
    </row>
    <row r="723" ht="16.5" spans="1:5">
      <c r="A723" s="7">
        <v>3044799.788</v>
      </c>
      <c r="B723" s="7">
        <v>35400795.008</v>
      </c>
      <c r="C723" s="8">
        <v>904.286</v>
      </c>
      <c r="D723" s="11">
        <v>45341</v>
      </c>
      <c r="E723" s="18">
        <v>762.219</v>
      </c>
    </row>
    <row r="724" ht="16.5" spans="1:5">
      <c r="A724" s="7">
        <v>3044799.788</v>
      </c>
      <c r="B724" s="7">
        <v>35400795.008</v>
      </c>
      <c r="C724" s="8">
        <v>904.286</v>
      </c>
      <c r="D724" s="11">
        <v>45342</v>
      </c>
      <c r="E724" s="18">
        <v>761.947</v>
      </c>
    </row>
    <row r="725" ht="16.5" spans="1:5">
      <c r="A725" s="7">
        <v>3044799.788</v>
      </c>
      <c r="B725" s="7">
        <v>35400795.008</v>
      </c>
      <c r="C725" s="8">
        <v>904.286</v>
      </c>
      <c r="D725" s="11">
        <v>45343</v>
      </c>
      <c r="E725" s="18">
        <v>761.82</v>
      </c>
    </row>
    <row r="726" ht="16.5" spans="1:5">
      <c r="A726" s="7">
        <v>3044799.788</v>
      </c>
      <c r="B726" s="7">
        <v>35400795.008</v>
      </c>
      <c r="C726" s="8">
        <v>904.286</v>
      </c>
      <c r="D726" s="11">
        <v>45344</v>
      </c>
      <c r="E726" s="18">
        <v>761.681</v>
      </c>
    </row>
    <row r="727" ht="16.5" spans="1:5">
      <c r="A727" s="7">
        <v>3044799.788</v>
      </c>
      <c r="B727" s="7">
        <v>35400795.008</v>
      </c>
      <c r="C727" s="8">
        <v>904.286</v>
      </c>
      <c r="D727" s="11">
        <v>45345</v>
      </c>
      <c r="E727" s="18">
        <v>761.573</v>
      </c>
    </row>
    <row r="728" ht="16.5" spans="1:5">
      <c r="A728" s="7">
        <v>3044799.788</v>
      </c>
      <c r="B728" s="7">
        <v>35400795.008</v>
      </c>
      <c r="C728" s="8">
        <v>904.286</v>
      </c>
      <c r="D728" s="11">
        <v>45346</v>
      </c>
      <c r="E728" s="18">
        <v>761.497</v>
      </c>
    </row>
    <row r="729" ht="16.5" spans="1:5">
      <c r="A729" s="7">
        <v>3044799.788</v>
      </c>
      <c r="B729" s="7">
        <v>35400795.008</v>
      </c>
      <c r="C729" s="8">
        <v>904.286</v>
      </c>
      <c r="D729" s="11">
        <v>45347</v>
      </c>
      <c r="E729" s="18">
        <v>761.333</v>
      </c>
    </row>
    <row r="730" ht="16.5" spans="1:5">
      <c r="A730" s="7">
        <v>3044799.788</v>
      </c>
      <c r="B730" s="7">
        <v>35400795.008</v>
      </c>
      <c r="C730" s="8">
        <v>904.286</v>
      </c>
      <c r="D730" s="11">
        <v>45348</v>
      </c>
      <c r="E730" s="18">
        <v>761.313</v>
      </c>
    </row>
    <row r="731" ht="16.5" spans="1:5">
      <c r="A731" s="7">
        <v>3044799.788</v>
      </c>
      <c r="B731" s="7">
        <v>35400795.008</v>
      </c>
      <c r="C731" s="8">
        <v>904.286</v>
      </c>
      <c r="D731" s="11">
        <v>45349</v>
      </c>
      <c r="E731" s="18">
        <v>761.168</v>
      </c>
    </row>
    <row r="732" ht="16.5" spans="1:5">
      <c r="A732" s="7">
        <v>3044799.788</v>
      </c>
      <c r="B732" s="7">
        <v>35400795.008</v>
      </c>
      <c r="C732" s="8">
        <v>904.286</v>
      </c>
      <c r="D732" s="11">
        <v>45350</v>
      </c>
      <c r="E732" s="18">
        <v>761.095</v>
      </c>
    </row>
    <row r="733" ht="16.5" spans="1:5">
      <c r="A733" s="7">
        <v>3044799.788</v>
      </c>
      <c r="B733" s="7">
        <v>35400795.008</v>
      </c>
      <c r="C733" s="8">
        <v>904.286</v>
      </c>
      <c r="D733" s="11">
        <v>45351</v>
      </c>
      <c r="E733" s="18">
        <v>761.077</v>
      </c>
    </row>
    <row r="734" ht="16.5" spans="1:5">
      <c r="A734" s="7">
        <v>3044799.788</v>
      </c>
      <c r="B734" s="7">
        <v>35400795.008</v>
      </c>
      <c r="C734" s="8">
        <v>904.286</v>
      </c>
      <c r="D734" s="11">
        <v>45352</v>
      </c>
      <c r="E734" s="18">
        <v>761.154</v>
      </c>
    </row>
    <row r="735" ht="16.5" spans="1:5">
      <c r="A735" s="7">
        <v>3044799.788</v>
      </c>
      <c r="B735" s="7">
        <v>35400795.008</v>
      </c>
      <c r="C735" s="8">
        <v>904.286</v>
      </c>
      <c r="D735" s="11">
        <v>45353</v>
      </c>
      <c r="E735" s="18">
        <v>761.077</v>
      </c>
    </row>
    <row r="736" ht="16.5" spans="1:5">
      <c r="A736" s="7">
        <v>3044799.788</v>
      </c>
      <c r="B736" s="7">
        <v>35400795.008</v>
      </c>
      <c r="C736" s="8">
        <v>904.286</v>
      </c>
      <c r="D736" s="11">
        <v>45354</v>
      </c>
      <c r="E736" s="18">
        <v>761.154</v>
      </c>
    </row>
    <row r="737" ht="16.5" spans="1:5">
      <c r="A737" s="7">
        <v>3044799.788</v>
      </c>
      <c r="B737" s="7">
        <v>35400795.008</v>
      </c>
      <c r="C737" s="8">
        <v>904.286</v>
      </c>
      <c r="D737" s="11">
        <v>45355</v>
      </c>
      <c r="E737" s="18">
        <v>761.71</v>
      </c>
    </row>
    <row r="738" ht="16.5" spans="1:5">
      <c r="A738" s="7">
        <v>3044799.788</v>
      </c>
      <c r="B738" s="7">
        <v>35400795.008</v>
      </c>
      <c r="C738" s="8">
        <v>904.286</v>
      </c>
      <c r="D738" s="11">
        <v>45356</v>
      </c>
      <c r="E738" s="18">
        <v>761.223</v>
      </c>
    </row>
    <row r="739" ht="16.5" spans="1:5">
      <c r="A739" s="7">
        <v>3044799.788</v>
      </c>
      <c r="B739" s="7">
        <v>35400795.008</v>
      </c>
      <c r="C739" s="8">
        <v>904.286</v>
      </c>
      <c r="D739" s="11">
        <v>45357</v>
      </c>
      <c r="E739" s="18">
        <v>760.858</v>
      </c>
    </row>
    <row r="740" ht="16.5" spans="1:5">
      <c r="A740" s="7">
        <v>3044799.788</v>
      </c>
      <c r="B740" s="7">
        <v>35400795.008</v>
      </c>
      <c r="C740" s="8">
        <v>904.286</v>
      </c>
      <c r="D740" s="11">
        <v>45358</v>
      </c>
      <c r="E740" s="18">
        <v>760.704</v>
      </c>
    </row>
    <row r="741" ht="16.5" spans="1:5">
      <c r="A741" s="7">
        <v>3044799.788</v>
      </c>
      <c r="B741" s="7">
        <v>35400795.008</v>
      </c>
      <c r="C741" s="8">
        <v>904.286</v>
      </c>
      <c r="D741" s="11">
        <v>45359</v>
      </c>
      <c r="E741" s="18">
        <v>760.727</v>
      </c>
    </row>
    <row r="742" ht="16.5" spans="1:5">
      <c r="A742" s="7">
        <v>3044799.788</v>
      </c>
      <c r="B742" s="7">
        <v>35400795.008</v>
      </c>
      <c r="C742" s="8">
        <v>904.286</v>
      </c>
      <c r="D742" s="11">
        <v>45360</v>
      </c>
      <c r="E742" s="18">
        <v>760.654</v>
      </c>
    </row>
    <row r="743" ht="16.5" spans="1:5">
      <c r="A743" s="7">
        <v>3044799.788</v>
      </c>
      <c r="B743" s="7">
        <v>35400795.008</v>
      </c>
      <c r="C743" s="8">
        <v>904.286</v>
      </c>
      <c r="D743" s="11">
        <v>45361</v>
      </c>
      <c r="E743" s="18">
        <v>760.576</v>
      </c>
    </row>
    <row r="744" ht="16.5" spans="1:5">
      <c r="A744" s="7">
        <v>3044799.788</v>
      </c>
      <c r="B744" s="7">
        <v>35400795.008</v>
      </c>
      <c r="C744" s="8">
        <v>904.286</v>
      </c>
      <c r="D744" s="11">
        <v>45362</v>
      </c>
      <c r="E744" s="18">
        <v>760.521</v>
      </c>
    </row>
    <row r="745" ht="16.5" spans="1:5">
      <c r="A745" s="7">
        <v>3044799.788</v>
      </c>
      <c r="B745" s="7">
        <v>35400795.008</v>
      </c>
      <c r="C745" s="8">
        <v>904.286</v>
      </c>
      <c r="D745" s="11">
        <v>45363</v>
      </c>
      <c r="E745" s="18">
        <v>760.662</v>
      </c>
    </row>
    <row r="746" ht="16.5" spans="1:5">
      <c r="A746" s="7">
        <v>3044799.788</v>
      </c>
      <c r="B746" s="7">
        <v>35400795.008</v>
      </c>
      <c r="C746" s="8">
        <v>904.286</v>
      </c>
      <c r="D746" s="11">
        <v>45364</v>
      </c>
      <c r="E746" s="18">
        <v>760.49</v>
      </c>
    </row>
    <row r="747" ht="16.5" spans="1:5">
      <c r="A747" s="7">
        <v>3044799.788</v>
      </c>
      <c r="B747" s="7">
        <v>35400795.008</v>
      </c>
      <c r="C747" s="8">
        <v>904.286</v>
      </c>
      <c r="D747" s="11">
        <v>45365</v>
      </c>
      <c r="E747" s="18">
        <v>760.371</v>
      </c>
    </row>
    <row r="748" ht="16.5" spans="1:5">
      <c r="A748" s="7">
        <v>3044799.788</v>
      </c>
      <c r="B748" s="7">
        <v>35400795.008</v>
      </c>
      <c r="C748" s="8">
        <v>904.286</v>
      </c>
      <c r="D748" s="11">
        <v>45366</v>
      </c>
      <c r="E748" s="18">
        <v>760.325</v>
      </c>
    </row>
    <row r="749" ht="16.5" spans="1:5">
      <c r="A749" s="7">
        <v>3044799.788</v>
      </c>
      <c r="B749" s="7">
        <v>35400795.008</v>
      </c>
      <c r="C749" s="8">
        <v>904.286</v>
      </c>
      <c r="D749" s="11">
        <v>45367</v>
      </c>
      <c r="E749" s="18">
        <v>760.216</v>
      </c>
    </row>
    <row r="750" ht="16.5" spans="1:5">
      <c r="A750" s="7">
        <v>3044799.788</v>
      </c>
      <c r="B750" s="7">
        <v>35400795.008</v>
      </c>
      <c r="C750" s="8">
        <v>904.286</v>
      </c>
      <c r="D750" s="11">
        <v>45368</v>
      </c>
      <c r="E750" s="18">
        <v>760.043</v>
      </c>
    </row>
    <row r="751" ht="16.5" spans="1:5">
      <c r="A751" s="7">
        <v>3044799.788</v>
      </c>
      <c r="B751" s="7">
        <v>35400795.008</v>
      </c>
      <c r="C751" s="8">
        <v>904.286</v>
      </c>
      <c r="D751" s="11">
        <v>45369</v>
      </c>
      <c r="E751" s="18">
        <v>759.919</v>
      </c>
    </row>
    <row r="752" ht="16.5" spans="1:5">
      <c r="A752" s="7">
        <v>3044799.788</v>
      </c>
      <c r="B752" s="7">
        <v>35400795.008</v>
      </c>
      <c r="C752" s="8">
        <v>904.286</v>
      </c>
      <c r="D752" s="11">
        <v>45370</v>
      </c>
      <c r="E752" s="18">
        <v>759.748</v>
      </c>
    </row>
    <row r="753" ht="16.5" spans="1:5">
      <c r="A753" s="7">
        <v>3044799.788</v>
      </c>
      <c r="B753" s="7">
        <v>35400795.008</v>
      </c>
      <c r="C753" s="8">
        <v>904.286</v>
      </c>
      <c r="D753" s="11">
        <v>45371</v>
      </c>
      <c r="E753" s="18">
        <v>759.672</v>
      </c>
    </row>
    <row r="754" ht="16.5" spans="1:5">
      <c r="A754" s="7">
        <v>3044799.788</v>
      </c>
      <c r="B754" s="7">
        <v>35400795.008</v>
      </c>
      <c r="C754" s="8">
        <v>904.286</v>
      </c>
      <c r="D754" s="11">
        <v>45372</v>
      </c>
      <c r="E754" s="18">
        <v>759.778</v>
      </c>
    </row>
    <row r="755" ht="16.5" spans="1:5">
      <c r="A755" s="7">
        <v>3044799.788</v>
      </c>
      <c r="B755" s="7">
        <v>35400795.008</v>
      </c>
      <c r="C755" s="8">
        <v>904.286</v>
      </c>
      <c r="D755" s="11">
        <v>45373</v>
      </c>
      <c r="E755" s="18">
        <v>760.491</v>
      </c>
    </row>
    <row r="756" ht="16.5" spans="1:5">
      <c r="A756" s="7">
        <v>3044799.788</v>
      </c>
      <c r="B756" s="7">
        <v>35400795.008</v>
      </c>
      <c r="C756" s="8">
        <v>904.286</v>
      </c>
      <c r="D756" s="11">
        <v>45374</v>
      </c>
      <c r="E756" s="18">
        <v>760.386</v>
      </c>
    </row>
    <row r="757" ht="16.5" spans="1:5">
      <c r="A757" s="7">
        <v>3044799.788</v>
      </c>
      <c r="B757" s="7">
        <v>35400795.008</v>
      </c>
      <c r="C757" s="8">
        <v>904.286</v>
      </c>
      <c r="D757" s="11">
        <v>45375</v>
      </c>
      <c r="E757" s="18">
        <v>759.984</v>
      </c>
    </row>
    <row r="758" ht="16.5" spans="1:5">
      <c r="A758" s="7">
        <v>3044799.788</v>
      </c>
      <c r="B758" s="7">
        <v>35400795.008</v>
      </c>
      <c r="C758" s="8">
        <v>904.286</v>
      </c>
      <c r="D758" s="11">
        <v>45376</v>
      </c>
      <c r="E758" s="18">
        <v>759.713</v>
      </c>
    </row>
    <row r="759" ht="16.5" spans="1:5">
      <c r="A759" s="7">
        <v>3044799.788</v>
      </c>
      <c r="B759" s="7">
        <v>35400795.008</v>
      </c>
      <c r="C759" s="8">
        <v>904.286</v>
      </c>
      <c r="D759" s="11">
        <v>45377</v>
      </c>
      <c r="E759" s="18">
        <v>759.709</v>
      </c>
    </row>
    <row r="760" ht="16.5" spans="1:5">
      <c r="A760" s="7">
        <v>3044799.788</v>
      </c>
      <c r="B760" s="7">
        <v>35400795.008</v>
      </c>
      <c r="C760" s="8">
        <v>904.286</v>
      </c>
      <c r="D760" s="11">
        <v>45378</v>
      </c>
      <c r="E760" s="18">
        <v>759.603</v>
      </c>
    </row>
    <row r="761" ht="16.5" spans="1:5">
      <c r="A761" s="7">
        <v>3044799.788</v>
      </c>
      <c r="B761" s="7">
        <v>35400795.008</v>
      </c>
      <c r="C761" s="8">
        <v>904.286</v>
      </c>
      <c r="D761" s="11">
        <v>45379</v>
      </c>
      <c r="E761" s="18">
        <v>759.189</v>
      </c>
    </row>
    <row r="762" ht="16.5" spans="1:5">
      <c r="A762" s="7">
        <v>3044799.788</v>
      </c>
      <c r="B762" s="7">
        <v>35400795.008</v>
      </c>
      <c r="C762" s="8">
        <v>904.286</v>
      </c>
      <c r="D762" s="11">
        <v>45380</v>
      </c>
      <c r="E762" s="18">
        <v>759.103</v>
      </c>
    </row>
    <row r="763" ht="16.5" spans="1:5">
      <c r="A763" s="7">
        <v>3044799.788</v>
      </c>
      <c r="B763" s="7">
        <v>35400795.008</v>
      </c>
      <c r="C763" s="8">
        <v>904.286</v>
      </c>
      <c r="D763" s="11">
        <v>45381</v>
      </c>
      <c r="E763" s="18">
        <v>758.849</v>
      </c>
    </row>
    <row r="764" ht="16.5" spans="1:5">
      <c r="A764" s="7">
        <v>3044799.788</v>
      </c>
      <c r="B764" s="7">
        <v>35400795.008</v>
      </c>
      <c r="C764" s="8">
        <v>904.286</v>
      </c>
      <c r="D764" s="11">
        <v>45382</v>
      </c>
      <c r="E764" s="18">
        <v>758.757</v>
      </c>
    </row>
    <row r="765" ht="16.5" spans="1:5">
      <c r="A765" s="7">
        <v>3044799.788</v>
      </c>
      <c r="B765" s="7">
        <v>35400795.008</v>
      </c>
      <c r="C765" s="8">
        <v>904.286</v>
      </c>
      <c r="D765" s="11">
        <v>45383</v>
      </c>
      <c r="E765" s="18">
        <v>758.545</v>
      </c>
    </row>
    <row r="766" ht="16.5" spans="1:5">
      <c r="A766" s="7">
        <v>3044799.788</v>
      </c>
      <c r="B766" s="7">
        <v>35400795.008</v>
      </c>
      <c r="C766" s="8">
        <v>904.286</v>
      </c>
      <c r="D766" s="11">
        <v>45384</v>
      </c>
      <c r="E766" s="18">
        <v>758.292</v>
      </c>
    </row>
    <row r="767" ht="16.5" spans="1:5">
      <c r="A767" s="7">
        <v>3044799.788</v>
      </c>
      <c r="B767" s="7">
        <v>35400795.008</v>
      </c>
      <c r="C767" s="8">
        <v>904.286</v>
      </c>
      <c r="D767" s="11">
        <v>45385</v>
      </c>
      <c r="E767" s="18">
        <v>757.732</v>
      </c>
    </row>
    <row r="768" ht="16.5" spans="1:5">
      <c r="A768" s="7">
        <v>3044799.788</v>
      </c>
      <c r="B768" s="7">
        <v>35400795.008</v>
      </c>
      <c r="C768" s="8">
        <v>904.286</v>
      </c>
      <c r="D768" s="11">
        <v>45386</v>
      </c>
      <c r="E768" s="18">
        <v>757.495</v>
      </c>
    </row>
    <row r="769" ht="16.5" spans="1:5">
      <c r="A769" s="7">
        <v>3044799.788</v>
      </c>
      <c r="B769" s="7">
        <v>35400795.008</v>
      </c>
      <c r="C769" s="8">
        <v>904.286</v>
      </c>
      <c r="D769" s="11">
        <v>45387</v>
      </c>
      <c r="E769" s="18">
        <v>757.227</v>
      </c>
    </row>
    <row r="770" ht="16.5" spans="1:5">
      <c r="A770" s="7">
        <v>3044799.788</v>
      </c>
      <c r="B770" s="7">
        <v>35400795.008</v>
      </c>
      <c r="C770" s="8">
        <v>904.286</v>
      </c>
      <c r="D770" s="11">
        <v>45388</v>
      </c>
      <c r="E770" s="18">
        <v>756.873</v>
      </c>
    </row>
    <row r="771" ht="16.5" spans="1:5">
      <c r="A771" s="7">
        <v>3044799.788</v>
      </c>
      <c r="B771" s="7">
        <v>35400795.008</v>
      </c>
      <c r="C771" s="8">
        <v>904.286</v>
      </c>
      <c r="D771" s="11">
        <v>45389</v>
      </c>
      <c r="E771" s="18">
        <v>756.795</v>
      </c>
    </row>
    <row r="772" ht="16.5" spans="1:5">
      <c r="A772" s="7">
        <v>3044799.788</v>
      </c>
      <c r="B772" s="7">
        <v>35400795.008</v>
      </c>
      <c r="C772" s="8">
        <v>904.286</v>
      </c>
      <c r="D772" s="11">
        <v>45390</v>
      </c>
      <c r="E772" s="18">
        <v>756.696</v>
      </c>
    </row>
    <row r="773" ht="16.5" spans="1:5">
      <c r="A773" s="7">
        <v>3044799.788</v>
      </c>
      <c r="B773" s="7">
        <v>35400795.008</v>
      </c>
      <c r="C773" s="8">
        <v>904.286</v>
      </c>
      <c r="D773" s="11">
        <v>45391</v>
      </c>
      <c r="E773" s="18">
        <v>756.543</v>
      </c>
    </row>
    <row r="774" ht="16.5" spans="1:5">
      <c r="A774" s="7">
        <v>3044799.788</v>
      </c>
      <c r="B774" s="7">
        <v>35400795.008</v>
      </c>
      <c r="C774" s="8">
        <v>904.286</v>
      </c>
      <c r="D774" s="11">
        <v>45392</v>
      </c>
      <c r="E774" s="18"/>
    </row>
    <row r="775" ht="16.5" spans="1:5">
      <c r="A775" s="7">
        <v>3044799.788</v>
      </c>
      <c r="B775" s="7">
        <v>35400795.008</v>
      </c>
      <c r="C775" s="8">
        <v>904.286</v>
      </c>
      <c r="D775" s="11">
        <v>45393</v>
      </c>
      <c r="E775" s="18"/>
    </row>
    <row r="776" ht="16.5" spans="1:5">
      <c r="A776" s="7">
        <v>3044799.788</v>
      </c>
      <c r="B776" s="7">
        <v>35400795.008</v>
      </c>
      <c r="C776" s="8">
        <v>904.286</v>
      </c>
      <c r="D776" s="11">
        <v>45394</v>
      </c>
      <c r="E776" s="18"/>
    </row>
    <row r="777" ht="16.5" spans="1:5">
      <c r="A777" s="7">
        <v>3044799.788</v>
      </c>
      <c r="B777" s="7">
        <v>35400795.008</v>
      </c>
      <c r="C777" s="8">
        <v>904.286</v>
      </c>
      <c r="D777" s="11">
        <v>45395</v>
      </c>
      <c r="E777" s="18">
        <v>756.448</v>
      </c>
    </row>
    <row r="778" ht="16.5" spans="1:5">
      <c r="A778" s="7">
        <v>3044799.788</v>
      </c>
      <c r="B778" s="7">
        <v>35400795.008</v>
      </c>
      <c r="C778" s="8">
        <v>904.286</v>
      </c>
      <c r="D778" s="11">
        <v>45396</v>
      </c>
      <c r="E778" s="18">
        <v>756.406</v>
      </c>
    </row>
    <row r="779" ht="16.5" spans="1:5">
      <c r="A779" s="7">
        <v>3044799.788</v>
      </c>
      <c r="B779" s="7">
        <v>35400795.008</v>
      </c>
      <c r="C779" s="8">
        <v>904.286</v>
      </c>
      <c r="D779" s="11">
        <v>45397</v>
      </c>
      <c r="E779" s="18">
        <v>756.287</v>
      </c>
    </row>
    <row r="780" ht="16.5" spans="1:5">
      <c r="A780" s="7">
        <v>3044799.788</v>
      </c>
      <c r="B780" s="7">
        <v>35400795.008</v>
      </c>
      <c r="C780" s="8">
        <v>904.286</v>
      </c>
      <c r="D780" s="11">
        <v>45398</v>
      </c>
      <c r="E780" s="18">
        <v>756.167</v>
      </c>
    </row>
    <row r="781" ht="16.5" spans="1:5">
      <c r="A781" s="7">
        <v>3044799.788</v>
      </c>
      <c r="B781" s="7">
        <v>35400795.008</v>
      </c>
      <c r="C781" s="8">
        <v>904.286</v>
      </c>
      <c r="D781" s="11">
        <v>45399</v>
      </c>
      <c r="E781" s="18">
        <v>755.968</v>
      </c>
    </row>
    <row r="782" ht="16.5" spans="1:5">
      <c r="A782" s="7">
        <v>3044799.788</v>
      </c>
      <c r="B782" s="7">
        <v>35400795.008</v>
      </c>
      <c r="C782" s="8">
        <v>904.286</v>
      </c>
      <c r="D782" s="11">
        <v>45400</v>
      </c>
      <c r="E782" s="18">
        <v>755.854</v>
      </c>
    </row>
    <row r="783" ht="16.5" spans="1:5">
      <c r="A783" s="7">
        <v>3044799.788</v>
      </c>
      <c r="B783" s="7">
        <v>35400795.008</v>
      </c>
      <c r="C783" s="8">
        <v>904.286</v>
      </c>
      <c r="D783" s="11">
        <v>45401</v>
      </c>
      <c r="E783" s="18">
        <v>755.548</v>
      </c>
    </row>
    <row r="784" ht="16.5" spans="1:5">
      <c r="A784" s="7">
        <v>3044799.788</v>
      </c>
      <c r="B784" s="7">
        <v>35400795.008</v>
      </c>
      <c r="C784" s="8">
        <v>904.286</v>
      </c>
      <c r="D784" s="11">
        <v>45402</v>
      </c>
      <c r="E784" s="18">
        <v>755.465</v>
      </c>
    </row>
    <row r="785" ht="16.5" spans="1:5">
      <c r="A785" s="7">
        <v>3044799.788</v>
      </c>
      <c r="B785" s="7">
        <v>35400795.008</v>
      </c>
      <c r="C785" s="8">
        <v>904.286</v>
      </c>
      <c r="D785" s="11">
        <v>45403</v>
      </c>
      <c r="E785" s="18">
        <v>755.446</v>
      </c>
    </row>
    <row r="786" ht="16.5" spans="1:5">
      <c r="A786" s="7">
        <v>3044799.788</v>
      </c>
      <c r="B786" s="7">
        <v>35400795.008</v>
      </c>
      <c r="C786" s="8">
        <v>904.286</v>
      </c>
      <c r="D786" s="11">
        <v>45404</v>
      </c>
      <c r="E786" s="18">
        <v>755.297</v>
      </c>
    </row>
    <row r="787" ht="16.5" spans="1:5">
      <c r="A787" s="7">
        <v>3044799.788</v>
      </c>
      <c r="B787" s="7">
        <v>35400795.008</v>
      </c>
      <c r="C787" s="8">
        <v>904.286</v>
      </c>
      <c r="D787" s="11">
        <v>45405</v>
      </c>
      <c r="E787" s="18">
        <v>755.171</v>
      </c>
    </row>
    <row r="788" ht="16.5" spans="1:5">
      <c r="A788" s="7">
        <v>3044799.788</v>
      </c>
      <c r="B788" s="7">
        <v>35400795.008</v>
      </c>
      <c r="C788" s="8">
        <v>904.286</v>
      </c>
      <c r="D788" s="11">
        <v>45406</v>
      </c>
      <c r="E788" s="18">
        <v>755.113</v>
      </c>
    </row>
    <row r="789" ht="16.5" spans="1:5">
      <c r="A789" s="7">
        <v>3044799.788</v>
      </c>
      <c r="B789" s="7">
        <v>35400795.008</v>
      </c>
      <c r="C789" s="8">
        <v>904.286</v>
      </c>
      <c r="D789" s="11">
        <v>45407</v>
      </c>
      <c r="E789" s="18">
        <v>755.066</v>
      </c>
    </row>
    <row r="790" ht="16.5" spans="1:5">
      <c r="A790" s="7">
        <v>3044799.788</v>
      </c>
      <c r="B790" s="7">
        <v>35400795.008</v>
      </c>
      <c r="C790" s="8">
        <v>904.286</v>
      </c>
      <c r="D790" s="11">
        <v>45408</v>
      </c>
      <c r="E790" s="18">
        <v>755.183</v>
      </c>
    </row>
    <row r="791" ht="16.5" spans="1:5">
      <c r="A791" s="7">
        <v>3044799.788</v>
      </c>
      <c r="B791" s="7">
        <v>35400795.008</v>
      </c>
      <c r="C791" s="8">
        <v>904.286</v>
      </c>
      <c r="D791" s="11">
        <v>45409</v>
      </c>
      <c r="E791" s="18">
        <v>755.345</v>
      </c>
    </row>
    <row r="792" ht="16.5" spans="1:5">
      <c r="A792" s="7">
        <v>3044799.788</v>
      </c>
      <c r="B792" s="7">
        <v>35400795.008</v>
      </c>
      <c r="C792" s="8">
        <v>904.286</v>
      </c>
      <c r="D792" s="11">
        <v>45410</v>
      </c>
      <c r="E792" s="18">
        <v>755.098</v>
      </c>
    </row>
    <row r="793" ht="16.5" spans="1:5">
      <c r="A793" s="7">
        <v>3044799.788</v>
      </c>
      <c r="B793" s="7">
        <v>35400795.008</v>
      </c>
      <c r="C793" s="8">
        <v>904.286</v>
      </c>
      <c r="D793" s="11">
        <v>45411</v>
      </c>
      <c r="E793" s="18">
        <v>755.1</v>
      </c>
    </row>
    <row r="794" ht="16.5" spans="1:5">
      <c r="A794" s="7">
        <v>3044799.788</v>
      </c>
      <c r="B794" s="7">
        <v>35400795.008</v>
      </c>
      <c r="C794" s="8">
        <v>904.286</v>
      </c>
      <c r="D794" s="11">
        <v>45412</v>
      </c>
      <c r="E794" s="18">
        <v>755.005</v>
      </c>
    </row>
    <row r="795" ht="16.5" spans="1:5">
      <c r="A795" s="7">
        <v>3044799.788</v>
      </c>
      <c r="B795" s="7">
        <v>35400795.008</v>
      </c>
      <c r="C795" s="8">
        <v>904.286</v>
      </c>
      <c r="D795" s="11">
        <v>45413</v>
      </c>
      <c r="E795" s="18">
        <v>754.925</v>
      </c>
    </row>
    <row r="796" ht="16.5" spans="1:5">
      <c r="A796" s="7">
        <v>3044799.788</v>
      </c>
      <c r="B796" s="7">
        <v>35400795.008</v>
      </c>
      <c r="C796" s="8">
        <v>904.286</v>
      </c>
      <c r="D796" s="11">
        <v>45414</v>
      </c>
      <c r="E796" s="18">
        <v>754.795</v>
      </c>
    </row>
    <row r="797" ht="16.5" spans="1:5">
      <c r="A797" s="7">
        <v>3044799.788</v>
      </c>
      <c r="B797" s="7">
        <v>35400795.008</v>
      </c>
      <c r="C797" s="8">
        <v>904.286</v>
      </c>
      <c r="D797" s="11">
        <v>45415</v>
      </c>
      <c r="E797" s="18">
        <v>754.808</v>
      </c>
    </row>
    <row r="798" ht="16.5" spans="1:5">
      <c r="A798" s="7">
        <v>3044799.788</v>
      </c>
      <c r="B798" s="7">
        <v>35400795.008</v>
      </c>
      <c r="C798" s="8">
        <v>904.286</v>
      </c>
      <c r="D798" s="11">
        <v>45416</v>
      </c>
      <c r="E798" s="18">
        <v>754.798</v>
      </c>
    </row>
    <row r="799" ht="16.5" spans="1:5">
      <c r="A799" s="7">
        <v>3044799.788</v>
      </c>
      <c r="B799" s="7">
        <v>35400795.008</v>
      </c>
      <c r="C799" s="8">
        <v>904.286</v>
      </c>
      <c r="D799" s="11">
        <v>45417</v>
      </c>
      <c r="E799" s="18">
        <v>754.574</v>
      </c>
    </row>
    <row r="800" ht="16.5" spans="1:5">
      <c r="A800" s="7">
        <v>3044799.788</v>
      </c>
      <c r="B800" s="7">
        <v>35400795.008</v>
      </c>
      <c r="C800" s="8">
        <v>904.286</v>
      </c>
      <c r="D800" s="11">
        <v>45418</v>
      </c>
      <c r="E800" s="18">
        <v>754.31</v>
      </c>
    </row>
    <row r="801" ht="16.5" spans="1:5">
      <c r="A801" s="7">
        <v>3044799.788</v>
      </c>
      <c r="B801" s="7">
        <v>35400795.008</v>
      </c>
      <c r="C801" s="8">
        <v>904.286</v>
      </c>
      <c r="D801" s="11">
        <v>45419</v>
      </c>
      <c r="E801" s="18">
        <v>753.971</v>
      </c>
    </row>
    <row r="802" ht="16.5" spans="1:5">
      <c r="A802" s="7">
        <v>3044799.788</v>
      </c>
      <c r="B802" s="7">
        <v>35400795.008</v>
      </c>
      <c r="C802" s="8">
        <v>904.286</v>
      </c>
      <c r="D802" s="11">
        <v>45420</v>
      </c>
      <c r="E802" s="18">
        <v>753.967</v>
      </c>
    </row>
    <row r="803" ht="16.5" spans="1:5">
      <c r="A803" s="7">
        <v>3044799.788</v>
      </c>
      <c r="B803" s="7">
        <v>35400795.008</v>
      </c>
      <c r="C803" s="8">
        <v>904.286</v>
      </c>
      <c r="D803" s="11">
        <v>45421</v>
      </c>
      <c r="E803" s="18">
        <v>753.83</v>
      </c>
    </row>
    <row r="804" ht="16.5" spans="1:5">
      <c r="A804" s="7">
        <v>3044799.788</v>
      </c>
      <c r="B804" s="7">
        <v>35400795.008</v>
      </c>
      <c r="C804" s="8">
        <v>904.286</v>
      </c>
      <c r="D804" s="11">
        <v>45422</v>
      </c>
      <c r="E804" s="18">
        <v>753.278</v>
      </c>
    </row>
    <row r="805" ht="16.5" spans="1:5">
      <c r="A805" s="7">
        <v>3044799.788</v>
      </c>
      <c r="B805" s="7">
        <v>35400795.008</v>
      </c>
      <c r="C805" s="8">
        <v>904.286</v>
      </c>
      <c r="D805" s="11">
        <v>45423</v>
      </c>
      <c r="E805" s="18">
        <v>752.937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SBZK 670-118-1</vt:lpstr>
      <vt:lpstr>SBZK670-110-1</vt:lpstr>
      <vt:lpstr>ZK001</vt:lpstr>
      <vt:lpstr>DK06</vt:lpstr>
      <vt:lpstr>BK01</vt:lpstr>
      <vt:lpstr>BK11</vt:lpstr>
      <vt:lpstr>SK01</vt:lpstr>
      <vt:lpstr>SK02</vt:lpstr>
      <vt:lpstr>SK03</vt:lpstr>
      <vt:lpstr>SK04</vt:lpstr>
      <vt:lpstr>SK05</vt:lpstr>
      <vt:lpstr>SK06</vt:lpstr>
      <vt:lpstr>SK07</vt:lpstr>
      <vt:lpstr>SK08</vt:lpstr>
      <vt:lpstr>SK09</vt:lpstr>
      <vt:lpstr>SK14</vt:lpstr>
      <vt:lpstr>SK15</vt:lpstr>
      <vt:lpstr>SK16</vt:lpstr>
      <vt:lpstr>SK21</vt:lpstr>
      <vt:lpstr>SK22</vt:lpstr>
      <vt:lpstr>SK23</vt:lpstr>
      <vt:lpstr>SK24</vt:lpstr>
      <vt:lpstr>SK29</vt:lpstr>
      <vt:lpstr>SK30</vt:lpstr>
      <vt:lpstr>G1</vt:lpstr>
      <vt:lpstr>G2</vt:lpstr>
      <vt:lpstr>G3</vt:lpstr>
      <vt:lpstr>G4</vt:lpstr>
      <vt:lpstr>G5</vt:lpstr>
      <vt:lpstr>G6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wzmNo2</dc:creator>
  <cp:lastModifiedBy>飒飒如流星</cp:lastModifiedBy>
  <dcterms:created xsi:type="dcterms:W3CDTF">2015-06-05T18:19:00Z</dcterms:created>
  <dcterms:modified xsi:type="dcterms:W3CDTF">2025-06-27T15:38:11Z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5E0B9867DA0F4EAC894C8023F7FE0AAE_12</vt:lpwstr>
  </property>
  <property fmtid="{D5CDD505-2E9C-101B-9397-08002B2CF9AE}" pid="3" name="KSOProductBuildVer">
    <vt:lpwstr>2052-12.1.0.21541</vt:lpwstr>
  </property>
</Properties>
</file>